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YA\Documents\GitHub\MixMaster\Assets\DataCSV\"/>
    </mc:Choice>
  </mc:AlternateContent>
  <xr:revisionPtr revIDLastSave="0" documentId="8_{EA81113C-5640-4E66-8121-31964230F2FF}" xr6:coauthVersionLast="47" xr6:coauthVersionMax="47" xr10:uidLastSave="{00000000-0000-0000-0000-000000000000}"/>
  <bookViews>
    <workbookView xWindow="14295" yWindow="0" windowWidth="14610" windowHeight="15585" activeTab="4" xr2:uid="{F5B45C5E-FDA1-433E-B65D-DA276FD740E0}"/>
  </bookViews>
  <sheets>
    <sheet name="モンスター" sheetId="3" r:id="rId1"/>
    <sheet name="特殊配合" sheetId="13" r:id="rId2"/>
    <sheet name="称号" sheetId="5" r:id="rId3"/>
    <sheet name="装備" sheetId="9" r:id="rId4"/>
    <sheet name="スキル" sheetId="14" r:id="rId5"/>
    <sheet name="素材" sheetId="10" r:id="rId6"/>
    <sheet name="マップ" sheetId="6" r:id="rId7"/>
    <sheet name="マップ地形" sheetId="7" r:id="rId8"/>
    <sheet name="GPTマップ作製" sheetId="12" r:id="rId9"/>
    <sheet name="必要経験値" sheetId="8" r:id="rId10"/>
    <sheet name="入力規制リスト" sheetId="4" r:id="rId11"/>
    <sheet name="画像編集用" sheetId="1" r:id="rId12"/>
    <sheet name="やることリスト" sheetId="2" r:id="rId13"/>
  </sheets>
  <externalReferences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3" l="1"/>
  <c r="O5" i="3"/>
  <c r="O6" i="3"/>
  <c r="O7" i="3"/>
  <c r="X204" i="14"/>
  <c r="W204" i="14"/>
  <c r="V204" i="14"/>
  <c r="X203" i="14"/>
  <c r="W203" i="14"/>
  <c r="V203" i="14"/>
  <c r="X202" i="14"/>
  <c r="W202" i="14"/>
  <c r="V202" i="14"/>
  <c r="X201" i="14"/>
  <c r="W201" i="14"/>
  <c r="V201" i="14"/>
  <c r="X200" i="14"/>
  <c r="W200" i="14"/>
  <c r="V200" i="14"/>
  <c r="X199" i="14"/>
  <c r="W199" i="14"/>
  <c r="V199" i="14"/>
  <c r="X198" i="14"/>
  <c r="W198" i="14"/>
  <c r="V198" i="14"/>
  <c r="X197" i="14"/>
  <c r="W197" i="14"/>
  <c r="V197" i="14"/>
  <c r="X196" i="14"/>
  <c r="W196" i="14"/>
  <c r="V196" i="14"/>
  <c r="X195" i="14"/>
  <c r="W195" i="14"/>
  <c r="V195" i="14"/>
  <c r="X194" i="14"/>
  <c r="W194" i="14"/>
  <c r="V194" i="14"/>
  <c r="X193" i="14"/>
  <c r="W193" i="14"/>
  <c r="V193" i="14"/>
  <c r="X192" i="14"/>
  <c r="W192" i="14"/>
  <c r="V192" i="14"/>
  <c r="X191" i="14"/>
  <c r="W191" i="14"/>
  <c r="V191" i="14"/>
  <c r="X190" i="14"/>
  <c r="W190" i="14"/>
  <c r="V190" i="14"/>
  <c r="X189" i="14"/>
  <c r="W189" i="14"/>
  <c r="V189" i="14"/>
  <c r="X188" i="14"/>
  <c r="W188" i="14"/>
  <c r="V188" i="14"/>
  <c r="X187" i="14"/>
  <c r="W187" i="14"/>
  <c r="V187" i="14"/>
  <c r="X186" i="14"/>
  <c r="W186" i="14"/>
  <c r="V186" i="14"/>
  <c r="X185" i="14"/>
  <c r="W185" i="14"/>
  <c r="V185" i="14"/>
  <c r="X184" i="14"/>
  <c r="W184" i="14"/>
  <c r="V184" i="14"/>
  <c r="X183" i="14"/>
  <c r="W183" i="14"/>
  <c r="V183" i="14"/>
  <c r="X182" i="14"/>
  <c r="W182" i="14"/>
  <c r="V182" i="14"/>
  <c r="X181" i="14"/>
  <c r="W181" i="14"/>
  <c r="V181" i="14"/>
  <c r="X180" i="14"/>
  <c r="W180" i="14"/>
  <c r="V180" i="14"/>
  <c r="X179" i="14"/>
  <c r="W179" i="14"/>
  <c r="V179" i="14"/>
  <c r="X178" i="14"/>
  <c r="W178" i="14"/>
  <c r="V178" i="14"/>
  <c r="X177" i="14"/>
  <c r="W177" i="14"/>
  <c r="V177" i="14"/>
  <c r="X176" i="14"/>
  <c r="W176" i="14"/>
  <c r="V176" i="14"/>
  <c r="X175" i="14"/>
  <c r="W175" i="14"/>
  <c r="V175" i="14"/>
  <c r="X174" i="14"/>
  <c r="W174" i="14"/>
  <c r="V174" i="14"/>
  <c r="X173" i="14"/>
  <c r="W173" i="14"/>
  <c r="V173" i="14"/>
  <c r="X172" i="14"/>
  <c r="W172" i="14"/>
  <c r="V172" i="14"/>
  <c r="X171" i="14"/>
  <c r="W171" i="14"/>
  <c r="V171" i="14"/>
  <c r="X170" i="14"/>
  <c r="W170" i="14"/>
  <c r="V170" i="14"/>
  <c r="X169" i="14"/>
  <c r="W169" i="14"/>
  <c r="V169" i="14"/>
  <c r="X168" i="14"/>
  <c r="W168" i="14"/>
  <c r="V168" i="14"/>
  <c r="X167" i="14"/>
  <c r="W167" i="14"/>
  <c r="V167" i="14"/>
  <c r="X166" i="14"/>
  <c r="W166" i="14"/>
  <c r="V166" i="14"/>
  <c r="X165" i="14"/>
  <c r="W165" i="14"/>
  <c r="V165" i="14"/>
  <c r="X164" i="14"/>
  <c r="W164" i="14"/>
  <c r="V164" i="14"/>
  <c r="X163" i="14"/>
  <c r="W163" i="14"/>
  <c r="V163" i="14"/>
  <c r="X162" i="14"/>
  <c r="W162" i="14"/>
  <c r="V162" i="14"/>
  <c r="X161" i="14"/>
  <c r="W161" i="14"/>
  <c r="V161" i="14"/>
  <c r="X160" i="14"/>
  <c r="W160" i="14"/>
  <c r="V160" i="14"/>
  <c r="X159" i="14"/>
  <c r="W159" i="14"/>
  <c r="V159" i="14"/>
  <c r="X158" i="14"/>
  <c r="W158" i="14"/>
  <c r="V158" i="14"/>
  <c r="X157" i="14"/>
  <c r="W157" i="14"/>
  <c r="V157" i="14"/>
  <c r="X156" i="14"/>
  <c r="W156" i="14"/>
  <c r="V156" i="14"/>
  <c r="X155" i="14"/>
  <c r="W155" i="14"/>
  <c r="V155" i="14"/>
  <c r="X154" i="14"/>
  <c r="W154" i="14"/>
  <c r="V154" i="14"/>
  <c r="X153" i="14"/>
  <c r="W153" i="14"/>
  <c r="V153" i="14"/>
  <c r="X152" i="14"/>
  <c r="W152" i="14"/>
  <c r="V152" i="14"/>
  <c r="X151" i="14"/>
  <c r="W151" i="14"/>
  <c r="V151" i="14"/>
  <c r="X150" i="14"/>
  <c r="W150" i="14"/>
  <c r="V150" i="14"/>
  <c r="X149" i="14"/>
  <c r="W149" i="14"/>
  <c r="V149" i="14"/>
  <c r="X148" i="14"/>
  <c r="W148" i="14"/>
  <c r="V148" i="14"/>
  <c r="X147" i="14"/>
  <c r="W147" i="14"/>
  <c r="V147" i="14"/>
  <c r="X146" i="14"/>
  <c r="W146" i="14"/>
  <c r="V146" i="14"/>
  <c r="X145" i="14"/>
  <c r="W145" i="14"/>
  <c r="V145" i="14"/>
  <c r="X144" i="14"/>
  <c r="W144" i="14"/>
  <c r="V144" i="14"/>
  <c r="X143" i="14"/>
  <c r="W143" i="14"/>
  <c r="V143" i="14"/>
  <c r="X142" i="14"/>
  <c r="W142" i="14"/>
  <c r="V142" i="14"/>
  <c r="X141" i="14"/>
  <c r="W141" i="14"/>
  <c r="V141" i="14"/>
  <c r="X140" i="14"/>
  <c r="W140" i="14"/>
  <c r="V140" i="14"/>
  <c r="X139" i="14"/>
  <c r="W139" i="14"/>
  <c r="V139" i="14"/>
  <c r="X138" i="14"/>
  <c r="W138" i="14"/>
  <c r="V138" i="14"/>
  <c r="X137" i="14"/>
  <c r="W137" i="14"/>
  <c r="V137" i="14"/>
  <c r="X136" i="14"/>
  <c r="W136" i="14"/>
  <c r="V136" i="14"/>
  <c r="X135" i="14"/>
  <c r="W135" i="14"/>
  <c r="V135" i="14"/>
  <c r="X134" i="14"/>
  <c r="W134" i="14"/>
  <c r="V134" i="14"/>
  <c r="X133" i="14"/>
  <c r="W133" i="14"/>
  <c r="V133" i="14"/>
  <c r="X132" i="14"/>
  <c r="W132" i="14"/>
  <c r="V132" i="14"/>
  <c r="X131" i="14"/>
  <c r="W131" i="14"/>
  <c r="V131" i="14"/>
  <c r="X130" i="14"/>
  <c r="W130" i="14"/>
  <c r="V130" i="14"/>
  <c r="X129" i="14"/>
  <c r="W129" i="14"/>
  <c r="V129" i="14"/>
  <c r="X128" i="14"/>
  <c r="W128" i="14"/>
  <c r="V128" i="14"/>
  <c r="X127" i="14"/>
  <c r="W127" i="14"/>
  <c r="V127" i="14"/>
  <c r="X126" i="14"/>
  <c r="W126" i="14"/>
  <c r="V126" i="14"/>
  <c r="X125" i="14"/>
  <c r="W125" i="14"/>
  <c r="V125" i="14"/>
  <c r="X124" i="14"/>
  <c r="W124" i="14"/>
  <c r="V124" i="14"/>
  <c r="X123" i="14"/>
  <c r="W123" i="14"/>
  <c r="V123" i="14"/>
  <c r="X122" i="14"/>
  <c r="W122" i="14"/>
  <c r="V122" i="14"/>
  <c r="X121" i="14"/>
  <c r="W121" i="14"/>
  <c r="V121" i="14"/>
  <c r="X120" i="14"/>
  <c r="W120" i="14"/>
  <c r="V120" i="14"/>
  <c r="X119" i="14"/>
  <c r="W119" i="14"/>
  <c r="V119" i="14"/>
  <c r="X118" i="14"/>
  <c r="W118" i="14"/>
  <c r="V118" i="14"/>
  <c r="X117" i="14"/>
  <c r="W117" i="14"/>
  <c r="V117" i="14"/>
  <c r="X116" i="14"/>
  <c r="W116" i="14"/>
  <c r="V116" i="14"/>
  <c r="X115" i="14"/>
  <c r="W115" i="14"/>
  <c r="V115" i="14"/>
  <c r="X114" i="14"/>
  <c r="W114" i="14"/>
  <c r="V114" i="14"/>
  <c r="X113" i="14"/>
  <c r="W113" i="14"/>
  <c r="V113" i="14"/>
  <c r="X112" i="14"/>
  <c r="W112" i="14"/>
  <c r="V112" i="14"/>
  <c r="X111" i="14"/>
  <c r="W111" i="14"/>
  <c r="V111" i="14"/>
  <c r="X110" i="14"/>
  <c r="W110" i="14"/>
  <c r="V110" i="14"/>
  <c r="X109" i="14"/>
  <c r="W109" i="14"/>
  <c r="V109" i="14"/>
  <c r="X108" i="14"/>
  <c r="W108" i="14"/>
  <c r="V108" i="14"/>
  <c r="X107" i="14"/>
  <c r="W107" i="14"/>
  <c r="V107" i="14"/>
  <c r="X106" i="14"/>
  <c r="W106" i="14"/>
  <c r="V106" i="14"/>
  <c r="X105" i="14"/>
  <c r="W105" i="14"/>
  <c r="V105" i="14"/>
  <c r="X104" i="14"/>
  <c r="W104" i="14"/>
  <c r="V104" i="14"/>
  <c r="X103" i="14"/>
  <c r="W103" i="14"/>
  <c r="V103" i="14"/>
  <c r="X102" i="14"/>
  <c r="W102" i="14"/>
  <c r="V102" i="14"/>
  <c r="X101" i="14"/>
  <c r="W101" i="14"/>
  <c r="V101" i="14"/>
  <c r="X100" i="14"/>
  <c r="W100" i="14"/>
  <c r="V100" i="14"/>
  <c r="X99" i="14"/>
  <c r="W99" i="14"/>
  <c r="V99" i="14"/>
  <c r="X98" i="14"/>
  <c r="W98" i="14"/>
  <c r="V98" i="14"/>
  <c r="X97" i="14"/>
  <c r="W97" i="14"/>
  <c r="V97" i="14"/>
  <c r="X96" i="14"/>
  <c r="W96" i="14"/>
  <c r="V96" i="14"/>
  <c r="X95" i="14"/>
  <c r="W95" i="14"/>
  <c r="V95" i="14"/>
  <c r="X94" i="14"/>
  <c r="W94" i="14"/>
  <c r="V94" i="14"/>
  <c r="X93" i="14"/>
  <c r="W93" i="14"/>
  <c r="V93" i="14"/>
  <c r="X92" i="14"/>
  <c r="W92" i="14"/>
  <c r="V92" i="14"/>
  <c r="X91" i="14"/>
  <c r="W91" i="14"/>
  <c r="V91" i="14"/>
  <c r="X90" i="14"/>
  <c r="W90" i="14"/>
  <c r="V90" i="14"/>
  <c r="X89" i="14"/>
  <c r="W89" i="14"/>
  <c r="V89" i="14"/>
  <c r="X88" i="14"/>
  <c r="W88" i="14"/>
  <c r="V88" i="14"/>
  <c r="X87" i="14"/>
  <c r="W87" i="14"/>
  <c r="V87" i="14"/>
  <c r="X86" i="14"/>
  <c r="W86" i="14"/>
  <c r="V86" i="14"/>
  <c r="X85" i="14"/>
  <c r="W85" i="14"/>
  <c r="V85" i="14"/>
  <c r="X84" i="14"/>
  <c r="W84" i="14"/>
  <c r="V84" i="14"/>
  <c r="X83" i="14"/>
  <c r="W83" i="14"/>
  <c r="V83" i="14"/>
  <c r="X82" i="14"/>
  <c r="W82" i="14"/>
  <c r="V82" i="14"/>
  <c r="X81" i="14"/>
  <c r="W81" i="14"/>
  <c r="V81" i="14"/>
  <c r="X80" i="14"/>
  <c r="W80" i="14"/>
  <c r="V80" i="14"/>
  <c r="X79" i="14"/>
  <c r="W79" i="14"/>
  <c r="V79" i="14"/>
  <c r="X78" i="14"/>
  <c r="W78" i="14"/>
  <c r="V78" i="14"/>
  <c r="X77" i="14"/>
  <c r="W77" i="14"/>
  <c r="V77" i="14"/>
  <c r="X76" i="14"/>
  <c r="W76" i="14"/>
  <c r="V76" i="14"/>
  <c r="X75" i="14"/>
  <c r="W75" i="14"/>
  <c r="V75" i="14"/>
  <c r="X74" i="14"/>
  <c r="W74" i="14"/>
  <c r="V74" i="14"/>
  <c r="X73" i="14"/>
  <c r="W73" i="14"/>
  <c r="V73" i="14"/>
  <c r="X72" i="14"/>
  <c r="W72" i="14"/>
  <c r="V72" i="14"/>
  <c r="X71" i="14"/>
  <c r="W71" i="14"/>
  <c r="V71" i="14"/>
  <c r="X70" i="14"/>
  <c r="W70" i="14"/>
  <c r="V70" i="14"/>
  <c r="X69" i="14"/>
  <c r="W69" i="14"/>
  <c r="V69" i="14"/>
  <c r="X68" i="14"/>
  <c r="W68" i="14"/>
  <c r="V68" i="14"/>
  <c r="X67" i="14"/>
  <c r="W67" i="14"/>
  <c r="V67" i="14"/>
  <c r="X66" i="14"/>
  <c r="W66" i="14"/>
  <c r="V66" i="14"/>
  <c r="X65" i="14"/>
  <c r="W65" i="14"/>
  <c r="V65" i="14"/>
  <c r="X64" i="14"/>
  <c r="W64" i="14"/>
  <c r="V64" i="14"/>
  <c r="X63" i="14"/>
  <c r="W63" i="14"/>
  <c r="V63" i="14"/>
  <c r="X62" i="14"/>
  <c r="W62" i="14"/>
  <c r="V62" i="14"/>
  <c r="X61" i="14"/>
  <c r="W61" i="14"/>
  <c r="V61" i="14"/>
  <c r="X60" i="14"/>
  <c r="W60" i="14"/>
  <c r="V60" i="14"/>
  <c r="X59" i="14"/>
  <c r="W59" i="14"/>
  <c r="V59" i="14"/>
  <c r="X58" i="14"/>
  <c r="W58" i="14"/>
  <c r="V58" i="14"/>
  <c r="X57" i="14"/>
  <c r="W57" i="14"/>
  <c r="V57" i="14"/>
  <c r="X56" i="14"/>
  <c r="W56" i="14"/>
  <c r="V56" i="14"/>
  <c r="X55" i="14"/>
  <c r="W55" i="14"/>
  <c r="V55" i="14"/>
  <c r="X54" i="14"/>
  <c r="W54" i="14"/>
  <c r="V54" i="14"/>
  <c r="X53" i="14"/>
  <c r="W53" i="14"/>
  <c r="V53" i="14"/>
  <c r="X52" i="14"/>
  <c r="W52" i="14"/>
  <c r="V52" i="14"/>
  <c r="X51" i="14"/>
  <c r="W51" i="14"/>
  <c r="V51" i="14"/>
  <c r="X50" i="14"/>
  <c r="W50" i="14"/>
  <c r="V50" i="14"/>
  <c r="X49" i="14"/>
  <c r="W49" i="14"/>
  <c r="V49" i="14"/>
  <c r="X48" i="14"/>
  <c r="W48" i="14"/>
  <c r="V48" i="14"/>
  <c r="X47" i="14"/>
  <c r="W47" i="14"/>
  <c r="V47" i="14"/>
  <c r="X46" i="14"/>
  <c r="W46" i="14"/>
  <c r="V46" i="14"/>
  <c r="X45" i="14"/>
  <c r="W45" i="14"/>
  <c r="V45" i="14"/>
  <c r="X44" i="14"/>
  <c r="W44" i="14"/>
  <c r="V44" i="14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C2" i="5"/>
  <c r="O2" i="3" l="1"/>
  <c r="U12" i="3"/>
  <c r="T12" i="3"/>
  <c r="P13" i="3"/>
  <c r="Q13" i="3"/>
  <c r="R13" i="3"/>
  <c r="S13" i="3"/>
  <c r="T13" i="3"/>
  <c r="U13" i="3"/>
  <c r="R14" i="3"/>
  <c r="S14" i="3"/>
  <c r="P14" i="3"/>
  <c r="Q14" i="3"/>
  <c r="U14" i="3"/>
  <c r="T14" i="3"/>
  <c r="P15" i="3"/>
  <c r="Q15" i="3"/>
  <c r="R15" i="3"/>
  <c r="S15" i="3"/>
  <c r="T15" i="3"/>
  <c r="U15" i="3"/>
  <c r="U16" i="3"/>
  <c r="P16" i="3"/>
  <c r="Q16" i="3"/>
  <c r="R16" i="3"/>
  <c r="T16" i="3"/>
  <c r="S16" i="3"/>
  <c r="P17" i="3"/>
  <c r="Q17" i="3"/>
  <c r="R17" i="3"/>
  <c r="S17" i="3"/>
  <c r="T17" i="3"/>
  <c r="U17" i="3"/>
  <c r="P18" i="3"/>
  <c r="Q18" i="3"/>
  <c r="R18" i="3"/>
  <c r="S18" i="3"/>
  <c r="T18" i="3"/>
  <c r="U18" i="3"/>
  <c r="U19" i="3"/>
  <c r="P19" i="3"/>
  <c r="Q19" i="3"/>
  <c r="R19" i="3"/>
  <c r="S19" i="3"/>
  <c r="T19" i="3"/>
  <c r="P20" i="3"/>
  <c r="R20" i="3"/>
  <c r="T20" i="3"/>
  <c r="S20" i="3"/>
  <c r="Q20" i="3"/>
  <c r="U20" i="3"/>
  <c r="U21" i="3"/>
  <c r="T21" i="3"/>
  <c r="P21" i="3"/>
  <c r="R21" i="3"/>
  <c r="Q21" i="3"/>
  <c r="S21" i="3"/>
  <c r="Q22" i="3"/>
  <c r="R22" i="3"/>
  <c r="S22" i="3"/>
  <c r="U22" i="3"/>
  <c r="P22" i="3"/>
  <c r="T22" i="3"/>
  <c r="R23" i="3"/>
  <c r="U23" i="3"/>
  <c r="S23" i="3"/>
  <c r="T23" i="3"/>
  <c r="P23" i="3"/>
  <c r="Q23" i="3"/>
  <c r="Q24" i="3"/>
  <c r="S24" i="3"/>
  <c r="U24" i="3"/>
  <c r="R24" i="3"/>
  <c r="T24" i="3"/>
  <c r="P24" i="3"/>
  <c r="R25" i="3"/>
  <c r="T25" i="3"/>
  <c r="S25" i="3"/>
  <c r="Q25" i="3"/>
  <c r="P25" i="3"/>
  <c r="U25" i="3"/>
  <c r="S26" i="3"/>
  <c r="T26" i="3"/>
  <c r="R26" i="3"/>
  <c r="P26" i="3"/>
  <c r="Q26" i="3"/>
  <c r="U26" i="3"/>
  <c r="P27" i="3"/>
  <c r="R27" i="3"/>
  <c r="T27" i="3"/>
  <c r="U27" i="3"/>
  <c r="S27" i="3"/>
  <c r="Q27" i="3"/>
  <c r="U28" i="3"/>
  <c r="P28" i="3"/>
  <c r="R28" i="3"/>
  <c r="T28" i="3"/>
  <c r="S28" i="3"/>
  <c r="Q28" i="3"/>
  <c r="R29" i="3"/>
  <c r="T29" i="3"/>
  <c r="P29" i="3"/>
  <c r="Q29" i="3"/>
  <c r="S29" i="3"/>
  <c r="U29" i="3"/>
  <c r="R30" i="3"/>
  <c r="U30" i="3"/>
  <c r="T30" i="3"/>
  <c r="S30" i="3"/>
  <c r="P30" i="3"/>
  <c r="Q30" i="3"/>
  <c r="P31" i="3"/>
  <c r="T31" i="3"/>
  <c r="U31" i="3"/>
  <c r="Q31" i="3"/>
  <c r="S31" i="3"/>
  <c r="R31" i="3"/>
  <c r="P32" i="3"/>
  <c r="R32" i="3"/>
  <c r="T32" i="3"/>
  <c r="U32" i="3"/>
  <c r="S32" i="3"/>
  <c r="Q32" i="3"/>
  <c r="P33" i="3"/>
  <c r="R33" i="3"/>
  <c r="T33" i="3"/>
  <c r="U33" i="3"/>
  <c r="S33" i="3"/>
  <c r="Q33" i="3"/>
  <c r="R34" i="3"/>
  <c r="T34" i="3"/>
  <c r="S34" i="3"/>
  <c r="U34" i="3"/>
  <c r="P34" i="3"/>
  <c r="Q34" i="3"/>
  <c r="P35" i="3"/>
  <c r="R35" i="3"/>
  <c r="T35" i="3"/>
  <c r="Q35" i="3"/>
  <c r="S35" i="3"/>
  <c r="U35" i="3"/>
  <c r="T36" i="3"/>
  <c r="P36" i="3"/>
  <c r="R36" i="3"/>
  <c r="Q36" i="3"/>
  <c r="S36" i="3"/>
  <c r="U36" i="3"/>
  <c r="P37" i="3"/>
  <c r="R37" i="3"/>
  <c r="Q37" i="3"/>
  <c r="P298" i="3"/>
  <c r="Q298" i="3"/>
  <c r="R298" i="3"/>
  <c r="S298" i="3"/>
  <c r="T298" i="3"/>
  <c r="U298" i="3"/>
  <c r="P299" i="3"/>
  <c r="Q299" i="3"/>
  <c r="R299" i="3"/>
  <c r="S299" i="3"/>
  <c r="T299" i="3"/>
  <c r="U299" i="3"/>
  <c r="P300" i="3"/>
  <c r="Q300" i="3"/>
  <c r="R300" i="3"/>
  <c r="S300" i="3"/>
  <c r="T300" i="3"/>
  <c r="U300" i="3"/>
  <c r="U301" i="3"/>
  <c r="T301" i="3"/>
  <c r="S301" i="3"/>
  <c r="R301" i="3"/>
  <c r="Q301" i="3"/>
  <c r="P301" i="3"/>
  <c r="P302" i="3"/>
  <c r="Q302" i="3"/>
  <c r="R302" i="3"/>
  <c r="S302" i="3"/>
  <c r="T302" i="3"/>
  <c r="U302" i="3"/>
  <c r="P303" i="3"/>
  <c r="Q303" i="3"/>
  <c r="R303" i="3"/>
  <c r="S303" i="3"/>
  <c r="T303" i="3"/>
  <c r="U303" i="3"/>
  <c r="P304" i="3"/>
  <c r="Q304" i="3"/>
  <c r="R304" i="3"/>
  <c r="S304" i="3"/>
  <c r="T304" i="3"/>
  <c r="U304" i="3"/>
  <c r="P305" i="3"/>
  <c r="Q305" i="3"/>
  <c r="R305" i="3"/>
  <c r="S305" i="3"/>
  <c r="T305" i="3"/>
  <c r="U305" i="3"/>
  <c r="P306" i="3"/>
  <c r="Q306" i="3"/>
  <c r="R306" i="3"/>
  <c r="S306" i="3"/>
  <c r="T306" i="3"/>
  <c r="U306" i="3"/>
  <c r="P307" i="3"/>
  <c r="Q307" i="3"/>
  <c r="R307" i="3"/>
  <c r="S307" i="3"/>
  <c r="T307" i="3"/>
  <c r="U307" i="3"/>
  <c r="P308" i="3"/>
  <c r="Q308" i="3"/>
  <c r="R308" i="3"/>
  <c r="S308" i="3"/>
  <c r="T308" i="3"/>
  <c r="U308" i="3"/>
  <c r="P309" i="3"/>
  <c r="Q309" i="3"/>
  <c r="S309" i="3"/>
  <c r="R309" i="3"/>
  <c r="T309" i="3"/>
  <c r="U309" i="3"/>
  <c r="P310" i="3"/>
  <c r="Q310" i="3"/>
  <c r="R310" i="3"/>
  <c r="S310" i="3"/>
  <c r="T310" i="3"/>
  <c r="U310" i="3"/>
  <c r="P311" i="3"/>
  <c r="Q311" i="3"/>
  <c r="R311" i="3"/>
  <c r="S311" i="3"/>
  <c r="T311" i="3"/>
  <c r="U311" i="3"/>
  <c r="P312" i="3"/>
  <c r="Q312" i="3"/>
  <c r="R312" i="3"/>
  <c r="S312" i="3"/>
  <c r="T312" i="3"/>
  <c r="U312" i="3"/>
  <c r="P313" i="3"/>
  <c r="Q313" i="3"/>
  <c r="R313" i="3"/>
  <c r="S313" i="3"/>
  <c r="T313" i="3"/>
  <c r="U313" i="3"/>
  <c r="P314" i="3"/>
  <c r="Q314" i="3"/>
  <c r="R314" i="3"/>
  <c r="S314" i="3"/>
  <c r="T314" i="3"/>
  <c r="U314" i="3"/>
  <c r="P315" i="3"/>
  <c r="Q315" i="3"/>
  <c r="R315" i="3"/>
  <c r="S315" i="3"/>
  <c r="T315" i="3"/>
  <c r="U315" i="3"/>
  <c r="P316" i="3"/>
  <c r="Q316" i="3"/>
  <c r="R316" i="3"/>
  <c r="S316" i="3"/>
  <c r="T316" i="3"/>
  <c r="U316" i="3"/>
  <c r="P317" i="3"/>
  <c r="Q317" i="3"/>
  <c r="R317" i="3"/>
  <c r="S317" i="3"/>
  <c r="T317" i="3"/>
  <c r="U317" i="3"/>
  <c r="Q318" i="3"/>
  <c r="R318" i="3"/>
  <c r="S318" i="3"/>
  <c r="T318" i="3"/>
  <c r="U318" i="3"/>
  <c r="P318" i="3"/>
  <c r="U319" i="3"/>
  <c r="P319" i="3"/>
  <c r="Q319" i="3"/>
  <c r="R319" i="3"/>
  <c r="S319" i="3"/>
  <c r="T319" i="3"/>
  <c r="P320" i="3"/>
  <c r="Q320" i="3"/>
  <c r="R320" i="3"/>
  <c r="S320" i="3"/>
  <c r="T320" i="3"/>
  <c r="U320" i="3"/>
  <c r="T321" i="3"/>
  <c r="P321" i="3"/>
  <c r="Q321" i="3"/>
  <c r="R321" i="3"/>
  <c r="S321" i="3"/>
  <c r="U321" i="3"/>
  <c r="Q322" i="3"/>
  <c r="R322" i="3"/>
  <c r="S322" i="3"/>
  <c r="T322" i="3"/>
  <c r="U322" i="3"/>
  <c r="U323" i="3"/>
  <c r="P323" i="3"/>
  <c r="Q323" i="3"/>
  <c r="R323" i="3"/>
  <c r="S323" i="3"/>
  <c r="T323" i="3"/>
  <c r="P324" i="3"/>
  <c r="Q324" i="3"/>
  <c r="R324" i="3"/>
  <c r="S324" i="3"/>
  <c r="T324" i="3"/>
  <c r="U324" i="3"/>
  <c r="P325" i="3"/>
  <c r="Q325" i="3"/>
  <c r="R325" i="3"/>
  <c r="S325" i="3"/>
  <c r="U325" i="3"/>
  <c r="T325" i="3"/>
  <c r="R326" i="3"/>
  <c r="P326" i="3"/>
  <c r="Q326" i="3"/>
  <c r="S326" i="3"/>
  <c r="T326" i="3"/>
  <c r="U326" i="3"/>
  <c r="P327" i="3"/>
  <c r="Q327" i="3"/>
  <c r="R327" i="3"/>
  <c r="S327" i="3"/>
  <c r="T327" i="3"/>
  <c r="U327" i="3"/>
  <c r="P328" i="3"/>
  <c r="Q328" i="3"/>
  <c r="R328" i="3"/>
  <c r="S328" i="3"/>
  <c r="T328" i="3"/>
  <c r="U328" i="3"/>
  <c r="P329" i="3"/>
  <c r="Q329" i="3"/>
  <c r="R329" i="3"/>
  <c r="T329" i="3"/>
  <c r="U329" i="3"/>
  <c r="S329" i="3"/>
  <c r="P330" i="3"/>
  <c r="Q330" i="3"/>
  <c r="R330" i="3"/>
  <c r="S330" i="3"/>
  <c r="T330" i="3"/>
  <c r="U330" i="3"/>
  <c r="P331" i="3"/>
  <c r="Q331" i="3"/>
  <c r="R331" i="3"/>
  <c r="T331" i="3"/>
  <c r="U331" i="3"/>
  <c r="S331" i="3"/>
  <c r="P332" i="3"/>
  <c r="R332" i="3"/>
  <c r="S332" i="3"/>
  <c r="T332" i="3"/>
  <c r="U332" i="3"/>
  <c r="Q332" i="3"/>
  <c r="R333" i="3"/>
  <c r="P333" i="3"/>
  <c r="Q333" i="3"/>
  <c r="U51" i="3"/>
  <c r="S51" i="3"/>
  <c r="P51" i="3"/>
  <c r="Q51" i="3"/>
  <c r="R51" i="3"/>
  <c r="T51" i="3"/>
  <c r="P52" i="3"/>
  <c r="Q52" i="3"/>
  <c r="U52" i="3"/>
  <c r="T52" i="3"/>
  <c r="S52" i="3"/>
  <c r="R52" i="3"/>
  <c r="S53" i="3"/>
  <c r="P53" i="3"/>
  <c r="Q53" i="3"/>
  <c r="R53" i="3"/>
  <c r="U53" i="3"/>
  <c r="T53" i="3"/>
  <c r="P54" i="3"/>
  <c r="U54" i="3"/>
  <c r="S54" i="3"/>
  <c r="R54" i="3"/>
  <c r="T54" i="3"/>
  <c r="Q54" i="3"/>
  <c r="T55" i="3"/>
  <c r="U55" i="3"/>
  <c r="R55" i="3"/>
  <c r="Q55" i="3"/>
  <c r="P55" i="3"/>
  <c r="S55" i="3"/>
  <c r="S56" i="3"/>
  <c r="U56" i="3"/>
  <c r="T56" i="3"/>
  <c r="P56" i="3"/>
  <c r="Q56" i="3"/>
  <c r="R56" i="3"/>
  <c r="Q57" i="3"/>
  <c r="R57" i="3"/>
  <c r="S57" i="3"/>
  <c r="U57" i="3"/>
  <c r="P57" i="3"/>
  <c r="T57" i="3"/>
  <c r="Q58" i="3"/>
  <c r="S58" i="3"/>
  <c r="U58" i="3"/>
  <c r="R58" i="3"/>
  <c r="P58" i="3"/>
  <c r="T58" i="3"/>
  <c r="S59" i="3"/>
  <c r="R59" i="3"/>
  <c r="T59" i="3"/>
  <c r="P59" i="3"/>
  <c r="U59" i="3"/>
  <c r="Q59" i="3"/>
  <c r="Q60" i="3"/>
  <c r="S60" i="3"/>
  <c r="U60" i="3"/>
  <c r="T60" i="3"/>
  <c r="P60" i="3"/>
  <c r="R60" i="3"/>
  <c r="R61" i="3"/>
  <c r="S61" i="3"/>
  <c r="T61" i="3"/>
  <c r="Q61" i="3"/>
  <c r="P61" i="3"/>
  <c r="U61" i="3"/>
  <c r="T62" i="3"/>
  <c r="S62" i="3"/>
  <c r="R62" i="3"/>
  <c r="Q62" i="3"/>
  <c r="P62" i="3"/>
  <c r="U62" i="3"/>
  <c r="R63" i="3"/>
  <c r="P63" i="3"/>
  <c r="Q63" i="3"/>
  <c r="U63" i="3"/>
  <c r="T63" i="3"/>
  <c r="S63" i="3"/>
  <c r="U64" i="3"/>
  <c r="T64" i="3"/>
  <c r="R64" i="3"/>
  <c r="S64" i="3"/>
  <c r="P64" i="3"/>
  <c r="Q64" i="3"/>
  <c r="S65" i="3"/>
  <c r="R65" i="3"/>
  <c r="Q65" i="3"/>
  <c r="P65" i="3"/>
  <c r="T65" i="3"/>
  <c r="U65" i="3"/>
  <c r="P66" i="3"/>
  <c r="R66" i="3"/>
  <c r="U66" i="3"/>
  <c r="T66" i="3"/>
  <c r="S66" i="3"/>
  <c r="Q66" i="3"/>
  <c r="U67" i="3"/>
  <c r="T67" i="3"/>
  <c r="P67" i="3"/>
  <c r="S67" i="3"/>
  <c r="R67" i="3"/>
  <c r="Q67" i="3"/>
  <c r="U68" i="3"/>
  <c r="P68" i="3"/>
  <c r="Q68" i="3"/>
  <c r="R68" i="3"/>
  <c r="S68" i="3"/>
  <c r="T68" i="3"/>
  <c r="S69" i="3"/>
  <c r="P69" i="3"/>
  <c r="Q69" i="3"/>
  <c r="R69" i="3"/>
  <c r="T69" i="3"/>
  <c r="U69" i="3"/>
  <c r="Q70" i="3"/>
  <c r="R70" i="3"/>
  <c r="S70" i="3"/>
  <c r="T70" i="3"/>
  <c r="U70" i="3"/>
  <c r="P70" i="3"/>
  <c r="T71" i="3"/>
  <c r="S71" i="3"/>
  <c r="Q71" i="3"/>
  <c r="R71" i="3"/>
  <c r="U71" i="3"/>
  <c r="R72" i="3"/>
  <c r="S72" i="3"/>
  <c r="T72" i="3"/>
  <c r="U72" i="3"/>
  <c r="P72" i="3"/>
  <c r="Q72" i="3"/>
  <c r="R73" i="3"/>
  <c r="Q73" i="3"/>
  <c r="T73" i="3"/>
  <c r="U73" i="3"/>
  <c r="S73" i="3"/>
  <c r="P73" i="3"/>
  <c r="S74" i="3"/>
  <c r="R74" i="3"/>
  <c r="Q74" i="3"/>
  <c r="P74" i="3"/>
  <c r="U74" i="3"/>
  <c r="T74" i="3"/>
  <c r="Q75" i="3"/>
  <c r="P75" i="3"/>
  <c r="R75" i="3"/>
  <c r="S75" i="3"/>
  <c r="T75" i="3"/>
  <c r="U75" i="3"/>
  <c r="U76" i="3"/>
  <c r="P76" i="3"/>
  <c r="Q76" i="3"/>
  <c r="R76" i="3"/>
  <c r="S76" i="3"/>
  <c r="T76" i="3"/>
  <c r="P77" i="3"/>
  <c r="Q77" i="3"/>
  <c r="R77" i="3"/>
  <c r="S77" i="3"/>
  <c r="T77" i="3"/>
  <c r="U77" i="3"/>
  <c r="P78" i="3"/>
  <c r="U78" i="3"/>
  <c r="T78" i="3"/>
  <c r="S78" i="3"/>
  <c r="R78" i="3"/>
  <c r="Q78" i="3"/>
  <c r="P79" i="3"/>
  <c r="U79" i="3"/>
  <c r="Q79" i="3"/>
  <c r="T79" i="3"/>
  <c r="S79" i="3"/>
  <c r="R79" i="3"/>
  <c r="P80" i="3"/>
  <c r="Q80" i="3"/>
  <c r="R80" i="3"/>
  <c r="S80" i="3"/>
  <c r="T80" i="3"/>
  <c r="U80" i="3"/>
  <c r="P81" i="3"/>
  <c r="U81" i="3"/>
  <c r="Q81" i="3"/>
  <c r="S81" i="3"/>
  <c r="T81" i="3"/>
  <c r="R81" i="3"/>
  <c r="Q82" i="3"/>
  <c r="P82" i="3"/>
  <c r="S82" i="3"/>
  <c r="U82" i="3"/>
  <c r="T82" i="3"/>
  <c r="R82" i="3"/>
  <c r="Q83" i="3"/>
  <c r="S83" i="3"/>
  <c r="T83" i="3"/>
  <c r="U83" i="3"/>
  <c r="R83" i="3"/>
  <c r="P83" i="3"/>
  <c r="P84" i="3"/>
  <c r="U84" i="3"/>
  <c r="T84" i="3"/>
  <c r="S84" i="3"/>
  <c r="R84" i="3"/>
  <c r="Q84" i="3"/>
  <c r="S85" i="3"/>
  <c r="T85" i="3"/>
  <c r="U85" i="3"/>
  <c r="P85" i="3"/>
  <c r="Q85" i="3"/>
  <c r="R85" i="3"/>
  <c r="Q86" i="3"/>
  <c r="T86" i="3"/>
  <c r="R86" i="3"/>
  <c r="S86" i="3"/>
  <c r="U86" i="3"/>
  <c r="P86" i="3"/>
  <c r="Q87" i="3"/>
  <c r="P87" i="3"/>
  <c r="U87" i="3"/>
  <c r="T87" i="3"/>
  <c r="R87" i="3"/>
  <c r="S87" i="3"/>
  <c r="T88" i="3"/>
  <c r="R88" i="3"/>
  <c r="U88" i="3"/>
  <c r="S88" i="3"/>
  <c r="Q88" i="3"/>
  <c r="P88" i="3"/>
  <c r="U89" i="3"/>
  <c r="T89" i="3"/>
  <c r="S89" i="3"/>
  <c r="Q89" i="3"/>
  <c r="P89" i="3"/>
  <c r="R89" i="3"/>
  <c r="P90" i="3"/>
  <c r="U90" i="3"/>
  <c r="Q90" i="3"/>
  <c r="T90" i="3"/>
  <c r="S90" i="3"/>
  <c r="R90" i="3"/>
  <c r="U91" i="3"/>
  <c r="T91" i="3"/>
  <c r="S91" i="3"/>
  <c r="R91" i="3"/>
  <c r="Q91" i="3"/>
  <c r="P91" i="3"/>
  <c r="Q92" i="3"/>
  <c r="P92" i="3"/>
  <c r="R92" i="3"/>
  <c r="S92" i="3"/>
  <c r="T92" i="3"/>
  <c r="U92" i="3"/>
  <c r="R93" i="3"/>
  <c r="S93" i="3"/>
  <c r="T93" i="3"/>
  <c r="Q93" i="3"/>
  <c r="P93" i="3"/>
  <c r="U93" i="3"/>
  <c r="R94" i="3"/>
  <c r="P94" i="3"/>
  <c r="Q94" i="3"/>
  <c r="U94" i="3"/>
  <c r="T94" i="3"/>
  <c r="S94" i="3"/>
  <c r="R95" i="3"/>
  <c r="P95" i="3"/>
  <c r="Q95" i="3"/>
  <c r="S95" i="3"/>
  <c r="T95" i="3"/>
  <c r="U95" i="3"/>
  <c r="Q96" i="3"/>
  <c r="P96" i="3"/>
  <c r="R96" i="3"/>
  <c r="S96" i="3"/>
  <c r="U98" i="3"/>
  <c r="S98" i="3"/>
  <c r="P98" i="3"/>
  <c r="Q98" i="3"/>
  <c r="T98" i="3"/>
  <c r="R98" i="3"/>
  <c r="U99" i="3"/>
  <c r="R99" i="3"/>
  <c r="Q99" i="3"/>
  <c r="S99" i="3"/>
  <c r="T99" i="3"/>
  <c r="P99" i="3"/>
  <c r="T100" i="3"/>
  <c r="U100" i="3"/>
  <c r="S100" i="3"/>
  <c r="Q100" i="3"/>
  <c r="P100" i="3"/>
  <c r="R100" i="3"/>
  <c r="R101" i="3"/>
  <c r="P101" i="3"/>
  <c r="U101" i="3"/>
  <c r="Q101" i="3"/>
  <c r="S101" i="3"/>
  <c r="T101" i="3"/>
  <c r="S102" i="3"/>
  <c r="Q102" i="3"/>
  <c r="P102" i="3"/>
  <c r="R102" i="3"/>
  <c r="U131" i="3"/>
  <c r="T131" i="3"/>
  <c r="P131" i="3"/>
  <c r="Q131" i="3"/>
  <c r="R131" i="3"/>
  <c r="S131" i="3"/>
  <c r="S132" i="3"/>
  <c r="T132" i="3"/>
  <c r="P132" i="3"/>
  <c r="R132" i="3"/>
  <c r="U132" i="3"/>
  <c r="Q132" i="3"/>
  <c r="P133" i="3"/>
  <c r="R133" i="3"/>
  <c r="T133" i="3"/>
  <c r="Q133" i="3"/>
  <c r="U133" i="3"/>
  <c r="S133" i="3"/>
  <c r="P134" i="3"/>
  <c r="R134" i="3"/>
  <c r="T134" i="3"/>
  <c r="U134" i="3"/>
  <c r="S134" i="3"/>
  <c r="Q134" i="3"/>
  <c r="T135" i="3"/>
  <c r="P135" i="3"/>
  <c r="S135" i="3"/>
  <c r="U135" i="3"/>
  <c r="R135" i="3"/>
  <c r="Q135" i="3"/>
  <c r="Q136" i="3"/>
  <c r="U136" i="3"/>
  <c r="T136" i="3"/>
  <c r="R136" i="3"/>
  <c r="P136" i="3"/>
  <c r="S136" i="3"/>
  <c r="U137" i="3"/>
  <c r="S137" i="3"/>
  <c r="P137" i="3"/>
  <c r="T137" i="3"/>
  <c r="R137" i="3"/>
  <c r="Q137" i="3"/>
  <c r="Q138" i="3"/>
  <c r="U138" i="3"/>
  <c r="T138" i="3"/>
  <c r="S138" i="3"/>
  <c r="R138" i="3"/>
  <c r="P138" i="3"/>
  <c r="U139" i="3"/>
  <c r="R139" i="3"/>
  <c r="P139" i="3"/>
  <c r="Q139" i="3"/>
  <c r="S139" i="3"/>
  <c r="T139" i="3"/>
  <c r="T140" i="3"/>
  <c r="U140" i="3"/>
  <c r="S140" i="3"/>
  <c r="Q140" i="3"/>
  <c r="P140" i="3"/>
  <c r="R140" i="3"/>
  <c r="Q141" i="3"/>
  <c r="S141" i="3"/>
  <c r="T141" i="3"/>
  <c r="P141" i="3"/>
  <c r="U141" i="3"/>
  <c r="R141" i="3"/>
  <c r="S142" i="3"/>
  <c r="Q142" i="3"/>
  <c r="R142" i="3"/>
  <c r="T142" i="3"/>
  <c r="P142" i="3"/>
  <c r="U142" i="3"/>
  <c r="U143" i="3"/>
  <c r="R143" i="3"/>
  <c r="P143" i="3"/>
  <c r="Q143" i="3"/>
  <c r="S143" i="3"/>
  <c r="T143" i="3"/>
  <c r="R144" i="3"/>
  <c r="P144" i="3"/>
  <c r="Q144" i="3"/>
  <c r="S144" i="3"/>
  <c r="T144" i="3"/>
  <c r="U144" i="3"/>
  <c r="U145" i="3"/>
  <c r="Q145" i="3"/>
  <c r="R145" i="3"/>
  <c r="P145" i="3"/>
  <c r="S145" i="3"/>
  <c r="T145" i="3"/>
  <c r="U146" i="3"/>
  <c r="Q146" i="3"/>
  <c r="R146" i="3"/>
  <c r="P146" i="3"/>
  <c r="S146" i="3"/>
  <c r="T146" i="3"/>
  <c r="R147" i="3"/>
  <c r="U147" i="3"/>
  <c r="P147" i="3"/>
  <c r="S147" i="3"/>
  <c r="Q147" i="3"/>
  <c r="T147" i="3"/>
  <c r="T148" i="3"/>
  <c r="S148" i="3"/>
  <c r="P148" i="3"/>
  <c r="R148" i="3"/>
  <c r="Q148" i="3"/>
  <c r="U148" i="3"/>
  <c r="P149" i="3"/>
  <c r="R149" i="3"/>
  <c r="Q149" i="3"/>
  <c r="S149" i="3"/>
  <c r="T149" i="3"/>
  <c r="U149" i="3"/>
  <c r="U150" i="3"/>
  <c r="T150" i="3"/>
  <c r="Q150" i="3"/>
  <c r="P150" i="3"/>
  <c r="R150" i="3"/>
  <c r="S150" i="3"/>
  <c r="R151" i="3"/>
  <c r="Q151" i="3"/>
  <c r="P151" i="3"/>
  <c r="U151" i="3"/>
  <c r="T151" i="3"/>
  <c r="S151" i="3"/>
  <c r="Q152" i="3"/>
  <c r="P152" i="3"/>
  <c r="S152" i="3"/>
  <c r="U152" i="3"/>
  <c r="T152" i="3"/>
  <c r="R152" i="3"/>
  <c r="P153" i="3"/>
  <c r="Q153" i="3"/>
  <c r="R153" i="3"/>
  <c r="S153" i="3"/>
  <c r="T153" i="3"/>
  <c r="U153" i="3"/>
  <c r="P154" i="3"/>
  <c r="Q154" i="3"/>
  <c r="R154" i="3"/>
  <c r="S154" i="3"/>
  <c r="T154" i="3"/>
  <c r="U154" i="3"/>
  <c r="P155" i="3"/>
  <c r="U155" i="3"/>
  <c r="Q155" i="3"/>
  <c r="R155" i="3"/>
  <c r="S155" i="3"/>
  <c r="T155" i="3"/>
  <c r="P156" i="3"/>
  <c r="R156" i="3"/>
  <c r="S156" i="3"/>
  <c r="T156" i="3"/>
  <c r="U156" i="3"/>
  <c r="Q156" i="3"/>
  <c r="P157" i="3"/>
  <c r="Q157" i="3"/>
  <c r="S157" i="3"/>
  <c r="T157" i="3"/>
  <c r="U157" i="3"/>
  <c r="R157" i="3"/>
  <c r="T158" i="3"/>
  <c r="S158" i="3"/>
  <c r="R158" i="3"/>
  <c r="Q158" i="3"/>
  <c r="P158" i="3"/>
  <c r="U158" i="3"/>
  <c r="P159" i="3"/>
  <c r="Q159" i="3"/>
  <c r="R159" i="3"/>
  <c r="S159" i="3"/>
  <c r="T159" i="3"/>
  <c r="U159" i="3"/>
  <c r="P160" i="3"/>
  <c r="Q160" i="3"/>
  <c r="R160" i="3"/>
  <c r="S160" i="3"/>
  <c r="T160" i="3"/>
  <c r="U160" i="3"/>
  <c r="S161" i="3"/>
  <c r="R161" i="3"/>
  <c r="P161" i="3"/>
  <c r="Q161" i="3"/>
  <c r="U161" i="3"/>
  <c r="T161" i="3"/>
  <c r="U162" i="3"/>
  <c r="S162" i="3"/>
  <c r="R162" i="3"/>
  <c r="Q162" i="3"/>
  <c r="P162" i="3"/>
  <c r="T162" i="3"/>
  <c r="U163" i="3"/>
  <c r="T163" i="3"/>
  <c r="S163" i="3"/>
  <c r="R163" i="3"/>
  <c r="Q163" i="3"/>
  <c r="P163" i="3"/>
  <c r="S164" i="3"/>
  <c r="R164" i="3"/>
  <c r="P164" i="3"/>
  <c r="Q164" i="3"/>
  <c r="U164" i="3"/>
  <c r="T164" i="3"/>
  <c r="P165" i="3"/>
  <c r="Q165" i="3"/>
  <c r="R165" i="3"/>
  <c r="S165" i="3"/>
  <c r="T165" i="3"/>
  <c r="U165" i="3"/>
  <c r="Q166" i="3"/>
  <c r="S166" i="3"/>
  <c r="U166" i="3"/>
  <c r="T166" i="3"/>
  <c r="R166" i="3"/>
  <c r="P166" i="3"/>
  <c r="T167" i="3"/>
  <c r="S167" i="3"/>
  <c r="R167" i="3"/>
  <c r="P167" i="3"/>
  <c r="Q167" i="3"/>
  <c r="U167" i="3"/>
  <c r="T168" i="3"/>
  <c r="U168" i="3"/>
  <c r="S168" i="3"/>
  <c r="R168" i="3"/>
  <c r="Q168" i="3"/>
  <c r="P168" i="3"/>
  <c r="P169" i="3"/>
  <c r="T169" i="3"/>
  <c r="S169" i="3"/>
  <c r="U169" i="3"/>
  <c r="R169" i="3"/>
  <c r="Q169" i="3"/>
  <c r="R170" i="3"/>
  <c r="U170" i="3"/>
  <c r="T170" i="3"/>
  <c r="S170" i="3"/>
  <c r="Q170" i="3"/>
  <c r="P170" i="3"/>
  <c r="S171" i="3"/>
  <c r="Q171" i="3"/>
  <c r="P171" i="3"/>
  <c r="T171" i="3"/>
  <c r="U171" i="3"/>
  <c r="R171" i="3"/>
  <c r="T172" i="3"/>
  <c r="U172" i="3"/>
  <c r="S172" i="3"/>
  <c r="R172" i="3"/>
  <c r="Q172" i="3"/>
  <c r="P173" i="3"/>
  <c r="Q173" i="3"/>
  <c r="U173" i="3"/>
  <c r="S173" i="3"/>
  <c r="R173" i="3"/>
  <c r="T173" i="3"/>
  <c r="U174" i="3"/>
  <c r="T174" i="3"/>
  <c r="P174" i="3"/>
  <c r="Q174" i="3"/>
  <c r="R174" i="3"/>
  <c r="S174" i="3"/>
  <c r="T175" i="3"/>
  <c r="S175" i="3"/>
  <c r="U175" i="3"/>
  <c r="P175" i="3"/>
  <c r="Q175" i="3"/>
  <c r="R175" i="3"/>
  <c r="U176" i="3"/>
  <c r="R176" i="3"/>
  <c r="Q176" i="3"/>
  <c r="P176" i="3"/>
  <c r="S176" i="3"/>
  <c r="T176" i="3"/>
  <c r="S177" i="3"/>
  <c r="R177" i="3"/>
  <c r="Q177" i="3"/>
  <c r="P177" i="3"/>
  <c r="T177" i="3"/>
  <c r="U177" i="3"/>
  <c r="T178" i="3"/>
  <c r="S178" i="3"/>
  <c r="R178" i="3"/>
  <c r="Q178" i="3"/>
  <c r="P178" i="3"/>
  <c r="U178" i="3"/>
  <c r="U179" i="3"/>
  <c r="T179" i="3"/>
  <c r="S179" i="3"/>
  <c r="Q179" i="3"/>
  <c r="P179" i="3"/>
  <c r="R179" i="3"/>
  <c r="Q180" i="3"/>
  <c r="P180" i="3"/>
  <c r="R180" i="3"/>
  <c r="U180" i="3"/>
  <c r="T180" i="3"/>
  <c r="S180" i="3"/>
  <c r="Q181" i="3"/>
  <c r="S181" i="3"/>
  <c r="T181" i="3"/>
  <c r="U181" i="3"/>
  <c r="R181" i="3"/>
  <c r="P181" i="3"/>
  <c r="S182" i="3"/>
  <c r="T182" i="3"/>
  <c r="U182" i="3"/>
  <c r="R182" i="3"/>
  <c r="Q182" i="3"/>
  <c r="P182" i="3"/>
  <c r="P183" i="3"/>
  <c r="S183" i="3"/>
  <c r="R183" i="3"/>
  <c r="Q183" i="3"/>
  <c r="R212" i="3"/>
  <c r="P212" i="3"/>
  <c r="Q212" i="3"/>
  <c r="S212" i="3"/>
  <c r="T212" i="3"/>
  <c r="U212" i="3"/>
  <c r="R213" i="3"/>
  <c r="Q213" i="3"/>
  <c r="P213" i="3"/>
  <c r="U213" i="3"/>
  <c r="T213" i="3"/>
  <c r="S213" i="3"/>
  <c r="U214" i="3"/>
  <c r="T214" i="3"/>
  <c r="S214" i="3"/>
  <c r="R214" i="3"/>
  <c r="Q214" i="3"/>
  <c r="P214" i="3"/>
  <c r="P215" i="3"/>
  <c r="S215" i="3"/>
  <c r="R215" i="3"/>
  <c r="Q215" i="3"/>
  <c r="T215" i="3"/>
  <c r="U215" i="3"/>
  <c r="U216" i="3"/>
  <c r="S216" i="3"/>
  <c r="T216" i="3"/>
  <c r="P216" i="3"/>
  <c r="Q216" i="3"/>
  <c r="R216" i="3"/>
  <c r="P217" i="3"/>
  <c r="Q217" i="3"/>
  <c r="U217" i="3"/>
  <c r="T217" i="3"/>
  <c r="S217" i="3"/>
  <c r="R217" i="3"/>
  <c r="Q218" i="3"/>
  <c r="P218" i="3"/>
  <c r="U218" i="3"/>
  <c r="T218" i="3"/>
  <c r="S218" i="3"/>
  <c r="R218" i="3"/>
  <c r="U219" i="3"/>
  <c r="T219" i="3"/>
  <c r="S219" i="3"/>
  <c r="R219" i="3"/>
  <c r="Q219" i="3"/>
  <c r="P219" i="3"/>
  <c r="U220" i="3"/>
  <c r="T220" i="3"/>
  <c r="P220" i="3"/>
  <c r="Q220" i="3"/>
  <c r="R220" i="3"/>
  <c r="S220" i="3"/>
  <c r="R221" i="3"/>
  <c r="S221" i="3"/>
  <c r="T221" i="3"/>
  <c r="U221" i="3"/>
  <c r="Q221" i="3"/>
  <c r="R222" i="3"/>
  <c r="P222" i="3"/>
  <c r="Q222" i="3"/>
  <c r="S222" i="3"/>
  <c r="T222" i="3"/>
  <c r="U222" i="3"/>
  <c r="U223" i="3"/>
  <c r="T223" i="3"/>
  <c r="S223" i="3"/>
  <c r="R223" i="3"/>
  <c r="Q223" i="3"/>
  <c r="P223" i="3"/>
  <c r="R224" i="3"/>
  <c r="Q224" i="3"/>
  <c r="P224" i="3"/>
  <c r="U224" i="3"/>
  <c r="S224" i="3"/>
  <c r="T224" i="3"/>
  <c r="T225" i="3"/>
  <c r="U225" i="3"/>
  <c r="P225" i="3"/>
  <c r="Q225" i="3"/>
  <c r="R225" i="3"/>
  <c r="S225" i="3"/>
  <c r="P226" i="3"/>
  <c r="Q226" i="3"/>
  <c r="R226" i="3"/>
  <c r="S226" i="3"/>
  <c r="U226" i="3"/>
  <c r="T226" i="3"/>
  <c r="T227" i="3"/>
  <c r="U227" i="3"/>
  <c r="Q227" i="3"/>
  <c r="S227" i="3"/>
  <c r="R227" i="3"/>
  <c r="P227" i="3"/>
  <c r="U228" i="3"/>
  <c r="S228" i="3"/>
  <c r="R228" i="3"/>
  <c r="Q228" i="3"/>
  <c r="P228" i="3"/>
  <c r="T228" i="3"/>
  <c r="U229" i="3"/>
  <c r="T229" i="3"/>
  <c r="S229" i="3"/>
  <c r="R229" i="3"/>
  <c r="Q229" i="3"/>
  <c r="P229" i="3"/>
  <c r="S230" i="3"/>
  <c r="T230" i="3"/>
  <c r="U230" i="3"/>
  <c r="R230" i="3"/>
  <c r="Q230" i="3"/>
  <c r="P230" i="3"/>
  <c r="S231" i="3"/>
  <c r="P231" i="3"/>
  <c r="U231" i="3"/>
  <c r="T231" i="3"/>
  <c r="Q231" i="3"/>
  <c r="R231" i="3"/>
  <c r="Q232" i="3"/>
  <c r="P232" i="3"/>
  <c r="U232" i="3"/>
  <c r="T232" i="3"/>
  <c r="S232" i="3"/>
  <c r="R232" i="3"/>
  <c r="S233" i="3"/>
  <c r="U233" i="3"/>
  <c r="T233" i="3"/>
  <c r="R233" i="3"/>
  <c r="Q233" i="3"/>
  <c r="P233" i="3"/>
  <c r="Q234" i="3"/>
  <c r="R234" i="3"/>
  <c r="S234" i="3"/>
  <c r="T234" i="3"/>
  <c r="U234" i="3"/>
  <c r="P234" i="3"/>
  <c r="P235" i="3"/>
  <c r="Q235" i="3"/>
  <c r="U235" i="3"/>
  <c r="T235" i="3"/>
  <c r="S235" i="3"/>
  <c r="R235" i="3"/>
  <c r="P236" i="3"/>
  <c r="Q236" i="3"/>
  <c r="R236" i="3"/>
  <c r="S236" i="3"/>
  <c r="T236" i="3"/>
  <c r="U236" i="3"/>
  <c r="P237" i="3"/>
  <c r="Q237" i="3"/>
  <c r="R237" i="3"/>
  <c r="S237" i="3"/>
  <c r="T237" i="3"/>
  <c r="U237" i="3"/>
  <c r="R238" i="3"/>
  <c r="U238" i="3"/>
  <c r="T238" i="3"/>
  <c r="S238" i="3"/>
  <c r="Q238" i="3"/>
  <c r="P238" i="3"/>
  <c r="U239" i="3"/>
  <c r="T239" i="3"/>
  <c r="S239" i="3"/>
  <c r="R239" i="3"/>
  <c r="Q239" i="3"/>
  <c r="P239" i="3"/>
  <c r="R240" i="3"/>
  <c r="Q240" i="3"/>
  <c r="P240" i="3"/>
  <c r="T240" i="3"/>
  <c r="S240" i="3"/>
  <c r="U240" i="3"/>
  <c r="T241" i="3"/>
  <c r="S241" i="3"/>
  <c r="R241" i="3"/>
  <c r="Q241" i="3"/>
  <c r="P241" i="3"/>
  <c r="U241" i="3"/>
  <c r="U242" i="3"/>
  <c r="Q242" i="3"/>
  <c r="T242" i="3"/>
  <c r="S242" i="3"/>
  <c r="R242" i="3"/>
  <c r="P242" i="3"/>
  <c r="P243" i="3"/>
  <c r="Q243" i="3"/>
  <c r="R243" i="3"/>
  <c r="S243" i="3"/>
  <c r="T243" i="3"/>
  <c r="U243" i="3"/>
  <c r="S244" i="3"/>
  <c r="T244" i="3"/>
  <c r="U244" i="3"/>
  <c r="P244" i="3"/>
  <c r="Q244" i="3"/>
  <c r="R244" i="3"/>
  <c r="U245" i="3"/>
  <c r="T245" i="3"/>
  <c r="S245" i="3"/>
  <c r="R245" i="3"/>
  <c r="Q245" i="3"/>
  <c r="P245" i="3"/>
  <c r="P246" i="3"/>
  <c r="Q246" i="3"/>
  <c r="R246" i="3"/>
  <c r="S246" i="3"/>
  <c r="T246" i="3"/>
  <c r="U246" i="3"/>
  <c r="S247" i="3"/>
  <c r="P247" i="3"/>
  <c r="Q247" i="3"/>
  <c r="R247" i="3"/>
  <c r="T292" i="3"/>
  <c r="U292" i="3"/>
  <c r="U293" i="3"/>
  <c r="T293" i="3"/>
  <c r="R293" i="3"/>
  <c r="P293" i="3"/>
  <c r="Q293" i="3"/>
  <c r="S293" i="3"/>
  <c r="Q294" i="3"/>
  <c r="P294" i="3"/>
  <c r="T294" i="3"/>
  <c r="U294" i="3"/>
  <c r="S294" i="3"/>
  <c r="R294" i="3"/>
  <c r="U295" i="3"/>
  <c r="T295" i="3"/>
  <c r="S295" i="3"/>
  <c r="R295" i="3"/>
  <c r="Q295" i="3"/>
  <c r="P295" i="3"/>
  <c r="T296" i="3"/>
  <c r="S296" i="3"/>
  <c r="R296" i="3"/>
  <c r="P296" i="3"/>
  <c r="Q296" i="3"/>
  <c r="U296" i="3"/>
  <c r="T297" i="3"/>
  <c r="S297" i="3"/>
  <c r="R297" i="3"/>
  <c r="Q297" i="3"/>
  <c r="P297" i="3"/>
  <c r="U297" i="3"/>
  <c r="Q2" i="3"/>
  <c r="U2" i="3"/>
  <c r="T2" i="3"/>
  <c r="S2" i="3"/>
  <c r="R2" i="3"/>
  <c r="P2" i="3"/>
  <c r="U37" i="3"/>
  <c r="S37" i="3"/>
  <c r="T37" i="3"/>
  <c r="U38" i="3"/>
  <c r="T38" i="3"/>
  <c r="S38" i="3"/>
  <c r="R38" i="3"/>
  <c r="Q38" i="3"/>
  <c r="P38" i="3"/>
  <c r="Q39" i="3"/>
  <c r="R39" i="3"/>
  <c r="S39" i="3"/>
  <c r="T39" i="3"/>
  <c r="U39" i="3"/>
  <c r="P39" i="3"/>
  <c r="P40" i="3"/>
  <c r="Q40" i="3"/>
  <c r="S40" i="3"/>
  <c r="U40" i="3"/>
  <c r="T40" i="3"/>
  <c r="R40" i="3"/>
  <c r="U41" i="3"/>
  <c r="T41" i="3"/>
  <c r="S41" i="3"/>
  <c r="R41" i="3"/>
  <c r="Q41" i="3"/>
  <c r="P41" i="3"/>
  <c r="U42" i="3"/>
  <c r="P42" i="3"/>
  <c r="S42" i="3"/>
  <c r="Q42" i="3"/>
  <c r="R42" i="3"/>
  <c r="T42" i="3"/>
  <c r="T43" i="3"/>
  <c r="S43" i="3"/>
  <c r="R43" i="3"/>
  <c r="P43" i="3"/>
  <c r="Q43" i="3"/>
  <c r="U43" i="3"/>
  <c r="S44" i="3"/>
  <c r="P44" i="3"/>
  <c r="R44" i="3"/>
  <c r="Q44" i="3"/>
  <c r="U44" i="3"/>
  <c r="T44" i="3"/>
  <c r="Q45" i="3"/>
  <c r="U45" i="3"/>
  <c r="S45" i="3"/>
  <c r="R45" i="3"/>
  <c r="T45" i="3"/>
  <c r="P45" i="3"/>
  <c r="Q46" i="3"/>
  <c r="P46" i="3"/>
  <c r="U46" i="3"/>
  <c r="T46" i="3"/>
  <c r="S46" i="3"/>
  <c r="R46" i="3"/>
  <c r="R47" i="3"/>
  <c r="S47" i="3"/>
  <c r="U47" i="3"/>
  <c r="T47" i="3"/>
  <c r="Q47" i="3"/>
  <c r="P47" i="3"/>
  <c r="R48" i="3"/>
  <c r="S48" i="3"/>
  <c r="T48" i="3"/>
  <c r="U48" i="3"/>
  <c r="P48" i="3"/>
  <c r="Q48" i="3"/>
  <c r="U49" i="3"/>
  <c r="T49" i="3"/>
  <c r="R49" i="3"/>
  <c r="Q49" i="3"/>
  <c r="P49" i="3"/>
  <c r="S49" i="3"/>
  <c r="P50" i="3"/>
  <c r="Q50" i="3"/>
  <c r="R50" i="3"/>
  <c r="S50" i="3"/>
  <c r="T50" i="3"/>
  <c r="U102" i="3"/>
  <c r="T102" i="3"/>
  <c r="U103" i="3"/>
  <c r="T103" i="3"/>
  <c r="S103" i="3"/>
  <c r="R103" i="3"/>
  <c r="Q103" i="3"/>
  <c r="P103" i="3"/>
  <c r="S104" i="3"/>
  <c r="T104" i="3"/>
  <c r="U104" i="3"/>
  <c r="P104" i="3"/>
  <c r="Q104" i="3"/>
  <c r="R104" i="3"/>
  <c r="U105" i="3"/>
  <c r="S105" i="3"/>
  <c r="P105" i="3"/>
  <c r="Q105" i="3"/>
  <c r="R105" i="3"/>
  <c r="T105" i="3"/>
  <c r="U106" i="3"/>
  <c r="T106" i="3"/>
  <c r="S106" i="3"/>
  <c r="R106" i="3"/>
  <c r="Q106" i="3"/>
  <c r="P106" i="3"/>
  <c r="R107" i="3"/>
  <c r="S107" i="3"/>
  <c r="T107" i="3"/>
  <c r="U107" i="3"/>
  <c r="Q107" i="3"/>
  <c r="P107" i="3"/>
  <c r="P108" i="3"/>
  <c r="Q108" i="3"/>
  <c r="U108" i="3"/>
  <c r="T108" i="3"/>
  <c r="S108" i="3"/>
  <c r="R108" i="3"/>
  <c r="U109" i="3"/>
  <c r="Q109" i="3"/>
  <c r="T109" i="3"/>
  <c r="S109" i="3"/>
  <c r="R109" i="3"/>
  <c r="P109" i="3"/>
  <c r="S110" i="3"/>
  <c r="T110" i="3"/>
  <c r="U110" i="3"/>
  <c r="P110" i="3"/>
  <c r="R110" i="3"/>
  <c r="Q110" i="3"/>
  <c r="S111" i="3"/>
  <c r="T111" i="3"/>
  <c r="U111" i="3"/>
  <c r="R111" i="3"/>
  <c r="P111" i="3"/>
  <c r="Q111" i="3"/>
  <c r="R112" i="3"/>
  <c r="Q112" i="3"/>
  <c r="P112" i="3"/>
  <c r="T112" i="3"/>
  <c r="S112" i="3"/>
  <c r="U112" i="3"/>
  <c r="T113" i="3"/>
  <c r="P113" i="3"/>
  <c r="Q113" i="3"/>
  <c r="R113" i="3"/>
  <c r="S113" i="3"/>
  <c r="U113" i="3"/>
  <c r="R114" i="3"/>
  <c r="S114" i="3"/>
  <c r="T114" i="3"/>
  <c r="U114" i="3"/>
  <c r="P114" i="3"/>
  <c r="Q114" i="3"/>
  <c r="P115" i="3"/>
  <c r="Q115" i="3"/>
  <c r="S115" i="3"/>
  <c r="T115" i="3"/>
  <c r="U115" i="3"/>
  <c r="R115" i="3"/>
  <c r="T116" i="3"/>
  <c r="S116" i="3"/>
  <c r="R116" i="3"/>
  <c r="Q116" i="3"/>
  <c r="P116" i="3"/>
  <c r="U116" i="3"/>
  <c r="S117" i="3"/>
  <c r="R117" i="3"/>
  <c r="Q117" i="3"/>
  <c r="U117" i="3"/>
  <c r="T117" i="3"/>
  <c r="P118" i="3"/>
  <c r="U118" i="3"/>
  <c r="T118" i="3"/>
  <c r="R118" i="3"/>
  <c r="Q118" i="3"/>
  <c r="S118" i="3"/>
  <c r="Q119" i="3"/>
  <c r="R119" i="3"/>
  <c r="S119" i="3"/>
  <c r="T119" i="3"/>
  <c r="U119" i="3"/>
  <c r="P119" i="3"/>
  <c r="R120" i="3"/>
  <c r="S120" i="3"/>
  <c r="T120" i="3"/>
  <c r="P120" i="3"/>
  <c r="U120" i="3"/>
  <c r="Q120" i="3"/>
  <c r="U121" i="3"/>
  <c r="T121" i="3"/>
  <c r="S121" i="3"/>
  <c r="R121" i="3"/>
  <c r="Q121" i="3"/>
  <c r="P121" i="3"/>
  <c r="U122" i="3"/>
  <c r="S122" i="3"/>
  <c r="R122" i="3"/>
  <c r="Q122" i="3"/>
  <c r="P122" i="3"/>
  <c r="T122" i="3"/>
  <c r="R123" i="3"/>
  <c r="S123" i="3"/>
  <c r="T123" i="3"/>
  <c r="U123" i="3"/>
  <c r="Q123" i="3"/>
  <c r="P123" i="3"/>
  <c r="R124" i="3"/>
  <c r="S124" i="3"/>
  <c r="T124" i="3"/>
  <c r="U124" i="3"/>
  <c r="Q124" i="3"/>
  <c r="P124" i="3"/>
  <c r="S125" i="3"/>
  <c r="T125" i="3"/>
  <c r="U125" i="3"/>
  <c r="P125" i="3"/>
  <c r="Q125" i="3"/>
  <c r="R125" i="3"/>
  <c r="P126" i="3"/>
  <c r="Q126" i="3"/>
  <c r="T126" i="3"/>
  <c r="R126" i="3"/>
  <c r="S126" i="3"/>
  <c r="U126" i="3"/>
  <c r="P127" i="3"/>
  <c r="R127" i="3"/>
  <c r="S127" i="3"/>
  <c r="T127" i="3"/>
  <c r="U127" i="3"/>
  <c r="Q127" i="3"/>
  <c r="R128" i="3"/>
  <c r="S128" i="3"/>
  <c r="T128" i="3"/>
  <c r="U128" i="3"/>
  <c r="Q128" i="3"/>
  <c r="P128" i="3"/>
  <c r="U129" i="3"/>
  <c r="R129" i="3"/>
  <c r="Q129" i="3"/>
  <c r="P129" i="3"/>
  <c r="S129" i="3"/>
  <c r="T129" i="3"/>
  <c r="R130" i="3"/>
  <c r="U130" i="3"/>
  <c r="T130" i="3"/>
  <c r="S130" i="3"/>
  <c r="Q130" i="3"/>
  <c r="U183" i="3"/>
  <c r="T183" i="3"/>
  <c r="T184" i="3"/>
  <c r="Q184" i="3"/>
  <c r="R184" i="3"/>
  <c r="U184" i="3"/>
  <c r="S184" i="3"/>
  <c r="P185" i="3"/>
  <c r="Q185" i="3"/>
  <c r="R185" i="3"/>
  <c r="S185" i="3"/>
  <c r="T185" i="3"/>
  <c r="U185" i="3"/>
  <c r="P186" i="3"/>
  <c r="R186" i="3"/>
  <c r="S186" i="3"/>
  <c r="T186" i="3"/>
  <c r="U186" i="3"/>
  <c r="Q186" i="3"/>
  <c r="P187" i="3"/>
  <c r="Q187" i="3"/>
  <c r="R187" i="3"/>
  <c r="T187" i="3"/>
  <c r="U187" i="3"/>
  <c r="S187" i="3"/>
  <c r="P188" i="3"/>
  <c r="Q188" i="3"/>
  <c r="R188" i="3"/>
  <c r="S188" i="3"/>
  <c r="T188" i="3"/>
  <c r="U188" i="3"/>
  <c r="T189" i="3"/>
  <c r="S189" i="3"/>
  <c r="R189" i="3"/>
  <c r="Q189" i="3"/>
  <c r="P189" i="3"/>
  <c r="U189" i="3"/>
  <c r="Q190" i="3"/>
  <c r="U190" i="3"/>
  <c r="T190" i="3"/>
  <c r="S190" i="3"/>
  <c r="P190" i="3"/>
  <c r="R190" i="3"/>
  <c r="S191" i="3"/>
  <c r="T191" i="3"/>
  <c r="U191" i="3"/>
  <c r="Q191" i="3"/>
  <c r="P191" i="3"/>
  <c r="R191" i="3"/>
  <c r="P192" i="3"/>
  <c r="Q192" i="3"/>
  <c r="S192" i="3"/>
  <c r="T192" i="3"/>
  <c r="U192" i="3"/>
  <c r="R192" i="3"/>
  <c r="P193" i="3"/>
  <c r="R193" i="3"/>
  <c r="S193" i="3"/>
  <c r="T193" i="3"/>
  <c r="Q193" i="3"/>
  <c r="U193" i="3"/>
  <c r="U194" i="3"/>
  <c r="S194" i="3"/>
  <c r="T194" i="3"/>
  <c r="R194" i="3"/>
  <c r="Q194" i="3"/>
  <c r="P194" i="3"/>
  <c r="S195" i="3"/>
  <c r="T195" i="3"/>
  <c r="U195" i="3"/>
  <c r="Q195" i="3"/>
  <c r="R195" i="3"/>
  <c r="P195" i="3"/>
  <c r="U196" i="3"/>
  <c r="P196" i="3"/>
  <c r="Q196" i="3"/>
  <c r="R196" i="3"/>
  <c r="S196" i="3"/>
  <c r="T196" i="3"/>
  <c r="S197" i="3"/>
  <c r="T197" i="3"/>
  <c r="U197" i="3"/>
  <c r="P197" i="3"/>
  <c r="Q197" i="3"/>
  <c r="R197" i="3"/>
  <c r="P198" i="3"/>
  <c r="Q198" i="3"/>
  <c r="R198" i="3"/>
  <c r="S198" i="3"/>
  <c r="T198" i="3"/>
  <c r="U198" i="3"/>
  <c r="P199" i="3"/>
  <c r="Q199" i="3"/>
  <c r="R199" i="3"/>
  <c r="S199" i="3"/>
  <c r="T199" i="3"/>
  <c r="U199" i="3"/>
  <c r="P200" i="3"/>
  <c r="Q200" i="3"/>
  <c r="R200" i="3"/>
  <c r="S200" i="3"/>
  <c r="T200" i="3"/>
  <c r="U200" i="3"/>
  <c r="U201" i="3"/>
  <c r="P201" i="3"/>
  <c r="Q201" i="3"/>
  <c r="R201" i="3"/>
  <c r="S201" i="3"/>
  <c r="T201" i="3"/>
  <c r="R202" i="3"/>
  <c r="S202" i="3"/>
  <c r="T202" i="3"/>
  <c r="U202" i="3"/>
  <c r="P202" i="3"/>
  <c r="Q202" i="3"/>
  <c r="R203" i="3"/>
  <c r="Q203" i="3"/>
  <c r="P203" i="3"/>
  <c r="S203" i="3"/>
  <c r="T203" i="3"/>
  <c r="U203" i="3"/>
  <c r="P204" i="3"/>
  <c r="Q204" i="3"/>
  <c r="R204" i="3"/>
  <c r="S204" i="3"/>
  <c r="T204" i="3"/>
  <c r="U204" i="3"/>
  <c r="T205" i="3"/>
  <c r="Q205" i="3"/>
  <c r="R205" i="3"/>
  <c r="S205" i="3"/>
  <c r="U205" i="3"/>
  <c r="P205" i="3"/>
  <c r="T206" i="3"/>
  <c r="S206" i="3"/>
  <c r="R206" i="3"/>
  <c r="Q206" i="3"/>
  <c r="P206" i="3"/>
  <c r="U206" i="3"/>
  <c r="Q207" i="3"/>
  <c r="P207" i="3"/>
  <c r="U207" i="3"/>
  <c r="T207" i="3"/>
  <c r="S207" i="3"/>
  <c r="R207" i="3"/>
  <c r="R208" i="3"/>
  <c r="Q208" i="3"/>
  <c r="P208" i="3"/>
  <c r="S208" i="3"/>
  <c r="T208" i="3"/>
  <c r="U208" i="3"/>
  <c r="P209" i="3"/>
  <c r="Q209" i="3"/>
  <c r="R209" i="3"/>
  <c r="S209" i="3"/>
  <c r="T209" i="3"/>
  <c r="U209" i="3"/>
  <c r="Q210" i="3"/>
  <c r="P210" i="3"/>
  <c r="R210" i="3"/>
  <c r="S210" i="3"/>
  <c r="T210" i="3"/>
  <c r="U210" i="3"/>
  <c r="P211" i="3"/>
  <c r="Q211" i="3"/>
  <c r="R211" i="3"/>
  <c r="S211" i="3"/>
  <c r="T211" i="3"/>
  <c r="U211" i="3"/>
  <c r="T247" i="3"/>
  <c r="U247" i="3"/>
  <c r="S248" i="3"/>
  <c r="T248" i="3"/>
  <c r="U248" i="3"/>
  <c r="P248" i="3"/>
  <c r="Q248" i="3"/>
  <c r="R248" i="3"/>
  <c r="U249" i="3"/>
  <c r="T249" i="3"/>
  <c r="S249" i="3"/>
  <c r="R249" i="3"/>
  <c r="Q249" i="3"/>
  <c r="P249" i="3"/>
  <c r="R250" i="3"/>
  <c r="S250" i="3"/>
  <c r="T250" i="3"/>
  <c r="U250" i="3"/>
  <c r="P250" i="3"/>
  <c r="Q250" i="3"/>
  <c r="P251" i="3"/>
  <c r="U251" i="3"/>
  <c r="T251" i="3"/>
  <c r="S251" i="3"/>
  <c r="R251" i="3"/>
  <c r="Q251" i="3"/>
  <c r="S252" i="3"/>
  <c r="P252" i="3"/>
  <c r="R252" i="3"/>
  <c r="Q252" i="3"/>
  <c r="U252" i="3"/>
  <c r="T252" i="3"/>
  <c r="U253" i="3"/>
  <c r="T253" i="3"/>
  <c r="R253" i="3"/>
  <c r="S253" i="3"/>
  <c r="Q253" i="3"/>
  <c r="S254" i="3"/>
  <c r="R254" i="3"/>
  <c r="P254" i="3"/>
  <c r="Q254" i="3"/>
  <c r="T254" i="3"/>
  <c r="U254" i="3"/>
  <c r="P255" i="3"/>
  <c r="Q255" i="3"/>
  <c r="R255" i="3"/>
  <c r="S255" i="3"/>
  <c r="T255" i="3"/>
  <c r="U255" i="3"/>
  <c r="P256" i="3"/>
  <c r="Q256" i="3"/>
  <c r="R256" i="3"/>
  <c r="S256" i="3"/>
  <c r="T256" i="3"/>
  <c r="U256" i="3"/>
  <c r="T257" i="3"/>
  <c r="U257" i="3"/>
  <c r="S257" i="3"/>
  <c r="R257" i="3"/>
  <c r="Q257" i="3"/>
  <c r="Q258" i="3"/>
  <c r="P258" i="3"/>
  <c r="S258" i="3"/>
  <c r="U258" i="3"/>
  <c r="T258" i="3"/>
  <c r="R258" i="3"/>
  <c r="U259" i="3"/>
  <c r="P259" i="3"/>
  <c r="Q259" i="3"/>
  <c r="R259" i="3"/>
  <c r="S259" i="3"/>
  <c r="T259" i="3"/>
  <c r="S260" i="3"/>
  <c r="T260" i="3"/>
  <c r="U260" i="3"/>
  <c r="P260" i="3"/>
  <c r="Q260" i="3"/>
  <c r="R260" i="3"/>
  <c r="R261" i="3"/>
  <c r="Q261" i="3"/>
  <c r="P261" i="3"/>
  <c r="S261" i="3"/>
  <c r="U261" i="3"/>
  <c r="T261" i="3"/>
  <c r="Q262" i="3"/>
  <c r="R262" i="3"/>
  <c r="U262" i="3"/>
  <c r="T262" i="3"/>
  <c r="S262" i="3"/>
  <c r="P262" i="3"/>
  <c r="P263" i="3"/>
  <c r="Q263" i="3"/>
  <c r="R263" i="3"/>
  <c r="T263" i="3"/>
  <c r="U263" i="3"/>
  <c r="S263" i="3"/>
  <c r="Q264" i="3"/>
  <c r="U264" i="3"/>
  <c r="R264" i="3"/>
  <c r="T264" i="3"/>
  <c r="S264" i="3"/>
  <c r="P264" i="3"/>
  <c r="Q265" i="3"/>
  <c r="R265" i="3"/>
  <c r="S265" i="3"/>
  <c r="T265" i="3"/>
  <c r="P265" i="3"/>
  <c r="U265" i="3"/>
  <c r="P266" i="3"/>
  <c r="Q266" i="3"/>
  <c r="R266" i="3"/>
  <c r="S266" i="3"/>
  <c r="U266" i="3"/>
  <c r="T266" i="3"/>
  <c r="T267" i="3"/>
  <c r="U267" i="3"/>
  <c r="P267" i="3"/>
  <c r="R267" i="3"/>
  <c r="Q267" i="3"/>
  <c r="S267" i="3"/>
  <c r="P268" i="3"/>
  <c r="Q268" i="3"/>
  <c r="R268" i="3"/>
  <c r="S268" i="3"/>
  <c r="T268" i="3"/>
  <c r="U268" i="3"/>
  <c r="U269" i="3"/>
  <c r="T269" i="3"/>
  <c r="S269" i="3"/>
  <c r="R269" i="3"/>
  <c r="Q269" i="3"/>
  <c r="P269" i="3"/>
  <c r="U270" i="3"/>
  <c r="T270" i="3"/>
  <c r="S270" i="3"/>
  <c r="R270" i="3"/>
  <c r="Q270" i="3"/>
  <c r="P270" i="3"/>
  <c r="Q271" i="3"/>
  <c r="U271" i="3"/>
  <c r="T271" i="3"/>
  <c r="S271" i="3"/>
  <c r="R271" i="3"/>
  <c r="R272" i="3"/>
  <c r="S272" i="3"/>
  <c r="P272" i="3"/>
  <c r="T272" i="3"/>
  <c r="Q272" i="3"/>
  <c r="U272" i="3"/>
  <c r="Q273" i="3"/>
  <c r="R273" i="3"/>
  <c r="S273" i="3"/>
  <c r="T273" i="3"/>
  <c r="U273" i="3"/>
  <c r="P273" i="3"/>
  <c r="Q274" i="3"/>
  <c r="R274" i="3"/>
  <c r="S274" i="3"/>
  <c r="T274" i="3"/>
  <c r="U274" i="3"/>
  <c r="P274" i="3"/>
  <c r="P275" i="3"/>
  <c r="Q275" i="3"/>
  <c r="R275" i="3"/>
  <c r="S275" i="3"/>
  <c r="T275" i="3"/>
  <c r="U275" i="3"/>
  <c r="P276" i="3"/>
  <c r="Q276" i="3"/>
  <c r="R276" i="3"/>
  <c r="S276" i="3"/>
  <c r="T276" i="3"/>
  <c r="U276" i="3"/>
  <c r="S277" i="3"/>
  <c r="U277" i="3"/>
  <c r="T277" i="3"/>
  <c r="P277" i="3"/>
  <c r="Q277" i="3"/>
  <c r="R277" i="3"/>
  <c r="U278" i="3"/>
  <c r="T278" i="3"/>
  <c r="S278" i="3"/>
  <c r="R278" i="3"/>
  <c r="Q278" i="3"/>
  <c r="P278" i="3"/>
  <c r="R279" i="3"/>
  <c r="P279" i="3"/>
  <c r="S279" i="3"/>
  <c r="Q279" i="3"/>
  <c r="U279" i="3"/>
  <c r="T279" i="3"/>
  <c r="U280" i="3"/>
  <c r="T280" i="3"/>
  <c r="S280" i="3"/>
  <c r="R280" i="3"/>
  <c r="Q280" i="3"/>
  <c r="P280" i="3"/>
  <c r="T281" i="3"/>
  <c r="R281" i="3"/>
  <c r="U281" i="3"/>
  <c r="Q281" i="3"/>
  <c r="S281" i="3"/>
  <c r="P282" i="3"/>
  <c r="U282" i="3"/>
  <c r="T282" i="3"/>
  <c r="S282" i="3"/>
  <c r="R282" i="3"/>
  <c r="Q282" i="3"/>
  <c r="T283" i="3"/>
  <c r="S283" i="3"/>
  <c r="R283" i="3"/>
  <c r="Q283" i="3"/>
  <c r="U283" i="3"/>
  <c r="P283" i="3"/>
  <c r="R284" i="3"/>
  <c r="Q284" i="3"/>
  <c r="P284" i="3"/>
  <c r="S284" i="3"/>
  <c r="U284" i="3"/>
  <c r="T284" i="3"/>
  <c r="S285" i="3"/>
  <c r="T285" i="3"/>
  <c r="U285" i="3"/>
  <c r="P285" i="3"/>
  <c r="Q285" i="3"/>
  <c r="R285" i="3"/>
  <c r="Q286" i="3"/>
  <c r="P286" i="3"/>
  <c r="S286" i="3"/>
  <c r="R286" i="3"/>
  <c r="T286" i="3"/>
  <c r="U286" i="3"/>
  <c r="U287" i="3"/>
  <c r="R287" i="3"/>
  <c r="P287" i="3"/>
  <c r="T287" i="3"/>
  <c r="S287" i="3"/>
  <c r="Q287" i="3"/>
  <c r="P288" i="3"/>
  <c r="Q288" i="3"/>
  <c r="R288" i="3"/>
  <c r="S288" i="3"/>
  <c r="T288" i="3"/>
  <c r="U288" i="3"/>
  <c r="P289" i="3"/>
  <c r="R289" i="3"/>
  <c r="S289" i="3"/>
  <c r="T289" i="3"/>
  <c r="U289" i="3"/>
  <c r="Q289" i="3"/>
  <c r="S290" i="3"/>
  <c r="U290" i="3"/>
  <c r="T290" i="3"/>
  <c r="P290" i="3"/>
  <c r="Q290" i="3"/>
  <c r="R290" i="3"/>
  <c r="P291" i="3"/>
  <c r="U291" i="3"/>
  <c r="T291" i="3"/>
  <c r="Q291" i="3"/>
  <c r="S291" i="3"/>
  <c r="R291" i="3"/>
  <c r="S292" i="3"/>
  <c r="Q292" i="3"/>
  <c r="P292" i="3"/>
  <c r="R292" i="3"/>
  <c r="P5" i="3"/>
  <c r="Q5" i="3"/>
  <c r="T96" i="3"/>
  <c r="U96" i="3"/>
  <c r="P97" i="3"/>
  <c r="Q97" i="3"/>
  <c r="U97" i="3"/>
  <c r="S97" i="3"/>
  <c r="R97" i="3"/>
  <c r="T97" i="3"/>
  <c r="E3" i="3"/>
  <c r="F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E4" i="3"/>
  <c r="F4" i="3"/>
  <c r="I4" i="3"/>
  <c r="J4" i="3"/>
  <c r="K4" i="3"/>
  <c r="L4" i="3"/>
  <c r="M4" i="3"/>
  <c r="N4" i="3"/>
  <c r="P4" i="3"/>
  <c r="Q4" i="3"/>
  <c r="R4" i="3"/>
  <c r="S4" i="3"/>
  <c r="T4" i="3"/>
  <c r="U4" i="3"/>
  <c r="V4" i="3"/>
  <c r="E5" i="3"/>
  <c r="F5" i="3"/>
  <c r="I5" i="3"/>
  <c r="J5" i="3"/>
  <c r="K5" i="3"/>
  <c r="L5" i="3"/>
  <c r="M5" i="3"/>
  <c r="N5" i="3"/>
  <c r="R5" i="3"/>
  <c r="S5" i="3"/>
  <c r="T5" i="3"/>
  <c r="U5" i="3"/>
  <c r="V5" i="3"/>
  <c r="E6" i="3"/>
  <c r="F6" i="3"/>
  <c r="I6" i="3"/>
  <c r="J6" i="3"/>
  <c r="K6" i="3"/>
  <c r="L6" i="3"/>
  <c r="M6" i="3"/>
  <c r="N6" i="3"/>
  <c r="P6" i="3"/>
  <c r="Q6" i="3"/>
  <c r="R6" i="3"/>
  <c r="S6" i="3"/>
  <c r="T6" i="3"/>
  <c r="U6" i="3"/>
  <c r="V6" i="3"/>
  <c r="E7" i="3"/>
  <c r="F7" i="3"/>
  <c r="I7" i="3"/>
  <c r="J7" i="3"/>
  <c r="K7" i="3"/>
  <c r="L7" i="3"/>
  <c r="M7" i="3"/>
  <c r="N7" i="3"/>
  <c r="P7" i="3"/>
  <c r="Q7" i="3"/>
  <c r="R7" i="3"/>
  <c r="S7" i="3"/>
  <c r="T7" i="3"/>
  <c r="U7" i="3"/>
  <c r="V7" i="3"/>
  <c r="E8" i="3"/>
  <c r="F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E9" i="3"/>
  <c r="F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E10" i="3"/>
  <c r="F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E11" i="3"/>
  <c r="F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E12" i="3"/>
  <c r="F12" i="3"/>
  <c r="I12" i="3"/>
  <c r="J12" i="3"/>
  <c r="K12" i="3"/>
  <c r="L12" i="3"/>
  <c r="M12" i="3"/>
  <c r="N12" i="3"/>
  <c r="O12" i="3"/>
  <c r="P12" i="3"/>
  <c r="Q12" i="3"/>
  <c r="R12" i="3"/>
  <c r="S12" i="3"/>
  <c r="V12" i="3"/>
  <c r="E13" i="3"/>
  <c r="F13" i="3"/>
  <c r="I13" i="3"/>
  <c r="J13" i="3"/>
  <c r="K13" i="3"/>
  <c r="L13" i="3"/>
  <c r="M13" i="3"/>
  <c r="N13" i="3"/>
  <c r="O13" i="3"/>
  <c r="V13" i="3"/>
  <c r="E14" i="3"/>
  <c r="F14" i="3"/>
  <c r="I14" i="3"/>
  <c r="J14" i="3"/>
  <c r="K14" i="3"/>
  <c r="L14" i="3"/>
  <c r="M14" i="3"/>
  <c r="N14" i="3"/>
  <c r="O14" i="3"/>
  <c r="V14" i="3"/>
  <c r="E15" i="3"/>
  <c r="F15" i="3"/>
  <c r="I15" i="3"/>
  <c r="J15" i="3"/>
  <c r="K15" i="3"/>
  <c r="L15" i="3"/>
  <c r="M15" i="3"/>
  <c r="N15" i="3"/>
  <c r="O15" i="3"/>
  <c r="V15" i="3"/>
  <c r="E16" i="3"/>
  <c r="F16" i="3"/>
  <c r="I16" i="3"/>
  <c r="J16" i="3"/>
  <c r="K16" i="3"/>
  <c r="L16" i="3"/>
  <c r="M16" i="3"/>
  <c r="N16" i="3"/>
  <c r="O16" i="3"/>
  <c r="V16" i="3"/>
  <c r="E17" i="3"/>
  <c r="F17" i="3"/>
  <c r="I17" i="3"/>
  <c r="J17" i="3"/>
  <c r="K17" i="3"/>
  <c r="L17" i="3"/>
  <c r="M17" i="3"/>
  <c r="N17" i="3"/>
  <c r="O17" i="3"/>
  <c r="V17" i="3"/>
  <c r="E18" i="3"/>
  <c r="F18" i="3"/>
  <c r="I18" i="3"/>
  <c r="J18" i="3"/>
  <c r="K18" i="3"/>
  <c r="L18" i="3"/>
  <c r="M18" i="3"/>
  <c r="N18" i="3"/>
  <c r="O18" i="3"/>
  <c r="V18" i="3"/>
  <c r="E19" i="3"/>
  <c r="F19" i="3"/>
  <c r="I19" i="3"/>
  <c r="J19" i="3"/>
  <c r="K19" i="3"/>
  <c r="L19" i="3"/>
  <c r="M19" i="3"/>
  <c r="N19" i="3"/>
  <c r="O19" i="3"/>
  <c r="V19" i="3"/>
  <c r="E20" i="3"/>
  <c r="F20" i="3"/>
  <c r="I20" i="3"/>
  <c r="J20" i="3"/>
  <c r="K20" i="3"/>
  <c r="L20" i="3"/>
  <c r="M20" i="3"/>
  <c r="N20" i="3"/>
  <c r="O20" i="3"/>
  <c r="V20" i="3"/>
  <c r="E21" i="3"/>
  <c r="F21" i="3"/>
  <c r="I21" i="3"/>
  <c r="J21" i="3"/>
  <c r="K21" i="3"/>
  <c r="L21" i="3"/>
  <c r="M21" i="3"/>
  <c r="N21" i="3"/>
  <c r="O21" i="3"/>
  <c r="V21" i="3"/>
  <c r="E22" i="3"/>
  <c r="F22" i="3"/>
  <c r="I22" i="3"/>
  <c r="J22" i="3"/>
  <c r="K22" i="3"/>
  <c r="L22" i="3"/>
  <c r="M22" i="3"/>
  <c r="N22" i="3"/>
  <c r="O22" i="3"/>
  <c r="V22" i="3"/>
  <c r="E23" i="3"/>
  <c r="F23" i="3"/>
  <c r="I23" i="3"/>
  <c r="J23" i="3"/>
  <c r="K23" i="3"/>
  <c r="L23" i="3"/>
  <c r="M23" i="3"/>
  <c r="N23" i="3"/>
  <c r="O23" i="3"/>
  <c r="V23" i="3"/>
  <c r="E24" i="3"/>
  <c r="F24" i="3"/>
  <c r="I24" i="3"/>
  <c r="J24" i="3"/>
  <c r="K24" i="3"/>
  <c r="L24" i="3"/>
  <c r="M24" i="3"/>
  <c r="N24" i="3"/>
  <c r="O24" i="3"/>
  <c r="V24" i="3"/>
  <c r="E25" i="3"/>
  <c r="F25" i="3"/>
  <c r="I25" i="3"/>
  <c r="J25" i="3"/>
  <c r="K25" i="3"/>
  <c r="L25" i="3"/>
  <c r="M25" i="3"/>
  <c r="N25" i="3"/>
  <c r="O25" i="3"/>
  <c r="V25" i="3"/>
  <c r="E26" i="3"/>
  <c r="F26" i="3"/>
  <c r="I26" i="3"/>
  <c r="J26" i="3"/>
  <c r="K26" i="3"/>
  <c r="L26" i="3"/>
  <c r="M26" i="3"/>
  <c r="N26" i="3"/>
  <c r="O26" i="3"/>
  <c r="V26" i="3"/>
  <c r="E27" i="3"/>
  <c r="F27" i="3"/>
  <c r="I27" i="3"/>
  <c r="J27" i="3"/>
  <c r="K27" i="3"/>
  <c r="L27" i="3"/>
  <c r="M27" i="3"/>
  <c r="N27" i="3"/>
  <c r="O27" i="3"/>
  <c r="V27" i="3"/>
  <c r="E28" i="3"/>
  <c r="F28" i="3"/>
  <c r="I28" i="3"/>
  <c r="J28" i="3"/>
  <c r="K28" i="3"/>
  <c r="L28" i="3"/>
  <c r="M28" i="3"/>
  <c r="N28" i="3"/>
  <c r="O28" i="3"/>
  <c r="V28" i="3"/>
  <c r="E29" i="3"/>
  <c r="F29" i="3"/>
  <c r="I29" i="3"/>
  <c r="J29" i="3"/>
  <c r="K29" i="3"/>
  <c r="L29" i="3"/>
  <c r="M29" i="3"/>
  <c r="N29" i="3"/>
  <c r="O29" i="3"/>
  <c r="V29" i="3"/>
  <c r="E30" i="3"/>
  <c r="F30" i="3"/>
  <c r="I30" i="3"/>
  <c r="J30" i="3"/>
  <c r="K30" i="3"/>
  <c r="L30" i="3"/>
  <c r="M30" i="3"/>
  <c r="N30" i="3"/>
  <c r="O30" i="3"/>
  <c r="V30" i="3"/>
  <c r="E31" i="3"/>
  <c r="F31" i="3"/>
  <c r="I31" i="3"/>
  <c r="J31" i="3"/>
  <c r="K31" i="3"/>
  <c r="L31" i="3"/>
  <c r="M31" i="3"/>
  <c r="N31" i="3"/>
  <c r="O31" i="3"/>
  <c r="V31" i="3"/>
  <c r="E32" i="3"/>
  <c r="F32" i="3"/>
  <c r="I32" i="3"/>
  <c r="J32" i="3"/>
  <c r="K32" i="3"/>
  <c r="L32" i="3"/>
  <c r="M32" i="3"/>
  <c r="N32" i="3"/>
  <c r="O32" i="3"/>
  <c r="V32" i="3"/>
  <c r="E33" i="3"/>
  <c r="F33" i="3"/>
  <c r="I33" i="3"/>
  <c r="J33" i="3"/>
  <c r="K33" i="3"/>
  <c r="L33" i="3"/>
  <c r="M33" i="3"/>
  <c r="N33" i="3"/>
  <c r="O33" i="3"/>
  <c r="V33" i="3"/>
  <c r="E34" i="3"/>
  <c r="F34" i="3"/>
  <c r="I34" i="3"/>
  <c r="J34" i="3"/>
  <c r="K34" i="3"/>
  <c r="L34" i="3"/>
  <c r="M34" i="3"/>
  <c r="N34" i="3"/>
  <c r="O34" i="3"/>
  <c r="V34" i="3"/>
  <c r="E35" i="3"/>
  <c r="F35" i="3"/>
  <c r="I35" i="3"/>
  <c r="J35" i="3"/>
  <c r="K35" i="3"/>
  <c r="L35" i="3"/>
  <c r="M35" i="3"/>
  <c r="N35" i="3"/>
  <c r="O35" i="3"/>
  <c r="V35" i="3"/>
  <c r="E36" i="3"/>
  <c r="F36" i="3"/>
  <c r="I36" i="3"/>
  <c r="J36" i="3"/>
  <c r="K36" i="3"/>
  <c r="L36" i="3"/>
  <c r="M36" i="3"/>
  <c r="N36" i="3"/>
  <c r="O36" i="3"/>
  <c r="V36" i="3"/>
  <c r="E37" i="3"/>
  <c r="F37" i="3"/>
  <c r="I37" i="3"/>
  <c r="J37" i="3"/>
  <c r="K37" i="3"/>
  <c r="L37" i="3"/>
  <c r="M37" i="3"/>
  <c r="N37" i="3"/>
  <c r="O37" i="3"/>
  <c r="V37" i="3"/>
  <c r="E38" i="3"/>
  <c r="F38" i="3"/>
  <c r="I38" i="3"/>
  <c r="J38" i="3"/>
  <c r="K38" i="3"/>
  <c r="L38" i="3"/>
  <c r="M38" i="3"/>
  <c r="N38" i="3"/>
  <c r="O38" i="3"/>
  <c r="V38" i="3"/>
  <c r="E39" i="3"/>
  <c r="F39" i="3"/>
  <c r="I39" i="3"/>
  <c r="J39" i="3"/>
  <c r="K39" i="3"/>
  <c r="L39" i="3"/>
  <c r="M39" i="3"/>
  <c r="N39" i="3"/>
  <c r="O39" i="3"/>
  <c r="V39" i="3"/>
  <c r="E40" i="3"/>
  <c r="F40" i="3"/>
  <c r="I40" i="3"/>
  <c r="J40" i="3"/>
  <c r="K40" i="3"/>
  <c r="L40" i="3"/>
  <c r="M40" i="3"/>
  <c r="N40" i="3"/>
  <c r="O40" i="3"/>
  <c r="V40" i="3"/>
  <c r="E41" i="3"/>
  <c r="F41" i="3"/>
  <c r="I41" i="3"/>
  <c r="J41" i="3"/>
  <c r="K41" i="3"/>
  <c r="L41" i="3"/>
  <c r="M41" i="3"/>
  <c r="N41" i="3"/>
  <c r="O41" i="3"/>
  <c r="V41" i="3"/>
  <c r="E42" i="3"/>
  <c r="F42" i="3"/>
  <c r="I42" i="3"/>
  <c r="J42" i="3"/>
  <c r="K42" i="3"/>
  <c r="L42" i="3"/>
  <c r="M42" i="3"/>
  <c r="N42" i="3"/>
  <c r="O42" i="3"/>
  <c r="V42" i="3"/>
  <c r="E43" i="3"/>
  <c r="F43" i="3"/>
  <c r="I43" i="3"/>
  <c r="J43" i="3"/>
  <c r="K43" i="3"/>
  <c r="L43" i="3"/>
  <c r="M43" i="3"/>
  <c r="N43" i="3"/>
  <c r="O43" i="3"/>
  <c r="V43" i="3"/>
  <c r="E44" i="3"/>
  <c r="F44" i="3"/>
  <c r="I44" i="3"/>
  <c r="J44" i="3"/>
  <c r="K44" i="3"/>
  <c r="L44" i="3"/>
  <c r="M44" i="3"/>
  <c r="N44" i="3"/>
  <c r="O44" i="3"/>
  <c r="V44" i="3"/>
  <c r="E45" i="3"/>
  <c r="F45" i="3"/>
  <c r="I45" i="3"/>
  <c r="J45" i="3"/>
  <c r="K45" i="3"/>
  <c r="L45" i="3"/>
  <c r="M45" i="3"/>
  <c r="N45" i="3"/>
  <c r="O45" i="3"/>
  <c r="V45" i="3"/>
  <c r="E46" i="3"/>
  <c r="F46" i="3"/>
  <c r="I46" i="3"/>
  <c r="J46" i="3"/>
  <c r="K46" i="3"/>
  <c r="L46" i="3"/>
  <c r="M46" i="3"/>
  <c r="N46" i="3"/>
  <c r="O46" i="3"/>
  <c r="V46" i="3"/>
  <c r="E47" i="3"/>
  <c r="F47" i="3"/>
  <c r="I47" i="3"/>
  <c r="J47" i="3"/>
  <c r="K47" i="3"/>
  <c r="L47" i="3"/>
  <c r="M47" i="3"/>
  <c r="N47" i="3"/>
  <c r="O47" i="3"/>
  <c r="V47" i="3"/>
  <c r="E48" i="3"/>
  <c r="F48" i="3"/>
  <c r="I48" i="3"/>
  <c r="J48" i="3"/>
  <c r="K48" i="3"/>
  <c r="L48" i="3"/>
  <c r="M48" i="3"/>
  <c r="N48" i="3"/>
  <c r="O48" i="3"/>
  <c r="V48" i="3"/>
  <c r="E49" i="3"/>
  <c r="F49" i="3"/>
  <c r="I49" i="3"/>
  <c r="J49" i="3"/>
  <c r="K49" i="3"/>
  <c r="L49" i="3"/>
  <c r="M49" i="3"/>
  <c r="N49" i="3"/>
  <c r="O49" i="3"/>
  <c r="V49" i="3"/>
  <c r="E50" i="3"/>
  <c r="F50" i="3"/>
  <c r="I50" i="3"/>
  <c r="J50" i="3"/>
  <c r="K50" i="3"/>
  <c r="L50" i="3"/>
  <c r="M50" i="3"/>
  <c r="N50" i="3"/>
  <c r="O50" i="3"/>
  <c r="U50" i="3"/>
  <c r="V50" i="3"/>
  <c r="E51" i="3"/>
  <c r="F51" i="3"/>
  <c r="I51" i="3"/>
  <c r="J51" i="3"/>
  <c r="K51" i="3"/>
  <c r="L51" i="3"/>
  <c r="M51" i="3"/>
  <c r="N51" i="3"/>
  <c r="O51" i="3"/>
  <c r="V51" i="3"/>
  <c r="E52" i="3"/>
  <c r="F52" i="3"/>
  <c r="I52" i="3"/>
  <c r="J52" i="3"/>
  <c r="K52" i="3"/>
  <c r="L52" i="3"/>
  <c r="M52" i="3"/>
  <c r="N52" i="3"/>
  <c r="O52" i="3"/>
  <c r="V52" i="3"/>
  <c r="E53" i="3"/>
  <c r="F53" i="3"/>
  <c r="I53" i="3"/>
  <c r="J53" i="3"/>
  <c r="K53" i="3"/>
  <c r="L53" i="3"/>
  <c r="M53" i="3"/>
  <c r="N53" i="3"/>
  <c r="O53" i="3"/>
  <c r="V53" i="3"/>
  <c r="E54" i="3"/>
  <c r="F54" i="3"/>
  <c r="I54" i="3"/>
  <c r="J54" i="3"/>
  <c r="K54" i="3"/>
  <c r="L54" i="3"/>
  <c r="M54" i="3"/>
  <c r="N54" i="3"/>
  <c r="O54" i="3"/>
  <c r="V54" i="3"/>
  <c r="E55" i="3"/>
  <c r="F55" i="3"/>
  <c r="I55" i="3"/>
  <c r="J55" i="3"/>
  <c r="K55" i="3"/>
  <c r="L55" i="3"/>
  <c r="M55" i="3"/>
  <c r="N55" i="3"/>
  <c r="O55" i="3"/>
  <c r="V55" i="3"/>
  <c r="E56" i="3"/>
  <c r="F56" i="3"/>
  <c r="I56" i="3"/>
  <c r="J56" i="3"/>
  <c r="K56" i="3"/>
  <c r="L56" i="3"/>
  <c r="M56" i="3"/>
  <c r="N56" i="3"/>
  <c r="O56" i="3"/>
  <c r="V56" i="3"/>
  <c r="E57" i="3"/>
  <c r="F57" i="3"/>
  <c r="I57" i="3"/>
  <c r="J57" i="3"/>
  <c r="K57" i="3"/>
  <c r="L57" i="3"/>
  <c r="M57" i="3"/>
  <c r="N57" i="3"/>
  <c r="O57" i="3"/>
  <c r="V57" i="3"/>
  <c r="E58" i="3"/>
  <c r="F58" i="3"/>
  <c r="I58" i="3"/>
  <c r="J58" i="3"/>
  <c r="K58" i="3"/>
  <c r="L58" i="3"/>
  <c r="M58" i="3"/>
  <c r="N58" i="3"/>
  <c r="O58" i="3"/>
  <c r="V58" i="3"/>
  <c r="E59" i="3"/>
  <c r="F59" i="3"/>
  <c r="I59" i="3"/>
  <c r="J59" i="3"/>
  <c r="K59" i="3"/>
  <c r="L59" i="3"/>
  <c r="M59" i="3"/>
  <c r="N59" i="3"/>
  <c r="O59" i="3"/>
  <c r="V59" i="3"/>
  <c r="E60" i="3"/>
  <c r="F60" i="3"/>
  <c r="I60" i="3"/>
  <c r="J60" i="3"/>
  <c r="K60" i="3"/>
  <c r="L60" i="3"/>
  <c r="M60" i="3"/>
  <c r="N60" i="3"/>
  <c r="O60" i="3"/>
  <c r="V60" i="3"/>
  <c r="E61" i="3"/>
  <c r="F61" i="3"/>
  <c r="I61" i="3"/>
  <c r="J61" i="3"/>
  <c r="K61" i="3"/>
  <c r="L61" i="3"/>
  <c r="M61" i="3"/>
  <c r="N61" i="3"/>
  <c r="O61" i="3"/>
  <c r="V61" i="3"/>
  <c r="E62" i="3"/>
  <c r="F62" i="3"/>
  <c r="I62" i="3"/>
  <c r="J62" i="3"/>
  <c r="K62" i="3"/>
  <c r="L62" i="3"/>
  <c r="M62" i="3"/>
  <c r="N62" i="3"/>
  <c r="O62" i="3"/>
  <c r="V62" i="3"/>
  <c r="E63" i="3"/>
  <c r="F63" i="3"/>
  <c r="I63" i="3"/>
  <c r="J63" i="3"/>
  <c r="K63" i="3"/>
  <c r="L63" i="3"/>
  <c r="M63" i="3"/>
  <c r="N63" i="3"/>
  <c r="O63" i="3"/>
  <c r="V63" i="3"/>
  <c r="E64" i="3"/>
  <c r="F64" i="3"/>
  <c r="I64" i="3"/>
  <c r="J64" i="3"/>
  <c r="K64" i="3"/>
  <c r="L64" i="3"/>
  <c r="M64" i="3"/>
  <c r="N64" i="3"/>
  <c r="O64" i="3"/>
  <c r="V64" i="3"/>
  <c r="E65" i="3"/>
  <c r="F65" i="3"/>
  <c r="I65" i="3"/>
  <c r="J65" i="3"/>
  <c r="K65" i="3"/>
  <c r="L65" i="3"/>
  <c r="M65" i="3"/>
  <c r="N65" i="3"/>
  <c r="O65" i="3"/>
  <c r="V65" i="3"/>
  <c r="E66" i="3"/>
  <c r="F66" i="3"/>
  <c r="I66" i="3"/>
  <c r="J66" i="3"/>
  <c r="K66" i="3"/>
  <c r="L66" i="3"/>
  <c r="M66" i="3"/>
  <c r="N66" i="3"/>
  <c r="O66" i="3"/>
  <c r="V66" i="3"/>
  <c r="E67" i="3"/>
  <c r="F67" i="3"/>
  <c r="I67" i="3"/>
  <c r="J67" i="3"/>
  <c r="K67" i="3"/>
  <c r="L67" i="3"/>
  <c r="M67" i="3"/>
  <c r="N67" i="3"/>
  <c r="O67" i="3"/>
  <c r="V67" i="3"/>
  <c r="E68" i="3"/>
  <c r="F68" i="3"/>
  <c r="I68" i="3"/>
  <c r="J68" i="3"/>
  <c r="K68" i="3"/>
  <c r="L68" i="3"/>
  <c r="M68" i="3"/>
  <c r="N68" i="3"/>
  <c r="O68" i="3"/>
  <c r="V68" i="3"/>
  <c r="E69" i="3"/>
  <c r="F69" i="3"/>
  <c r="I69" i="3"/>
  <c r="J69" i="3"/>
  <c r="K69" i="3"/>
  <c r="L69" i="3"/>
  <c r="M69" i="3"/>
  <c r="N69" i="3"/>
  <c r="O69" i="3"/>
  <c r="V69" i="3"/>
  <c r="E70" i="3"/>
  <c r="F70" i="3"/>
  <c r="I70" i="3"/>
  <c r="J70" i="3"/>
  <c r="K70" i="3"/>
  <c r="L70" i="3"/>
  <c r="M70" i="3"/>
  <c r="N70" i="3"/>
  <c r="O70" i="3"/>
  <c r="V70" i="3"/>
  <c r="E71" i="3"/>
  <c r="F71" i="3"/>
  <c r="I71" i="3"/>
  <c r="J71" i="3"/>
  <c r="K71" i="3"/>
  <c r="L71" i="3"/>
  <c r="M71" i="3"/>
  <c r="N71" i="3"/>
  <c r="O71" i="3"/>
  <c r="V71" i="3"/>
  <c r="E72" i="3"/>
  <c r="F72" i="3"/>
  <c r="I72" i="3"/>
  <c r="J72" i="3"/>
  <c r="K72" i="3"/>
  <c r="L72" i="3"/>
  <c r="M72" i="3"/>
  <c r="N72" i="3"/>
  <c r="O72" i="3"/>
  <c r="V72" i="3"/>
  <c r="E73" i="3"/>
  <c r="F73" i="3"/>
  <c r="I73" i="3"/>
  <c r="J73" i="3"/>
  <c r="K73" i="3"/>
  <c r="L73" i="3"/>
  <c r="M73" i="3"/>
  <c r="N73" i="3"/>
  <c r="O73" i="3"/>
  <c r="V73" i="3"/>
  <c r="E74" i="3"/>
  <c r="F74" i="3"/>
  <c r="I74" i="3"/>
  <c r="J74" i="3"/>
  <c r="K74" i="3"/>
  <c r="L74" i="3"/>
  <c r="M74" i="3"/>
  <c r="N74" i="3"/>
  <c r="O74" i="3"/>
  <c r="V74" i="3"/>
  <c r="E75" i="3"/>
  <c r="F75" i="3"/>
  <c r="I75" i="3"/>
  <c r="J75" i="3"/>
  <c r="K75" i="3"/>
  <c r="L75" i="3"/>
  <c r="M75" i="3"/>
  <c r="N75" i="3"/>
  <c r="O75" i="3"/>
  <c r="V75" i="3"/>
  <c r="E76" i="3"/>
  <c r="F76" i="3"/>
  <c r="I76" i="3"/>
  <c r="J76" i="3"/>
  <c r="K76" i="3"/>
  <c r="L76" i="3"/>
  <c r="M76" i="3"/>
  <c r="N76" i="3"/>
  <c r="O76" i="3"/>
  <c r="V76" i="3"/>
  <c r="E77" i="3"/>
  <c r="F77" i="3"/>
  <c r="I77" i="3"/>
  <c r="J77" i="3"/>
  <c r="K77" i="3"/>
  <c r="L77" i="3"/>
  <c r="M77" i="3"/>
  <c r="N77" i="3"/>
  <c r="O77" i="3"/>
  <c r="V77" i="3"/>
  <c r="E78" i="3"/>
  <c r="F78" i="3"/>
  <c r="I78" i="3"/>
  <c r="J78" i="3"/>
  <c r="K78" i="3"/>
  <c r="L78" i="3"/>
  <c r="M78" i="3"/>
  <c r="N78" i="3"/>
  <c r="O78" i="3"/>
  <c r="V78" i="3"/>
  <c r="E79" i="3"/>
  <c r="F79" i="3"/>
  <c r="I79" i="3"/>
  <c r="J79" i="3"/>
  <c r="K79" i="3"/>
  <c r="L79" i="3"/>
  <c r="M79" i="3"/>
  <c r="N79" i="3"/>
  <c r="O79" i="3"/>
  <c r="V79" i="3"/>
  <c r="E80" i="3"/>
  <c r="F80" i="3"/>
  <c r="I80" i="3"/>
  <c r="J80" i="3"/>
  <c r="K80" i="3"/>
  <c r="L80" i="3"/>
  <c r="M80" i="3"/>
  <c r="N80" i="3"/>
  <c r="O80" i="3"/>
  <c r="V80" i="3"/>
  <c r="E81" i="3"/>
  <c r="F81" i="3"/>
  <c r="I81" i="3"/>
  <c r="J81" i="3"/>
  <c r="K81" i="3"/>
  <c r="L81" i="3"/>
  <c r="M81" i="3"/>
  <c r="N81" i="3"/>
  <c r="O81" i="3"/>
  <c r="V81" i="3"/>
  <c r="E82" i="3"/>
  <c r="F82" i="3"/>
  <c r="I82" i="3"/>
  <c r="J82" i="3"/>
  <c r="K82" i="3"/>
  <c r="L82" i="3"/>
  <c r="M82" i="3"/>
  <c r="N82" i="3"/>
  <c r="O82" i="3"/>
  <c r="V82" i="3"/>
  <c r="E83" i="3"/>
  <c r="F83" i="3"/>
  <c r="I83" i="3"/>
  <c r="J83" i="3"/>
  <c r="K83" i="3"/>
  <c r="L83" i="3"/>
  <c r="M83" i="3"/>
  <c r="N83" i="3"/>
  <c r="O83" i="3"/>
  <c r="V83" i="3"/>
  <c r="E84" i="3"/>
  <c r="F84" i="3"/>
  <c r="I84" i="3"/>
  <c r="J84" i="3"/>
  <c r="K84" i="3"/>
  <c r="L84" i="3"/>
  <c r="M84" i="3"/>
  <c r="N84" i="3"/>
  <c r="O84" i="3"/>
  <c r="V84" i="3"/>
  <c r="E85" i="3"/>
  <c r="F85" i="3"/>
  <c r="I85" i="3"/>
  <c r="J85" i="3"/>
  <c r="K85" i="3"/>
  <c r="L85" i="3"/>
  <c r="M85" i="3"/>
  <c r="N85" i="3"/>
  <c r="O85" i="3"/>
  <c r="V85" i="3"/>
  <c r="E86" i="3"/>
  <c r="F86" i="3"/>
  <c r="I86" i="3"/>
  <c r="J86" i="3"/>
  <c r="K86" i="3"/>
  <c r="L86" i="3"/>
  <c r="M86" i="3"/>
  <c r="N86" i="3"/>
  <c r="O86" i="3"/>
  <c r="V86" i="3"/>
  <c r="E87" i="3"/>
  <c r="F87" i="3"/>
  <c r="I87" i="3"/>
  <c r="J87" i="3"/>
  <c r="K87" i="3"/>
  <c r="L87" i="3"/>
  <c r="M87" i="3"/>
  <c r="N87" i="3"/>
  <c r="O87" i="3"/>
  <c r="V87" i="3"/>
  <c r="E88" i="3"/>
  <c r="F88" i="3"/>
  <c r="I88" i="3"/>
  <c r="J88" i="3"/>
  <c r="K88" i="3"/>
  <c r="L88" i="3"/>
  <c r="M88" i="3"/>
  <c r="N88" i="3"/>
  <c r="O88" i="3"/>
  <c r="V88" i="3"/>
  <c r="E89" i="3"/>
  <c r="F89" i="3"/>
  <c r="I89" i="3"/>
  <c r="J89" i="3"/>
  <c r="K89" i="3"/>
  <c r="L89" i="3"/>
  <c r="M89" i="3"/>
  <c r="N89" i="3"/>
  <c r="O89" i="3"/>
  <c r="V89" i="3"/>
  <c r="E90" i="3"/>
  <c r="F90" i="3"/>
  <c r="I90" i="3"/>
  <c r="J90" i="3"/>
  <c r="K90" i="3"/>
  <c r="L90" i="3"/>
  <c r="M90" i="3"/>
  <c r="N90" i="3"/>
  <c r="O90" i="3"/>
  <c r="V90" i="3"/>
  <c r="E91" i="3"/>
  <c r="F91" i="3"/>
  <c r="I91" i="3"/>
  <c r="J91" i="3"/>
  <c r="K91" i="3"/>
  <c r="L91" i="3"/>
  <c r="M91" i="3"/>
  <c r="N91" i="3"/>
  <c r="O91" i="3"/>
  <c r="V91" i="3"/>
  <c r="E92" i="3"/>
  <c r="F92" i="3"/>
  <c r="I92" i="3"/>
  <c r="J92" i="3"/>
  <c r="K92" i="3"/>
  <c r="L92" i="3"/>
  <c r="M92" i="3"/>
  <c r="N92" i="3"/>
  <c r="O92" i="3"/>
  <c r="V92" i="3"/>
  <c r="E93" i="3"/>
  <c r="F93" i="3"/>
  <c r="I93" i="3"/>
  <c r="J93" i="3"/>
  <c r="K93" i="3"/>
  <c r="L93" i="3"/>
  <c r="M93" i="3"/>
  <c r="N93" i="3"/>
  <c r="O93" i="3"/>
  <c r="V93" i="3"/>
  <c r="E94" i="3"/>
  <c r="F94" i="3"/>
  <c r="I94" i="3"/>
  <c r="J94" i="3"/>
  <c r="K94" i="3"/>
  <c r="L94" i="3"/>
  <c r="M94" i="3"/>
  <c r="N94" i="3"/>
  <c r="O94" i="3"/>
  <c r="V94" i="3"/>
  <c r="E95" i="3"/>
  <c r="F95" i="3"/>
  <c r="I95" i="3"/>
  <c r="J95" i="3"/>
  <c r="K95" i="3"/>
  <c r="L95" i="3"/>
  <c r="M95" i="3"/>
  <c r="N95" i="3"/>
  <c r="O95" i="3"/>
  <c r="V95" i="3"/>
  <c r="E96" i="3"/>
  <c r="F96" i="3"/>
  <c r="I96" i="3"/>
  <c r="J96" i="3"/>
  <c r="K96" i="3"/>
  <c r="L96" i="3"/>
  <c r="M96" i="3"/>
  <c r="N96" i="3"/>
  <c r="O96" i="3"/>
  <c r="V96" i="3"/>
  <c r="E97" i="3"/>
  <c r="F97" i="3"/>
  <c r="I97" i="3"/>
  <c r="J97" i="3"/>
  <c r="K97" i="3"/>
  <c r="L97" i="3"/>
  <c r="M97" i="3"/>
  <c r="N97" i="3"/>
  <c r="O97" i="3"/>
  <c r="V97" i="3"/>
  <c r="E98" i="3"/>
  <c r="F98" i="3"/>
  <c r="I98" i="3"/>
  <c r="J98" i="3"/>
  <c r="K98" i="3"/>
  <c r="L98" i="3"/>
  <c r="M98" i="3"/>
  <c r="N98" i="3"/>
  <c r="O98" i="3"/>
  <c r="V98" i="3"/>
  <c r="E99" i="3"/>
  <c r="F99" i="3"/>
  <c r="I99" i="3"/>
  <c r="J99" i="3"/>
  <c r="K99" i="3"/>
  <c r="L99" i="3"/>
  <c r="M99" i="3"/>
  <c r="N99" i="3"/>
  <c r="O99" i="3"/>
  <c r="V99" i="3"/>
  <c r="E100" i="3"/>
  <c r="F100" i="3"/>
  <c r="I100" i="3"/>
  <c r="J100" i="3"/>
  <c r="K100" i="3"/>
  <c r="L100" i="3"/>
  <c r="M100" i="3"/>
  <c r="N100" i="3"/>
  <c r="O100" i="3"/>
  <c r="V100" i="3"/>
  <c r="E101" i="3"/>
  <c r="F101" i="3"/>
  <c r="I101" i="3"/>
  <c r="J101" i="3"/>
  <c r="K101" i="3"/>
  <c r="L101" i="3"/>
  <c r="M101" i="3"/>
  <c r="N101" i="3"/>
  <c r="O101" i="3"/>
  <c r="V101" i="3"/>
  <c r="E102" i="3"/>
  <c r="F102" i="3"/>
  <c r="I102" i="3"/>
  <c r="J102" i="3"/>
  <c r="K102" i="3"/>
  <c r="L102" i="3"/>
  <c r="M102" i="3"/>
  <c r="N102" i="3"/>
  <c r="O102" i="3"/>
  <c r="V102" i="3"/>
  <c r="E103" i="3"/>
  <c r="F103" i="3"/>
  <c r="I103" i="3"/>
  <c r="J103" i="3"/>
  <c r="K103" i="3"/>
  <c r="L103" i="3"/>
  <c r="M103" i="3"/>
  <c r="N103" i="3"/>
  <c r="O103" i="3"/>
  <c r="V103" i="3"/>
  <c r="E104" i="3"/>
  <c r="F104" i="3"/>
  <c r="I104" i="3"/>
  <c r="J104" i="3"/>
  <c r="K104" i="3"/>
  <c r="L104" i="3"/>
  <c r="M104" i="3"/>
  <c r="N104" i="3"/>
  <c r="O104" i="3"/>
  <c r="V104" i="3"/>
  <c r="E105" i="3"/>
  <c r="F105" i="3"/>
  <c r="I105" i="3"/>
  <c r="J105" i="3"/>
  <c r="K105" i="3"/>
  <c r="L105" i="3"/>
  <c r="M105" i="3"/>
  <c r="N105" i="3"/>
  <c r="O105" i="3"/>
  <c r="V105" i="3"/>
  <c r="E106" i="3"/>
  <c r="F106" i="3"/>
  <c r="I106" i="3"/>
  <c r="J106" i="3"/>
  <c r="K106" i="3"/>
  <c r="L106" i="3"/>
  <c r="M106" i="3"/>
  <c r="N106" i="3"/>
  <c r="O106" i="3"/>
  <c r="V106" i="3"/>
  <c r="E107" i="3"/>
  <c r="F107" i="3"/>
  <c r="I107" i="3"/>
  <c r="J107" i="3"/>
  <c r="K107" i="3"/>
  <c r="L107" i="3"/>
  <c r="M107" i="3"/>
  <c r="N107" i="3"/>
  <c r="O107" i="3"/>
  <c r="V107" i="3"/>
  <c r="E108" i="3"/>
  <c r="F108" i="3"/>
  <c r="I108" i="3"/>
  <c r="J108" i="3"/>
  <c r="K108" i="3"/>
  <c r="L108" i="3"/>
  <c r="M108" i="3"/>
  <c r="N108" i="3"/>
  <c r="O108" i="3"/>
  <c r="V108" i="3"/>
  <c r="E109" i="3"/>
  <c r="F109" i="3"/>
  <c r="I109" i="3"/>
  <c r="J109" i="3"/>
  <c r="K109" i="3"/>
  <c r="L109" i="3"/>
  <c r="M109" i="3"/>
  <c r="N109" i="3"/>
  <c r="O109" i="3"/>
  <c r="V109" i="3"/>
  <c r="E110" i="3"/>
  <c r="F110" i="3"/>
  <c r="I110" i="3"/>
  <c r="J110" i="3"/>
  <c r="K110" i="3"/>
  <c r="L110" i="3"/>
  <c r="M110" i="3"/>
  <c r="N110" i="3"/>
  <c r="O110" i="3"/>
  <c r="V110" i="3"/>
  <c r="E111" i="3"/>
  <c r="F111" i="3"/>
  <c r="I111" i="3"/>
  <c r="J111" i="3"/>
  <c r="K111" i="3"/>
  <c r="L111" i="3"/>
  <c r="M111" i="3"/>
  <c r="N111" i="3"/>
  <c r="O111" i="3"/>
  <c r="V111" i="3"/>
  <c r="E112" i="3"/>
  <c r="F112" i="3"/>
  <c r="I112" i="3"/>
  <c r="J112" i="3"/>
  <c r="K112" i="3"/>
  <c r="L112" i="3"/>
  <c r="M112" i="3"/>
  <c r="N112" i="3"/>
  <c r="O112" i="3"/>
  <c r="V112" i="3"/>
  <c r="E113" i="3"/>
  <c r="F113" i="3"/>
  <c r="I113" i="3"/>
  <c r="J113" i="3"/>
  <c r="K113" i="3"/>
  <c r="L113" i="3"/>
  <c r="M113" i="3"/>
  <c r="N113" i="3"/>
  <c r="O113" i="3"/>
  <c r="V113" i="3"/>
  <c r="E114" i="3"/>
  <c r="F114" i="3"/>
  <c r="I114" i="3"/>
  <c r="J114" i="3"/>
  <c r="K114" i="3"/>
  <c r="L114" i="3"/>
  <c r="M114" i="3"/>
  <c r="N114" i="3"/>
  <c r="O114" i="3"/>
  <c r="V114" i="3"/>
  <c r="E115" i="3"/>
  <c r="F115" i="3"/>
  <c r="I115" i="3"/>
  <c r="J115" i="3"/>
  <c r="K115" i="3"/>
  <c r="L115" i="3"/>
  <c r="M115" i="3"/>
  <c r="N115" i="3"/>
  <c r="O115" i="3"/>
  <c r="V115" i="3"/>
  <c r="E116" i="3"/>
  <c r="F116" i="3"/>
  <c r="I116" i="3"/>
  <c r="J116" i="3"/>
  <c r="K116" i="3"/>
  <c r="L116" i="3"/>
  <c r="M116" i="3"/>
  <c r="N116" i="3"/>
  <c r="O116" i="3"/>
  <c r="V116" i="3"/>
  <c r="E117" i="3"/>
  <c r="F117" i="3"/>
  <c r="I117" i="3"/>
  <c r="J117" i="3"/>
  <c r="K117" i="3"/>
  <c r="L117" i="3"/>
  <c r="M117" i="3"/>
  <c r="N117" i="3"/>
  <c r="O117" i="3"/>
  <c r="V117" i="3"/>
  <c r="E118" i="3"/>
  <c r="F118" i="3"/>
  <c r="I118" i="3"/>
  <c r="J118" i="3"/>
  <c r="K118" i="3"/>
  <c r="L118" i="3"/>
  <c r="M118" i="3"/>
  <c r="N118" i="3"/>
  <c r="O118" i="3"/>
  <c r="V118" i="3"/>
  <c r="E119" i="3"/>
  <c r="F119" i="3"/>
  <c r="I119" i="3"/>
  <c r="J119" i="3"/>
  <c r="K119" i="3"/>
  <c r="L119" i="3"/>
  <c r="M119" i="3"/>
  <c r="N119" i="3"/>
  <c r="O119" i="3"/>
  <c r="V119" i="3"/>
  <c r="E120" i="3"/>
  <c r="F120" i="3"/>
  <c r="I120" i="3"/>
  <c r="J120" i="3"/>
  <c r="K120" i="3"/>
  <c r="L120" i="3"/>
  <c r="M120" i="3"/>
  <c r="N120" i="3"/>
  <c r="O120" i="3"/>
  <c r="V120" i="3"/>
  <c r="E121" i="3"/>
  <c r="F121" i="3"/>
  <c r="I121" i="3"/>
  <c r="J121" i="3"/>
  <c r="K121" i="3"/>
  <c r="L121" i="3"/>
  <c r="M121" i="3"/>
  <c r="N121" i="3"/>
  <c r="O121" i="3"/>
  <c r="V121" i="3"/>
  <c r="E122" i="3"/>
  <c r="F122" i="3"/>
  <c r="I122" i="3"/>
  <c r="J122" i="3"/>
  <c r="K122" i="3"/>
  <c r="L122" i="3"/>
  <c r="M122" i="3"/>
  <c r="N122" i="3"/>
  <c r="O122" i="3"/>
  <c r="V122" i="3"/>
  <c r="E123" i="3"/>
  <c r="F123" i="3"/>
  <c r="I123" i="3"/>
  <c r="J123" i="3"/>
  <c r="K123" i="3"/>
  <c r="L123" i="3"/>
  <c r="M123" i="3"/>
  <c r="N123" i="3"/>
  <c r="O123" i="3"/>
  <c r="V123" i="3"/>
  <c r="E124" i="3"/>
  <c r="F124" i="3"/>
  <c r="I124" i="3"/>
  <c r="J124" i="3"/>
  <c r="K124" i="3"/>
  <c r="L124" i="3"/>
  <c r="M124" i="3"/>
  <c r="N124" i="3"/>
  <c r="O124" i="3"/>
  <c r="V124" i="3"/>
  <c r="E125" i="3"/>
  <c r="F125" i="3"/>
  <c r="I125" i="3"/>
  <c r="J125" i="3"/>
  <c r="K125" i="3"/>
  <c r="L125" i="3"/>
  <c r="M125" i="3"/>
  <c r="N125" i="3"/>
  <c r="O125" i="3"/>
  <c r="V125" i="3"/>
  <c r="E126" i="3"/>
  <c r="F126" i="3"/>
  <c r="I126" i="3"/>
  <c r="J126" i="3"/>
  <c r="K126" i="3"/>
  <c r="L126" i="3"/>
  <c r="M126" i="3"/>
  <c r="N126" i="3"/>
  <c r="O126" i="3"/>
  <c r="V126" i="3"/>
  <c r="E127" i="3"/>
  <c r="F127" i="3"/>
  <c r="I127" i="3"/>
  <c r="J127" i="3"/>
  <c r="K127" i="3"/>
  <c r="L127" i="3"/>
  <c r="M127" i="3"/>
  <c r="N127" i="3"/>
  <c r="O127" i="3"/>
  <c r="V127" i="3"/>
  <c r="E128" i="3"/>
  <c r="F128" i="3"/>
  <c r="I128" i="3"/>
  <c r="J128" i="3"/>
  <c r="K128" i="3"/>
  <c r="L128" i="3"/>
  <c r="M128" i="3"/>
  <c r="N128" i="3"/>
  <c r="O128" i="3"/>
  <c r="V128" i="3"/>
  <c r="E129" i="3"/>
  <c r="F129" i="3"/>
  <c r="I129" i="3"/>
  <c r="J129" i="3"/>
  <c r="K129" i="3"/>
  <c r="L129" i="3"/>
  <c r="M129" i="3"/>
  <c r="N129" i="3"/>
  <c r="O129" i="3"/>
  <c r="V129" i="3"/>
  <c r="E130" i="3"/>
  <c r="F130" i="3"/>
  <c r="I130" i="3"/>
  <c r="J130" i="3"/>
  <c r="K130" i="3"/>
  <c r="L130" i="3"/>
  <c r="M130" i="3"/>
  <c r="N130" i="3"/>
  <c r="O130" i="3"/>
  <c r="V130" i="3"/>
  <c r="E131" i="3"/>
  <c r="F131" i="3"/>
  <c r="I131" i="3"/>
  <c r="J131" i="3"/>
  <c r="K131" i="3"/>
  <c r="L131" i="3"/>
  <c r="M131" i="3"/>
  <c r="N131" i="3"/>
  <c r="O131" i="3"/>
  <c r="V131" i="3"/>
  <c r="E132" i="3"/>
  <c r="F132" i="3"/>
  <c r="I132" i="3"/>
  <c r="J132" i="3"/>
  <c r="K132" i="3"/>
  <c r="L132" i="3"/>
  <c r="M132" i="3"/>
  <c r="N132" i="3"/>
  <c r="O132" i="3"/>
  <c r="V132" i="3"/>
  <c r="E133" i="3"/>
  <c r="F133" i="3"/>
  <c r="I133" i="3"/>
  <c r="J133" i="3"/>
  <c r="K133" i="3"/>
  <c r="L133" i="3"/>
  <c r="M133" i="3"/>
  <c r="N133" i="3"/>
  <c r="O133" i="3"/>
  <c r="V133" i="3"/>
  <c r="E134" i="3"/>
  <c r="F134" i="3"/>
  <c r="I134" i="3"/>
  <c r="J134" i="3"/>
  <c r="K134" i="3"/>
  <c r="L134" i="3"/>
  <c r="M134" i="3"/>
  <c r="N134" i="3"/>
  <c r="O134" i="3"/>
  <c r="V134" i="3"/>
  <c r="E135" i="3"/>
  <c r="F135" i="3"/>
  <c r="I135" i="3"/>
  <c r="J135" i="3"/>
  <c r="K135" i="3"/>
  <c r="L135" i="3"/>
  <c r="M135" i="3"/>
  <c r="N135" i="3"/>
  <c r="O135" i="3"/>
  <c r="V135" i="3"/>
  <c r="E136" i="3"/>
  <c r="F136" i="3"/>
  <c r="I136" i="3"/>
  <c r="J136" i="3"/>
  <c r="K136" i="3"/>
  <c r="L136" i="3"/>
  <c r="M136" i="3"/>
  <c r="N136" i="3"/>
  <c r="O136" i="3"/>
  <c r="V136" i="3"/>
  <c r="E137" i="3"/>
  <c r="F137" i="3"/>
  <c r="I137" i="3"/>
  <c r="J137" i="3"/>
  <c r="K137" i="3"/>
  <c r="L137" i="3"/>
  <c r="M137" i="3"/>
  <c r="N137" i="3"/>
  <c r="O137" i="3"/>
  <c r="V137" i="3"/>
  <c r="E138" i="3"/>
  <c r="F138" i="3"/>
  <c r="I138" i="3"/>
  <c r="J138" i="3"/>
  <c r="K138" i="3"/>
  <c r="L138" i="3"/>
  <c r="M138" i="3"/>
  <c r="N138" i="3"/>
  <c r="O138" i="3"/>
  <c r="V138" i="3"/>
  <c r="E139" i="3"/>
  <c r="F139" i="3"/>
  <c r="I139" i="3"/>
  <c r="J139" i="3"/>
  <c r="K139" i="3"/>
  <c r="L139" i="3"/>
  <c r="M139" i="3"/>
  <c r="N139" i="3"/>
  <c r="O139" i="3"/>
  <c r="V139" i="3"/>
  <c r="E140" i="3"/>
  <c r="F140" i="3"/>
  <c r="I140" i="3"/>
  <c r="J140" i="3"/>
  <c r="K140" i="3"/>
  <c r="L140" i="3"/>
  <c r="M140" i="3"/>
  <c r="N140" i="3"/>
  <c r="O140" i="3"/>
  <c r="V140" i="3"/>
  <c r="E141" i="3"/>
  <c r="F141" i="3"/>
  <c r="I141" i="3"/>
  <c r="J141" i="3"/>
  <c r="K141" i="3"/>
  <c r="L141" i="3"/>
  <c r="M141" i="3"/>
  <c r="N141" i="3"/>
  <c r="O141" i="3"/>
  <c r="V141" i="3"/>
  <c r="E142" i="3"/>
  <c r="F142" i="3"/>
  <c r="I142" i="3"/>
  <c r="J142" i="3"/>
  <c r="K142" i="3"/>
  <c r="L142" i="3"/>
  <c r="M142" i="3"/>
  <c r="N142" i="3"/>
  <c r="O142" i="3"/>
  <c r="V142" i="3"/>
  <c r="E143" i="3"/>
  <c r="F143" i="3"/>
  <c r="I143" i="3"/>
  <c r="J143" i="3"/>
  <c r="K143" i="3"/>
  <c r="L143" i="3"/>
  <c r="M143" i="3"/>
  <c r="N143" i="3"/>
  <c r="O143" i="3"/>
  <c r="V143" i="3"/>
  <c r="E144" i="3"/>
  <c r="F144" i="3"/>
  <c r="I144" i="3"/>
  <c r="J144" i="3"/>
  <c r="K144" i="3"/>
  <c r="L144" i="3"/>
  <c r="M144" i="3"/>
  <c r="N144" i="3"/>
  <c r="O144" i="3"/>
  <c r="V144" i="3"/>
  <c r="E145" i="3"/>
  <c r="F145" i="3"/>
  <c r="I145" i="3"/>
  <c r="J145" i="3"/>
  <c r="K145" i="3"/>
  <c r="L145" i="3"/>
  <c r="M145" i="3"/>
  <c r="N145" i="3"/>
  <c r="O145" i="3"/>
  <c r="V145" i="3"/>
  <c r="E146" i="3"/>
  <c r="F146" i="3"/>
  <c r="I146" i="3"/>
  <c r="J146" i="3"/>
  <c r="K146" i="3"/>
  <c r="L146" i="3"/>
  <c r="M146" i="3"/>
  <c r="N146" i="3"/>
  <c r="O146" i="3"/>
  <c r="V146" i="3"/>
  <c r="E147" i="3"/>
  <c r="F147" i="3"/>
  <c r="I147" i="3"/>
  <c r="J147" i="3"/>
  <c r="K147" i="3"/>
  <c r="L147" i="3"/>
  <c r="M147" i="3"/>
  <c r="N147" i="3"/>
  <c r="O147" i="3"/>
  <c r="V147" i="3"/>
  <c r="E148" i="3"/>
  <c r="F148" i="3"/>
  <c r="I148" i="3"/>
  <c r="J148" i="3"/>
  <c r="K148" i="3"/>
  <c r="L148" i="3"/>
  <c r="M148" i="3"/>
  <c r="N148" i="3"/>
  <c r="O148" i="3"/>
  <c r="V148" i="3"/>
  <c r="E149" i="3"/>
  <c r="F149" i="3"/>
  <c r="I149" i="3"/>
  <c r="J149" i="3"/>
  <c r="K149" i="3"/>
  <c r="L149" i="3"/>
  <c r="M149" i="3"/>
  <c r="N149" i="3"/>
  <c r="O149" i="3"/>
  <c r="V149" i="3"/>
  <c r="E150" i="3"/>
  <c r="F150" i="3"/>
  <c r="I150" i="3"/>
  <c r="J150" i="3"/>
  <c r="K150" i="3"/>
  <c r="L150" i="3"/>
  <c r="M150" i="3"/>
  <c r="N150" i="3"/>
  <c r="O150" i="3"/>
  <c r="V150" i="3"/>
  <c r="E151" i="3"/>
  <c r="F151" i="3"/>
  <c r="I151" i="3"/>
  <c r="J151" i="3"/>
  <c r="K151" i="3"/>
  <c r="L151" i="3"/>
  <c r="M151" i="3"/>
  <c r="N151" i="3"/>
  <c r="O151" i="3"/>
  <c r="V151" i="3"/>
  <c r="E152" i="3"/>
  <c r="F152" i="3"/>
  <c r="I152" i="3"/>
  <c r="J152" i="3"/>
  <c r="K152" i="3"/>
  <c r="L152" i="3"/>
  <c r="M152" i="3"/>
  <c r="N152" i="3"/>
  <c r="O152" i="3"/>
  <c r="V152" i="3"/>
  <c r="E153" i="3"/>
  <c r="F153" i="3"/>
  <c r="I153" i="3"/>
  <c r="J153" i="3"/>
  <c r="K153" i="3"/>
  <c r="L153" i="3"/>
  <c r="M153" i="3"/>
  <c r="N153" i="3"/>
  <c r="O153" i="3"/>
  <c r="V153" i="3"/>
  <c r="E154" i="3"/>
  <c r="F154" i="3"/>
  <c r="I154" i="3"/>
  <c r="J154" i="3"/>
  <c r="K154" i="3"/>
  <c r="L154" i="3"/>
  <c r="M154" i="3"/>
  <c r="N154" i="3"/>
  <c r="O154" i="3"/>
  <c r="V154" i="3"/>
  <c r="E155" i="3"/>
  <c r="F155" i="3"/>
  <c r="I155" i="3"/>
  <c r="J155" i="3"/>
  <c r="K155" i="3"/>
  <c r="L155" i="3"/>
  <c r="M155" i="3"/>
  <c r="N155" i="3"/>
  <c r="O155" i="3"/>
  <c r="V155" i="3"/>
  <c r="E156" i="3"/>
  <c r="F156" i="3"/>
  <c r="I156" i="3"/>
  <c r="J156" i="3"/>
  <c r="K156" i="3"/>
  <c r="L156" i="3"/>
  <c r="M156" i="3"/>
  <c r="N156" i="3"/>
  <c r="O156" i="3"/>
  <c r="V156" i="3"/>
  <c r="E157" i="3"/>
  <c r="F157" i="3"/>
  <c r="I157" i="3"/>
  <c r="J157" i="3"/>
  <c r="K157" i="3"/>
  <c r="L157" i="3"/>
  <c r="M157" i="3"/>
  <c r="N157" i="3"/>
  <c r="O157" i="3"/>
  <c r="V157" i="3"/>
  <c r="E158" i="3"/>
  <c r="F158" i="3"/>
  <c r="I158" i="3"/>
  <c r="J158" i="3"/>
  <c r="K158" i="3"/>
  <c r="L158" i="3"/>
  <c r="M158" i="3"/>
  <c r="N158" i="3"/>
  <c r="O158" i="3"/>
  <c r="V158" i="3"/>
  <c r="E159" i="3"/>
  <c r="F159" i="3"/>
  <c r="I159" i="3"/>
  <c r="J159" i="3"/>
  <c r="K159" i="3"/>
  <c r="L159" i="3"/>
  <c r="M159" i="3"/>
  <c r="N159" i="3"/>
  <c r="O159" i="3"/>
  <c r="V159" i="3"/>
  <c r="E160" i="3"/>
  <c r="F160" i="3"/>
  <c r="I160" i="3"/>
  <c r="J160" i="3"/>
  <c r="K160" i="3"/>
  <c r="L160" i="3"/>
  <c r="M160" i="3"/>
  <c r="N160" i="3"/>
  <c r="O160" i="3"/>
  <c r="V160" i="3"/>
  <c r="E161" i="3"/>
  <c r="F161" i="3"/>
  <c r="I161" i="3"/>
  <c r="J161" i="3"/>
  <c r="K161" i="3"/>
  <c r="L161" i="3"/>
  <c r="M161" i="3"/>
  <c r="N161" i="3"/>
  <c r="O161" i="3"/>
  <c r="V161" i="3"/>
  <c r="E162" i="3"/>
  <c r="F162" i="3"/>
  <c r="I162" i="3"/>
  <c r="J162" i="3"/>
  <c r="K162" i="3"/>
  <c r="L162" i="3"/>
  <c r="M162" i="3"/>
  <c r="N162" i="3"/>
  <c r="O162" i="3"/>
  <c r="V162" i="3"/>
  <c r="E163" i="3"/>
  <c r="F163" i="3"/>
  <c r="I163" i="3"/>
  <c r="J163" i="3"/>
  <c r="K163" i="3"/>
  <c r="L163" i="3"/>
  <c r="M163" i="3"/>
  <c r="N163" i="3"/>
  <c r="O163" i="3"/>
  <c r="V163" i="3"/>
  <c r="E164" i="3"/>
  <c r="F164" i="3"/>
  <c r="I164" i="3"/>
  <c r="J164" i="3"/>
  <c r="K164" i="3"/>
  <c r="L164" i="3"/>
  <c r="M164" i="3"/>
  <c r="N164" i="3"/>
  <c r="O164" i="3"/>
  <c r="V164" i="3"/>
  <c r="E165" i="3"/>
  <c r="F165" i="3"/>
  <c r="I165" i="3"/>
  <c r="J165" i="3"/>
  <c r="K165" i="3"/>
  <c r="L165" i="3"/>
  <c r="M165" i="3"/>
  <c r="N165" i="3"/>
  <c r="O165" i="3"/>
  <c r="V165" i="3"/>
  <c r="E166" i="3"/>
  <c r="F166" i="3"/>
  <c r="I166" i="3"/>
  <c r="J166" i="3"/>
  <c r="K166" i="3"/>
  <c r="L166" i="3"/>
  <c r="M166" i="3"/>
  <c r="N166" i="3"/>
  <c r="O166" i="3"/>
  <c r="V166" i="3"/>
  <c r="E167" i="3"/>
  <c r="F167" i="3"/>
  <c r="I167" i="3"/>
  <c r="J167" i="3"/>
  <c r="K167" i="3"/>
  <c r="L167" i="3"/>
  <c r="M167" i="3"/>
  <c r="N167" i="3"/>
  <c r="O167" i="3"/>
  <c r="V167" i="3"/>
  <c r="E168" i="3"/>
  <c r="F168" i="3"/>
  <c r="I168" i="3"/>
  <c r="J168" i="3"/>
  <c r="K168" i="3"/>
  <c r="L168" i="3"/>
  <c r="M168" i="3"/>
  <c r="N168" i="3"/>
  <c r="O168" i="3"/>
  <c r="V168" i="3"/>
  <c r="E169" i="3"/>
  <c r="F169" i="3"/>
  <c r="I169" i="3"/>
  <c r="J169" i="3"/>
  <c r="K169" i="3"/>
  <c r="L169" i="3"/>
  <c r="M169" i="3"/>
  <c r="N169" i="3"/>
  <c r="O169" i="3"/>
  <c r="V169" i="3"/>
  <c r="E170" i="3"/>
  <c r="F170" i="3"/>
  <c r="I170" i="3"/>
  <c r="J170" i="3"/>
  <c r="K170" i="3"/>
  <c r="L170" i="3"/>
  <c r="M170" i="3"/>
  <c r="N170" i="3"/>
  <c r="O170" i="3"/>
  <c r="V170" i="3"/>
  <c r="E171" i="3"/>
  <c r="F171" i="3"/>
  <c r="I171" i="3"/>
  <c r="J171" i="3"/>
  <c r="K171" i="3"/>
  <c r="L171" i="3"/>
  <c r="M171" i="3"/>
  <c r="N171" i="3"/>
  <c r="O171" i="3"/>
  <c r="V171" i="3"/>
  <c r="E172" i="3"/>
  <c r="F172" i="3"/>
  <c r="I172" i="3"/>
  <c r="J172" i="3"/>
  <c r="K172" i="3"/>
  <c r="L172" i="3"/>
  <c r="M172" i="3"/>
  <c r="N172" i="3"/>
  <c r="O172" i="3"/>
  <c r="V172" i="3"/>
  <c r="E173" i="3"/>
  <c r="F173" i="3"/>
  <c r="I173" i="3"/>
  <c r="J173" i="3"/>
  <c r="K173" i="3"/>
  <c r="L173" i="3"/>
  <c r="M173" i="3"/>
  <c r="N173" i="3"/>
  <c r="O173" i="3"/>
  <c r="V173" i="3"/>
  <c r="E174" i="3"/>
  <c r="F174" i="3"/>
  <c r="I174" i="3"/>
  <c r="J174" i="3"/>
  <c r="K174" i="3"/>
  <c r="L174" i="3"/>
  <c r="M174" i="3"/>
  <c r="N174" i="3"/>
  <c r="O174" i="3"/>
  <c r="V174" i="3"/>
  <c r="E175" i="3"/>
  <c r="F175" i="3"/>
  <c r="I175" i="3"/>
  <c r="J175" i="3"/>
  <c r="K175" i="3"/>
  <c r="L175" i="3"/>
  <c r="M175" i="3"/>
  <c r="N175" i="3"/>
  <c r="O175" i="3"/>
  <c r="V175" i="3"/>
  <c r="E176" i="3"/>
  <c r="F176" i="3"/>
  <c r="I176" i="3"/>
  <c r="J176" i="3"/>
  <c r="K176" i="3"/>
  <c r="L176" i="3"/>
  <c r="M176" i="3"/>
  <c r="N176" i="3"/>
  <c r="O176" i="3"/>
  <c r="V176" i="3"/>
  <c r="E177" i="3"/>
  <c r="F177" i="3"/>
  <c r="I177" i="3"/>
  <c r="J177" i="3"/>
  <c r="K177" i="3"/>
  <c r="L177" i="3"/>
  <c r="M177" i="3"/>
  <c r="N177" i="3"/>
  <c r="O177" i="3"/>
  <c r="V177" i="3"/>
  <c r="E178" i="3"/>
  <c r="F178" i="3"/>
  <c r="I178" i="3"/>
  <c r="J178" i="3"/>
  <c r="K178" i="3"/>
  <c r="L178" i="3"/>
  <c r="M178" i="3"/>
  <c r="N178" i="3"/>
  <c r="O178" i="3"/>
  <c r="V178" i="3"/>
  <c r="E179" i="3"/>
  <c r="F179" i="3"/>
  <c r="I179" i="3"/>
  <c r="J179" i="3"/>
  <c r="K179" i="3"/>
  <c r="L179" i="3"/>
  <c r="M179" i="3"/>
  <c r="N179" i="3"/>
  <c r="O179" i="3"/>
  <c r="V179" i="3"/>
  <c r="E180" i="3"/>
  <c r="F180" i="3"/>
  <c r="I180" i="3"/>
  <c r="J180" i="3"/>
  <c r="K180" i="3"/>
  <c r="L180" i="3"/>
  <c r="M180" i="3"/>
  <c r="N180" i="3"/>
  <c r="O180" i="3"/>
  <c r="V180" i="3"/>
  <c r="E181" i="3"/>
  <c r="F181" i="3"/>
  <c r="I181" i="3"/>
  <c r="J181" i="3"/>
  <c r="K181" i="3"/>
  <c r="L181" i="3"/>
  <c r="M181" i="3"/>
  <c r="N181" i="3"/>
  <c r="O181" i="3"/>
  <c r="V181" i="3"/>
  <c r="E182" i="3"/>
  <c r="F182" i="3"/>
  <c r="I182" i="3"/>
  <c r="J182" i="3"/>
  <c r="K182" i="3"/>
  <c r="L182" i="3"/>
  <c r="M182" i="3"/>
  <c r="N182" i="3"/>
  <c r="O182" i="3"/>
  <c r="V182" i="3"/>
  <c r="E183" i="3"/>
  <c r="F183" i="3"/>
  <c r="I183" i="3"/>
  <c r="J183" i="3"/>
  <c r="K183" i="3"/>
  <c r="L183" i="3"/>
  <c r="M183" i="3"/>
  <c r="N183" i="3"/>
  <c r="O183" i="3"/>
  <c r="V183" i="3"/>
  <c r="E184" i="3"/>
  <c r="F184" i="3"/>
  <c r="I184" i="3"/>
  <c r="J184" i="3"/>
  <c r="K184" i="3"/>
  <c r="L184" i="3"/>
  <c r="M184" i="3"/>
  <c r="N184" i="3"/>
  <c r="O184" i="3"/>
  <c r="V184" i="3"/>
  <c r="E185" i="3"/>
  <c r="F185" i="3"/>
  <c r="I185" i="3"/>
  <c r="J185" i="3"/>
  <c r="K185" i="3"/>
  <c r="L185" i="3"/>
  <c r="M185" i="3"/>
  <c r="N185" i="3"/>
  <c r="O185" i="3"/>
  <c r="V185" i="3"/>
  <c r="E186" i="3"/>
  <c r="F186" i="3"/>
  <c r="I186" i="3"/>
  <c r="J186" i="3"/>
  <c r="K186" i="3"/>
  <c r="L186" i="3"/>
  <c r="M186" i="3"/>
  <c r="N186" i="3"/>
  <c r="O186" i="3"/>
  <c r="V186" i="3"/>
  <c r="E187" i="3"/>
  <c r="F187" i="3"/>
  <c r="I187" i="3"/>
  <c r="J187" i="3"/>
  <c r="K187" i="3"/>
  <c r="L187" i="3"/>
  <c r="M187" i="3"/>
  <c r="N187" i="3"/>
  <c r="O187" i="3"/>
  <c r="V187" i="3"/>
  <c r="E188" i="3"/>
  <c r="F188" i="3"/>
  <c r="I188" i="3"/>
  <c r="J188" i="3"/>
  <c r="K188" i="3"/>
  <c r="L188" i="3"/>
  <c r="M188" i="3"/>
  <c r="N188" i="3"/>
  <c r="O188" i="3"/>
  <c r="V188" i="3"/>
  <c r="E189" i="3"/>
  <c r="F189" i="3"/>
  <c r="I189" i="3"/>
  <c r="J189" i="3"/>
  <c r="K189" i="3"/>
  <c r="L189" i="3"/>
  <c r="M189" i="3"/>
  <c r="N189" i="3"/>
  <c r="O189" i="3"/>
  <c r="V189" i="3"/>
  <c r="E190" i="3"/>
  <c r="F190" i="3"/>
  <c r="I190" i="3"/>
  <c r="J190" i="3"/>
  <c r="K190" i="3"/>
  <c r="L190" i="3"/>
  <c r="M190" i="3"/>
  <c r="N190" i="3"/>
  <c r="O190" i="3"/>
  <c r="V190" i="3"/>
  <c r="E191" i="3"/>
  <c r="F191" i="3"/>
  <c r="I191" i="3"/>
  <c r="J191" i="3"/>
  <c r="K191" i="3"/>
  <c r="L191" i="3"/>
  <c r="M191" i="3"/>
  <c r="N191" i="3"/>
  <c r="O191" i="3"/>
  <c r="V191" i="3"/>
  <c r="E192" i="3"/>
  <c r="F192" i="3"/>
  <c r="I192" i="3"/>
  <c r="J192" i="3"/>
  <c r="K192" i="3"/>
  <c r="L192" i="3"/>
  <c r="M192" i="3"/>
  <c r="N192" i="3"/>
  <c r="O192" i="3"/>
  <c r="V192" i="3"/>
  <c r="E193" i="3"/>
  <c r="F193" i="3"/>
  <c r="I193" i="3"/>
  <c r="J193" i="3"/>
  <c r="K193" i="3"/>
  <c r="L193" i="3"/>
  <c r="M193" i="3"/>
  <c r="N193" i="3"/>
  <c r="O193" i="3"/>
  <c r="V193" i="3"/>
  <c r="E194" i="3"/>
  <c r="F194" i="3"/>
  <c r="I194" i="3"/>
  <c r="J194" i="3"/>
  <c r="K194" i="3"/>
  <c r="L194" i="3"/>
  <c r="M194" i="3"/>
  <c r="N194" i="3"/>
  <c r="O194" i="3"/>
  <c r="V194" i="3"/>
  <c r="E195" i="3"/>
  <c r="F195" i="3"/>
  <c r="I195" i="3"/>
  <c r="J195" i="3"/>
  <c r="K195" i="3"/>
  <c r="L195" i="3"/>
  <c r="M195" i="3"/>
  <c r="N195" i="3"/>
  <c r="O195" i="3"/>
  <c r="V195" i="3"/>
  <c r="E196" i="3"/>
  <c r="F196" i="3"/>
  <c r="I196" i="3"/>
  <c r="J196" i="3"/>
  <c r="K196" i="3"/>
  <c r="L196" i="3"/>
  <c r="M196" i="3"/>
  <c r="N196" i="3"/>
  <c r="O196" i="3"/>
  <c r="V196" i="3"/>
  <c r="E197" i="3"/>
  <c r="F197" i="3"/>
  <c r="I197" i="3"/>
  <c r="J197" i="3"/>
  <c r="K197" i="3"/>
  <c r="L197" i="3"/>
  <c r="M197" i="3"/>
  <c r="N197" i="3"/>
  <c r="O197" i="3"/>
  <c r="V197" i="3"/>
  <c r="E198" i="3"/>
  <c r="F198" i="3"/>
  <c r="I198" i="3"/>
  <c r="J198" i="3"/>
  <c r="K198" i="3"/>
  <c r="L198" i="3"/>
  <c r="M198" i="3"/>
  <c r="N198" i="3"/>
  <c r="O198" i="3"/>
  <c r="V198" i="3"/>
  <c r="E199" i="3"/>
  <c r="F199" i="3"/>
  <c r="I199" i="3"/>
  <c r="J199" i="3"/>
  <c r="K199" i="3"/>
  <c r="L199" i="3"/>
  <c r="M199" i="3"/>
  <c r="N199" i="3"/>
  <c r="O199" i="3"/>
  <c r="V199" i="3"/>
  <c r="E200" i="3"/>
  <c r="F200" i="3"/>
  <c r="I200" i="3"/>
  <c r="J200" i="3"/>
  <c r="K200" i="3"/>
  <c r="L200" i="3"/>
  <c r="M200" i="3"/>
  <c r="N200" i="3"/>
  <c r="O200" i="3"/>
  <c r="V200" i="3"/>
  <c r="E201" i="3"/>
  <c r="F201" i="3"/>
  <c r="I201" i="3"/>
  <c r="J201" i="3"/>
  <c r="K201" i="3"/>
  <c r="L201" i="3"/>
  <c r="M201" i="3"/>
  <c r="N201" i="3"/>
  <c r="O201" i="3"/>
  <c r="V201" i="3"/>
  <c r="E202" i="3"/>
  <c r="F202" i="3"/>
  <c r="I202" i="3"/>
  <c r="J202" i="3"/>
  <c r="K202" i="3"/>
  <c r="L202" i="3"/>
  <c r="M202" i="3"/>
  <c r="N202" i="3"/>
  <c r="O202" i="3"/>
  <c r="V202" i="3"/>
  <c r="E203" i="3"/>
  <c r="F203" i="3"/>
  <c r="I203" i="3"/>
  <c r="J203" i="3"/>
  <c r="K203" i="3"/>
  <c r="L203" i="3"/>
  <c r="M203" i="3"/>
  <c r="N203" i="3"/>
  <c r="O203" i="3"/>
  <c r="V203" i="3"/>
  <c r="E204" i="3"/>
  <c r="F204" i="3"/>
  <c r="I204" i="3"/>
  <c r="J204" i="3"/>
  <c r="K204" i="3"/>
  <c r="L204" i="3"/>
  <c r="M204" i="3"/>
  <c r="N204" i="3"/>
  <c r="O204" i="3"/>
  <c r="V204" i="3"/>
  <c r="E205" i="3"/>
  <c r="F205" i="3"/>
  <c r="I205" i="3"/>
  <c r="J205" i="3"/>
  <c r="K205" i="3"/>
  <c r="L205" i="3"/>
  <c r="M205" i="3"/>
  <c r="N205" i="3"/>
  <c r="O205" i="3"/>
  <c r="V205" i="3"/>
  <c r="E206" i="3"/>
  <c r="F206" i="3"/>
  <c r="I206" i="3"/>
  <c r="J206" i="3"/>
  <c r="K206" i="3"/>
  <c r="L206" i="3"/>
  <c r="M206" i="3"/>
  <c r="N206" i="3"/>
  <c r="O206" i="3"/>
  <c r="V206" i="3"/>
  <c r="E207" i="3"/>
  <c r="F207" i="3"/>
  <c r="I207" i="3"/>
  <c r="J207" i="3"/>
  <c r="K207" i="3"/>
  <c r="L207" i="3"/>
  <c r="M207" i="3"/>
  <c r="N207" i="3"/>
  <c r="O207" i="3"/>
  <c r="V207" i="3"/>
  <c r="E208" i="3"/>
  <c r="F208" i="3"/>
  <c r="I208" i="3"/>
  <c r="J208" i="3"/>
  <c r="K208" i="3"/>
  <c r="L208" i="3"/>
  <c r="M208" i="3"/>
  <c r="N208" i="3"/>
  <c r="O208" i="3"/>
  <c r="V208" i="3"/>
  <c r="E209" i="3"/>
  <c r="F209" i="3"/>
  <c r="I209" i="3"/>
  <c r="J209" i="3"/>
  <c r="K209" i="3"/>
  <c r="L209" i="3"/>
  <c r="M209" i="3"/>
  <c r="N209" i="3"/>
  <c r="O209" i="3"/>
  <c r="V209" i="3"/>
  <c r="E210" i="3"/>
  <c r="F210" i="3"/>
  <c r="I210" i="3"/>
  <c r="J210" i="3"/>
  <c r="K210" i="3"/>
  <c r="L210" i="3"/>
  <c r="M210" i="3"/>
  <c r="N210" i="3"/>
  <c r="O210" i="3"/>
  <c r="V210" i="3"/>
  <c r="E211" i="3"/>
  <c r="F211" i="3"/>
  <c r="I211" i="3"/>
  <c r="J211" i="3"/>
  <c r="K211" i="3"/>
  <c r="L211" i="3"/>
  <c r="M211" i="3"/>
  <c r="N211" i="3"/>
  <c r="O211" i="3"/>
  <c r="V211" i="3"/>
  <c r="E212" i="3"/>
  <c r="F212" i="3"/>
  <c r="I212" i="3"/>
  <c r="J212" i="3"/>
  <c r="K212" i="3"/>
  <c r="L212" i="3"/>
  <c r="M212" i="3"/>
  <c r="N212" i="3"/>
  <c r="O212" i="3"/>
  <c r="V212" i="3"/>
  <c r="E213" i="3"/>
  <c r="F213" i="3"/>
  <c r="I213" i="3"/>
  <c r="J213" i="3"/>
  <c r="K213" i="3"/>
  <c r="L213" i="3"/>
  <c r="M213" i="3"/>
  <c r="N213" i="3"/>
  <c r="O213" i="3"/>
  <c r="V213" i="3"/>
  <c r="E214" i="3"/>
  <c r="F214" i="3"/>
  <c r="I214" i="3"/>
  <c r="J214" i="3"/>
  <c r="K214" i="3"/>
  <c r="L214" i="3"/>
  <c r="M214" i="3"/>
  <c r="N214" i="3"/>
  <c r="O214" i="3"/>
  <c r="V214" i="3"/>
  <c r="E215" i="3"/>
  <c r="F215" i="3"/>
  <c r="I215" i="3"/>
  <c r="J215" i="3"/>
  <c r="K215" i="3"/>
  <c r="L215" i="3"/>
  <c r="M215" i="3"/>
  <c r="N215" i="3"/>
  <c r="O215" i="3"/>
  <c r="V215" i="3"/>
  <c r="E216" i="3"/>
  <c r="F216" i="3"/>
  <c r="I216" i="3"/>
  <c r="J216" i="3"/>
  <c r="K216" i="3"/>
  <c r="L216" i="3"/>
  <c r="M216" i="3"/>
  <c r="N216" i="3"/>
  <c r="O216" i="3"/>
  <c r="V216" i="3"/>
  <c r="E217" i="3"/>
  <c r="F217" i="3"/>
  <c r="I217" i="3"/>
  <c r="J217" i="3"/>
  <c r="K217" i="3"/>
  <c r="L217" i="3"/>
  <c r="M217" i="3"/>
  <c r="N217" i="3"/>
  <c r="O217" i="3"/>
  <c r="V217" i="3"/>
  <c r="E218" i="3"/>
  <c r="F218" i="3"/>
  <c r="I218" i="3"/>
  <c r="J218" i="3"/>
  <c r="K218" i="3"/>
  <c r="L218" i="3"/>
  <c r="M218" i="3"/>
  <c r="N218" i="3"/>
  <c r="O218" i="3"/>
  <c r="V218" i="3"/>
  <c r="E219" i="3"/>
  <c r="F219" i="3"/>
  <c r="I219" i="3"/>
  <c r="J219" i="3"/>
  <c r="K219" i="3"/>
  <c r="L219" i="3"/>
  <c r="M219" i="3"/>
  <c r="N219" i="3"/>
  <c r="O219" i="3"/>
  <c r="V219" i="3"/>
  <c r="E220" i="3"/>
  <c r="F220" i="3"/>
  <c r="I220" i="3"/>
  <c r="J220" i="3"/>
  <c r="K220" i="3"/>
  <c r="L220" i="3"/>
  <c r="M220" i="3"/>
  <c r="N220" i="3"/>
  <c r="O220" i="3"/>
  <c r="V220" i="3"/>
  <c r="E221" i="3"/>
  <c r="F221" i="3"/>
  <c r="I221" i="3"/>
  <c r="J221" i="3"/>
  <c r="K221" i="3"/>
  <c r="L221" i="3"/>
  <c r="M221" i="3"/>
  <c r="N221" i="3"/>
  <c r="O221" i="3"/>
  <c r="V221" i="3"/>
  <c r="E222" i="3"/>
  <c r="F222" i="3"/>
  <c r="I222" i="3"/>
  <c r="J222" i="3"/>
  <c r="K222" i="3"/>
  <c r="L222" i="3"/>
  <c r="M222" i="3"/>
  <c r="N222" i="3"/>
  <c r="O222" i="3"/>
  <c r="V222" i="3"/>
  <c r="E223" i="3"/>
  <c r="F223" i="3"/>
  <c r="I223" i="3"/>
  <c r="J223" i="3"/>
  <c r="K223" i="3"/>
  <c r="L223" i="3"/>
  <c r="M223" i="3"/>
  <c r="N223" i="3"/>
  <c r="O223" i="3"/>
  <c r="V223" i="3"/>
  <c r="E224" i="3"/>
  <c r="F224" i="3"/>
  <c r="I224" i="3"/>
  <c r="J224" i="3"/>
  <c r="K224" i="3"/>
  <c r="L224" i="3"/>
  <c r="M224" i="3"/>
  <c r="N224" i="3"/>
  <c r="O224" i="3"/>
  <c r="V224" i="3"/>
  <c r="E225" i="3"/>
  <c r="F225" i="3"/>
  <c r="I225" i="3"/>
  <c r="J225" i="3"/>
  <c r="K225" i="3"/>
  <c r="L225" i="3"/>
  <c r="M225" i="3"/>
  <c r="N225" i="3"/>
  <c r="O225" i="3"/>
  <c r="V225" i="3"/>
  <c r="E226" i="3"/>
  <c r="F226" i="3"/>
  <c r="I226" i="3"/>
  <c r="J226" i="3"/>
  <c r="K226" i="3"/>
  <c r="L226" i="3"/>
  <c r="M226" i="3"/>
  <c r="N226" i="3"/>
  <c r="O226" i="3"/>
  <c r="V226" i="3"/>
  <c r="E227" i="3"/>
  <c r="F227" i="3"/>
  <c r="I227" i="3"/>
  <c r="J227" i="3"/>
  <c r="K227" i="3"/>
  <c r="L227" i="3"/>
  <c r="M227" i="3"/>
  <c r="N227" i="3"/>
  <c r="O227" i="3"/>
  <c r="V227" i="3"/>
  <c r="E228" i="3"/>
  <c r="F228" i="3"/>
  <c r="I228" i="3"/>
  <c r="J228" i="3"/>
  <c r="K228" i="3"/>
  <c r="L228" i="3"/>
  <c r="M228" i="3"/>
  <c r="N228" i="3"/>
  <c r="O228" i="3"/>
  <c r="V228" i="3"/>
  <c r="E229" i="3"/>
  <c r="F229" i="3"/>
  <c r="I229" i="3"/>
  <c r="J229" i="3"/>
  <c r="K229" i="3"/>
  <c r="L229" i="3"/>
  <c r="M229" i="3"/>
  <c r="N229" i="3"/>
  <c r="O229" i="3"/>
  <c r="V229" i="3"/>
  <c r="E230" i="3"/>
  <c r="F230" i="3"/>
  <c r="I230" i="3"/>
  <c r="J230" i="3"/>
  <c r="K230" i="3"/>
  <c r="L230" i="3"/>
  <c r="M230" i="3"/>
  <c r="N230" i="3"/>
  <c r="O230" i="3"/>
  <c r="V230" i="3"/>
  <c r="E231" i="3"/>
  <c r="F231" i="3"/>
  <c r="I231" i="3"/>
  <c r="J231" i="3"/>
  <c r="K231" i="3"/>
  <c r="L231" i="3"/>
  <c r="M231" i="3"/>
  <c r="N231" i="3"/>
  <c r="O231" i="3"/>
  <c r="V231" i="3"/>
  <c r="E232" i="3"/>
  <c r="F232" i="3"/>
  <c r="I232" i="3"/>
  <c r="J232" i="3"/>
  <c r="K232" i="3"/>
  <c r="L232" i="3"/>
  <c r="M232" i="3"/>
  <c r="N232" i="3"/>
  <c r="O232" i="3"/>
  <c r="V232" i="3"/>
  <c r="E233" i="3"/>
  <c r="F233" i="3"/>
  <c r="I233" i="3"/>
  <c r="J233" i="3"/>
  <c r="K233" i="3"/>
  <c r="L233" i="3"/>
  <c r="M233" i="3"/>
  <c r="N233" i="3"/>
  <c r="O233" i="3"/>
  <c r="V233" i="3"/>
  <c r="E234" i="3"/>
  <c r="F234" i="3"/>
  <c r="I234" i="3"/>
  <c r="J234" i="3"/>
  <c r="K234" i="3"/>
  <c r="L234" i="3"/>
  <c r="M234" i="3"/>
  <c r="N234" i="3"/>
  <c r="O234" i="3"/>
  <c r="V234" i="3"/>
  <c r="E235" i="3"/>
  <c r="F235" i="3"/>
  <c r="I235" i="3"/>
  <c r="J235" i="3"/>
  <c r="K235" i="3"/>
  <c r="L235" i="3"/>
  <c r="M235" i="3"/>
  <c r="N235" i="3"/>
  <c r="O235" i="3"/>
  <c r="V235" i="3"/>
  <c r="E236" i="3"/>
  <c r="F236" i="3"/>
  <c r="I236" i="3"/>
  <c r="J236" i="3"/>
  <c r="K236" i="3"/>
  <c r="L236" i="3"/>
  <c r="M236" i="3"/>
  <c r="N236" i="3"/>
  <c r="O236" i="3"/>
  <c r="V236" i="3"/>
  <c r="E237" i="3"/>
  <c r="F237" i="3"/>
  <c r="I237" i="3"/>
  <c r="J237" i="3"/>
  <c r="K237" i="3"/>
  <c r="L237" i="3"/>
  <c r="M237" i="3"/>
  <c r="N237" i="3"/>
  <c r="O237" i="3"/>
  <c r="V237" i="3"/>
  <c r="E238" i="3"/>
  <c r="F238" i="3"/>
  <c r="I238" i="3"/>
  <c r="J238" i="3"/>
  <c r="K238" i="3"/>
  <c r="L238" i="3"/>
  <c r="M238" i="3"/>
  <c r="N238" i="3"/>
  <c r="O238" i="3"/>
  <c r="V238" i="3"/>
  <c r="E239" i="3"/>
  <c r="F239" i="3"/>
  <c r="I239" i="3"/>
  <c r="J239" i="3"/>
  <c r="K239" i="3"/>
  <c r="L239" i="3"/>
  <c r="M239" i="3"/>
  <c r="N239" i="3"/>
  <c r="O239" i="3"/>
  <c r="V239" i="3"/>
  <c r="E240" i="3"/>
  <c r="F240" i="3"/>
  <c r="I240" i="3"/>
  <c r="J240" i="3"/>
  <c r="K240" i="3"/>
  <c r="L240" i="3"/>
  <c r="M240" i="3"/>
  <c r="N240" i="3"/>
  <c r="O240" i="3"/>
  <c r="V240" i="3"/>
  <c r="E241" i="3"/>
  <c r="F241" i="3"/>
  <c r="I241" i="3"/>
  <c r="J241" i="3"/>
  <c r="K241" i="3"/>
  <c r="L241" i="3"/>
  <c r="M241" i="3"/>
  <c r="N241" i="3"/>
  <c r="O241" i="3"/>
  <c r="V241" i="3"/>
  <c r="E242" i="3"/>
  <c r="F242" i="3"/>
  <c r="I242" i="3"/>
  <c r="J242" i="3"/>
  <c r="K242" i="3"/>
  <c r="L242" i="3"/>
  <c r="M242" i="3"/>
  <c r="N242" i="3"/>
  <c r="O242" i="3"/>
  <c r="V242" i="3"/>
  <c r="E243" i="3"/>
  <c r="F243" i="3"/>
  <c r="I243" i="3"/>
  <c r="J243" i="3"/>
  <c r="K243" i="3"/>
  <c r="L243" i="3"/>
  <c r="M243" i="3"/>
  <c r="N243" i="3"/>
  <c r="O243" i="3"/>
  <c r="V243" i="3"/>
  <c r="E244" i="3"/>
  <c r="F244" i="3"/>
  <c r="I244" i="3"/>
  <c r="J244" i="3"/>
  <c r="K244" i="3"/>
  <c r="L244" i="3"/>
  <c r="M244" i="3"/>
  <c r="N244" i="3"/>
  <c r="O244" i="3"/>
  <c r="V244" i="3"/>
  <c r="E245" i="3"/>
  <c r="F245" i="3"/>
  <c r="I245" i="3"/>
  <c r="J245" i="3"/>
  <c r="K245" i="3"/>
  <c r="L245" i="3"/>
  <c r="M245" i="3"/>
  <c r="N245" i="3"/>
  <c r="O245" i="3"/>
  <c r="V245" i="3"/>
  <c r="E246" i="3"/>
  <c r="F246" i="3"/>
  <c r="I246" i="3"/>
  <c r="J246" i="3"/>
  <c r="K246" i="3"/>
  <c r="L246" i="3"/>
  <c r="M246" i="3"/>
  <c r="N246" i="3"/>
  <c r="O246" i="3"/>
  <c r="V246" i="3"/>
  <c r="E247" i="3"/>
  <c r="F247" i="3"/>
  <c r="I247" i="3"/>
  <c r="J247" i="3"/>
  <c r="K247" i="3"/>
  <c r="L247" i="3"/>
  <c r="M247" i="3"/>
  <c r="N247" i="3"/>
  <c r="O247" i="3"/>
  <c r="V247" i="3"/>
  <c r="E248" i="3"/>
  <c r="F248" i="3"/>
  <c r="I248" i="3"/>
  <c r="J248" i="3"/>
  <c r="K248" i="3"/>
  <c r="L248" i="3"/>
  <c r="M248" i="3"/>
  <c r="N248" i="3"/>
  <c r="O248" i="3"/>
  <c r="V248" i="3"/>
  <c r="E249" i="3"/>
  <c r="F249" i="3"/>
  <c r="I249" i="3"/>
  <c r="J249" i="3"/>
  <c r="K249" i="3"/>
  <c r="L249" i="3"/>
  <c r="M249" i="3"/>
  <c r="N249" i="3"/>
  <c r="O249" i="3"/>
  <c r="V249" i="3"/>
  <c r="E250" i="3"/>
  <c r="F250" i="3"/>
  <c r="I250" i="3"/>
  <c r="J250" i="3"/>
  <c r="K250" i="3"/>
  <c r="L250" i="3"/>
  <c r="M250" i="3"/>
  <c r="N250" i="3"/>
  <c r="O250" i="3"/>
  <c r="V250" i="3"/>
  <c r="E251" i="3"/>
  <c r="F251" i="3"/>
  <c r="I251" i="3"/>
  <c r="J251" i="3"/>
  <c r="K251" i="3"/>
  <c r="L251" i="3"/>
  <c r="M251" i="3"/>
  <c r="N251" i="3"/>
  <c r="O251" i="3"/>
  <c r="V251" i="3"/>
  <c r="E252" i="3"/>
  <c r="F252" i="3"/>
  <c r="I252" i="3"/>
  <c r="J252" i="3"/>
  <c r="K252" i="3"/>
  <c r="L252" i="3"/>
  <c r="M252" i="3"/>
  <c r="N252" i="3"/>
  <c r="O252" i="3"/>
  <c r="V252" i="3"/>
  <c r="E253" i="3"/>
  <c r="F253" i="3"/>
  <c r="I253" i="3"/>
  <c r="J253" i="3"/>
  <c r="K253" i="3"/>
  <c r="L253" i="3"/>
  <c r="M253" i="3"/>
  <c r="N253" i="3"/>
  <c r="O253" i="3"/>
  <c r="V253" i="3"/>
  <c r="E254" i="3"/>
  <c r="F254" i="3"/>
  <c r="I254" i="3"/>
  <c r="J254" i="3"/>
  <c r="K254" i="3"/>
  <c r="L254" i="3"/>
  <c r="M254" i="3"/>
  <c r="N254" i="3"/>
  <c r="O254" i="3"/>
  <c r="V254" i="3"/>
  <c r="E255" i="3"/>
  <c r="F255" i="3"/>
  <c r="I255" i="3"/>
  <c r="J255" i="3"/>
  <c r="K255" i="3"/>
  <c r="L255" i="3"/>
  <c r="M255" i="3"/>
  <c r="N255" i="3"/>
  <c r="O255" i="3"/>
  <c r="V255" i="3"/>
  <c r="E256" i="3"/>
  <c r="F256" i="3"/>
  <c r="I256" i="3"/>
  <c r="J256" i="3"/>
  <c r="K256" i="3"/>
  <c r="L256" i="3"/>
  <c r="M256" i="3"/>
  <c r="N256" i="3"/>
  <c r="O256" i="3"/>
  <c r="V256" i="3"/>
  <c r="E257" i="3"/>
  <c r="F257" i="3"/>
  <c r="I257" i="3"/>
  <c r="J257" i="3"/>
  <c r="K257" i="3"/>
  <c r="L257" i="3"/>
  <c r="M257" i="3"/>
  <c r="N257" i="3"/>
  <c r="O257" i="3"/>
  <c r="V257" i="3"/>
  <c r="E258" i="3"/>
  <c r="F258" i="3"/>
  <c r="I258" i="3"/>
  <c r="J258" i="3"/>
  <c r="K258" i="3"/>
  <c r="L258" i="3"/>
  <c r="M258" i="3"/>
  <c r="N258" i="3"/>
  <c r="O258" i="3"/>
  <c r="V258" i="3"/>
  <c r="E259" i="3"/>
  <c r="F259" i="3"/>
  <c r="I259" i="3"/>
  <c r="J259" i="3"/>
  <c r="K259" i="3"/>
  <c r="L259" i="3"/>
  <c r="M259" i="3"/>
  <c r="N259" i="3"/>
  <c r="O259" i="3"/>
  <c r="V259" i="3"/>
  <c r="E260" i="3"/>
  <c r="F260" i="3"/>
  <c r="I260" i="3"/>
  <c r="J260" i="3"/>
  <c r="K260" i="3"/>
  <c r="L260" i="3"/>
  <c r="M260" i="3"/>
  <c r="N260" i="3"/>
  <c r="O260" i="3"/>
  <c r="V260" i="3"/>
  <c r="E261" i="3"/>
  <c r="F261" i="3"/>
  <c r="I261" i="3"/>
  <c r="J261" i="3"/>
  <c r="K261" i="3"/>
  <c r="L261" i="3"/>
  <c r="M261" i="3"/>
  <c r="N261" i="3"/>
  <c r="O261" i="3"/>
  <c r="V261" i="3"/>
  <c r="E262" i="3"/>
  <c r="F262" i="3"/>
  <c r="I262" i="3"/>
  <c r="J262" i="3"/>
  <c r="K262" i="3"/>
  <c r="L262" i="3"/>
  <c r="M262" i="3"/>
  <c r="N262" i="3"/>
  <c r="O262" i="3"/>
  <c r="V262" i="3"/>
  <c r="E263" i="3"/>
  <c r="F263" i="3"/>
  <c r="I263" i="3"/>
  <c r="J263" i="3"/>
  <c r="K263" i="3"/>
  <c r="L263" i="3"/>
  <c r="M263" i="3"/>
  <c r="N263" i="3"/>
  <c r="O263" i="3"/>
  <c r="V263" i="3"/>
  <c r="E264" i="3"/>
  <c r="F264" i="3"/>
  <c r="I264" i="3"/>
  <c r="J264" i="3"/>
  <c r="K264" i="3"/>
  <c r="L264" i="3"/>
  <c r="M264" i="3"/>
  <c r="N264" i="3"/>
  <c r="O264" i="3"/>
  <c r="V264" i="3"/>
  <c r="E265" i="3"/>
  <c r="F265" i="3"/>
  <c r="I265" i="3"/>
  <c r="J265" i="3"/>
  <c r="K265" i="3"/>
  <c r="L265" i="3"/>
  <c r="M265" i="3"/>
  <c r="N265" i="3"/>
  <c r="O265" i="3"/>
  <c r="V265" i="3"/>
  <c r="E266" i="3"/>
  <c r="F266" i="3"/>
  <c r="I266" i="3"/>
  <c r="J266" i="3"/>
  <c r="K266" i="3"/>
  <c r="L266" i="3"/>
  <c r="M266" i="3"/>
  <c r="N266" i="3"/>
  <c r="O266" i="3"/>
  <c r="V266" i="3"/>
  <c r="E267" i="3"/>
  <c r="F267" i="3"/>
  <c r="I267" i="3"/>
  <c r="J267" i="3"/>
  <c r="K267" i="3"/>
  <c r="L267" i="3"/>
  <c r="M267" i="3"/>
  <c r="N267" i="3"/>
  <c r="O267" i="3"/>
  <c r="V267" i="3"/>
  <c r="E268" i="3"/>
  <c r="F268" i="3"/>
  <c r="I268" i="3"/>
  <c r="J268" i="3"/>
  <c r="K268" i="3"/>
  <c r="L268" i="3"/>
  <c r="M268" i="3"/>
  <c r="N268" i="3"/>
  <c r="O268" i="3"/>
  <c r="V268" i="3"/>
  <c r="E269" i="3"/>
  <c r="F269" i="3"/>
  <c r="I269" i="3"/>
  <c r="J269" i="3"/>
  <c r="K269" i="3"/>
  <c r="L269" i="3"/>
  <c r="M269" i="3"/>
  <c r="N269" i="3"/>
  <c r="O269" i="3"/>
  <c r="V269" i="3"/>
  <c r="E270" i="3"/>
  <c r="F270" i="3"/>
  <c r="I270" i="3"/>
  <c r="J270" i="3"/>
  <c r="K270" i="3"/>
  <c r="L270" i="3"/>
  <c r="M270" i="3"/>
  <c r="N270" i="3"/>
  <c r="O270" i="3"/>
  <c r="V270" i="3"/>
  <c r="E271" i="3"/>
  <c r="F271" i="3"/>
  <c r="I271" i="3"/>
  <c r="J271" i="3"/>
  <c r="K271" i="3"/>
  <c r="L271" i="3"/>
  <c r="M271" i="3"/>
  <c r="N271" i="3"/>
  <c r="O271" i="3"/>
  <c r="V271" i="3"/>
  <c r="E272" i="3"/>
  <c r="F272" i="3"/>
  <c r="I272" i="3"/>
  <c r="J272" i="3"/>
  <c r="K272" i="3"/>
  <c r="L272" i="3"/>
  <c r="M272" i="3"/>
  <c r="N272" i="3"/>
  <c r="O272" i="3"/>
  <c r="V272" i="3"/>
  <c r="E273" i="3"/>
  <c r="F273" i="3"/>
  <c r="I273" i="3"/>
  <c r="J273" i="3"/>
  <c r="K273" i="3"/>
  <c r="L273" i="3"/>
  <c r="M273" i="3"/>
  <c r="N273" i="3"/>
  <c r="O273" i="3"/>
  <c r="V273" i="3"/>
  <c r="E274" i="3"/>
  <c r="F274" i="3"/>
  <c r="I274" i="3"/>
  <c r="J274" i="3"/>
  <c r="K274" i="3"/>
  <c r="L274" i="3"/>
  <c r="M274" i="3"/>
  <c r="N274" i="3"/>
  <c r="O274" i="3"/>
  <c r="V274" i="3"/>
  <c r="E275" i="3"/>
  <c r="F275" i="3"/>
  <c r="I275" i="3"/>
  <c r="J275" i="3"/>
  <c r="K275" i="3"/>
  <c r="L275" i="3"/>
  <c r="M275" i="3"/>
  <c r="N275" i="3"/>
  <c r="O275" i="3"/>
  <c r="V275" i="3"/>
  <c r="E276" i="3"/>
  <c r="F276" i="3"/>
  <c r="I276" i="3"/>
  <c r="J276" i="3"/>
  <c r="K276" i="3"/>
  <c r="L276" i="3"/>
  <c r="M276" i="3"/>
  <c r="N276" i="3"/>
  <c r="O276" i="3"/>
  <c r="V276" i="3"/>
  <c r="E277" i="3"/>
  <c r="F277" i="3"/>
  <c r="I277" i="3"/>
  <c r="J277" i="3"/>
  <c r="K277" i="3"/>
  <c r="L277" i="3"/>
  <c r="M277" i="3"/>
  <c r="N277" i="3"/>
  <c r="O277" i="3"/>
  <c r="V277" i="3"/>
  <c r="E278" i="3"/>
  <c r="F278" i="3"/>
  <c r="I278" i="3"/>
  <c r="J278" i="3"/>
  <c r="K278" i="3"/>
  <c r="L278" i="3"/>
  <c r="M278" i="3"/>
  <c r="N278" i="3"/>
  <c r="O278" i="3"/>
  <c r="V278" i="3"/>
  <c r="E279" i="3"/>
  <c r="F279" i="3"/>
  <c r="I279" i="3"/>
  <c r="J279" i="3"/>
  <c r="K279" i="3"/>
  <c r="L279" i="3"/>
  <c r="M279" i="3"/>
  <c r="N279" i="3"/>
  <c r="O279" i="3"/>
  <c r="V279" i="3"/>
  <c r="E280" i="3"/>
  <c r="F280" i="3"/>
  <c r="I280" i="3"/>
  <c r="J280" i="3"/>
  <c r="K280" i="3"/>
  <c r="L280" i="3"/>
  <c r="M280" i="3"/>
  <c r="N280" i="3"/>
  <c r="O280" i="3"/>
  <c r="V280" i="3"/>
  <c r="E281" i="3"/>
  <c r="F281" i="3"/>
  <c r="I281" i="3"/>
  <c r="J281" i="3"/>
  <c r="K281" i="3"/>
  <c r="L281" i="3"/>
  <c r="M281" i="3"/>
  <c r="N281" i="3"/>
  <c r="O281" i="3"/>
  <c r="V281" i="3"/>
  <c r="E282" i="3"/>
  <c r="F282" i="3"/>
  <c r="I282" i="3"/>
  <c r="J282" i="3"/>
  <c r="K282" i="3"/>
  <c r="L282" i="3"/>
  <c r="M282" i="3"/>
  <c r="N282" i="3"/>
  <c r="O282" i="3"/>
  <c r="V282" i="3"/>
  <c r="E283" i="3"/>
  <c r="F283" i="3"/>
  <c r="I283" i="3"/>
  <c r="J283" i="3"/>
  <c r="K283" i="3"/>
  <c r="L283" i="3"/>
  <c r="M283" i="3"/>
  <c r="N283" i="3"/>
  <c r="O283" i="3"/>
  <c r="V283" i="3"/>
  <c r="E284" i="3"/>
  <c r="F284" i="3"/>
  <c r="I284" i="3"/>
  <c r="J284" i="3"/>
  <c r="K284" i="3"/>
  <c r="L284" i="3"/>
  <c r="M284" i="3"/>
  <c r="N284" i="3"/>
  <c r="O284" i="3"/>
  <c r="V284" i="3"/>
  <c r="E285" i="3"/>
  <c r="F285" i="3"/>
  <c r="I285" i="3"/>
  <c r="J285" i="3"/>
  <c r="K285" i="3"/>
  <c r="L285" i="3"/>
  <c r="M285" i="3"/>
  <c r="N285" i="3"/>
  <c r="O285" i="3"/>
  <c r="V285" i="3"/>
  <c r="E286" i="3"/>
  <c r="F286" i="3"/>
  <c r="I286" i="3"/>
  <c r="J286" i="3"/>
  <c r="K286" i="3"/>
  <c r="L286" i="3"/>
  <c r="M286" i="3"/>
  <c r="N286" i="3"/>
  <c r="O286" i="3"/>
  <c r="V286" i="3"/>
  <c r="E287" i="3"/>
  <c r="F287" i="3"/>
  <c r="I287" i="3"/>
  <c r="J287" i="3"/>
  <c r="K287" i="3"/>
  <c r="L287" i="3"/>
  <c r="M287" i="3"/>
  <c r="N287" i="3"/>
  <c r="O287" i="3"/>
  <c r="V287" i="3"/>
  <c r="E288" i="3"/>
  <c r="F288" i="3"/>
  <c r="I288" i="3"/>
  <c r="J288" i="3"/>
  <c r="K288" i="3"/>
  <c r="L288" i="3"/>
  <c r="M288" i="3"/>
  <c r="N288" i="3"/>
  <c r="O288" i="3"/>
  <c r="V288" i="3"/>
  <c r="E289" i="3"/>
  <c r="F289" i="3"/>
  <c r="I289" i="3"/>
  <c r="J289" i="3"/>
  <c r="K289" i="3"/>
  <c r="L289" i="3"/>
  <c r="M289" i="3"/>
  <c r="N289" i="3"/>
  <c r="O289" i="3"/>
  <c r="V289" i="3"/>
  <c r="E290" i="3"/>
  <c r="F290" i="3"/>
  <c r="I290" i="3"/>
  <c r="J290" i="3"/>
  <c r="K290" i="3"/>
  <c r="L290" i="3"/>
  <c r="M290" i="3"/>
  <c r="N290" i="3"/>
  <c r="O290" i="3"/>
  <c r="V290" i="3"/>
  <c r="E291" i="3"/>
  <c r="F291" i="3"/>
  <c r="I291" i="3"/>
  <c r="J291" i="3"/>
  <c r="K291" i="3"/>
  <c r="L291" i="3"/>
  <c r="M291" i="3"/>
  <c r="N291" i="3"/>
  <c r="O291" i="3"/>
  <c r="V291" i="3"/>
  <c r="E292" i="3"/>
  <c r="F292" i="3"/>
  <c r="I292" i="3"/>
  <c r="J292" i="3"/>
  <c r="K292" i="3"/>
  <c r="L292" i="3"/>
  <c r="M292" i="3"/>
  <c r="N292" i="3"/>
  <c r="O292" i="3"/>
  <c r="V292" i="3"/>
  <c r="E293" i="3"/>
  <c r="F293" i="3"/>
  <c r="I293" i="3"/>
  <c r="J293" i="3"/>
  <c r="K293" i="3"/>
  <c r="L293" i="3"/>
  <c r="M293" i="3"/>
  <c r="N293" i="3"/>
  <c r="O293" i="3"/>
  <c r="V293" i="3"/>
  <c r="E294" i="3"/>
  <c r="F294" i="3"/>
  <c r="I294" i="3"/>
  <c r="J294" i="3"/>
  <c r="K294" i="3"/>
  <c r="L294" i="3"/>
  <c r="M294" i="3"/>
  <c r="N294" i="3"/>
  <c r="O294" i="3"/>
  <c r="V294" i="3"/>
  <c r="E295" i="3"/>
  <c r="F295" i="3"/>
  <c r="I295" i="3"/>
  <c r="J295" i="3"/>
  <c r="K295" i="3"/>
  <c r="L295" i="3"/>
  <c r="M295" i="3"/>
  <c r="N295" i="3"/>
  <c r="O295" i="3"/>
  <c r="V295" i="3"/>
  <c r="E296" i="3"/>
  <c r="F296" i="3"/>
  <c r="I296" i="3"/>
  <c r="J296" i="3"/>
  <c r="K296" i="3"/>
  <c r="L296" i="3"/>
  <c r="M296" i="3"/>
  <c r="N296" i="3"/>
  <c r="O296" i="3"/>
  <c r="V296" i="3"/>
  <c r="E297" i="3"/>
  <c r="F297" i="3"/>
  <c r="I297" i="3"/>
  <c r="J297" i="3"/>
  <c r="K297" i="3"/>
  <c r="L297" i="3"/>
  <c r="M297" i="3"/>
  <c r="N297" i="3"/>
  <c r="O297" i="3"/>
  <c r="V297" i="3"/>
  <c r="E298" i="3"/>
  <c r="F298" i="3"/>
  <c r="I298" i="3"/>
  <c r="J298" i="3"/>
  <c r="K298" i="3"/>
  <c r="L298" i="3"/>
  <c r="M298" i="3"/>
  <c r="N298" i="3"/>
  <c r="O298" i="3"/>
  <c r="V298" i="3"/>
  <c r="E299" i="3"/>
  <c r="F299" i="3"/>
  <c r="I299" i="3"/>
  <c r="J299" i="3"/>
  <c r="K299" i="3"/>
  <c r="L299" i="3"/>
  <c r="M299" i="3"/>
  <c r="N299" i="3"/>
  <c r="O299" i="3"/>
  <c r="V299" i="3"/>
  <c r="E300" i="3"/>
  <c r="F300" i="3"/>
  <c r="I300" i="3"/>
  <c r="J300" i="3"/>
  <c r="K300" i="3"/>
  <c r="L300" i="3"/>
  <c r="M300" i="3"/>
  <c r="N300" i="3"/>
  <c r="O300" i="3"/>
  <c r="V300" i="3"/>
  <c r="E301" i="3"/>
  <c r="F301" i="3"/>
  <c r="I301" i="3"/>
  <c r="J301" i="3"/>
  <c r="K301" i="3"/>
  <c r="L301" i="3"/>
  <c r="M301" i="3"/>
  <c r="N301" i="3"/>
  <c r="O301" i="3"/>
  <c r="V301" i="3"/>
  <c r="E302" i="3"/>
  <c r="F302" i="3"/>
  <c r="I302" i="3"/>
  <c r="J302" i="3"/>
  <c r="K302" i="3"/>
  <c r="L302" i="3"/>
  <c r="M302" i="3"/>
  <c r="N302" i="3"/>
  <c r="O302" i="3"/>
  <c r="V302" i="3"/>
  <c r="E303" i="3"/>
  <c r="F303" i="3"/>
  <c r="I303" i="3"/>
  <c r="J303" i="3"/>
  <c r="K303" i="3"/>
  <c r="L303" i="3"/>
  <c r="M303" i="3"/>
  <c r="N303" i="3"/>
  <c r="O303" i="3"/>
  <c r="V303" i="3"/>
  <c r="E304" i="3"/>
  <c r="F304" i="3"/>
  <c r="I304" i="3"/>
  <c r="J304" i="3"/>
  <c r="K304" i="3"/>
  <c r="L304" i="3"/>
  <c r="M304" i="3"/>
  <c r="N304" i="3"/>
  <c r="O304" i="3"/>
  <c r="V304" i="3"/>
  <c r="E305" i="3"/>
  <c r="F305" i="3"/>
  <c r="I305" i="3"/>
  <c r="J305" i="3"/>
  <c r="K305" i="3"/>
  <c r="L305" i="3"/>
  <c r="M305" i="3"/>
  <c r="N305" i="3"/>
  <c r="O305" i="3"/>
  <c r="V305" i="3"/>
  <c r="E306" i="3"/>
  <c r="F306" i="3"/>
  <c r="I306" i="3"/>
  <c r="J306" i="3"/>
  <c r="K306" i="3"/>
  <c r="L306" i="3"/>
  <c r="M306" i="3"/>
  <c r="N306" i="3"/>
  <c r="O306" i="3"/>
  <c r="V306" i="3"/>
  <c r="E307" i="3"/>
  <c r="F307" i="3"/>
  <c r="I307" i="3"/>
  <c r="J307" i="3"/>
  <c r="K307" i="3"/>
  <c r="L307" i="3"/>
  <c r="M307" i="3"/>
  <c r="N307" i="3"/>
  <c r="O307" i="3"/>
  <c r="V307" i="3"/>
  <c r="E308" i="3"/>
  <c r="F308" i="3"/>
  <c r="I308" i="3"/>
  <c r="J308" i="3"/>
  <c r="K308" i="3"/>
  <c r="L308" i="3"/>
  <c r="M308" i="3"/>
  <c r="N308" i="3"/>
  <c r="O308" i="3"/>
  <c r="V308" i="3"/>
  <c r="E309" i="3"/>
  <c r="F309" i="3"/>
  <c r="I309" i="3"/>
  <c r="J309" i="3"/>
  <c r="K309" i="3"/>
  <c r="L309" i="3"/>
  <c r="M309" i="3"/>
  <c r="N309" i="3"/>
  <c r="O309" i="3"/>
  <c r="V309" i="3"/>
  <c r="E310" i="3"/>
  <c r="F310" i="3"/>
  <c r="I310" i="3"/>
  <c r="J310" i="3"/>
  <c r="K310" i="3"/>
  <c r="L310" i="3"/>
  <c r="M310" i="3"/>
  <c r="N310" i="3"/>
  <c r="O310" i="3"/>
  <c r="V310" i="3"/>
  <c r="E311" i="3"/>
  <c r="F311" i="3"/>
  <c r="I311" i="3"/>
  <c r="J311" i="3"/>
  <c r="K311" i="3"/>
  <c r="L311" i="3"/>
  <c r="M311" i="3"/>
  <c r="N311" i="3"/>
  <c r="O311" i="3"/>
  <c r="V311" i="3"/>
  <c r="E312" i="3"/>
  <c r="F312" i="3"/>
  <c r="I312" i="3"/>
  <c r="J312" i="3"/>
  <c r="K312" i="3"/>
  <c r="L312" i="3"/>
  <c r="M312" i="3"/>
  <c r="N312" i="3"/>
  <c r="O312" i="3"/>
  <c r="V312" i="3"/>
  <c r="E313" i="3"/>
  <c r="F313" i="3"/>
  <c r="I313" i="3"/>
  <c r="J313" i="3"/>
  <c r="K313" i="3"/>
  <c r="L313" i="3"/>
  <c r="M313" i="3"/>
  <c r="N313" i="3"/>
  <c r="O313" i="3"/>
  <c r="V313" i="3"/>
  <c r="E314" i="3"/>
  <c r="F314" i="3"/>
  <c r="I314" i="3"/>
  <c r="J314" i="3"/>
  <c r="K314" i="3"/>
  <c r="L314" i="3"/>
  <c r="M314" i="3"/>
  <c r="N314" i="3"/>
  <c r="O314" i="3"/>
  <c r="V314" i="3"/>
  <c r="E315" i="3"/>
  <c r="F315" i="3"/>
  <c r="I315" i="3"/>
  <c r="J315" i="3"/>
  <c r="K315" i="3"/>
  <c r="L315" i="3"/>
  <c r="M315" i="3"/>
  <c r="N315" i="3"/>
  <c r="O315" i="3"/>
  <c r="V315" i="3"/>
  <c r="E316" i="3"/>
  <c r="F316" i="3"/>
  <c r="I316" i="3"/>
  <c r="J316" i="3"/>
  <c r="K316" i="3"/>
  <c r="L316" i="3"/>
  <c r="M316" i="3"/>
  <c r="N316" i="3"/>
  <c r="O316" i="3"/>
  <c r="V316" i="3"/>
  <c r="E317" i="3"/>
  <c r="F317" i="3"/>
  <c r="I317" i="3"/>
  <c r="J317" i="3"/>
  <c r="K317" i="3"/>
  <c r="L317" i="3"/>
  <c r="M317" i="3"/>
  <c r="N317" i="3"/>
  <c r="O317" i="3"/>
  <c r="V317" i="3"/>
  <c r="E318" i="3"/>
  <c r="F318" i="3"/>
  <c r="I318" i="3"/>
  <c r="J318" i="3"/>
  <c r="K318" i="3"/>
  <c r="L318" i="3"/>
  <c r="M318" i="3"/>
  <c r="N318" i="3"/>
  <c r="O318" i="3"/>
  <c r="V318" i="3"/>
  <c r="E319" i="3"/>
  <c r="F319" i="3"/>
  <c r="I319" i="3"/>
  <c r="J319" i="3"/>
  <c r="K319" i="3"/>
  <c r="L319" i="3"/>
  <c r="M319" i="3"/>
  <c r="N319" i="3"/>
  <c r="O319" i="3"/>
  <c r="V319" i="3"/>
  <c r="E320" i="3"/>
  <c r="F320" i="3"/>
  <c r="I320" i="3"/>
  <c r="J320" i="3"/>
  <c r="K320" i="3"/>
  <c r="L320" i="3"/>
  <c r="M320" i="3"/>
  <c r="N320" i="3"/>
  <c r="O320" i="3"/>
  <c r="V320" i="3"/>
  <c r="E321" i="3"/>
  <c r="F321" i="3"/>
  <c r="I321" i="3"/>
  <c r="J321" i="3"/>
  <c r="K321" i="3"/>
  <c r="L321" i="3"/>
  <c r="M321" i="3"/>
  <c r="N321" i="3"/>
  <c r="O321" i="3"/>
  <c r="V321" i="3"/>
  <c r="E322" i="3"/>
  <c r="F322" i="3"/>
  <c r="I322" i="3"/>
  <c r="J322" i="3"/>
  <c r="K322" i="3"/>
  <c r="L322" i="3"/>
  <c r="M322" i="3"/>
  <c r="N322" i="3"/>
  <c r="O322" i="3"/>
  <c r="V322" i="3"/>
  <c r="E323" i="3"/>
  <c r="F323" i="3"/>
  <c r="I323" i="3"/>
  <c r="J323" i="3"/>
  <c r="K323" i="3"/>
  <c r="L323" i="3"/>
  <c r="M323" i="3"/>
  <c r="N323" i="3"/>
  <c r="O323" i="3"/>
  <c r="V323" i="3"/>
  <c r="E324" i="3"/>
  <c r="F324" i="3"/>
  <c r="I324" i="3"/>
  <c r="J324" i="3"/>
  <c r="K324" i="3"/>
  <c r="L324" i="3"/>
  <c r="M324" i="3"/>
  <c r="N324" i="3"/>
  <c r="O324" i="3"/>
  <c r="V324" i="3"/>
  <c r="E325" i="3"/>
  <c r="F325" i="3"/>
  <c r="I325" i="3"/>
  <c r="J325" i="3"/>
  <c r="K325" i="3"/>
  <c r="L325" i="3"/>
  <c r="M325" i="3"/>
  <c r="N325" i="3"/>
  <c r="O325" i="3"/>
  <c r="V325" i="3"/>
  <c r="E326" i="3"/>
  <c r="F326" i="3"/>
  <c r="I326" i="3"/>
  <c r="J326" i="3"/>
  <c r="K326" i="3"/>
  <c r="L326" i="3"/>
  <c r="M326" i="3"/>
  <c r="N326" i="3"/>
  <c r="O326" i="3"/>
  <c r="V326" i="3"/>
  <c r="E327" i="3"/>
  <c r="F327" i="3"/>
  <c r="I327" i="3"/>
  <c r="J327" i="3"/>
  <c r="K327" i="3"/>
  <c r="L327" i="3"/>
  <c r="M327" i="3"/>
  <c r="N327" i="3"/>
  <c r="O327" i="3"/>
  <c r="V327" i="3"/>
  <c r="E328" i="3"/>
  <c r="F328" i="3"/>
  <c r="I328" i="3"/>
  <c r="J328" i="3"/>
  <c r="K328" i="3"/>
  <c r="L328" i="3"/>
  <c r="M328" i="3"/>
  <c r="N328" i="3"/>
  <c r="O328" i="3"/>
  <c r="V328" i="3"/>
  <c r="E329" i="3"/>
  <c r="F329" i="3"/>
  <c r="I329" i="3"/>
  <c r="J329" i="3"/>
  <c r="K329" i="3"/>
  <c r="L329" i="3"/>
  <c r="M329" i="3"/>
  <c r="N329" i="3"/>
  <c r="O329" i="3"/>
  <c r="V329" i="3"/>
  <c r="E330" i="3"/>
  <c r="F330" i="3"/>
  <c r="I330" i="3"/>
  <c r="J330" i="3"/>
  <c r="K330" i="3"/>
  <c r="L330" i="3"/>
  <c r="M330" i="3"/>
  <c r="N330" i="3"/>
  <c r="O330" i="3"/>
  <c r="V330" i="3"/>
  <c r="E331" i="3"/>
  <c r="F331" i="3"/>
  <c r="I331" i="3"/>
  <c r="J331" i="3"/>
  <c r="K331" i="3"/>
  <c r="L331" i="3"/>
  <c r="M331" i="3"/>
  <c r="N331" i="3"/>
  <c r="O331" i="3"/>
  <c r="V331" i="3"/>
  <c r="E332" i="3"/>
  <c r="F332" i="3"/>
  <c r="I332" i="3"/>
  <c r="J332" i="3"/>
  <c r="K332" i="3"/>
  <c r="L332" i="3"/>
  <c r="M332" i="3"/>
  <c r="N332" i="3"/>
  <c r="O332" i="3"/>
  <c r="V332" i="3"/>
  <c r="E333" i="3"/>
  <c r="F333" i="3"/>
  <c r="I333" i="3"/>
  <c r="J333" i="3"/>
  <c r="K333" i="3"/>
  <c r="L333" i="3"/>
  <c r="M333" i="3"/>
  <c r="N333" i="3"/>
  <c r="O333" i="3"/>
  <c r="S333" i="3"/>
  <c r="T333" i="3"/>
  <c r="U333" i="3"/>
  <c r="V333" i="3"/>
  <c r="E334" i="3"/>
  <c r="F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E335" i="3"/>
  <c r="F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E336" i="3"/>
  <c r="F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E337" i="3"/>
  <c r="F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E338" i="3"/>
  <c r="F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E339" i="3"/>
  <c r="F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E340" i="3"/>
  <c r="F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E341" i="3"/>
  <c r="F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E342" i="3"/>
  <c r="F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E343" i="3"/>
  <c r="F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E344" i="3"/>
  <c r="F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E345" i="3"/>
  <c r="F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E346" i="3"/>
  <c r="F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E347" i="3"/>
  <c r="F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E348" i="3"/>
  <c r="F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E349" i="3"/>
  <c r="F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E350" i="3"/>
  <c r="F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E351" i="3"/>
  <c r="F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E352" i="3"/>
  <c r="F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E353" i="3"/>
  <c r="F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E354" i="3"/>
  <c r="F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E355" i="3"/>
  <c r="F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E356" i="3"/>
  <c r="F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E357" i="3"/>
  <c r="F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E358" i="3"/>
  <c r="F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E359" i="3"/>
  <c r="F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E360" i="3"/>
  <c r="F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E361" i="3"/>
  <c r="F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E362" i="3"/>
  <c r="F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E363" i="3"/>
  <c r="F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E364" i="3"/>
  <c r="F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E365" i="3"/>
  <c r="F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E366" i="3"/>
  <c r="F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E367" i="3"/>
  <c r="F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F2" i="3"/>
  <c r="I2" i="3"/>
  <c r="J2" i="3"/>
  <c r="K2" i="3"/>
  <c r="L2" i="3"/>
  <c r="M2" i="3"/>
  <c r="N2" i="3"/>
  <c r="V2" i="3"/>
  <c r="E2" i="3"/>
  <c r="G124" i="3" l="1"/>
  <c r="G202" i="3"/>
  <c r="G104" i="3"/>
  <c r="G357" i="3"/>
  <c r="H36" i="3"/>
  <c r="G39" i="3"/>
  <c r="H335" i="3"/>
  <c r="G335" i="3"/>
  <c r="G154" i="3"/>
  <c r="H311" i="3"/>
  <c r="G311" i="3"/>
  <c r="H83" i="3"/>
  <c r="H353" i="3"/>
  <c r="G220" i="3"/>
  <c r="G184" i="3"/>
  <c r="H191" i="3"/>
  <c r="G109" i="3"/>
  <c r="G129" i="3"/>
  <c r="G79" i="3"/>
  <c r="H318" i="3"/>
  <c r="G310" i="3"/>
  <c r="H310" i="3"/>
  <c r="G340" i="3"/>
  <c r="H340" i="3"/>
  <c r="H282" i="3"/>
  <c r="G282" i="3"/>
  <c r="G97" i="3"/>
  <c r="G117" i="3"/>
  <c r="H245" i="3"/>
  <c r="G85" i="3"/>
  <c r="G51" i="3"/>
  <c r="G40" i="3"/>
  <c r="G250" i="3"/>
  <c r="H221" i="3"/>
  <c r="G236" i="3"/>
  <c r="H59" i="3"/>
  <c r="G365" i="3"/>
  <c r="G322" i="3"/>
  <c r="G346" i="3"/>
  <c r="H233" i="3"/>
  <c r="G320" i="3"/>
  <c r="G67" i="3"/>
  <c r="H216" i="3"/>
  <c r="H210" i="3"/>
  <c r="G130" i="3"/>
  <c r="H329" i="3"/>
  <c r="G255" i="3"/>
  <c r="G244" i="3"/>
  <c r="G100" i="3"/>
  <c r="P322" i="3"/>
  <c r="G63" i="3"/>
  <c r="G75" i="3"/>
  <c r="P71" i="3"/>
  <c r="P172" i="3"/>
  <c r="P221" i="3"/>
  <c r="P117" i="3"/>
  <c r="P130" i="3"/>
  <c r="P184" i="3"/>
  <c r="P253" i="3"/>
  <c r="P257" i="3"/>
  <c r="P271" i="3"/>
  <c r="P281" i="3"/>
  <c r="AC9" i="3"/>
  <c r="AC10" i="3"/>
  <c r="AC16" i="3" s="1"/>
  <c r="AC22" i="3" s="1"/>
  <c r="AC28" i="3" s="1"/>
  <c r="AC34" i="3" s="1"/>
  <c r="AC40" i="3" s="1"/>
  <c r="AC46" i="3" s="1"/>
  <c r="AC52" i="3" s="1"/>
  <c r="AC58" i="3" s="1"/>
  <c r="AC64" i="3" s="1"/>
  <c r="AC70" i="3" s="1"/>
  <c r="AC76" i="3" s="1"/>
  <c r="AC82" i="3" s="1"/>
  <c r="AC88" i="3" s="1"/>
  <c r="AC94" i="3" s="1"/>
  <c r="AC100" i="3" s="1"/>
  <c r="AC106" i="3" s="1"/>
  <c r="AC112" i="3" s="1"/>
  <c r="AC118" i="3" s="1"/>
  <c r="AC124" i="3" s="1"/>
  <c r="AC130" i="3" s="1"/>
  <c r="AC136" i="3" s="1"/>
  <c r="AC142" i="3" s="1"/>
  <c r="AC148" i="3" s="1"/>
  <c r="AC154" i="3" s="1"/>
  <c r="AC160" i="3" s="1"/>
  <c r="AC166" i="3" s="1"/>
  <c r="AC172" i="3" s="1"/>
  <c r="AC178" i="3" s="1"/>
  <c r="AC184" i="3" s="1"/>
  <c r="AC190" i="3" s="1"/>
  <c r="AC196" i="3" s="1"/>
  <c r="AC202" i="3" s="1"/>
  <c r="AC208" i="3" s="1"/>
  <c r="AC214" i="3" s="1"/>
  <c r="AC220" i="3" s="1"/>
  <c r="AC226" i="3" s="1"/>
  <c r="AC232" i="3" s="1"/>
  <c r="AC238" i="3" s="1"/>
  <c r="AC244" i="3" s="1"/>
  <c r="AC250" i="3" s="1"/>
  <c r="AC256" i="3" s="1"/>
  <c r="AC262" i="3" s="1"/>
  <c r="AC268" i="3" s="1"/>
  <c r="AC274" i="3" s="1"/>
  <c r="AC280" i="3" s="1"/>
  <c r="AC286" i="3" s="1"/>
  <c r="AC292" i="3" s="1"/>
  <c r="AC298" i="3" s="1"/>
  <c r="AC304" i="3" s="1"/>
  <c r="AC310" i="3" s="1"/>
  <c r="AC316" i="3" s="1"/>
  <c r="AC322" i="3" s="1"/>
  <c r="AC328" i="3" s="1"/>
  <c r="AC334" i="3" s="1"/>
  <c r="AC340" i="3" s="1"/>
  <c r="AC346" i="3" s="1"/>
  <c r="AC352" i="3" s="1"/>
  <c r="AC358" i="3" s="1"/>
  <c r="AC364" i="3" s="1"/>
  <c r="AC11" i="3"/>
  <c r="AC17" i="3" s="1"/>
  <c r="AC23" i="3" s="1"/>
  <c r="AC29" i="3" s="1"/>
  <c r="AC35" i="3" s="1"/>
  <c r="AC41" i="3" s="1"/>
  <c r="AC47" i="3" s="1"/>
  <c r="AC53" i="3" s="1"/>
  <c r="AC59" i="3" s="1"/>
  <c r="AC65" i="3" s="1"/>
  <c r="AC71" i="3" s="1"/>
  <c r="AC77" i="3" s="1"/>
  <c r="AC83" i="3" s="1"/>
  <c r="AC89" i="3" s="1"/>
  <c r="AC95" i="3" s="1"/>
  <c r="AC101" i="3" s="1"/>
  <c r="AC107" i="3" s="1"/>
  <c r="AC113" i="3" s="1"/>
  <c r="AC119" i="3" s="1"/>
  <c r="AC125" i="3" s="1"/>
  <c r="AC131" i="3" s="1"/>
  <c r="AC137" i="3" s="1"/>
  <c r="AC143" i="3" s="1"/>
  <c r="AC149" i="3" s="1"/>
  <c r="AC155" i="3" s="1"/>
  <c r="AC161" i="3" s="1"/>
  <c r="AC167" i="3" s="1"/>
  <c r="AC173" i="3" s="1"/>
  <c r="AC179" i="3" s="1"/>
  <c r="AC185" i="3" s="1"/>
  <c r="AC191" i="3" s="1"/>
  <c r="AC197" i="3" s="1"/>
  <c r="AC203" i="3" s="1"/>
  <c r="AC209" i="3" s="1"/>
  <c r="AC215" i="3" s="1"/>
  <c r="AC221" i="3" s="1"/>
  <c r="AC227" i="3" s="1"/>
  <c r="AC233" i="3" s="1"/>
  <c r="AC239" i="3" s="1"/>
  <c r="AC245" i="3" s="1"/>
  <c r="AC251" i="3" s="1"/>
  <c r="AC257" i="3" s="1"/>
  <c r="AC263" i="3" s="1"/>
  <c r="AC269" i="3" s="1"/>
  <c r="AC275" i="3" s="1"/>
  <c r="AC281" i="3" s="1"/>
  <c r="AC287" i="3" s="1"/>
  <c r="AC293" i="3" s="1"/>
  <c r="AC299" i="3" s="1"/>
  <c r="AC305" i="3" s="1"/>
  <c r="AC311" i="3" s="1"/>
  <c r="AC317" i="3" s="1"/>
  <c r="AC323" i="3" s="1"/>
  <c r="AC329" i="3" s="1"/>
  <c r="AC335" i="3" s="1"/>
  <c r="AC341" i="3" s="1"/>
  <c r="AC347" i="3" s="1"/>
  <c r="AC353" i="3" s="1"/>
  <c r="AC359" i="3" s="1"/>
  <c r="AC365" i="3" s="1"/>
  <c r="AC12" i="3"/>
  <c r="AC18" i="3" s="1"/>
  <c r="AC24" i="3" s="1"/>
  <c r="AC30" i="3" s="1"/>
  <c r="AC36" i="3" s="1"/>
  <c r="AC42" i="3" s="1"/>
  <c r="AC48" i="3" s="1"/>
  <c r="AC54" i="3" s="1"/>
  <c r="AC60" i="3" s="1"/>
  <c r="AC66" i="3" s="1"/>
  <c r="AC72" i="3" s="1"/>
  <c r="AC78" i="3" s="1"/>
  <c r="AC84" i="3" s="1"/>
  <c r="AC90" i="3" s="1"/>
  <c r="AC96" i="3" s="1"/>
  <c r="AC102" i="3" s="1"/>
  <c r="AC108" i="3" s="1"/>
  <c r="AC114" i="3" s="1"/>
  <c r="AC120" i="3" s="1"/>
  <c r="AC126" i="3" s="1"/>
  <c r="AC132" i="3" s="1"/>
  <c r="AC138" i="3" s="1"/>
  <c r="AC144" i="3" s="1"/>
  <c r="AC150" i="3" s="1"/>
  <c r="AC156" i="3" s="1"/>
  <c r="AC162" i="3" s="1"/>
  <c r="AC168" i="3" s="1"/>
  <c r="AC174" i="3" s="1"/>
  <c r="AC180" i="3" s="1"/>
  <c r="AC186" i="3" s="1"/>
  <c r="AC192" i="3" s="1"/>
  <c r="AC198" i="3" s="1"/>
  <c r="AC204" i="3" s="1"/>
  <c r="AC210" i="3" s="1"/>
  <c r="AC216" i="3" s="1"/>
  <c r="AC222" i="3" s="1"/>
  <c r="AC228" i="3" s="1"/>
  <c r="AC234" i="3" s="1"/>
  <c r="AC240" i="3" s="1"/>
  <c r="AC246" i="3" s="1"/>
  <c r="AC252" i="3" s="1"/>
  <c r="AC258" i="3" s="1"/>
  <c r="AC264" i="3" s="1"/>
  <c r="AC270" i="3" s="1"/>
  <c r="AC276" i="3" s="1"/>
  <c r="AC282" i="3" s="1"/>
  <c r="AC288" i="3" s="1"/>
  <c r="AC294" i="3" s="1"/>
  <c r="AC300" i="3" s="1"/>
  <c r="AC306" i="3" s="1"/>
  <c r="AC312" i="3" s="1"/>
  <c r="AC318" i="3" s="1"/>
  <c r="AC324" i="3" s="1"/>
  <c r="AC330" i="3" s="1"/>
  <c r="AC336" i="3" s="1"/>
  <c r="AC342" i="3" s="1"/>
  <c r="AC348" i="3" s="1"/>
  <c r="AC354" i="3" s="1"/>
  <c r="AC360" i="3" s="1"/>
  <c r="AC366" i="3" s="1"/>
  <c r="AC13" i="3"/>
  <c r="AC14" i="3"/>
  <c r="AC15" i="3"/>
  <c r="AC21" i="3" s="1"/>
  <c r="AC27" i="3" s="1"/>
  <c r="AC33" i="3" s="1"/>
  <c r="AC39" i="3" s="1"/>
  <c r="AC45" i="3" s="1"/>
  <c r="AC51" i="3" s="1"/>
  <c r="AC57" i="3" s="1"/>
  <c r="AC63" i="3" s="1"/>
  <c r="AC69" i="3" s="1"/>
  <c r="AC75" i="3" s="1"/>
  <c r="AC81" i="3" s="1"/>
  <c r="AC87" i="3" s="1"/>
  <c r="AC93" i="3" s="1"/>
  <c r="AC99" i="3" s="1"/>
  <c r="AC105" i="3" s="1"/>
  <c r="AC111" i="3" s="1"/>
  <c r="AC117" i="3" s="1"/>
  <c r="AC123" i="3" s="1"/>
  <c r="AC129" i="3" s="1"/>
  <c r="AC135" i="3" s="1"/>
  <c r="AC141" i="3" s="1"/>
  <c r="AC147" i="3" s="1"/>
  <c r="AC153" i="3" s="1"/>
  <c r="AC159" i="3" s="1"/>
  <c r="AC165" i="3" s="1"/>
  <c r="AC171" i="3" s="1"/>
  <c r="AC177" i="3" s="1"/>
  <c r="AC183" i="3" s="1"/>
  <c r="AC189" i="3" s="1"/>
  <c r="AC195" i="3" s="1"/>
  <c r="AC201" i="3" s="1"/>
  <c r="AC207" i="3" s="1"/>
  <c r="AC213" i="3" s="1"/>
  <c r="AC219" i="3" s="1"/>
  <c r="AC225" i="3" s="1"/>
  <c r="AC231" i="3" s="1"/>
  <c r="AC237" i="3" s="1"/>
  <c r="AC243" i="3" s="1"/>
  <c r="AC249" i="3" s="1"/>
  <c r="AC255" i="3" s="1"/>
  <c r="AC261" i="3" s="1"/>
  <c r="AC267" i="3" s="1"/>
  <c r="AC273" i="3" s="1"/>
  <c r="AC279" i="3" s="1"/>
  <c r="AC285" i="3" s="1"/>
  <c r="AC291" i="3" s="1"/>
  <c r="AC297" i="3" s="1"/>
  <c r="AC303" i="3" s="1"/>
  <c r="AC309" i="3" s="1"/>
  <c r="AC315" i="3" s="1"/>
  <c r="AC321" i="3" s="1"/>
  <c r="AC327" i="3" s="1"/>
  <c r="AC333" i="3" s="1"/>
  <c r="AC339" i="3" s="1"/>
  <c r="AC345" i="3" s="1"/>
  <c r="AC351" i="3" s="1"/>
  <c r="AC357" i="3" s="1"/>
  <c r="AC363" i="3" s="1"/>
  <c r="AC19" i="3"/>
  <c r="AC25" i="3" s="1"/>
  <c r="AC31" i="3" s="1"/>
  <c r="AC37" i="3" s="1"/>
  <c r="AC43" i="3" s="1"/>
  <c r="AC49" i="3" s="1"/>
  <c r="AC55" i="3" s="1"/>
  <c r="AC61" i="3" s="1"/>
  <c r="AC67" i="3" s="1"/>
  <c r="AC73" i="3" s="1"/>
  <c r="AC79" i="3" s="1"/>
  <c r="AC85" i="3" s="1"/>
  <c r="AC91" i="3" s="1"/>
  <c r="AC97" i="3" s="1"/>
  <c r="AC103" i="3" s="1"/>
  <c r="AC109" i="3" s="1"/>
  <c r="AC115" i="3" s="1"/>
  <c r="AC121" i="3" s="1"/>
  <c r="AC127" i="3" s="1"/>
  <c r="AC133" i="3" s="1"/>
  <c r="AC139" i="3" s="1"/>
  <c r="AC145" i="3" s="1"/>
  <c r="AC151" i="3" s="1"/>
  <c r="AC157" i="3" s="1"/>
  <c r="AC163" i="3" s="1"/>
  <c r="AC169" i="3" s="1"/>
  <c r="AC175" i="3" s="1"/>
  <c r="AC181" i="3" s="1"/>
  <c r="AC187" i="3" s="1"/>
  <c r="AC193" i="3" s="1"/>
  <c r="AC199" i="3" s="1"/>
  <c r="AC205" i="3" s="1"/>
  <c r="AC211" i="3" s="1"/>
  <c r="AC217" i="3" s="1"/>
  <c r="AC223" i="3" s="1"/>
  <c r="AC229" i="3" s="1"/>
  <c r="AC235" i="3" s="1"/>
  <c r="AC241" i="3" s="1"/>
  <c r="AC247" i="3" s="1"/>
  <c r="AC253" i="3" s="1"/>
  <c r="AC259" i="3" s="1"/>
  <c r="AC265" i="3" s="1"/>
  <c r="AC271" i="3" s="1"/>
  <c r="AC277" i="3" s="1"/>
  <c r="AC283" i="3" s="1"/>
  <c r="AC289" i="3" s="1"/>
  <c r="AC295" i="3" s="1"/>
  <c r="AC301" i="3" s="1"/>
  <c r="AC307" i="3" s="1"/>
  <c r="AC313" i="3" s="1"/>
  <c r="AC319" i="3" s="1"/>
  <c r="AC325" i="3" s="1"/>
  <c r="AC331" i="3" s="1"/>
  <c r="AC337" i="3" s="1"/>
  <c r="AC343" i="3" s="1"/>
  <c r="AC349" i="3" s="1"/>
  <c r="AC355" i="3" s="1"/>
  <c r="AC361" i="3" s="1"/>
  <c r="AC367" i="3" s="1"/>
  <c r="AC20" i="3"/>
  <c r="AC26" i="3" s="1"/>
  <c r="AC32" i="3" s="1"/>
  <c r="AC38" i="3" s="1"/>
  <c r="AC44" i="3" s="1"/>
  <c r="AC50" i="3" s="1"/>
  <c r="AC56" i="3" s="1"/>
  <c r="AC62" i="3" s="1"/>
  <c r="AC68" i="3" s="1"/>
  <c r="AC74" i="3" s="1"/>
  <c r="AC80" i="3" s="1"/>
  <c r="AC86" i="3" s="1"/>
  <c r="AC92" i="3" s="1"/>
  <c r="AC98" i="3" s="1"/>
  <c r="AC104" i="3" s="1"/>
  <c r="AC110" i="3" s="1"/>
  <c r="AC116" i="3" s="1"/>
  <c r="AC122" i="3" s="1"/>
  <c r="AC128" i="3" s="1"/>
  <c r="AC134" i="3" s="1"/>
  <c r="AC140" i="3" s="1"/>
  <c r="AC146" i="3" s="1"/>
  <c r="AC152" i="3" s="1"/>
  <c r="AC158" i="3" s="1"/>
  <c r="AC164" i="3" s="1"/>
  <c r="AC170" i="3" s="1"/>
  <c r="AC176" i="3" s="1"/>
  <c r="AC182" i="3" s="1"/>
  <c r="AC188" i="3" s="1"/>
  <c r="AC194" i="3" s="1"/>
  <c r="AC200" i="3" s="1"/>
  <c r="AC206" i="3" s="1"/>
  <c r="AC212" i="3" s="1"/>
  <c r="AC218" i="3" s="1"/>
  <c r="AC224" i="3" s="1"/>
  <c r="AC230" i="3" s="1"/>
  <c r="AC236" i="3" s="1"/>
  <c r="AC242" i="3" s="1"/>
  <c r="AC248" i="3" s="1"/>
  <c r="AC254" i="3" s="1"/>
  <c r="AC260" i="3" s="1"/>
  <c r="AC266" i="3" s="1"/>
  <c r="AC272" i="3" s="1"/>
  <c r="AC278" i="3" s="1"/>
  <c r="AC284" i="3" s="1"/>
  <c r="AC290" i="3" s="1"/>
  <c r="AC296" i="3" s="1"/>
  <c r="AC302" i="3" s="1"/>
  <c r="AC308" i="3" s="1"/>
  <c r="AC314" i="3" s="1"/>
  <c r="AC320" i="3" s="1"/>
  <c r="AC326" i="3" s="1"/>
  <c r="AC332" i="3" s="1"/>
  <c r="AC338" i="3" s="1"/>
  <c r="AC344" i="3" s="1"/>
  <c r="AC350" i="3" s="1"/>
  <c r="AC356" i="3" s="1"/>
  <c r="AC362" i="3" s="1"/>
  <c r="AC8" i="3"/>
  <c r="AB9" i="3"/>
  <c r="AB15" i="3" s="1"/>
  <c r="AB21" i="3" s="1"/>
  <c r="AB27" i="3" s="1"/>
  <c r="AB33" i="3" s="1"/>
  <c r="AB39" i="3" s="1"/>
  <c r="AB45" i="3" s="1"/>
  <c r="AB51" i="3" s="1"/>
  <c r="AB57" i="3" s="1"/>
  <c r="AB63" i="3" s="1"/>
  <c r="AB69" i="3" s="1"/>
  <c r="AB75" i="3" s="1"/>
  <c r="AB81" i="3" s="1"/>
  <c r="AB87" i="3" s="1"/>
  <c r="AB93" i="3" s="1"/>
  <c r="AB99" i="3" s="1"/>
  <c r="AB105" i="3" s="1"/>
  <c r="AB111" i="3" s="1"/>
  <c r="AB117" i="3" s="1"/>
  <c r="AB123" i="3" s="1"/>
  <c r="AB129" i="3" s="1"/>
  <c r="AB135" i="3" s="1"/>
  <c r="AB141" i="3" s="1"/>
  <c r="AB147" i="3" s="1"/>
  <c r="AB153" i="3" s="1"/>
  <c r="AB159" i="3" s="1"/>
  <c r="AB165" i="3" s="1"/>
  <c r="AB171" i="3" s="1"/>
  <c r="AB177" i="3" s="1"/>
  <c r="AB183" i="3" s="1"/>
  <c r="AB189" i="3" s="1"/>
  <c r="AB195" i="3" s="1"/>
  <c r="AB201" i="3" s="1"/>
  <c r="AB207" i="3" s="1"/>
  <c r="AB213" i="3" s="1"/>
  <c r="AB219" i="3" s="1"/>
  <c r="AB225" i="3" s="1"/>
  <c r="AB231" i="3" s="1"/>
  <c r="AB237" i="3" s="1"/>
  <c r="AB243" i="3" s="1"/>
  <c r="AB249" i="3" s="1"/>
  <c r="AB255" i="3" s="1"/>
  <c r="AB261" i="3" s="1"/>
  <c r="AB267" i="3" s="1"/>
  <c r="AB273" i="3" s="1"/>
  <c r="AB279" i="3" s="1"/>
  <c r="AB285" i="3" s="1"/>
  <c r="AB291" i="3" s="1"/>
  <c r="AB297" i="3" s="1"/>
  <c r="AB303" i="3" s="1"/>
  <c r="AB309" i="3" s="1"/>
  <c r="AB315" i="3" s="1"/>
  <c r="AB321" i="3" s="1"/>
  <c r="AB327" i="3" s="1"/>
  <c r="AB333" i="3" s="1"/>
  <c r="AB339" i="3" s="1"/>
  <c r="AB345" i="3" s="1"/>
  <c r="AB351" i="3" s="1"/>
  <c r="AB357" i="3" s="1"/>
  <c r="AB363" i="3" s="1"/>
  <c r="AB10" i="3"/>
  <c r="AB16" i="3" s="1"/>
  <c r="AB22" i="3" s="1"/>
  <c r="AB28" i="3" s="1"/>
  <c r="AB34" i="3" s="1"/>
  <c r="AB40" i="3" s="1"/>
  <c r="AB46" i="3" s="1"/>
  <c r="AB52" i="3" s="1"/>
  <c r="AB58" i="3" s="1"/>
  <c r="AB64" i="3" s="1"/>
  <c r="AB70" i="3" s="1"/>
  <c r="AB76" i="3" s="1"/>
  <c r="AB82" i="3" s="1"/>
  <c r="AB88" i="3" s="1"/>
  <c r="AB94" i="3" s="1"/>
  <c r="AB100" i="3" s="1"/>
  <c r="AB106" i="3" s="1"/>
  <c r="AB112" i="3" s="1"/>
  <c r="AB118" i="3" s="1"/>
  <c r="AB124" i="3" s="1"/>
  <c r="AB130" i="3" s="1"/>
  <c r="AB136" i="3" s="1"/>
  <c r="AB142" i="3" s="1"/>
  <c r="AB148" i="3" s="1"/>
  <c r="AB154" i="3" s="1"/>
  <c r="AB160" i="3" s="1"/>
  <c r="AB166" i="3" s="1"/>
  <c r="AB172" i="3" s="1"/>
  <c r="AB178" i="3" s="1"/>
  <c r="AB184" i="3" s="1"/>
  <c r="AB190" i="3" s="1"/>
  <c r="AB196" i="3" s="1"/>
  <c r="AB202" i="3" s="1"/>
  <c r="AB208" i="3" s="1"/>
  <c r="AB214" i="3" s="1"/>
  <c r="AB220" i="3" s="1"/>
  <c r="AB226" i="3" s="1"/>
  <c r="AB232" i="3" s="1"/>
  <c r="AB238" i="3" s="1"/>
  <c r="AB244" i="3" s="1"/>
  <c r="AB250" i="3" s="1"/>
  <c r="AB256" i="3" s="1"/>
  <c r="AB262" i="3" s="1"/>
  <c r="AB268" i="3" s="1"/>
  <c r="AB274" i="3" s="1"/>
  <c r="AB280" i="3" s="1"/>
  <c r="AB286" i="3" s="1"/>
  <c r="AB292" i="3" s="1"/>
  <c r="AB298" i="3" s="1"/>
  <c r="AB304" i="3" s="1"/>
  <c r="AB310" i="3" s="1"/>
  <c r="AB316" i="3" s="1"/>
  <c r="AB322" i="3" s="1"/>
  <c r="AB328" i="3" s="1"/>
  <c r="AB334" i="3" s="1"/>
  <c r="AB340" i="3" s="1"/>
  <c r="AB346" i="3" s="1"/>
  <c r="AB352" i="3" s="1"/>
  <c r="AB358" i="3" s="1"/>
  <c r="AB364" i="3" s="1"/>
  <c r="AB11" i="3"/>
  <c r="AB17" i="3" s="1"/>
  <c r="AB23" i="3" s="1"/>
  <c r="AB29" i="3" s="1"/>
  <c r="AB35" i="3" s="1"/>
  <c r="AB41" i="3" s="1"/>
  <c r="AB47" i="3" s="1"/>
  <c r="AB53" i="3" s="1"/>
  <c r="AB59" i="3" s="1"/>
  <c r="AB65" i="3" s="1"/>
  <c r="AB71" i="3" s="1"/>
  <c r="AB77" i="3" s="1"/>
  <c r="AB83" i="3" s="1"/>
  <c r="AB89" i="3" s="1"/>
  <c r="AB95" i="3" s="1"/>
  <c r="AB101" i="3" s="1"/>
  <c r="AB107" i="3" s="1"/>
  <c r="AB113" i="3" s="1"/>
  <c r="AB119" i="3" s="1"/>
  <c r="AB125" i="3" s="1"/>
  <c r="AB131" i="3" s="1"/>
  <c r="AB137" i="3" s="1"/>
  <c r="AB143" i="3" s="1"/>
  <c r="AB149" i="3" s="1"/>
  <c r="AB155" i="3" s="1"/>
  <c r="AB161" i="3" s="1"/>
  <c r="AB167" i="3" s="1"/>
  <c r="AB173" i="3" s="1"/>
  <c r="AB179" i="3" s="1"/>
  <c r="AB185" i="3" s="1"/>
  <c r="AB191" i="3" s="1"/>
  <c r="AB197" i="3" s="1"/>
  <c r="AB203" i="3" s="1"/>
  <c r="AB209" i="3" s="1"/>
  <c r="AB215" i="3" s="1"/>
  <c r="AB221" i="3" s="1"/>
  <c r="AB227" i="3" s="1"/>
  <c r="AB233" i="3" s="1"/>
  <c r="AB239" i="3" s="1"/>
  <c r="AB245" i="3" s="1"/>
  <c r="AB251" i="3" s="1"/>
  <c r="AB257" i="3" s="1"/>
  <c r="AB263" i="3" s="1"/>
  <c r="AB269" i="3" s="1"/>
  <c r="AB275" i="3" s="1"/>
  <c r="AB281" i="3" s="1"/>
  <c r="AB287" i="3" s="1"/>
  <c r="AB293" i="3" s="1"/>
  <c r="AB299" i="3" s="1"/>
  <c r="AB305" i="3" s="1"/>
  <c r="AB311" i="3" s="1"/>
  <c r="AB317" i="3" s="1"/>
  <c r="AB323" i="3" s="1"/>
  <c r="AB329" i="3" s="1"/>
  <c r="AB335" i="3" s="1"/>
  <c r="AB341" i="3" s="1"/>
  <c r="AB347" i="3" s="1"/>
  <c r="AB353" i="3" s="1"/>
  <c r="AB359" i="3" s="1"/>
  <c r="AB365" i="3" s="1"/>
  <c r="AB12" i="3"/>
  <c r="AB18" i="3" s="1"/>
  <c r="AB24" i="3" s="1"/>
  <c r="AB30" i="3" s="1"/>
  <c r="AB36" i="3" s="1"/>
  <c r="AB42" i="3" s="1"/>
  <c r="AB48" i="3" s="1"/>
  <c r="AB54" i="3" s="1"/>
  <c r="AB60" i="3" s="1"/>
  <c r="AB66" i="3" s="1"/>
  <c r="AB72" i="3" s="1"/>
  <c r="AB78" i="3" s="1"/>
  <c r="AB84" i="3" s="1"/>
  <c r="AB90" i="3" s="1"/>
  <c r="AB96" i="3" s="1"/>
  <c r="AB102" i="3" s="1"/>
  <c r="AB108" i="3" s="1"/>
  <c r="AB114" i="3" s="1"/>
  <c r="AB120" i="3" s="1"/>
  <c r="AB126" i="3" s="1"/>
  <c r="AB132" i="3" s="1"/>
  <c r="AB138" i="3" s="1"/>
  <c r="AB144" i="3" s="1"/>
  <c r="AB150" i="3" s="1"/>
  <c r="AB156" i="3" s="1"/>
  <c r="AB162" i="3" s="1"/>
  <c r="AB168" i="3" s="1"/>
  <c r="AB174" i="3" s="1"/>
  <c r="AB180" i="3" s="1"/>
  <c r="AB186" i="3" s="1"/>
  <c r="AB192" i="3" s="1"/>
  <c r="AB198" i="3" s="1"/>
  <c r="AB204" i="3" s="1"/>
  <c r="AB210" i="3" s="1"/>
  <c r="AB216" i="3" s="1"/>
  <c r="AB222" i="3" s="1"/>
  <c r="AB228" i="3" s="1"/>
  <c r="AB234" i="3" s="1"/>
  <c r="AB240" i="3" s="1"/>
  <c r="AB246" i="3" s="1"/>
  <c r="AB252" i="3" s="1"/>
  <c r="AB258" i="3" s="1"/>
  <c r="AB264" i="3" s="1"/>
  <c r="AB270" i="3" s="1"/>
  <c r="AB276" i="3" s="1"/>
  <c r="AB282" i="3" s="1"/>
  <c r="AB288" i="3" s="1"/>
  <c r="AB294" i="3" s="1"/>
  <c r="AB300" i="3" s="1"/>
  <c r="AB306" i="3" s="1"/>
  <c r="AB312" i="3" s="1"/>
  <c r="AB318" i="3" s="1"/>
  <c r="AB324" i="3" s="1"/>
  <c r="AB330" i="3" s="1"/>
  <c r="AB336" i="3" s="1"/>
  <c r="AB342" i="3" s="1"/>
  <c r="AB348" i="3" s="1"/>
  <c r="AB354" i="3" s="1"/>
  <c r="AB360" i="3" s="1"/>
  <c r="AB366" i="3" s="1"/>
  <c r="AB13" i="3"/>
  <c r="AB19" i="3"/>
  <c r="AB25" i="3" s="1"/>
  <c r="AB31" i="3" s="1"/>
  <c r="AB37" i="3" s="1"/>
  <c r="AB43" i="3" s="1"/>
  <c r="AB49" i="3" s="1"/>
  <c r="AB55" i="3" s="1"/>
  <c r="AB61" i="3" s="1"/>
  <c r="AB67" i="3" s="1"/>
  <c r="AB73" i="3" s="1"/>
  <c r="AB79" i="3" s="1"/>
  <c r="AB85" i="3" s="1"/>
  <c r="AB91" i="3" s="1"/>
  <c r="AB97" i="3" s="1"/>
  <c r="AB103" i="3" s="1"/>
  <c r="AB109" i="3" s="1"/>
  <c r="AB115" i="3" s="1"/>
  <c r="AB121" i="3" s="1"/>
  <c r="AB127" i="3" s="1"/>
  <c r="AB133" i="3" s="1"/>
  <c r="AB139" i="3" s="1"/>
  <c r="AB145" i="3" s="1"/>
  <c r="AB151" i="3" s="1"/>
  <c r="AB157" i="3" s="1"/>
  <c r="AB163" i="3" s="1"/>
  <c r="AB169" i="3" s="1"/>
  <c r="AB175" i="3" s="1"/>
  <c r="AB181" i="3" s="1"/>
  <c r="AB187" i="3" s="1"/>
  <c r="AB193" i="3" s="1"/>
  <c r="AB199" i="3" s="1"/>
  <c r="AB205" i="3" s="1"/>
  <c r="AB211" i="3" s="1"/>
  <c r="AB217" i="3" s="1"/>
  <c r="AB223" i="3" s="1"/>
  <c r="AB229" i="3" s="1"/>
  <c r="AB235" i="3" s="1"/>
  <c r="AB241" i="3" s="1"/>
  <c r="AB247" i="3" s="1"/>
  <c r="AB253" i="3" s="1"/>
  <c r="AB259" i="3" s="1"/>
  <c r="AB265" i="3" s="1"/>
  <c r="AB271" i="3" s="1"/>
  <c r="AB277" i="3" s="1"/>
  <c r="AB283" i="3" s="1"/>
  <c r="AB289" i="3" s="1"/>
  <c r="AB295" i="3" s="1"/>
  <c r="AB301" i="3" s="1"/>
  <c r="AB307" i="3" s="1"/>
  <c r="AB313" i="3" s="1"/>
  <c r="AB319" i="3" s="1"/>
  <c r="AB325" i="3" s="1"/>
  <c r="AB331" i="3" s="1"/>
  <c r="AB337" i="3" s="1"/>
  <c r="AB343" i="3" s="1"/>
  <c r="AB349" i="3" s="1"/>
  <c r="AB355" i="3" s="1"/>
  <c r="AB361" i="3" s="1"/>
  <c r="AB367" i="3" s="1"/>
  <c r="AB8" i="3"/>
  <c r="AB14" i="3" s="1"/>
  <c r="AB20" i="3" s="1"/>
  <c r="AB26" i="3" s="1"/>
  <c r="AB32" i="3" s="1"/>
  <c r="AB38" i="3" s="1"/>
  <c r="AB44" i="3" s="1"/>
  <c r="AB50" i="3" s="1"/>
  <c r="AB56" i="3" s="1"/>
  <c r="AB62" i="3" s="1"/>
  <c r="AB68" i="3" s="1"/>
  <c r="AB74" i="3" s="1"/>
  <c r="AB80" i="3" s="1"/>
  <c r="AB86" i="3" s="1"/>
  <c r="AB92" i="3" s="1"/>
  <c r="AB98" i="3" s="1"/>
  <c r="AB104" i="3" s="1"/>
  <c r="AB110" i="3" s="1"/>
  <c r="AB116" i="3" s="1"/>
  <c r="AB122" i="3" s="1"/>
  <c r="AB128" i="3" s="1"/>
  <c r="AB134" i="3" s="1"/>
  <c r="AB140" i="3" s="1"/>
  <c r="AB146" i="3" s="1"/>
  <c r="AB152" i="3" s="1"/>
  <c r="AB158" i="3" s="1"/>
  <c r="AB164" i="3" s="1"/>
  <c r="AB170" i="3" s="1"/>
  <c r="AB176" i="3" s="1"/>
  <c r="AB182" i="3" s="1"/>
  <c r="AB188" i="3" s="1"/>
  <c r="AB194" i="3" s="1"/>
  <c r="AB200" i="3" s="1"/>
  <c r="AB206" i="3" s="1"/>
  <c r="AB212" i="3" s="1"/>
  <c r="AB218" i="3" s="1"/>
  <c r="AB224" i="3" s="1"/>
  <c r="AB230" i="3" s="1"/>
  <c r="AB236" i="3" s="1"/>
  <c r="AB242" i="3" s="1"/>
  <c r="AB248" i="3" s="1"/>
  <c r="AB254" i="3" s="1"/>
  <c r="AB260" i="3" s="1"/>
  <c r="AB266" i="3" s="1"/>
  <c r="AB272" i="3" s="1"/>
  <c r="AB278" i="3" s="1"/>
  <c r="AB284" i="3" s="1"/>
  <c r="AB290" i="3" s="1"/>
  <c r="AB296" i="3" s="1"/>
  <c r="AB302" i="3" s="1"/>
  <c r="AB308" i="3" s="1"/>
  <c r="AB314" i="3" s="1"/>
  <c r="AB320" i="3" s="1"/>
  <c r="AB326" i="3" s="1"/>
  <c r="AB332" i="3" s="1"/>
  <c r="AB338" i="3" s="1"/>
  <c r="AB344" i="3" s="1"/>
  <c r="AB350" i="3" s="1"/>
  <c r="AB356" i="3" s="1"/>
  <c r="AB362" i="3" s="1"/>
  <c r="B9" i="12"/>
  <c r="B10" i="12"/>
  <c r="B4" i="12"/>
  <c r="B5" i="12"/>
  <c r="A5" i="12"/>
  <c r="A4" i="12"/>
  <c r="A13" i="12"/>
  <c r="A8" i="12"/>
  <c r="B8" i="12"/>
  <c r="B13" i="12"/>
  <c r="B20" i="12"/>
  <c r="B21" i="12"/>
  <c r="B22" i="12"/>
  <c r="B23" i="12"/>
  <c r="B24" i="12"/>
  <c r="B17" i="12"/>
  <c r="B14" i="12"/>
  <c r="B15" i="12"/>
  <c r="B16" i="12"/>
  <c r="A10" i="12"/>
  <c r="A9" i="12"/>
  <c r="A21" i="12"/>
  <c r="A22" i="12"/>
  <c r="A23" i="12"/>
  <c r="A24" i="12"/>
  <c r="A20" i="12"/>
  <c r="A14" i="12"/>
  <c r="A15" i="12"/>
  <c r="A16" i="12"/>
  <c r="A17" i="12"/>
  <c r="F6" i="12"/>
  <c r="G158" i="3" l="1"/>
  <c r="G196" i="3"/>
  <c r="G274" i="3"/>
  <c r="H281" i="3"/>
  <c r="H120" i="3"/>
  <c r="H18" i="3"/>
  <c r="G99" i="3"/>
  <c r="H167" i="3"/>
  <c r="G297" i="3"/>
  <c r="G321" i="3"/>
  <c r="G143" i="3"/>
  <c r="H143" i="3"/>
  <c r="G298" i="3"/>
  <c r="H298" i="3"/>
  <c r="G232" i="3"/>
  <c r="G231" i="3"/>
  <c r="G205" i="3"/>
  <c r="G243" i="3"/>
  <c r="H203" i="3"/>
  <c r="G190" i="3"/>
  <c r="G314" i="3"/>
  <c r="G308" i="3"/>
  <c r="H47" i="3"/>
  <c r="G146" i="3"/>
  <c r="G309" i="3"/>
  <c r="G212" i="3"/>
  <c r="G283" i="3"/>
  <c r="G176" i="3"/>
  <c r="G178" i="3"/>
  <c r="G201" i="3"/>
  <c r="G361" i="3"/>
  <c r="G55" i="3"/>
  <c r="G43" i="3"/>
  <c r="G219" i="3"/>
  <c r="G262" i="3"/>
  <c r="G28" i="3"/>
  <c r="G58" i="3"/>
  <c r="H299" i="3"/>
  <c r="G367" i="3"/>
  <c r="G195" i="3"/>
  <c r="H162" i="3"/>
  <c r="G224" i="3"/>
  <c r="G7" i="3"/>
  <c r="G33" i="3"/>
  <c r="G166" i="3"/>
  <c r="G69" i="3"/>
  <c r="G164" i="3"/>
  <c r="G249" i="3"/>
  <c r="G74" i="3"/>
  <c r="G325" i="3"/>
  <c r="G148" i="3"/>
  <c r="H96" i="3"/>
  <c r="G127" i="3"/>
  <c r="G21" i="3"/>
  <c r="H84" i="3"/>
  <c r="G181" i="3"/>
  <c r="G87" i="3"/>
  <c r="G199" i="3"/>
  <c r="H54" i="3"/>
  <c r="H264" i="3"/>
  <c r="H270" i="3"/>
  <c r="H222" i="3"/>
  <c r="G225" i="3"/>
  <c r="H102" i="3"/>
  <c r="H234" i="3"/>
  <c r="G91" i="3"/>
  <c r="H287" i="3"/>
  <c r="H275" i="3"/>
  <c r="G302" i="3"/>
  <c r="G291" i="3"/>
  <c r="H30" i="3"/>
  <c r="H198" i="3"/>
  <c r="H174" i="3"/>
  <c r="G214" i="3"/>
  <c r="G277" i="3"/>
  <c r="H11" i="3"/>
  <c r="H65" i="3"/>
  <c r="H66" i="3"/>
  <c r="G165" i="3"/>
  <c r="G34" i="3"/>
  <c r="H101" i="3"/>
  <c r="H305" i="3"/>
  <c r="G62" i="3"/>
  <c r="G70" i="3"/>
  <c r="H114" i="3"/>
  <c r="H78" i="3"/>
  <c r="G116" i="3"/>
  <c r="G223" i="3"/>
  <c r="H113" i="3"/>
  <c r="G290" i="3"/>
  <c r="G343" i="3"/>
  <c r="G349" i="3"/>
  <c r="G248" i="3"/>
  <c r="H336" i="3"/>
  <c r="H246" i="3"/>
  <c r="G22" i="3"/>
  <c r="G337" i="3"/>
  <c r="G218" i="3"/>
  <c r="G256" i="3"/>
  <c r="H161" i="3"/>
  <c r="G285" i="3"/>
  <c r="G16" i="3"/>
  <c r="G159" i="3"/>
  <c r="G76" i="3"/>
  <c r="G157" i="3"/>
  <c r="H17" i="3"/>
  <c r="G64" i="3"/>
  <c r="H23" i="3"/>
  <c r="G259" i="3"/>
  <c r="G103" i="3"/>
  <c r="G313" i="3"/>
  <c r="G333" i="3"/>
  <c r="G319" i="3"/>
  <c r="G82" i="3"/>
  <c r="G19" i="3"/>
  <c r="H125" i="3"/>
  <c r="H156" i="3"/>
  <c r="G50" i="3"/>
  <c r="G235" i="3"/>
  <c r="H53" i="3"/>
  <c r="H131" i="3"/>
  <c r="G339" i="3"/>
  <c r="H276" i="3"/>
  <c r="G194" i="3"/>
  <c r="G163" i="3"/>
  <c r="H89" i="3"/>
  <c r="G279" i="3"/>
  <c r="G189" i="3"/>
  <c r="H263" i="3"/>
  <c r="G267" i="3"/>
  <c r="G351" i="3"/>
  <c r="G134" i="3"/>
  <c r="H288" i="3"/>
  <c r="G147" i="3"/>
  <c r="G278" i="3"/>
  <c r="G153" i="3"/>
  <c r="G145" i="3"/>
  <c r="G9" i="3"/>
  <c r="G247" i="3"/>
  <c r="G10" i="3"/>
  <c r="G237" i="3"/>
  <c r="G253" i="3"/>
  <c r="G271" i="3"/>
  <c r="G4" i="3"/>
  <c r="G160" i="3"/>
  <c r="G295" i="3"/>
  <c r="G200" i="3"/>
  <c r="H90" i="3"/>
  <c r="H144" i="3"/>
  <c r="G183" i="3"/>
  <c r="G88" i="3"/>
  <c r="G57" i="3"/>
  <c r="G52" i="3"/>
  <c r="H149" i="3"/>
  <c r="G111" i="3"/>
  <c r="G46" i="3"/>
  <c r="G175" i="3"/>
  <c r="H323" i="3"/>
  <c r="G266" i="3"/>
  <c r="H317" i="3"/>
  <c r="H330" i="3"/>
  <c r="H186" i="3"/>
  <c r="H359" i="3"/>
  <c r="G3" i="3"/>
  <c r="H126" i="3"/>
  <c r="H35" i="3"/>
  <c r="H108" i="3"/>
  <c r="H137" i="3"/>
  <c r="H77" i="3"/>
  <c r="H5" i="3"/>
  <c r="G115" i="3"/>
  <c r="H251" i="3"/>
  <c r="G193" i="3"/>
  <c r="H354" i="3"/>
  <c r="H293" i="3"/>
  <c r="G358" i="3"/>
  <c r="G326" i="3"/>
  <c r="G261" i="3"/>
  <c r="H29" i="3"/>
  <c r="H71" i="3"/>
  <c r="G286" i="3"/>
  <c r="H257" i="3"/>
  <c r="H172" i="3"/>
  <c r="G121" i="3"/>
  <c r="H294" i="3"/>
  <c r="H364" i="3"/>
  <c r="G352" i="3"/>
  <c r="G301" i="3"/>
  <c r="H155" i="3"/>
  <c r="G112" i="3"/>
  <c r="G172" i="3"/>
  <c r="G273" i="3"/>
  <c r="H6" i="3"/>
  <c r="G187" i="3"/>
  <c r="G355" i="3"/>
  <c r="H124" i="3"/>
  <c r="H366" i="3"/>
  <c r="G80" i="3"/>
  <c r="H55" i="3"/>
  <c r="H121" i="3"/>
  <c r="H43" i="3"/>
  <c r="H63" i="3"/>
  <c r="G29" i="3"/>
  <c r="G269" i="3"/>
  <c r="H219" i="3"/>
  <c r="H141" i="3"/>
  <c r="H39" i="3"/>
  <c r="H154" i="3"/>
  <c r="G83" i="3"/>
  <c r="G71" i="3"/>
  <c r="G353" i="3"/>
  <c r="H286" i="3"/>
  <c r="G257" i="3"/>
  <c r="H220" i="3"/>
  <c r="H184" i="3"/>
  <c r="G191" i="3"/>
  <c r="H109" i="3"/>
  <c r="H129" i="3"/>
  <c r="H79" i="3"/>
  <c r="G318" i="3"/>
  <c r="H97" i="3"/>
  <c r="H117" i="3"/>
  <c r="G245" i="3"/>
  <c r="H85" i="3"/>
  <c r="H51" i="3"/>
  <c r="H40" i="3"/>
  <c r="H75" i="3"/>
  <c r="H250" i="3"/>
  <c r="G221" i="3"/>
  <c r="G59" i="3"/>
  <c r="H236" i="3"/>
  <c r="H196" i="3"/>
  <c r="H158" i="3"/>
  <c r="G120" i="3"/>
  <c r="G281" i="3"/>
  <c r="H112" i="3"/>
  <c r="G18" i="3"/>
  <c r="H365" i="3"/>
  <c r="H99" i="3"/>
  <c r="H322" i="3"/>
  <c r="H346" i="3"/>
  <c r="G233" i="3"/>
  <c r="G167" i="3"/>
  <c r="H320" i="3"/>
  <c r="H67" i="3"/>
  <c r="H297" i="3"/>
  <c r="G216" i="3"/>
  <c r="G210" i="3"/>
  <c r="H130" i="3"/>
  <c r="G329" i="3"/>
  <c r="H255" i="3"/>
  <c r="H244" i="3"/>
  <c r="H100" i="3"/>
  <c r="G141" i="3"/>
  <c r="H269" i="3"/>
  <c r="H274" i="3" l="1"/>
  <c r="H187" i="3"/>
  <c r="H355" i="3"/>
  <c r="H321" i="3"/>
  <c r="H231" i="3"/>
  <c r="H256" i="3"/>
  <c r="H306" i="3"/>
  <c r="G213" i="3"/>
  <c r="G230" i="3"/>
  <c r="G242" i="3"/>
  <c r="G331" i="3"/>
  <c r="G303" i="3"/>
  <c r="G38" i="3"/>
  <c r="G135" i="3"/>
  <c r="G316" i="3"/>
  <c r="H209" i="3"/>
  <c r="G81" i="3"/>
  <c r="H168" i="3"/>
  <c r="G94" i="3"/>
  <c r="G356" i="3"/>
  <c r="G307" i="3"/>
  <c r="G334" i="3"/>
  <c r="G152" i="3"/>
  <c r="G206" i="3"/>
  <c r="G122" i="3"/>
  <c r="H48" i="3"/>
  <c r="G151" i="3"/>
  <c r="G8" i="3"/>
  <c r="G32" i="3"/>
  <c r="H227" i="3"/>
  <c r="G332" i="3"/>
  <c r="H72" i="3"/>
  <c r="G27" i="3"/>
  <c r="G265" i="3"/>
  <c r="G217" i="3"/>
  <c r="H192" i="3"/>
  <c r="G92" i="3"/>
  <c r="G86" i="3"/>
  <c r="G118" i="3"/>
  <c r="G169" i="3"/>
  <c r="G226" i="3"/>
  <c r="G13" i="3"/>
  <c r="G315" i="3"/>
  <c r="G45" i="3"/>
  <c r="H324" i="3"/>
  <c r="G328" i="3"/>
  <c r="G73" i="3"/>
  <c r="G133" i="3"/>
  <c r="H185" i="3"/>
  <c r="G254" i="3"/>
  <c r="H132" i="3"/>
  <c r="G327" i="3"/>
  <c r="G93" i="3"/>
  <c r="G170" i="3"/>
  <c r="H95" i="3"/>
  <c r="G296" i="3"/>
  <c r="G182" i="3"/>
  <c r="G229" i="3"/>
  <c r="H215" i="3"/>
  <c r="G49" i="3"/>
  <c r="H107" i="3"/>
  <c r="G56" i="3"/>
  <c r="G280" i="3"/>
  <c r="G106" i="3"/>
  <c r="G25" i="3"/>
  <c r="G128" i="3"/>
  <c r="G140" i="3"/>
  <c r="G177" i="3"/>
  <c r="G136" i="3"/>
  <c r="G268" i="3"/>
  <c r="H173" i="3"/>
  <c r="H41" i="3"/>
  <c r="G208" i="3"/>
  <c r="H258" i="3"/>
  <c r="H360" i="3"/>
  <c r="H363" i="3"/>
  <c r="G292" i="3"/>
  <c r="G37" i="3"/>
  <c r="H150" i="3"/>
  <c r="G110" i="3"/>
  <c r="G139" i="3"/>
  <c r="G98" i="3"/>
  <c r="H312" i="3"/>
  <c r="G15" i="3"/>
  <c r="H42" i="3"/>
  <c r="G350" i="3"/>
  <c r="G207" i="3"/>
  <c r="H180" i="3"/>
  <c r="H12" i="3"/>
  <c r="G345" i="3"/>
  <c r="G14" i="3"/>
  <c r="G61" i="3"/>
  <c r="H204" i="3"/>
  <c r="G105" i="3"/>
  <c r="G289" i="3"/>
  <c r="G20" i="3"/>
  <c r="H197" i="3"/>
  <c r="H300" i="3"/>
  <c r="G171" i="3"/>
  <c r="H252" i="3"/>
  <c r="G241" i="3"/>
  <c r="G238" i="3"/>
  <c r="H119" i="3"/>
  <c r="G26" i="3"/>
  <c r="H138" i="3"/>
  <c r="H239" i="3"/>
  <c r="H24" i="3"/>
  <c r="G260" i="3"/>
  <c r="G44" i="3"/>
  <c r="H362" i="3"/>
  <c r="G123" i="3"/>
  <c r="G272" i="3"/>
  <c r="G2" i="3"/>
  <c r="G68" i="3"/>
  <c r="H348" i="3"/>
  <c r="G304" i="3"/>
  <c r="H69" i="3"/>
  <c r="H91" i="3"/>
  <c r="H147" i="3"/>
  <c r="H240" i="3"/>
  <c r="H347" i="3"/>
  <c r="G188" i="3"/>
  <c r="H179" i="3"/>
  <c r="G284" i="3"/>
  <c r="G31" i="3"/>
  <c r="H228" i="3"/>
  <c r="G142" i="3"/>
  <c r="G338" i="3"/>
  <c r="G211" i="3"/>
  <c r="H342" i="3"/>
  <c r="H60" i="3"/>
  <c r="G344" i="3"/>
  <c r="H341" i="3"/>
  <c r="H249" i="3"/>
  <c r="H127" i="3"/>
  <c r="H21" i="3"/>
  <c r="H199" i="3"/>
  <c r="G54" i="3"/>
  <c r="G270" i="3"/>
  <c r="G222" i="3"/>
  <c r="H349" i="3"/>
  <c r="H248" i="3"/>
  <c r="G336" i="3"/>
  <c r="H9" i="3"/>
  <c r="H273" i="3"/>
  <c r="G6" i="3"/>
  <c r="H232" i="3"/>
  <c r="H28" i="3"/>
  <c r="H58" i="3"/>
  <c r="H367" i="3"/>
  <c r="G162" i="3"/>
  <c r="H7" i="3"/>
  <c r="G287" i="3"/>
  <c r="G66" i="3"/>
  <c r="H165" i="3"/>
  <c r="G305" i="3"/>
  <c r="H116" i="3"/>
  <c r="H223" i="3"/>
  <c r="G113" i="3"/>
  <c r="G161" i="3"/>
  <c r="H159" i="3"/>
  <c r="G23" i="3"/>
  <c r="H319" i="3"/>
  <c r="H82" i="3"/>
  <c r="G156" i="3"/>
  <c r="H50" i="3"/>
  <c r="H4" i="3"/>
  <c r="G90" i="3"/>
  <c r="H57" i="3"/>
  <c r="H52" i="3"/>
  <c r="H175" i="3"/>
  <c r="G126" i="3"/>
  <c r="G5" i="3"/>
  <c r="H205" i="3"/>
  <c r="H243" i="3"/>
  <c r="H357" i="3"/>
  <c r="H202" i="3"/>
  <c r="G36" i="3"/>
  <c r="G294" i="3"/>
  <c r="G203" i="3"/>
  <c r="H190" i="3"/>
  <c r="H314" i="3"/>
  <c r="H308" i="3"/>
  <c r="G47" i="3"/>
  <c r="H146" i="3"/>
  <c r="H309" i="3"/>
  <c r="H212" i="3"/>
  <c r="H283" i="3"/>
  <c r="H176" i="3"/>
  <c r="H178" i="3"/>
  <c r="H201" i="3"/>
  <c r="H361" i="3"/>
  <c r="H104" i="3"/>
  <c r="G306" i="3"/>
  <c r="H262" i="3"/>
  <c r="H284" i="3"/>
  <c r="G299" i="3"/>
  <c r="H195" i="3"/>
  <c r="H224" i="3"/>
  <c r="H33" i="3"/>
  <c r="H166" i="3"/>
  <c r="H164" i="3"/>
  <c r="H74" i="3"/>
  <c r="H325" i="3"/>
  <c r="H148" i="3"/>
  <c r="G96" i="3"/>
  <c r="G84" i="3"/>
  <c r="H181" i="3"/>
  <c r="H87" i="3"/>
  <c r="G264" i="3"/>
  <c r="H225" i="3"/>
  <c r="G102" i="3"/>
  <c r="G234" i="3"/>
  <c r="G275" i="3"/>
  <c r="H302" i="3"/>
  <c r="H291" i="3"/>
  <c r="G30" i="3"/>
  <c r="G198" i="3"/>
  <c r="G174" i="3"/>
  <c r="H214" i="3"/>
  <c r="H277" i="3"/>
  <c r="G11" i="3"/>
  <c r="G65" i="3"/>
  <c r="H34" i="3"/>
  <c r="G101" i="3"/>
  <c r="H62" i="3"/>
  <c r="H70" i="3"/>
  <c r="G114" i="3"/>
  <c r="G78" i="3"/>
  <c r="H290" i="3"/>
  <c r="H343" i="3"/>
  <c r="G246" i="3"/>
  <c r="H22" i="3"/>
  <c r="H337" i="3"/>
  <c r="H218" i="3"/>
  <c r="H285" i="3"/>
  <c r="H16" i="3"/>
  <c r="H76" i="3"/>
  <c r="H157" i="3"/>
  <c r="G17" i="3"/>
  <c r="H64" i="3"/>
  <c r="H259" i="3"/>
  <c r="G364" i="3"/>
  <c r="H103" i="3"/>
  <c r="H313" i="3"/>
  <c r="H333" i="3"/>
  <c r="H19" i="3"/>
  <c r="G125" i="3"/>
  <c r="H235" i="3"/>
  <c r="G53" i="3"/>
  <c r="G131" i="3"/>
  <c r="H339" i="3"/>
  <c r="G276" i="3"/>
  <c r="H194" i="3"/>
  <c r="H163" i="3"/>
  <c r="G89" i="3"/>
  <c r="H279" i="3"/>
  <c r="H189" i="3"/>
  <c r="G263" i="3"/>
  <c r="H267" i="3"/>
  <c r="H351" i="3"/>
  <c r="H134" i="3"/>
  <c r="G288" i="3"/>
  <c r="H278" i="3"/>
  <c r="H153" i="3"/>
  <c r="H145" i="3"/>
  <c r="H247" i="3"/>
  <c r="H10" i="3"/>
  <c r="H237" i="3"/>
  <c r="H253" i="3"/>
  <c r="H271" i="3"/>
  <c r="G366" i="3"/>
  <c r="H80" i="3"/>
  <c r="H160" i="3"/>
  <c r="H352" i="3"/>
  <c r="H301" i="3"/>
  <c r="G155" i="3"/>
  <c r="H295" i="3"/>
  <c r="H200" i="3"/>
  <c r="G144" i="3"/>
  <c r="H183" i="3"/>
  <c r="H88" i="3"/>
  <c r="G149" i="3"/>
  <c r="H111" i="3"/>
  <c r="H46" i="3"/>
  <c r="G323" i="3"/>
  <c r="H266" i="3"/>
  <c r="G317" i="3"/>
  <c r="G330" i="3"/>
  <c r="G186" i="3"/>
  <c r="G359" i="3"/>
  <c r="H3" i="3"/>
  <c r="G35" i="3"/>
  <c r="G108" i="3"/>
  <c r="G137" i="3"/>
  <c r="G77" i="3"/>
  <c r="H115" i="3"/>
  <c r="G251" i="3"/>
  <c r="H193" i="3"/>
  <c r="G354" i="3"/>
  <c r="G293" i="3"/>
  <c r="H358" i="3"/>
  <c r="H326" i="3"/>
  <c r="H261" i="3"/>
  <c r="H211" i="3" l="1"/>
  <c r="H307" i="3"/>
  <c r="H206" i="3"/>
  <c r="H169" i="3"/>
  <c r="H280" i="3"/>
  <c r="H128" i="3"/>
  <c r="H140" i="3"/>
  <c r="H177" i="3"/>
  <c r="H207" i="3"/>
  <c r="H345" i="3"/>
  <c r="H213" i="3"/>
  <c r="G209" i="3"/>
  <c r="G342" i="3"/>
  <c r="H32" i="3"/>
  <c r="H296" i="3"/>
  <c r="H56" i="3"/>
  <c r="H106" i="3"/>
  <c r="G360" i="3"/>
  <c r="H110" i="3"/>
  <c r="G12" i="3"/>
  <c r="H344" i="3"/>
  <c r="G239" i="3"/>
  <c r="G240" i="3"/>
  <c r="G347" i="3"/>
  <c r="H188" i="3"/>
  <c r="G179" i="3"/>
  <c r="H31" i="3"/>
  <c r="G228" i="3"/>
  <c r="H142" i="3"/>
  <c r="H230" i="3"/>
  <c r="H242" i="3"/>
  <c r="H331" i="3"/>
  <c r="H303" i="3"/>
  <c r="H38" i="3"/>
  <c r="H135" i="3"/>
  <c r="H316" i="3"/>
  <c r="H81" i="3"/>
  <c r="G168" i="3"/>
  <c r="H338" i="3"/>
  <c r="G60" i="3"/>
  <c r="H94" i="3"/>
  <c r="H356" i="3"/>
  <c r="H334" i="3"/>
  <c r="H152" i="3"/>
  <c r="H122" i="3"/>
  <c r="G48" i="3"/>
  <c r="H151" i="3"/>
  <c r="H8" i="3"/>
  <c r="G227" i="3"/>
  <c r="H332" i="3"/>
  <c r="G72" i="3"/>
  <c r="H27" i="3"/>
  <c r="H265" i="3"/>
  <c r="H217" i="3"/>
  <c r="G192" i="3"/>
  <c r="H92" i="3"/>
  <c r="H86" i="3"/>
  <c r="H118" i="3"/>
  <c r="H226" i="3"/>
  <c r="H13" i="3"/>
  <c r="H315" i="3"/>
  <c r="H45" i="3"/>
  <c r="G324" i="3"/>
  <c r="H328" i="3"/>
  <c r="H73" i="3"/>
  <c r="H133" i="3"/>
  <c r="G185" i="3"/>
  <c r="H254" i="3"/>
  <c r="G132" i="3"/>
  <c r="H327" i="3"/>
  <c r="H93" i="3"/>
  <c r="H170" i="3"/>
  <c r="G95" i="3"/>
  <c r="H182" i="3"/>
  <c r="H229" i="3"/>
  <c r="G215" i="3"/>
  <c r="H49" i="3"/>
  <c r="G107" i="3"/>
  <c r="H25" i="3"/>
  <c r="H136" i="3"/>
  <c r="H268" i="3"/>
  <c r="G173" i="3"/>
  <c r="G41" i="3"/>
  <c r="H208" i="3"/>
  <c r="G258" i="3"/>
  <c r="G363" i="3"/>
  <c r="H292" i="3"/>
  <c r="H37" i="3"/>
  <c r="G150" i="3"/>
  <c r="H139" i="3"/>
  <c r="H98" i="3"/>
  <c r="G312" i="3"/>
  <c r="H15" i="3"/>
  <c r="G42" i="3"/>
  <c r="H350" i="3"/>
  <c r="G180" i="3"/>
  <c r="H14" i="3"/>
  <c r="H61" i="3"/>
  <c r="G204" i="3"/>
  <c r="H105" i="3"/>
  <c r="H289" i="3"/>
  <c r="H20" i="3"/>
  <c r="G197" i="3"/>
  <c r="G300" i="3"/>
  <c r="H171" i="3"/>
  <c r="G252" i="3"/>
  <c r="H241" i="3"/>
  <c r="H238" i="3"/>
  <c r="G341" i="3"/>
  <c r="G119" i="3"/>
  <c r="H26" i="3"/>
  <c r="G138" i="3"/>
  <c r="G24" i="3"/>
  <c r="H260" i="3"/>
  <c r="H44" i="3"/>
  <c r="G362" i="3"/>
  <c r="H123" i="3"/>
  <c r="H272" i="3"/>
  <c r="H2" i="3"/>
  <c r="H68" i="3"/>
  <c r="G348" i="3"/>
  <c r="H304" i="3"/>
</calcChain>
</file>

<file path=xl/sharedStrings.xml><?xml version="1.0" encoding="utf-8"?>
<sst xmlns="http://schemas.openxmlformats.org/spreadsheetml/2006/main" count="5668" uniqueCount="1960">
  <si>
    <t>ブルースライム</t>
  </si>
  <si>
    <t>レッドスライム</t>
  </si>
  <si>
    <t>グリーンスライム</t>
  </si>
  <si>
    <t>レッドボア</t>
  </si>
  <si>
    <t>ブルーボア</t>
  </si>
  <si>
    <t>スライムフォース</t>
  </si>
  <si>
    <t>ID</t>
  </si>
  <si>
    <t>名前</t>
  </si>
  <si>
    <t>MON_001</t>
  </si>
  <si>
    <t>MON_002</t>
  </si>
  <si>
    <t>MON_003</t>
  </si>
  <si>
    <t>MON_004</t>
  </si>
  <si>
    <t>MON_005</t>
  </si>
  <si>
    <t>MON_006</t>
  </si>
  <si>
    <t>属性</t>
  </si>
  <si>
    <t>攻撃方式</t>
  </si>
  <si>
    <t>基礎HP</t>
  </si>
  <si>
    <t>基礎MP</t>
  </si>
  <si>
    <t>基礎攻撃力</t>
  </si>
  <si>
    <t>基礎魔力</t>
  </si>
  <si>
    <t>基礎防御力</t>
  </si>
  <si>
    <t>基礎魔防</t>
  </si>
  <si>
    <t>クリ率</t>
  </si>
  <si>
    <t>クリ倍</t>
  </si>
  <si>
    <t>移動速度</t>
  </si>
  <si>
    <t>攻撃速度</t>
  </si>
  <si>
    <t>攻撃範囲</t>
  </si>
  <si>
    <t>火耐性</t>
  </si>
  <si>
    <t>水耐性</t>
  </si>
  <si>
    <t>風耐性</t>
  </si>
  <si>
    <t>光耐性</t>
  </si>
  <si>
    <t>闇耐性</t>
  </si>
  <si>
    <t>索敵範囲</t>
  </si>
  <si>
    <t>リス秒</t>
  </si>
  <si>
    <t>素材ID</t>
  </si>
  <si>
    <t>素材ドロ率</t>
  </si>
  <si>
    <t>経験値</t>
  </si>
  <si>
    <t>配合用値</t>
  </si>
  <si>
    <t>魔弾Prefab名</t>
  </si>
  <si>
    <t>魔弾速度</t>
  </si>
  <si>
    <t>魔弾寿命秒数</t>
  </si>
  <si>
    <t>魔弾追尾</t>
  </si>
  <si>
    <t>称号ID</t>
  </si>
  <si>
    <t>SkillIds</t>
  </si>
  <si>
    <t>火</t>
    <rPh sb="0" eb="1">
      <t>ヒ</t>
    </rPh>
    <phoneticPr fontId="1"/>
  </si>
  <si>
    <t>水</t>
    <rPh sb="0" eb="1">
      <t>ミズ</t>
    </rPh>
    <phoneticPr fontId="1"/>
  </si>
  <si>
    <t>風</t>
    <rPh sb="0" eb="1">
      <t>カゼ</t>
    </rPh>
    <phoneticPr fontId="1"/>
  </si>
  <si>
    <t>光</t>
    <rPh sb="0" eb="1">
      <t>ヒカリ</t>
    </rPh>
    <phoneticPr fontId="1"/>
  </si>
  <si>
    <t>闇</t>
    <rPh sb="0" eb="1">
      <t>ヤミ</t>
    </rPh>
    <phoneticPr fontId="1"/>
  </si>
  <si>
    <t>FireBall</t>
  </si>
  <si>
    <t>FireBall</t>
    <phoneticPr fontId="1"/>
  </si>
  <si>
    <t>WaterBall</t>
  </si>
  <si>
    <t>WaterBall</t>
    <phoneticPr fontId="1"/>
  </si>
  <si>
    <t>WindBall</t>
  </si>
  <si>
    <t>WindBall</t>
    <phoneticPr fontId="1"/>
  </si>
  <si>
    <t>LightBall</t>
  </si>
  <si>
    <t>LightBall</t>
    <phoneticPr fontId="1"/>
  </si>
  <si>
    <t>雷</t>
    <rPh sb="0" eb="1">
      <t>カミナリ</t>
    </rPh>
    <phoneticPr fontId="1"/>
  </si>
  <si>
    <t>LightningBall</t>
    <phoneticPr fontId="1"/>
  </si>
  <si>
    <t>Melee</t>
  </si>
  <si>
    <t>Melee</t>
    <phoneticPr fontId="1"/>
  </si>
  <si>
    <t>Ranged</t>
  </si>
  <si>
    <t>Ranged</t>
    <phoneticPr fontId="1"/>
  </si>
  <si>
    <t>TITLE_001</t>
  </si>
  <si>
    <t>MAT_002</t>
  </si>
  <si>
    <t>TITLE_002</t>
  </si>
  <si>
    <t>MAT_003</t>
  </si>
  <si>
    <t>TITLE_003</t>
  </si>
  <si>
    <t>MAT_004</t>
  </si>
  <si>
    <t>TITLE_004</t>
  </si>
  <si>
    <t>MAT_005</t>
  </si>
  <si>
    <t>TITLE_005</t>
  </si>
  <si>
    <t>MAT_006</t>
  </si>
  <si>
    <t>TITLE_006</t>
  </si>
  <si>
    <t>None</t>
  </si>
  <si>
    <t>None</t>
    <phoneticPr fontId="1"/>
  </si>
  <si>
    <t>雷耐性</t>
    <rPh sb="0" eb="1">
      <t>カミナリ</t>
    </rPh>
    <phoneticPr fontId="1"/>
  </si>
  <si>
    <t>DarkBall</t>
    <phoneticPr fontId="1"/>
  </si>
  <si>
    <t>抽選ウェイト</t>
  </si>
  <si>
    <t>静水の微笑み</t>
  </si>
  <si>
    <t>灼熱のご機嫌</t>
  </si>
  <si>
    <t>芽吹く生命の笑顔</t>
  </si>
  <si>
    <t>紅蓮に吼える突進獣</t>
  </si>
  <si>
    <t>蒼氷を纏う沈黙の獣</t>
  </si>
  <si>
    <t>重なりし彩層の主</t>
  </si>
  <si>
    <t>雷耐性</t>
  </si>
  <si>
    <t>素材名</t>
    <rPh sb="0" eb="2">
      <t>ソザイ</t>
    </rPh>
    <rPh sb="2" eb="3">
      <t>メイ</t>
    </rPh>
    <phoneticPr fontId="1"/>
  </si>
  <si>
    <t>蒼澄の粘晶</t>
  </si>
  <si>
    <t>灼熱の粘晶</t>
  </si>
  <si>
    <t>翠命の粘晶</t>
  </si>
  <si>
    <t>炎牙獣の猛牙</t>
  </si>
  <si>
    <t>氷牙獣の凍牙</t>
  </si>
  <si>
    <t>虹幻の粘晶</t>
  </si>
  <si>
    <t>MapID</t>
  </si>
  <si>
    <t>始まりの平野</t>
  </si>
  <si>
    <t>スライムとボアが生息する平原</t>
  </si>
  <si>
    <t>マップの説明</t>
    <phoneticPr fontId="1"/>
  </si>
  <si>
    <t>サムネイル画像</t>
    <phoneticPr fontId="1"/>
  </si>
  <si>
    <t>地形生成用JSON名</t>
    <phoneticPr fontId="1"/>
  </si>
  <si>
    <t>ノーマルモンスター1</t>
    <phoneticPr fontId="1"/>
  </si>
  <si>
    <t>ノーマルモンスター2</t>
  </si>
  <si>
    <t>ノーマルモンスター3</t>
  </si>
  <si>
    <t>ノーマルモンスター4</t>
  </si>
  <si>
    <t>ノーマルモンスター5</t>
  </si>
  <si>
    <t>ボスモンスター</t>
    <phoneticPr fontId="1"/>
  </si>
  <si>
    <t>ダンジョン固有素材ID</t>
    <phoneticPr fontId="1"/>
  </si>
  <si>
    <t>推奨レベル</t>
    <phoneticPr fontId="1"/>
  </si>
  <si>
    <t>通常モンスターの出現レベル</t>
    <phoneticPr fontId="1"/>
  </si>
  <si>
    <t>強敵の出現レベル</t>
    <phoneticPr fontId="1"/>
  </si>
  <si>
    <t>MAT_001</t>
    <phoneticPr fontId="1"/>
  </si>
  <si>
    <t>MATD_001</t>
    <phoneticPr fontId="1"/>
  </si>
  <si>
    <t>地形生成用JSON名</t>
  </si>
  <si>
    <t>幅</t>
  </si>
  <si>
    <t>高さ</t>
  </si>
  <si>
    <t>Seed</t>
  </si>
  <si>
    <t>種類</t>
  </si>
  <si>
    <t>素材名</t>
  </si>
  <si>
    <t>配置率</t>
  </si>
  <si>
    <t>地面</t>
  </si>
  <si>
    <t>道</t>
  </si>
  <si>
    <t>当たり判定なしobject</t>
  </si>
  <si>
    <t>コリジョン</t>
  </si>
  <si>
    <t>平野_芝</t>
    <rPh sb="0" eb="2">
      <t>ヘイヤ</t>
    </rPh>
    <phoneticPr fontId="1"/>
  </si>
  <si>
    <t>平野_切り株</t>
    <rPh sb="0" eb="2">
      <t>ヘイヤ</t>
    </rPh>
    <phoneticPr fontId="1"/>
  </si>
  <si>
    <t>平野_水溜り</t>
    <rPh sb="0" eb="2">
      <t>ヘイヤ</t>
    </rPh>
    <phoneticPr fontId="1"/>
  </si>
  <si>
    <r>
      <t>平野</t>
    </r>
    <r>
      <rPr>
        <sz val="11"/>
        <color theme="1"/>
        <rFont val="游ゴシック"/>
        <family val="2"/>
        <charset val="128"/>
      </rPr>
      <t>_</t>
    </r>
    <r>
      <rPr>
        <sz val="11"/>
        <color theme="1"/>
        <rFont val="游ゴシック"/>
        <family val="2"/>
        <charset val="128"/>
        <scheme val="minor"/>
      </rPr>
      <t>花</t>
    </r>
    <rPh sb="0" eb="2">
      <t>ヘイヤ</t>
    </rPh>
    <rPh sb="3" eb="4">
      <t>ハナ</t>
    </rPh>
    <phoneticPr fontId="1"/>
  </si>
  <si>
    <t>平野_土_十字</t>
    <rPh sb="0" eb="2">
      <t>ヘイヤ</t>
    </rPh>
    <rPh sb="3" eb="4">
      <t>ツチ</t>
    </rPh>
    <rPh sb="5" eb="7">
      <t>ジュウジ</t>
    </rPh>
    <phoneticPr fontId="1"/>
  </si>
  <si>
    <t>平野_土_縦</t>
    <rPh sb="0" eb="2">
      <t>ヘイヤ</t>
    </rPh>
    <rPh sb="3" eb="4">
      <t>ツチ</t>
    </rPh>
    <rPh sb="5" eb="6">
      <t>タテ</t>
    </rPh>
    <phoneticPr fontId="1"/>
  </si>
  <si>
    <t>平野_土_横</t>
    <rPh sb="0" eb="2">
      <t>ヘイヤ</t>
    </rPh>
    <rPh sb="3" eb="4">
      <t>ツチ</t>
    </rPh>
    <rPh sb="5" eb="6">
      <t>ヨコ</t>
    </rPh>
    <phoneticPr fontId="1"/>
  </si>
  <si>
    <t>マス</t>
    <phoneticPr fontId="1"/>
  </si>
  <si>
    <t>1*1</t>
    <phoneticPr fontId="1"/>
  </si>
  <si>
    <t>2*2</t>
    <phoneticPr fontId="1"/>
  </si>
  <si>
    <t>コリジョン</t>
    <phoneticPr fontId="1"/>
  </si>
  <si>
    <t>平野_池</t>
    <rPh sb="0" eb="2">
      <t>ヘイヤ</t>
    </rPh>
    <rPh sb="3" eb="4">
      <t>イケ</t>
    </rPh>
    <phoneticPr fontId="1"/>
  </si>
  <si>
    <t>Level</t>
  </si>
  <si>
    <t>PlayerRequiredExp</t>
  </si>
  <si>
    <t>MonsterRequiredExp</t>
  </si>
  <si>
    <t>EQP_001</t>
  </si>
  <si>
    <t>訓練の剣</t>
  </si>
  <si>
    <t>武器</t>
  </si>
  <si>
    <t>冒険者のための初歩的な剣</t>
  </si>
  <si>
    <t>EQP_002</t>
  </si>
  <si>
    <t>旅人のローブ</t>
  </si>
  <si>
    <t>防具</t>
  </si>
  <si>
    <t>軽く扱いやすい旅装</t>
  </si>
  <si>
    <t>説明</t>
  </si>
  <si>
    <t>武器</t>
    <rPh sb="0" eb="2">
      <t>ブキ</t>
    </rPh>
    <phoneticPr fontId="1"/>
  </si>
  <si>
    <t>防具</t>
    <rPh sb="0" eb="2">
      <t>ボウグ</t>
    </rPh>
    <phoneticPr fontId="1"/>
  </si>
  <si>
    <t>アクセサリー</t>
    <phoneticPr fontId="1"/>
  </si>
  <si>
    <t>MAT_001</t>
  </si>
  <si>
    <t>種別</t>
    <rPh sb="0" eb="2">
      <t>シュベツ</t>
    </rPh>
    <phoneticPr fontId="1"/>
  </si>
  <si>
    <t>Monster</t>
    <phoneticPr fontId="1"/>
  </si>
  <si>
    <t>Dungeon</t>
    <phoneticPr fontId="1"/>
  </si>
  <si>
    <t>灼熱の粘晶</t>
    <phoneticPr fontId="1"/>
  </si>
  <si>
    <t>翠命の粘晶</t>
    <phoneticPr fontId="1"/>
  </si>
  <si>
    <t>炎牙獣の猛牙</t>
    <phoneticPr fontId="1"/>
  </si>
  <si>
    <t>氷牙獣の凍牙</t>
    <phoneticPr fontId="1"/>
  </si>
  <si>
    <t>虹幻の粘晶</t>
    <phoneticPr fontId="1"/>
  </si>
  <si>
    <t>翠泉の霊鉱</t>
    <rPh sb="0" eb="1">
      <t>スイ</t>
    </rPh>
    <rPh sb="1" eb="2">
      <t>イズミ</t>
    </rPh>
    <rPh sb="3" eb="4">
      <t>レイ</t>
    </rPh>
    <rPh sb="4" eb="5">
      <t>コウ</t>
    </rPh>
    <phoneticPr fontId="1"/>
  </si>
  <si>
    <t>平野1</t>
    <phoneticPr fontId="1"/>
  </si>
  <si>
    <t>ダンジョン固有装備1</t>
    <rPh sb="5" eb="7">
      <t>コユウ</t>
    </rPh>
    <rPh sb="7" eb="9">
      <t>ソウビ</t>
    </rPh>
    <phoneticPr fontId="1"/>
  </si>
  <si>
    <t>ダンジョン固有装備2</t>
    <rPh sb="5" eb="7">
      <t>コユウ</t>
    </rPh>
    <rPh sb="7" eb="9">
      <t>ソウビ</t>
    </rPh>
    <phoneticPr fontId="1"/>
  </si>
  <si>
    <t>ダンジョン固有装備3</t>
    <rPh sb="5" eb="7">
      <t>コユウ</t>
    </rPh>
    <rPh sb="7" eb="9">
      <t>ソウビ</t>
    </rPh>
    <phoneticPr fontId="1"/>
  </si>
  <si>
    <t>EQP_003</t>
  </si>
  <si>
    <t>EQP_004</t>
  </si>
  <si>
    <t>EQP_005</t>
  </si>
  <si>
    <t>草原の獣牙剣</t>
    <phoneticPr fontId="1"/>
  </si>
  <si>
    <t>草原の翠護衣</t>
    <phoneticPr fontId="1"/>
  </si>
  <si>
    <t>草原の魔導環</t>
    <phoneticPr fontId="1"/>
  </si>
  <si>
    <t>アクセサリー</t>
  </si>
  <si>
    <t>平野の魔力を集める小さな装飾品</t>
  </si>
  <si>
    <t>草原の生命力を宿した守護衣</t>
  </si>
  <si>
    <t>草原の魔獣の牙を鍛えた剣</t>
  </si>
  <si>
    <t>平野1</t>
    <rPh sb="0" eb="2">
      <t>ヘイヤ</t>
    </rPh>
    <phoneticPr fontId="1"/>
  </si>
  <si>
    <t>上出入口</t>
    <rPh sb="0" eb="1">
      <t>ウエ</t>
    </rPh>
    <rPh sb="1" eb="2">
      <t>デ</t>
    </rPh>
    <rPh sb="2" eb="3">
      <t>イ</t>
    </rPh>
    <rPh sb="3" eb="4">
      <t>グチ</t>
    </rPh>
    <phoneticPr fontId="1"/>
  </si>
  <si>
    <t>下出入口</t>
    <rPh sb="0" eb="1">
      <t>シタ</t>
    </rPh>
    <phoneticPr fontId="1"/>
  </si>
  <si>
    <t>左出入口</t>
    <rPh sb="0" eb="1">
      <t>ヒダリ</t>
    </rPh>
    <phoneticPr fontId="1"/>
  </si>
  <si>
    <t>右出入口</t>
    <rPh sb="0" eb="1">
      <t>ミギ</t>
    </rPh>
    <phoneticPr fontId="1"/>
  </si>
  <si>
    <t>MAP_001</t>
    <phoneticPr fontId="1"/>
  </si>
  <si>
    <t>当たり判定なしObject</t>
  </si>
  <si>
    <t>村</t>
    <rPh sb="0" eb="1">
      <t>ムラ</t>
    </rPh>
    <phoneticPr fontId="1"/>
  </si>
  <si>
    <t>井戸</t>
    <rPh sb="0" eb="2">
      <t>イド</t>
    </rPh>
    <phoneticPr fontId="1"/>
  </si>
  <si>
    <t>30.31.38.39</t>
    <phoneticPr fontId="1"/>
  </si>
  <si>
    <t>薪</t>
    <rPh sb="0" eb="1">
      <t>マキ</t>
    </rPh>
    <phoneticPr fontId="1"/>
  </si>
  <si>
    <t>墓</t>
    <rPh sb="0" eb="1">
      <t>ハカ</t>
    </rPh>
    <phoneticPr fontId="1"/>
  </si>
  <si>
    <t>1*2</t>
    <phoneticPr fontId="1"/>
  </si>
  <si>
    <t>2*1</t>
    <phoneticPr fontId="1"/>
  </si>
  <si>
    <t>薪割株</t>
    <rPh sb="0" eb="1">
      <t>マキ</t>
    </rPh>
    <rPh sb="1" eb="2">
      <t>ワリ</t>
    </rPh>
    <rPh sb="2" eb="3">
      <t>カブ</t>
    </rPh>
    <phoneticPr fontId="1"/>
  </si>
  <si>
    <t>水汲み桶</t>
    <rPh sb="0" eb="2">
      <t>ミズク</t>
    </rPh>
    <rPh sb="3" eb="4">
      <t>オケ</t>
    </rPh>
    <phoneticPr fontId="1"/>
  </si>
  <si>
    <t>31*31</t>
  </si>
  <si>
    <t>ピンク花</t>
    <rPh sb="3" eb="4">
      <t>ハナ</t>
    </rPh>
    <phoneticPr fontId="1"/>
  </si>
  <si>
    <t>黄色花</t>
    <rPh sb="0" eb="2">
      <t>キイロ</t>
    </rPh>
    <rPh sb="2" eb="3">
      <t>ハナ</t>
    </rPh>
    <phoneticPr fontId="1"/>
  </si>
  <si>
    <t>紫花</t>
    <rPh sb="0" eb="1">
      <t>ムラサキ</t>
    </rPh>
    <rPh sb="1" eb="2">
      <t>ハナ</t>
    </rPh>
    <phoneticPr fontId="1"/>
  </si>
  <si>
    <t>青草</t>
    <rPh sb="0" eb="2">
      <t>アオクサ</t>
    </rPh>
    <phoneticPr fontId="1"/>
  </si>
  <si>
    <t>枝</t>
    <rPh sb="0" eb="1">
      <t>エダ</t>
    </rPh>
    <phoneticPr fontId="1"/>
  </si>
  <si>
    <t>ファイル名コピペ用</t>
    <rPh sb="4" eb="5">
      <t>メイ</t>
    </rPh>
    <rPh sb="8" eb="9">
      <t>ヨウ</t>
    </rPh>
    <phoneticPr fontId="1"/>
  </si>
  <si>
    <t>地面</t>
    <rPh sb="0" eb="2">
      <t>ジメン</t>
    </rPh>
    <phoneticPr fontId="1"/>
  </si>
  <si>
    <t>石畳</t>
    <rPh sb="0" eb="2">
      <t>イシダタミ</t>
    </rPh>
    <phoneticPr fontId="1"/>
  </si>
  <si>
    <t>芝</t>
    <rPh sb="0" eb="1">
      <t>シバ</t>
    </rPh>
    <phoneticPr fontId="1"/>
  </si>
  <si>
    <t>ゴブリン</t>
  </si>
  <si>
    <t>ゴブリンウォーリアー</t>
  </si>
  <si>
    <t>ゴブリンメイジ</t>
  </si>
  <si>
    <t>ボブゴブリン</t>
  </si>
  <si>
    <t>マテリアスライム</t>
  </si>
  <si>
    <t>ゴブリンキング</t>
  </si>
  <si>
    <t>ルーインズスラッグ</t>
  </si>
  <si>
    <t>ライティングスラッグ</t>
  </si>
  <si>
    <t>幽霊</t>
  </si>
  <si>
    <t>怨念</t>
  </si>
  <si>
    <t>ドラゴンゾンビ</t>
  </si>
  <si>
    <t>エクリス・カース</t>
  </si>
  <si>
    <t>コボルト</t>
  </si>
  <si>
    <t>ウルフ</t>
  </si>
  <si>
    <t>ブラッドウルフ</t>
  </si>
  <si>
    <t>人狼</t>
  </si>
  <si>
    <t>ラグナ・ヴォルグ</t>
  </si>
  <si>
    <t>ヴォルグ・スカー</t>
  </si>
  <si>
    <t>ドレッドハンター</t>
  </si>
  <si>
    <t>アシッドスライム</t>
  </si>
  <si>
    <t>浮遊甲冑</t>
    <rPh sb="0" eb="2">
      <t>フユウ</t>
    </rPh>
    <rPh sb="2" eb="4">
      <t>カッチュウ</t>
    </rPh>
    <phoneticPr fontId="1"/>
  </si>
  <si>
    <t>グラーヴナイト</t>
  </si>
  <si>
    <t>ネクロウィスプ</t>
  </si>
  <si>
    <t>ボーンアバドン</t>
  </si>
  <si>
    <t>スケルトン</t>
  </si>
  <si>
    <t>サンドワーム</t>
  </si>
  <si>
    <t>ブラックサンドワーム</t>
  </si>
  <si>
    <t>ブラックコボルト</t>
  </si>
  <si>
    <t>ヴォルドーム</t>
  </si>
  <si>
    <t>ラヴァスコール</t>
  </si>
  <si>
    <t>魔法使い</t>
  </si>
  <si>
    <t>魔女</t>
  </si>
  <si>
    <t>カーラ＆ヴィクトリア</t>
  </si>
  <si>
    <t>セリウス・アークレイン</t>
  </si>
  <si>
    <t>マグナ・アルセリオン</t>
  </si>
  <si>
    <t>アルカ・マギウス</t>
  </si>
  <si>
    <t>ゴーレムナイト</t>
  </si>
  <si>
    <t>溶岩魔人</t>
  </si>
  <si>
    <t>蒼溶岩魔人</t>
  </si>
  <si>
    <t>魔人の土偶</t>
  </si>
  <si>
    <t>グラヴィアズール</t>
  </si>
  <si>
    <t>ヴォルザロック</t>
  </si>
  <si>
    <t>ゴーレムガーディアン</t>
  </si>
  <si>
    <t>シルバーゴーレム</t>
  </si>
  <si>
    <t>ゴールドゴーレム</t>
  </si>
  <si>
    <t>シルバースライム</t>
  </si>
  <si>
    <t>アストラ・コロッサス</t>
  </si>
  <si>
    <t>グラヴェルノス</t>
  </si>
  <si>
    <t>ファイヤリザード</t>
  </si>
  <si>
    <t>サイクロプス</t>
  </si>
  <si>
    <t>ソルドリム・アイアンハート</t>
  </si>
  <si>
    <t>ヴァルサイクロプス</t>
  </si>
  <si>
    <t>グラウンドタイタン</t>
  </si>
  <si>
    <t>煌獄騎デュザリオン</t>
  </si>
  <si>
    <t>ゴーレムメーカー</t>
  </si>
  <si>
    <t>リヴィア・ハートライン</t>
  </si>
  <si>
    <t>アクア・レギュレイター</t>
  </si>
  <si>
    <t>フォレスト・ガンナー</t>
  </si>
  <si>
    <t>レジスト・ゴレイオン</t>
  </si>
  <si>
    <t>インフェルノ・ギア</t>
  </si>
  <si>
    <t>サラマンダー</t>
  </si>
  <si>
    <t>赤竜</t>
  </si>
  <si>
    <t>エンシェント・レッド</t>
  </si>
  <si>
    <t>ヴァルイグニス</t>
  </si>
  <si>
    <t>ヘルグラッド</t>
  </si>
  <si>
    <t>グラン・スライオス</t>
  </si>
  <si>
    <t>スイマーゴブリン</t>
  </si>
  <si>
    <t>漕手ゴブリン</t>
  </si>
  <si>
    <t>メガロドン</t>
  </si>
  <si>
    <t>ブルオメガ</t>
  </si>
  <si>
    <t>ネプチ・アブル</t>
  </si>
  <si>
    <t>アビサル・ネプトゥス</t>
  </si>
  <si>
    <t>狩猟ゴブリン</t>
  </si>
  <si>
    <t>フェアリー</t>
  </si>
  <si>
    <t>長老ゴブリン</t>
  </si>
  <si>
    <t>リザ・ヴァルク</t>
  </si>
  <si>
    <t>ボル・グルナ</t>
  </si>
  <si>
    <t>ガル・フェンリオ</t>
  </si>
  <si>
    <t>人食いキノコ</t>
  </si>
  <si>
    <t>ゴールドスライム</t>
  </si>
  <si>
    <t>スライムキング</t>
  </si>
  <si>
    <t>マグ・スライム</t>
  </si>
  <si>
    <t>キング・グリット</t>
  </si>
  <si>
    <t>ルクス・ジェリー</t>
  </si>
  <si>
    <t>キラーマンティス</t>
  </si>
  <si>
    <t>スタグビートル</t>
  </si>
  <si>
    <t>キラーセンチピード</t>
  </si>
  <si>
    <t>ヴェス・カリバー</t>
  </si>
  <si>
    <t>インフェル・ビートル</t>
  </si>
  <si>
    <t>ルミナ・ミラージュ</t>
  </si>
  <si>
    <t>ラストコア</t>
  </si>
  <si>
    <t>ターミナス・ギアロード</t>
  </si>
  <si>
    <t>インフェルナル・オーバードライブ</t>
  </si>
  <si>
    <t>ブルー・ヴォルテクス</t>
  </si>
  <si>
    <t>マグナ・ギアゴーレム</t>
  </si>
  <si>
    <t>アーク・セラフィオン</t>
  </si>
  <si>
    <t>ラグス</t>
  </si>
  <si>
    <t>バルド</t>
  </si>
  <si>
    <t>バルザック</t>
  </si>
  <si>
    <t>ゴルダン</t>
  </si>
  <si>
    <t>カーンヴァル</t>
  </si>
  <si>
    <t>グリモルダン</t>
  </si>
  <si>
    <t>ライトワーム</t>
  </si>
  <si>
    <t>ケイブスパイダー</t>
  </si>
  <si>
    <t>亡霊鉱夫</t>
    <rPh sb="0" eb="2">
      <t>ボウレイ</t>
    </rPh>
    <rPh sb="2" eb="3">
      <t>コウ</t>
    </rPh>
    <rPh sb="3" eb="4">
      <t>オット</t>
    </rPh>
    <phoneticPr fontId="1"/>
  </si>
  <si>
    <t>マイコドレイク</t>
  </si>
  <si>
    <t>アースドラゴン</t>
  </si>
  <si>
    <t>アビスドラゴン</t>
  </si>
  <si>
    <t>フィローナ</t>
  </si>
  <si>
    <t>キューㇾリス</t>
  </si>
  <si>
    <t>コランチュラ</t>
  </si>
  <si>
    <t>ダルンドゥ</t>
  </si>
  <si>
    <t>ガルブロッサ</t>
  </si>
  <si>
    <t>ドレインタス</t>
  </si>
  <si>
    <t>スカイレイヴン</t>
  </si>
  <si>
    <t>ガレウィングホーク</t>
  </si>
  <si>
    <t>フェザードヴァルチャー</t>
  </si>
  <si>
    <t>ハーピー</t>
  </si>
  <si>
    <t>ストームコンドル</t>
  </si>
  <si>
    <t>アル・ヴォレオス</t>
  </si>
  <si>
    <t>魔導覇鬼ゴルヴァス</t>
  </si>
  <si>
    <t>マキナレクス</t>
  </si>
  <si>
    <t>ヴェルザーク</t>
  </si>
  <si>
    <t>灼岩王グレアラグ</t>
    <rPh sb="0" eb="1">
      <t>シャク</t>
    </rPh>
    <rPh sb="1" eb="2">
      <t>ガン</t>
    </rPh>
    <rPh sb="2" eb="3">
      <t>オウ</t>
    </rPh>
    <phoneticPr fontId="1"/>
  </si>
  <si>
    <t>アヴィドゥス・マグマ―ル</t>
  </si>
  <si>
    <t>雷牙王ヴァルドゥーン</t>
    <rPh sb="0" eb="1">
      <t>カミナリ</t>
    </rPh>
    <rPh sb="1" eb="2">
      <t>キバ</t>
    </rPh>
    <rPh sb="2" eb="3">
      <t>オウ</t>
    </rPh>
    <phoneticPr fontId="1"/>
  </si>
  <si>
    <t>ネグロスパイダー</t>
  </si>
  <si>
    <t>リッチ・モルディガン</t>
  </si>
  <si>
    <t>ネクロ・ドラグニル</t>
  </si>
  <si>
    <t>ヴァル・ディアブロ</t>
  </si>
  <si>
    <t>ブラッド・ミノタウロス</t>
  </si>
  <si>
    <t>アズラ・ヒュドラ</t>
  </si>
  <si>
    <t>マグ・ヴォルム</t>
  </si>
  <si>
    <t>フロスティア・レクイエム</t>
  </si>
  <si>
    <t>インフェルノ・バルガス</t>
  </si>
  <si>
    <t>ネフェル・アンムート</t>
  </si>
  <si>
    <t>ヴァル・ノクティス</t>
  </si>
  <si>
    <t>モル・カヴァリエ</t>
  </si>
  <si>
    <t>グリーン・カタストラ</t>
  </si>
  <si>
    <t>タラッサ・ミルディア</t>
  </si>
  <si>
    <t>スカルロード</t>
  </si>
  <si>
    <t>アシュタロス・リリア</t>
  </si>
  <si>
    <t>ブッチャー・ゴルム</t>
  </si>
  <si>
    <t>ヴォイド・バルザーク</t>
  </si>
  <si>
    <t>錆びた坑夫スケルトン</t>
  </si>
  <si>
    <t>掘削ゴブリン</t>
  </si>
  <si>
    <t>鉄屑スライム</t>
  </si>
  <si>
    <t>崩落モール</t>
  </si>
  <si>
    <t>煤まみれの幽霊</t>
  </si>
  <si>
    <t>坑道王・アイアンレイバー</t>
  </si>
  <si>
    <t>水苔スライム</t>
  </si>
  <si>
    <t>湿潤ラット</t>
  </si>
  <si>
    <t>水没スケルトン</t>
  </si>
  <si>
    <t>沼トカゲ</t>
  </si>
  <si>
    <t>下水ワーム</t>
  </si>
  <si>
    <t>水路の守護獣・モスガーディアン</t>
  </si>
  <si>
    <t>腐骨スケルトン</t>
  </si>
  <si>
    <t>墓守ゾンビ</t>
  </si>
  <si>
    <t>霊火ウィスプ</t>
  </si>
  <si>
    <t>墓標ゴーレム</t>
  </si>
  <si>
    <t>彷徨う亡霊</t>
  </si>
  <si>
    <t>死霊侯・ネクロロード</t>
  </si>
  <si>
    <t>落石クラブ</t>
  </si>
  <si>
    <t>岩皮バット</t>
  </si>
  <si>
    <t>洞穴トロール</t>
  </si>
  <si>
    <t>地割れスライム</t>
  </si>
  <si>
    <t>採掘ビートル</t>
  </si>
  <si>
    <t>洞窟崩壊獣・ロックタイタン</t>
  </si>
  <si>
    <t>火花インプ</t>
  </si>
  <si>
    <t>溶岩スライム</t>
  </si>
  <si>
    <t>焼骨スケルトン</t>
  </si>
  <si>
    <t>火蜥蜴</t>
  </si>
  <si>
    <t>灰翼コウモリ</t>
  </si>
  <si>
    <t>灼熱竜・マグナ＝ドラコ</t>
  </si>
  <si>
    <t>氷晶スライム</t>
  </si>
  <si>
    <t>凍骨スケルトン</t>
  </si>
  <si>
    <t>雪皮ウルフ</t>
  </si>
  <si>
    <t>氷刃バット</t>
  </si>
  <si>
    <t>霜ゴーレム</t>
  </si>
  <si>
    <t>氷王・フロストコロッサス</t>
  </si>
  <si>
    <t>風刃バード</t>
  </si>
  <si>
    <t>峡谷ゴブリン</t>
  </si>
  <si>
    <t>突風スライム</t>
  </si>
  <si>
    <t>崖跳ねヤギ</t>
  </si>
  <si>
    <t>空裂ウィスプ</t>
  </si>
  <si>
    <t>暴風獣・テンペストハウル</t>
  </si>
  <si>
    <t>放電スライム</t>
  </si>
  <si>
    <t>雷骨スケルトン</t>
  </si>
  <si>
    <t>スパークインプ</t>
  </si>
  <si>
    <t>電撃ビートル</t>
  </si>
  <si>
    <t>雷羽バード</t>
  </si>
  <si>
    <t>雷帝・ヴォルトタイラント</t>
  </si>
  <si>
    <t>砂塵スケルトン</t>
  </si>
  <si>
    <t>遺跡スカラベ</t>
  </si>
  <si>
    <t>砂蛇</t>
  </si>
  <si>
    <t>石像ガーディアン</t>
  </si>
  <si>
    <t>流砂スライム</t>
  </si>
  <si>
    <t>砂王・デザートファラオ</t>
  </si>
  <si>
    <t>毒胞スライム</t>
  </si>
  <si>
    <t>腐葉スケルトン</t>
  </si>
  <si>
    <t>毒牙ウルフ</t>
  </si>
  <si>
    <t>毒霧ウィスプ</t>
  </si>
  <si>
    <t>腐根トレント</t>
  </si>
  <si>
    <t>瘴気王・ヴェノムドライアド</t>
  </si>
  <si>
    <t>呪符スケルトン</t>
  </si>
  <si>
    <t>暴走グリモア</t>
  </si>
  <si>
    <t>インクスライム</t>
  </si>
  <si>
    <t>魔導ゴーレム</t>
  </si>
  <si>
    <t>詠唱ウィスプ</t>
  </si>
  <si>
    <t>禁書管理者・アーカイヴロード</t>
  </si>
  <si>
    <t>影兵スケルトン</t>
  </si>
  <si>
    <t>シャドウインプ</t>
  </si>
  <si>
    <t>闇染みスライム</t>
  </si>
  <si>
    <t>影走りハウンド</t>
  </si>
  <si>
    <t>暗幕ウィスプ</t>
  </si>
  <si>
    <t>影王・ナイトステッチャー</t>
  </si>
  <si>
    <t>鏡像スケルトン</t>
  </si>
  <si>
    <t>分裂スライム</t>
  </si>
  <si>
    <t>反射ビートル</t>
  </si>
  <si>
    <t>虚像インプ</t>
  </si>
  <si>
    <t>鏡霊ウィスプ</t>
  </si>
  <si>
    <t>迷宮主・リフレクタス</t>
  </si>
  <si>
    <t>血晶スケルトン</t>
  </si>
  <si>
    <t>供物ゾンビ</t>
  </si>
  <si>
    <t>血滴スライム</t>
  </si>
  <si>
    <t>血祭インプ</t>
  </si>
  <si>
    <t>結晶ゴーレム</t>
  </si>
  <si>
    <t>血王・サクリファイスロード</t>
  </si>
  <si>
    <t>結界兵スケルトン</t>
  </si>
  <si>
    <t>結界スライム</t>
  </si>
  <si>
    <t>深層インプ</t>
  </si>
  <si>
    <t>結界ビートル</t>
  </si>
  <si>
    <t>防護ウィスプ</t>
  </si>
  <si>
    <t>結界核・プロテクトコア</t>
  </si>
  <si>
    <t>歪時スケルトン</t>
  </si>
  <si>
    <t>加速インプ</t>
  </si>
  <si>
    <t>減速スライム</t>
  </si>
  <si>
    <t>時喰いワーム</t>
  </si>
  <si>
    <t>歪曲ウィスプ</t>
  </si>
  <si>
    <t>時王・クロノディストータ</t>
  </si>
  <si>
    <t>星殻スケルトン</t>
  </si>
  <si>
    <t>星光スライム</t>
  </si>
  <si>
    <t>宇宙インプ</t>
  </si>
  <si>
    <t>重力ビートル</t>
  </si>
  <si>
    <t>星霊ウィスプ</t>
  </si>
  <si>
    <t>星喰獣・アストラデヴァウラー</t>
  </si>
  <si>
    <t>契約兵スケルトン</t>
  </si>
  <si>
    <t>契約インプ</t>
  </si>
  <si>
    <t>誓約スライム</t>
  </si>
  <si>
    <t>試練ゴーレム</t>
  </si>
  <si>
    <t>契約ウィスプ</t>
  </si>
  <si>
    <t>契約王・オースブリンガー</t>
  </si>
  <si>
    <t>反復スケルトン</t>
  </si>
  <si>
    <t>無限スライム</t>
  </si>
  <si>
    <t>反復インプ</t>
  </si>
  <si>
    <t>ループビートル</t>
  </si>
  <si>
    <t>回廊ウィスプ</t>
  </si>
  <si>
    <t>循環王・インフィニティループ</t>
  </si>
  <si>
    <t>混成スケルトン</t>
  </si>
  <si>
    <t>破滅インプ</t>
  </si>
  <si>
    <t>暴走スライム</t>
  </si>
  <si>
    <t>前哨ゴーレム</t>
  </si>
  <si>
    <t>崩壊ウィスプ</t>
  </si>
  <si>
    <t>破滅将・アポカリプスガード</t>
  </si>
  <si>
    <t>深淵骨スケルトン</t>
  </si>
  <si>
    <t>侵食スライム</t>
  </si>
  <si>
    <t>深淵インプ</t>
  </si>
  <si>
    <t>侵食ビートル</t>
  </si>
  <si>
    <t>深淵ウィスプ</t>
  </si>
  <si>
    <t>深淵王・アビスオーバーロード</t>
  </si>
  <si>
    <t>無色スケルトン</t>
  </si>
  <si>
    <t>虚無スライム</t>
  </si>
  <si>
    <t>無音インプ</t>
  </si>
  <si>
    <t>虚無ゴーレム</t>
  </si>
  <si>
    <t>空白ウィスプ</t>
  </si>
  <si>
    <t>虚無監視者・ナッシングウォーデン</t>
  </si>
  <si>
    <t>黒曜骨兵</t>
  </si>
  <si>
    <t>戦場インプ</t>
  </si>
  <si>
    <t>黒刃スライム</t>
  </si>
  <si>
    <t>黒曜ビートル</t>
  </si>
  <si>
    <t>血煙ウィスプ</t>
  </si>
  <si>
    <t>戦王・オブシディアンロード</t>
  </si>
  <si>
    <t>神骨スケルトン</t>
  </si>
  <si>
    <t>神骸スライム</t>
  </si>
  <si>
    <t>眷属インプ</t>
  </si>
  <si>
    <t>神殻ゴーレム</t>
  </si>
  <si>
    <t>神光ウィスプ</t>
  </si>
  <si>
    <t>神骸王・ディヴァインレムナント</t>
  </si>
  <si>
    <t>混沌骨スケルトン</t>
  </si>
  <si>
    <t>混沌スライム</t>
  </si>
  <si>
    <t>終焉インプ</t>
  </si>
  <si>
    <t>崩壊ゴーレム</t>
  </si>
  <si>
    <t>終焉ウィスプ</t>
  </si>
  <si>
    <t>終焉竜・エンドオブカタストロフ</t>
  </si>
  <si>
    <t>スライム・ルミナ</t>
  </si>
  <si>
    <t>若葉精モックル</t>
  </si>
  <si>
    <t>棍棒ゴブリン・ガズ</t>
  </si>
  <si>
    <t>灰牙狼ヴァルグ</t>
  </si>
  <si>
    <t>剛牙猪グランボア</t>
  </si>
  <si>
    <t>翠羽ハーピー・フィアナ</t>
  </si>
  <si>
    <t>リフィル</t>
  </si>
  <si>
    <t>モスガルド</t>
  </si>
  <si>
    <t>エルドラン樹王</t>
  </si>
  <si>
    <t>シルヴェリオン</t>
  </si>
  <si>
    <t>ヴァルグリーフ</t>
  </si>
  <si>
    <t>ルミフェリア</t>
  </si>
  <si>
    <t>ポポグリ</t>
  </si>
  <si>
    <t>フィルゼッタ</t>
  </si>
  <si>
    <t>ガンロック</t>
  </si>
  <si>
    <t>ヴェルナガ</t>
  </si>
  <si>
    <t>嶺殻獣グランモルド</t>
  </si>
  <si>
    <t>ガルド・ヴァラン</t>
  </si>
  <si>
    <t>苔耳獣モスピコ</t>
  </si>
  <si>
    <t>灯茸精チロルーム</t>
  </si>
  <si>
    <t>裂晶獣クラグレイス</t>
  </si>
  <si>
    <t>古灯機兵ガルドランプ</t>
  </si>
  <si>
    <t>鍾甲巨獣グラドガーン</t>
  </si>
  <si>
    <t>封晶古竜ヴァル＝セレグナ</t>
  </si>
  <si>
    <t>ミストフェルム</t>
  </si>
  <si>
    <t>ヴォルガスト</t>
  </si>
  <si>
    <t>ライゼルヴァーン</t>
  </si>
  <si>
    <t>フロレシア</t>
  </si>
  <si>
    <t>グランテラドン</t>
  </si>
  <si>
    <t>セレスクリオス</t>
  </si>
  <si>
    <t>MON_007</t>
  </si>
  <si>
    <t>MON_008</t>
  </si>
  <si>
    <t>MON_009</t>
  </si>
  <si>
    <t>MON_010</t>
  </si>
  <si>
    <t>MON_011</t>
  </si>
  <si>
    <t>MON_012</t>
  </si>
  <si>
    <t>MON_013</t>
  </si>
  <si>
    <t>MON_014</t>
  </si>
  <si>
    <t>MON_015</t>
  </si>
  <si>
    <t>MON_016</t>
  </si>
  <si>
    <t>MON_017</t>
  </si>
  <si>
    <t>MON_018</t>
  </si>
  <si>
    <t>MON_019</t>
  </si>
  <si>
    <t>MON_020</t>
  </si>
  <si>
    <t>MON_021</t>
  </si>
  <si>
    <t>MON_022</t>
  </si>
  <si>
    <t>MON_023</t>
  </si>
  <si>
    <t>MON_024</t>
  </si>
  <si>
    <t>MON_025</t>
  </si>
  <si>
    <t>MON_026</t>
  </si>
  <si>
    <t>MON_027</t>
  </si>
  <si>
    <t>MON_028</t>
  </si>
  <si>
    <t>MON_029</t>
  </si>
  <si>
    <t>MON_030</t>
  </si>
  <si>
    <t>MON_031</t>
  </si>
  <si>
    <t>MON_032</t>
  </si>
  <si>
    <t>MON_033</t>
  </si>
  <si>
    <t>MON_034</t>
  </si>
  <si>
    <t>MON_035</t>
  </si>
  <si>
    <t>MON_036</t>
  </si>
  <si>
    <t>MON_037</t>
  </si>
  <si>
    <t>MON_038</t>
  </si>
  <si>
    <t>MON_039</t>
  </si>
  <si>
    <t>MON_040</t>
  </si>
  <si>
    <t>MON_041</t>
  </si>
  <si>
    <t>MON_042</t>
  </si>
  <si>
    <t>MON_043</t>
  </si>
  <si>
    <t>MON_044</t>
  </si>
  <si>
    <t>MON_045</t>
  </si>
  <si>
    <t>MON_046</t>
  </si>
  <si>
    <t>MON_047</t>
  </si>
  <si>
    <t>MON_048</t>
  </si>
  <si>
    <t>MON_049</t>
  </si>
  <si>
    <t>MON_050</t>
  </si>
  <si>
    <t>MON_051</t>
  </si>
  <si>
    <t>MON_052</t>
  </si>
  <si>
    <t>MON_053</t>
  </si>
  <si>
    <t>MON_054</t>
  </si>
  <si>
    <t>MON_055</t>
  </si>
  <si>
    <t>MON_056</t>
  </si>
  <si>
    <t>MON_057</t>
  </si>
  <si>
    <t>MON_058</t>
  </si>
  <si>
    <t>MON_059</t>
  </si>
  <si>
    <t>MON_060</t>
  </si>
  <si>
    <t>MON_061</t>
  </si>
  <si>
    <t>MON_062</t>
  </si>
  <si>
    <t>MON_063</t>
  </si>
  <si>
    <t>MON_064</t>
  </si>
  <si>
    <t>MON_065</t>
  </si>
  <si>
    <t>MON_066</t>
  </si>
  <si>
    <t>MON_067</t>
  </si>
  <si>
    <t>MON_068</t>
  </si>
  <si>
    <t>MON_069</t>
  </si>
  <si>
    <t>MON_070</t>
  </si>
  <si>
    <t>MON_071</t>
  </si>
  <si>
    <t>MON_072</t>
  </si>
  <si>
    <t>MON_073</t>
  </si>
  <si>
    <t>MON_074</t>
  </si>
  <si>
    <t>MON_075</t>
  </si>
  <si>
    <t>MON_076</t>
  </si>
  <si>
    <t>MON_077</t>
  </si>
  <si>
    <t>MON_078</t>
  </si>
  <si>
    <t>MON_079</t>
  </si>
  <si>
    <t>MON_080</t>
  </si>
  <si>
    <t>MON_081</t>
  </si>
  <si>
    <t>MON_082</t>
  </si>
  <si>
    <t>MON_083</t>
  </si>
  <si>
    <t>MON_084</t>
  </si>
  <si>
    <t>MON_085</t>
  </si>
  <si>
    <t>MON_086</t>
  </si>
  <si>
    <t>MON_087</t>
  </si>
  <si>
    <t>MON_088</t>
  </si>
  <si>
    <t>MON_089</t>
  </si>
  <si>
    <t>MON_090</t>
  </si>
  <si>
    <t>MON_091</t>
  </si>
  <si>
    <t>MON_092</t>
  </si>
  <si>
    <t>MON_093</t>
  </si>
  <si>
    <t>MON_094</t>
  </si>
  <si>
    <t>MON_095</t>
  </si>
  <si>
    <t>MON_096</t>
  </si>
  <si>
    <t>MON_097</t>
  </si>
  <si>
    <t>MON_098</t>
  </si>
  <si>
    <t>MON_099</t>
  </si>
  <si>
    <t>MON_100</t>
  </si>
  <si>
    <t>MON_101</t>
  </si>
  <si>
    <t>MON_102</t>
  </si>
  <si>
    <t>MON_103</t>
  </si>
  <si>
    <t>MON_104</t>
  </si>
  <si>
    <t>MON_105</t>
  </si>
  <si>
    <t>MON_106</t>
  </si>
  <si>
    <t>MON_107</t>
  </si>
  <si>
    <t>MON_108</t>
  </si>
  <si>
    <t>MON_109</t>
  </si>
  <si>
    <t>MON_110</t>
  </si>
  <si>
    <t>MON_111</t>
  </si>
  <si>
    <t>MON_112</t>
  </si>
  <si>
    <t>MON_113</t>
  </si>
  <si>
    <t>MON_114</t>
  </si>
  <si>
    <t>MON_115</t>
  </si>
  <si>
    <t>MON_116</t>
  </si>
  <si>
    <t>MON_117</t>
  </si>
  <si>
    <t>MON_118</t>
  </si>
  <si>
    <t>MON_119</t>
  </si>
  <si>
    <t>MON_120</t>
  </si>
  <si>
    <t>MON_121</t>
  </si>
  <si>
    <t>MON_122</t>
  </si>
  <si>
    <t>MON_123</t>
  </si>
  <si>
    <t>MON_124</t>
  </si>
  <si>
    <t>MON_125</t>
  </si>
  <si>
    <t>MON_126</t>
  </si>
  <si>
    <t>MON_127</t>
  </si>
  <si>
    <t>MON_128</t>
  </si>
  <si>
    <t>MON_129</t>
  </si>
  <si>
    <t>MON_130</t>
  </si>
  <si>
    <t>MON_131</t>
  </si>
  <si>
    <t>MON_132</t>
  </si>
  <si>
    <t>MON_133</t>
  </si>
  <si>
    <t>MON_134</t>
  </si>
  <si>
    <t>MON_135</t>
  </si>
  <si>
    <t>MON_136</t>
  </si>
  <si>
    <t>MON_137</t>
  </si>
  <si>
    <t>MON_138</t>
  </si>
  <si>
    <t>MON_139</t>
  </si>
  <si>
    <t>MON_140</t>
  </si>
  <si>
    <t>MON_141</t>
  </si>
  <si>
    <t>MON_142</t>
  </si>
  <si>
    <t>MON_143</t>
  </si>
  <si>
    <t>MON_144</t>
  </si>
  <si>
    <t>MON_145</t>
  </si>
  <si>
    <t>MON_146</t>
  </si>
  <si>
    <t>MON_147</t>
  </si>
  <si>
    <t>MON_148</t>
  </si>
  <si>
    <t>MON_149</t>
  </si>
  <si>
    <t>MON_150</t>
  </si>
  <si>
    <t>MON_151</t>
  </si>
  <si>
    <t>MON_152</t>
  </si>
  <si>
    <t>MON_153</t>
  </si>
  <si>
    <t>MON_154</t>
  </si>
  <si>
    <t>MON_155</t>
  </si>
  <si>
    <t>MON_156</t>
  </si>
  <si>
    <t>MON_157</t>
  </si>
  <si>
    <t>MON_158</t>
  </si>
  <si>
    <t>MON_159</t>
  </si>
  <si>
    <t>MON_160</t>
  </si>
  <si>
    <t>MON_161</t>
  </si>
  <si>
    <t>MON_162</t>
  </si>
  <si>
    <t>MON_163</t>
  </si>
  <si>
    <t>MON_164</t>
  </si>
  <si>
    <t>MON_165</t>
  </si>
  <si>
    <t>MON_166</t>
  </si>
  <si>
    <t>MON_167</t>
  </si>
  <si>
    <t>MON_168</t>
  </si>
  <si>
    <t>MON_169</t>
  </si>
  <si>
    <t>MON_170</t>
  </si>
  <si>
    <t>MON_171</t>
  </si>
  <si>
    <t>MON_172</t>
  </si>
  <si>
    <t>MON_173</t>
  </si>
  <si>
    <t>MON_174</t>
  </si>
  <si>
    <t>MON_175</t>
  </si>
  <si>
    <t>MON_176</t>
  </si>
  <si>
    <t>MON_177</t>
  </si>
  <si>
    <t>MON_178</t>
  </si>
  <si>
    <t>MON_179</t>
  </si>
  <si>
    <t>MON_180</t>
  </si>
  <si>
    <t>MON_181</t>
  </si>
  <si>
    <t>MON_182</t>
  </si>
  <si>
    <t>MON_183</t>
  </si>
  <si>
    <t>MON_184</t>
  </si>
  <si>
    <t>MON_185</t>
  </si>
  <si>
    <t>MON_186</t>
  </si>
  <si>
    <t>MON_187</t>
  </si>
  <si>
    <t>MON_188</t>
  </si>
  <si>
    <t>MON_189</t>
  </si>
  <si>
    <t>MON_190</t>
  </si>
  <si>
    <t>MON_191</t>
  </si>
  <si>
    <t>MON_192</t>
  </si>
  <si>
    <t>MON_193</t>
  </si>
  <si>
    <t>MON_194</t>
  </si>
  <si>
    <t>MON_195</t>
  </si>
  <si>
    <t>MON_196</t>
  </si>
  <si>
    <t>MON_197</t>
  </si>
  <si>
    <t>MON_198</t>
  </si>
  <si>
    <t>MON_199</t>
  </si>
  <si>
    <t>MON_200</t>
  </si>
  <si>
    <t>MON_201</t>
  </si>
  <si>
    <t>MON_202</t>
  </si>
  <si>
    <t>MON_203</t>
  </si>
  <si>
    <t>MON_204</t>
  </si>
  <si>
    <t>MON_205</t>
  </si>
  <si>
    <t>MON_206</t>
  </si>
  <si>
    <t>MON_207</t>
  </si>
  <si>
    <t>MON_208</t>
  </si>
  <si>
    <t>MON_209</t>
  </si>
  <si>
    <t>MON_210</t>
  </si>
  <si>
    <t>MON_211</t>
  </si>
  <si>
    <t>MON_212</t>
  </si>
  <si>
    <t>MON_213</t>
  </si>
  <si>
    <t>MON_214</t>
  </si>
  <si>
    <t>MON_215</t>
  </si>
  <si>
    <t>MON_216</t>
  </si>
  <si>
    <t>MON_217</t>
  </si>
  <si>
    <t>MON_218</t>
  </si>
  <si>
    <t>MON_219</t>
  </si>
  <si>
    <t>MON_220</t>
  </si>
  <si>
    <t>MON_221</t>
  </si>
  <si>
    <t>MON_222</t>
  </si>
  <si>
    <t>MON_223</t>
  </si>
  <si>
    <t>MON_224</t>
  </si>
  <si>
    <t>MON_225</t>
  </si>
  <si>
    <t>MON_226</t>
  </si>
  <si>
    <t>MON_227</t>
  </si>
  <si>
    <t>MON_228</t>
  </si>
  <si>
    <t>MON_229</t>
  </si>
  <si>
    <t>MON_230</t>
  </si>
  <si>
    <t>MON_231</t>
  </si>
  <si>
    <t>MON_232</t>
  </si>
  <si>
    <t>MON_233</t>
  </si>
  <si>
    <t>MON_234</t>
  </si>
  <si>
    <t>MON_235</t>
  </si>
  <si>
    <t>MON_236</t>
  </si>
  <si>
    <t>MON_237</t>
  </si>
  <si>
    <t>MON_238</t>
  </si>
  <si>
    <t>MON_239</t>
  </si>
  <si>
    <t>MON_240</t>
  </si>
  <si>
    <t>MON_241</t>
  </si>
  <si>
    <t>MON_242</t>
  </si>
  <si>
    <t>MON_243</t>
  </si>
  <si>
    <t>MON_244</t>
  </si>
  <si>
    <t>MON_245</t>
  </si>
  <si>
    <t>MON_246</t>
  </si>
  <si>
    <t>MON_247</t>
  </si>
  <si>
    <t>MON_248</t>
  </si>
  <si>
    <t>MON_249</t>
  </si>
  <si>
    <t>MON_250</t>
  </si>
  <si>
    <t>MON_251</t>
  </si>
  <si>
    <t>MON_252</t>
  </si>
  <si>
    <t>MON_253</t>
  </si>
  <si>
    <t>MON_254</t>
  </si>
  <si>
    <t>MON_255</t>
  </si>
  <si>
    <t>MON_256</t>
  </si>
  <si>
    <t>MON_257</t>
  </si>
  <si>
    <t>MON_258</t>
  </si>
  <si>
    <t>MON_259</t>
  </si>
  <si>
    <t>MON_260</t>
  </si>
  <si>
    <t>MON_261</t>
  </si>
  <si>
    <t>MON_262</t>
  </si>
  <si>
    <t>MON_263</t>
  </si>
  <si>
    <t>MON_264</t>
  </si>
  <si>
    <t>MON_265</t>
  </si>
  <si>
    <t>MON_266</t>
  </si>
  <si>
    <t>MON_267</t>
  </si>
  <si>
    <t>MON_268</t>
  </si>
  <si>
    <t>MON_269</t>
  </si>
  <si>
    <t>MON_270</t>
  </si>
  <si>
    <t>MON_271</t>
  </si>
  <si>
    <t>MON_272</t>
  </si>
  <si>
    <t>MON_273</t>
  </si>
  <si>
    <t>MON_274</t>
  </si>
  <si>
    <t>MON_275</t>
  </si>
  <si>
    <t>MON_276</t>
  </si>
  <si>
    <t>MON_277</t>
  </si>
  <si>
    <t>MON_278</t>
  </si>
  <si>
    <t>MON_279</t>
  </si>
  <si>
    <t>MON_280</t>
  </si>
  <si>
    <t>MON_281</t>
  </si>
  <si>
    <t>MON_282</t>
  </si>
  <si>
    <t>MON_283</t>
  </si>
  <si>
    <t>MON_284</t>
  </si>
  <si>
    <t>MON_285</t>
  </si>
  <si>
    <t>MON_286</t>
  </si>
  <si>
    <t>MON_287</t>
  </si>
  <si>
    <t>MON_288</t>
  </si>
  <si>
    <t>MON_289</t>
  </si>
  <si>
    <t>MON_290</t>
  </si>
  <si>
    <t>MON_291</t>
  </si>
  <si>
    <t>MON_292</t>
  </si>
  <si>
    <t>MON_293</t>
  </si>
  <si>
    <t>MON_294</t>
  </si>
  <si>
    <t>MON_295</t>
  </si>
  <si>
    <t>MON_296</t>
  </si>
  <si>
    <t>MON_297</t>
  </si>
  <si>
    <t>MON_298</t>
  </si>
  <si>
    <t>MON_299</t>
  </si>
  <si>
    <t>MON_300</t>
  </si>
  <si>
    <t>MON_301</t>
  </si>
  <si>
    <t>MON_302</t>
  </si>
  <si>
    <t>MON_303</t>
  </si>
  <si>
    <t>MON_304</t>
  </si>
  <si>
    <t>MON_305</t>
  </si>
  <si>
    <t>MON_306</t>
  </si>
  <si>
    <t>MON_307</t>
  </si>
  <si>
    <t>MON_308</t>
  </si>
  <si>
    <t>MON_309</t>
  </si>
  <si>
    <t>MON_310</t>
  </si>
  <si>
    <t>MON_311</t>
  </si>
  <si>
    <t>MON_312</t>
  </si>
  <si>
    <t>MON_313</t>
  </si>
  <si>
    <t>MON_314</t>
  </si>
  <si>
    <t>MON_315</t>
  </si>
  <si>
    <t>MON_316</t>
  </si>
  <si>
    <t>MON_317</t>
  </si>
  <si>
    <t>MON_318</t>
  </si>
  <si>
    <t>MON_319</t>
  </si>
  <si>
    <t>MON_320</t>
  </si>
  <si>
    <t>MON_321</t>
  </si>
  <si>
    <t>MON_322</t>
  </si>
  <si>
    <t>MON_323</t>
  </si>
  <si>
    <t>MON_324</t>
  </si>
  <si>
    <t>MON_325</t>
  </si>
  <si>
    <t>MON_326</t>
  </si>
  <si>
    <t>MON_327</t>
  </si>
  <si>
    <t>MON_328</t>
  </si>
  <si>
    <t>MON_329</t>
  </si>
  <si>
    <t>MON_330</t>
  </si>
  <si>
    <t>クリスタモ</t>
  </si>
  <si>
    <t>ガレキモグリ</t>
  </si>
  <si>
    <t>裂晶翼ヴェルキア</t>
  </si>
  <si>
    <t>封鎖魔兵ガルドーン</t>
  </si>
  <si>
    <t>迷宮喰獣ラビリオス</t>
  </si>
  <si>
    <t>破界王ゼル＝アビス</t>
  </si>
  <si>
    <t>ルミネグラ</t>
  </si>
  <si>
    <t>ヴァルゼイン</t>
  </si>
  <si>
    <t>ネフィレイア</t>
  </si>
  <si>
    <t>グラディオル</t>
  </si>
  <si>
    <t>ゼルガディス</t>
  </si>
  <si>
    <t>フィルメリア</t>
  </si>
  <si>
    <t>アズレフィア</t>
  </si>
  <si>
    <t>ヴァルグレイド</t>
  </si>
  <si>
    <t>ノクティレム</t>
  </si>
  <si>
    <t>シェルディア</t>
  </si>
  <si>
    <t>リュセリアス</t>
  </si>
  <si>
    <t>ヴェルグノア</t>
  </si>
  <si>
    <t>グラヴェリア</t>
  </si>
  <si>
    <t>エルドレシア</t>
  </si>
  <si>
    <t>オルフェギオン</t>
  </si>
  <si>
    <t>セレグノス</t>
  </si>
  <si>
    <t>ヴァルディオス</t>
  </si>
  <si>
    <t>ネブラキア</t>
  </si>
  <si>
    <t>ゼフィラグナ</t>
  </si>
  <si>
    <t>ヴェルセディオ</t>
  </si>
  <si>
    <t>グロメディア</t>
  </si>
  <si>
    <t>ルクシエル</t>
  </si>
  <si>
    <t>ザルヴェイン</t>
  </si>
  <si>
    <t>バルグレシオ</t>
  </si>
  <si>
    <t>セレフィネア</t>
  </si>
  <si>
    <t>グランヴェリオ</t>
  </si>
  <si>
    <t>ゼルアラクス</t>
  </si>
  <si>
    <t>ノクティエル</t>
  </si>
  <si>
    <t>ヴァルグディア</t>
  </si>
  <si>
    <t>アステルヴェイン</t>
  </si>
  <si>
    <t>MON_331</t>
  </si>
  <si>
    <t>MON_332</t>
  </si>
  <si>
    <t>MON_333</t>
  </si>
  <si>
    <t>MON_334</t>
  </si>
  <si>
    <t>MON_335</t>
  </si>
  <si>
    <t>MON_336</t>
  </si>
  <si>
    <t>MON_337</t>
  </si>
  <si>
    <t>MON_338</t>
  </si>
  <si>
    <t>MON_339</t>
  </si>
  <si>
    <t>MON_340</t>
  </si>
  <si>
    <t>MON_341</t>
  </si>
  <si>
    <t>MON_342</t>
  </si>
  <si>
    <t>MON_343</t>
  </si>
  <si>
    <t>MON_344</t>
  </si>
  <si>
    <t>MON_345</t>
  </si>
  <si>
    <t>MON_346</t>
  </si>
  <si>
    <t>MON_347</t>
  </si>
  <si>
    <t>MON_348</t>
  </si>
  <si>
    <t>MON_349</t>
  </si>
  <si>
    <t>MON_350</t>
  </si>
  <si>
    <t>MON_351</t>
  </si>
  <si>
    <t>MON_352</t>
  </si>
  <si>
    <t>MON_353</t>
  </si>
  <si>
    <t>MON_354</t>
  </si>
  <si>
    <t>MON_355</t>
  </si>
  <si>
    <t>MON_356</t>
  </si>
  <si>
    <t>MON_357</t>
  </si>
  <si>
    <t>MON_358</t>
  </si>
  <si>
    <t>MON_359</t>
  </si>
  <si>
    <t>MON_360</t>
  </si>
  <si>
    <t>MON_361</t>
  </si>
  <si>
    <t>MON_362</t>
  </si>
  <si>
    <t>MON_363</t>
  </si>
  <si>
    <t>MON_364</t>
  </si>
  <si>
    <t>MON_365</t>
  </si>
  <si>
    <t>MON_366</t>
  </si>
  <si>
    <t>TITLE_007</t>
  </si>
  <si>
    <t>TITLE_008</t>
  </si>
  <si>
    <t>TITLE_009</t>
  </si>
  <si>
    <t>TITLE_010</t>
  </si>
  <si>
    <t>TITLE_011</t>
  </si>
  <si>
    <t>TITLE_012</t>
  </si>
  <si>
    <t>TITLE_013</t>
  </si>
  <si>
    <t>TITLE_014</t>
  </si>
  <si>
    <t>TITLE_015</t>
  </si>
  <si>
    <t>TITLE_016</t>
  </si>
  <si>
    <t>TITLE_017</t>
  </si>
  <si>
    <t>TITLE_018</t>
  </si>
  <si>
    <t>TITLE_019</t>
  </si>
  <si>
    <t>TITLE_020</t>
  </si>
  <si>
    <t>TITLE_021</t>
  </si>
  <si>
    <t>TITLE_022</t>
  </si>
  <si>
    <t>TITLE_023</t>
  </si>
  <si>
    <t>TITLE_024</t>
  </si>
  <si>
    <t>TITLE_025</t>
  </si>
  <si>
    <t>TITLE_026</t>
  </si>
  <si>
    <t>TITLE_027</t>
  </si>
  <si>
    <t>TITLE_028</t>
  </si>
  <si>
    <t>TITLE_029</t>
  </si>
  <si>
    <t>TITLE_030</t>
  </si>
  <si>
    <t>TITLE_031</t>
  </si>
  <si>
    <t>TITLE_032</t>
  </si>
  <si>
    <t>TITLE_033</t>
  </si>
  <si>
    <t>TITLE_034</t>
  </si>
  <si>
    <t>TITLE_035</t>
  </si>
  <si>
    <t>TITLE_036</t>
  </si>
  <si>
    <t>TITLE_037</t>
  </si>
  <si>
    <t>TITLE_038</t>
  </si>
  <si>
    <t>TITLE_039</t>
  </si>
  <si>
    <t>TITLE_040</t>
  </si>
  <si>
    <t>TITLE_041</t>
  </si>
  <si>
    <t>TITLE_042</t>
  </si>
  <si>
    <t>TITLE_043</t>
  </si>
  <si>
    <t>TITLE_044</t>
  </si>
  <si>
    <t>TITLE_045</t>
  </si>
  <si>
    <t>TITLE_046</t>
  </si>
  <si>
    <t>TITLE_047</t>
  </si>
  <si>
    <t>TITLE_048</t>
  </si>
  <si>
    <t>TITLE_049</t>
  </si>
  <si>
    <t>TITLE_050</t>
  </si>
  <si>
    <t>TITLE_051</t>
  </si>
  <si>
    <t>TITLE_052</t>
  </si>
  <si>
    <t>TITLE_053</t>
  </si>
  <si>
    <t>TITLE_054</t>
  </si>
  <si>
    <t>TITLE_055</t>
  </si>
  <si>
    <t>TITLE_056</t>
  </si>
  <si>
    <t>TITLE_057</t>
  </si>
  <si>
    <t>TITLE_058</t>
  </si>
  <si>
    <t>TITLE_059</t>
  </si>
  <si>
    <t>TITLE_060</t>
  </si>
  <si>
    <t>TITLE_061</t>
  </si>
  <si>
    <t>TITLE_062</t>
  </si>
  <si>
    <t>TITLE_063</t>
  </si>
  <si>
    <t>TITLE_064</t>
  </si>
  <si>
    <t>TITLE_065</t>
  </si>
  <si>
    <t>TITLE_066</t>
  </si>
  <si>
    <t>TITLE_067</t>
  </si>
  <si>
    <t>TITLE_068</t>
  </si>
  <si>
    <t>TITLE_069</t>
  </si>
  <si>
    <t>TITLE_070</t>
  </si>
  <si>
    <t>TITLE_071</t>
  </si>
  <si>
    <t>TITLE_072</t>
  </si>
  <si>
    <t>TITLE_073</t>
  </si>
  <si>
    <t>TITLE_074</t>
  </si>
  <si>
    <t>TITLE_075</t>
  </si>
  <si>
    <t>TITLE_076</t>
  </si>
  <si>
    <t>TITLE_077</t>
  </si>
  <si>
    <t>TITLE_078</t>
  </si>
  <si>
    <t>TITLE_079</t>
  </si>
  <si>
    <t>TITLE_080</t>
  </si>
  <si>
    <t>TITLE_081</t>
  </si>
  <si>
    <t>TITLE_082</t>
  </si>
  <si>
    <t>TITLE_083</t>
  </si>
  <si>
    <t>TITLE_084</t>
  </si>
  <si>
    <t>TITLE_085</t>
  </si>
  <si>
    <t>TITLE_086</t>
  </si>
  <si>
    <t>TITLE_087</t>
  </si>
  <si>
    <t>TITLE_088</t>
  </si>
  <si>
    <t>TITLE_089</t>
  </si>
  <si>
    <t>TITLE_090</t>
  </si>
  <si>
    <t>TITLE_091</t>
  </si>
  <si>
    <t>TITLE_092</t>
  </si>
  <si>
    <t>TITLE_093</t>
  </si>
  <si>
    <t>TITLE_094</t>
  </si>
  <si>
    <t>TITLE_095</t>
  </si>
  <si>
    <t>TITLE_096</t>
  </si>
  <si>
    <t>TITLE_097</t>
  </si>
  <si>
    <t>TITLE_098</t>
  </si>
  <si>
    <t>TITLE_099</t>
  </si>
  <si>
    <t>TITLE_100</t>
  </si>
  <si>
    <t>TITLE_101</t>
  </si>
  <si>
    <t>TITLE_102</t>
  </si>
  <si>
    <t>TITLE_103</t>
  </si>
  <si>
    <t>TITLE_104</t>
  </si>
  <si>
    <t>TITLE_105</t>
  </si>
  <si>
    <t>TITLE_106</t>
  </si>
  <si>
    <t>TITLE_107</t>
  </si>
  <si>
    <t>TITLE_108</t>
  </si>
  <si>
    <t>TITLE_109</t>
  </si>
  <si>
    <t>TITLE_110</t>
  </si>
  <si>
    <t>TITLE_111</t>
  </si>
  <si>
    <t>TITLE_112</t>
  </si>
  <si>
    <t>TITLE_113</t>
  </si>
  <si>
    <t>TITLE_114</t>
  </si>
  <si>
    <t>TITLE_115</t>
  </si>
  <si>
    <t>TITLE_116</t>
  </si>
  <si>
    <t>TITLE_117</t>
  </si>
  <si>
    <t>TITLE_118</t>
  </si>
  <si>
    <t>TITLE_119</t>
  </si>
  <si>
    <t>TITLE_120</t>
  </si>
  <si>
    <t>TITLE_121</t>
  </si>
  <si>
    <t>TITLE_122</t>
  </si>
  <si>
    <t>TITLE_123</t>
  </si>
  <si>
    <t>TITLE_124</t>
  </si>
  <si>
    <t>TITLE_125</t>
  </si>
  <si>
    <t>TITLE_126</t>
  </si>
  <si>
    <t>TITLE_127</t>
  </si>
  <si>
    <t>TITLE_128</t>
  </si>
  <si>
    <t>TITLE_129</t>
  </si>
  <si>
    <t>TITLE_130</t>
  </si>
  <si>
    <t>TITLE_131</t>
  </si>
  <si>
    <t>TITLE_132</t>
  </si>
  <si>
    <t>TITLE_133</t>
  </si>
  <si>
    <t>TITLE_134</t>
  </si>
  <si>
    <t>TITLE_135</t>
  </si>
  <si>
    <t>TITLE_136</t>
  </si>
  <si>
    <t>TITLE_137</t>
  </si>
  <si>
    <t>TITLE_138</t>
  </si>
  <si>
    <t>TITLE_139</t>
  </si>
  <si>
    <t>TITLE_140</t>
  </si>
  <si>
    <t>TITLE_141</t>
  </si>
  <si>
    <t>TITLE_142</t>
  </si>
  <si>
    <t>TITLE_143</t>
  </si>
  <si>
    <t>TITLE_144</t>
  </si>
  <si>
    <t>TITLE_145</t>
  </si>
  <si>
    <t>TITLE_146</t>
  </si>
  <si>
    <t>TITLE_147</t>
  </si>
  <si>
    <t>TITLE_148</t>
  </si>
  <si>
    <t>TITLE_149</t>
  </si>
  <si>
    <t>TITLE_150</t>
  </si>
  <si>
    <t>TITLE_151</t>
  </si>
  <si>
    <t>TITLE_152</t>
  </si>
  <si>
    <t>TITLE_153</t>
  </si>
  <si>
    <t>TITLE_154</t>
  </si>
  <si>
    <t>TITLE_155</t>
  </si>
  <si>
    <t>TITLE_156</t>
  </si>
  <si>
    <t>TITLE_157</t>
  </si>
  <si>
    <t>TITLE_158</t>
  </si>
  <si>
    <t>TITLE_159</t>
  </si>
  <si>
    <t>TITLE_160</t>
  </si>
  <si>
    <t>TITLE_161</t>
  </si>
  <si>
    <t>TITLE_162</t>
  </si>
  <si>
    <t>TITLE_163</t>
  </si>
  <si>
    <t>TITLE_164</t>
  </si>
  <si>
    <t>TITLE_165</t>
  </si>
  <si>
    <t>TITLE_166</t>
  </si>
  <si>
    <t>TITLE_167</t>
  </si>
  <si>
    <t>TITLE_168</t>
  </si>
  <si>
    <t>TITLE_169</t>
  </si>
  <si>
    <t>TITLE_170</t>
  </si>
  <si>
    <t>TITLE_171</t>
  </si>
  <si>
    <t>TITLE_172</t>
  </si>
  <si>
    <t>TITLE_173</t>
  </si>
  <si>
    <t>TITLE_174</t>
  </si>
  <si>
    <t>TITLE_175</t>
  </si>
  <si>
    <t>TITLE_176</t>
  </si>
  <si>
    <t>TITLE_177</t>
  </si>
  <si>
    <t>TITLE_178</t>
  </si>
  <si>
    <t>TITLE_179</t>
  </si>
  <si>
    <t>TITLE_180</t>
  </si>
  <si>
    <t>TITLE_181</t>
  </si>
  <si>
    <t>TITLE_182</t>
  </si>
  <si>
    <t>TITLE_183</t>
  </si>
  <si>
    <t>TITLE_184</t>
  </si>
  <si>
    <t>TITLE_185</t>
  </si>
  <si>
    <t>TITLE_186</t>
  </si>
  <si>
    <t>TITLE_187</t>
  </si>
  <si>
    <t>TITLE_188</t>
  </si>
  <si>
    <t>TITLE_189</t>
  </si>
  <si>
    <t>TITLE_190</t>
  </si>
  <si>
    <t>TITLE_191</t>
  </si>
  <si>
    <t>TITLE_192</t>
  </si>
  <si>
    <t>TITLE_193</t>
  </si>
  <si>
    <t>TITLE_194</t>
  </si>
  <si>
    <t>TITLE_195</t>
  </si>
  <si>
    <t>TITLE_196</t>
  </si>
  <si>
    <t>TITLE_197</t>
  </si>
  <si>
    <t>TITLE_198</t>
  </si>
  <si>
    <t>TITLE_199</t>
  </si>
  <si>
    <t>TITLE_200</t>
  </si>
  <si>
    <t>TITLE_201</t>
  </si>
  <si>
    <t>TITLE_202</t>
  </si>
  <si>
    <t>TITLE_203</t>
  </si>
  <si>
    <t>TITLE_204</t>
  </si>
  <si>
    <t>TITLE_205</t>
  </si>
  <si>
    <t>TITLE_206</t>
  </si>
  <si>
    <t>TITLE_207</t>
  </si>
  <si>
    <t>TITLE_208</t>
  </si>
  <si>
    <t>TITLE_209</t>
  </si>
  <si>
    <t>TITLE_210</t>
  </si>
  <si>
    <t>TITLE_211</t>
  </si>
  <si>
    <t>TITLE_212</t>
  </si>
  <si>
    <t>TITLE_213</t>
  </si>
  <si>
    <t>TITLE_214</t>
  </si>
  <si>
    <t>TITLE_215</t>
  </si>
  <si>
    <t>TITLE_216</t>
  </si>
  <si>
    <t>TITLE_217</t>
  </si>
  <si>
    <t>TITLE_218</t>
  </si>
  <si>
    <t>TITLE_219</t>
  </si>
  <si>
    <t>TITLE_220</t>
  </si>
  <si>
    <t>TITLE_221</t>
  </si>
  <si>
    <t>TITLE_222</t>
  </si>
  <si>
    <t>TITLE_223</t>
  </si>
  <si>
    <t>TITLE_224</t>
  </si>
  <si>
    <t>TITLE_225</t>
  </si>
  <si>
    <t>TITLE_226</t>
  </si>
  <si>
    <t>TITLE_227</t>
  </si>
  <si>
    <t>TITLE_228</t>
  </si>
  <si>
    <t>TITLE_229</t>
  </si>
  <si>
    <t>TITLE_230</t>
  </si>
  <si>
    <t>TITLE_231</t>
  </si>
  <si>
    <t>TITLE_232</t>
  </si>
  <si>
    <t>TITLE_233</t>
  </si>
  <si>
    <t>TITLE_234</t>
  </si>
  <si>
    <t>TITLE_235</t>
  </si>
  <si>
    <t>TITLE_236</t>
  </si>
  <si>
    <t>TITLE_237</t>
  </si>
  <si>
    <t>TITLE_238</t>
  </si>
  <si>
    <t>TITLE_239</t>
  </si>
  <si>
    <t>TITLE_240</t>
  </si>
  <si>
    <t>TITLE_241</t>
  </si>
  <si>
    <t>TITLE_242</t>
  </si>
  <si>
    <t>TITLE_243</t>
  </si>
  <si>
    <t>TITLE_244</t>
  </si>
  <si>
    <t>TITLE_245</t>
  </si>
  <si>
    <t>TITLE_246</t>
  </si>
  <si>
    <t>TITLE_247</t>
  </si>
  <si>
    <t>TITLE_248</t>
  </si>
  <si>
    <t>TITLE_249</t>
  </si>
  <si>
    <t>TITLE_250</t>
  </si>
  <si>
    <t>TITLE_251</t>
  </si>
  <si>
    <t>TITLE_252</t>
  </si>
  <si>
    <t>TITLE_253</t>
  </si>
  <si>
    <t>TITLE_254</t>
  </si>
  <si>
    <t>TITLE_255</t>
  </si>
  <si>
    <t>TITLE_256</t>
  </si>
  <si>
    <t>TITLE_257</t>
  </si>
  <si>
    <t>TITLE_258</t>
  </si>
  <si>
    <t>TITLE_259</t>
  </si>
  <si>
    <t>TITLE_260</t>
  </si>
  <si>
    <t>TITLE_261</t>
  </si>
  <si>
    <t>TITLE_262</t>
  </si>
  <si>
    <t>TITLE_263</t>
  </si>
  <si>
    <t>TITLE_264</t>
  </si>
  <si>
    <t>TITLE_265</t>
  </si>
  <si>
    <t>TITLE_266</t>
  </si>
  <si>
    <t>TITLE_267</t>
  </si>
  <si>
    <t>TITLE_268</t>
  </si>
  <si>
    <t>TITLE_269</t>
  </si>
  <si>
    <t>TITLE_270</t>
  </si>
  <si>
    <t>TITLE_271</t>
  </si>
  <si>
    <t>TITLE_272</t>
  </si>
  <si>
    <t>TITLE_273</t>
  </si>
  <si>
    <t>TITLE_274</t>
  </si>
  <si>
    <t>TITLE_275</t>
  </si>
  <si>
    <t>TITLE_276</t>
  </si>
  <si>
    <t>TITLE_277</t>
  </si>
  <si>
    <t>TITLE_278</t>
  </si>
  <si>
    <t>TITLE_279</t>
  </si>
  <si>
    <t>TITLE_280</t>
  </si>
  <si>
    <t>TITLE_281</t>
  </si>
  <si>
    <t>TITLE_282</t>
  </si>
  <si>
    <t>TITLE_283</t>
  </si>
  <si>
    <t>TITLE_284</t>
  </si>
  <si>
    <t>TITLE_285</t>
  </si>
  <si>
    <t>TITLE_286</t>
  </si>
  <si>
    <t>TITLE_287</t>
  </si>
  <si>
    <t>TITLE_288</t>
  </si>
  <si>
    <t>TITLE_289</t>
  </si>
  <si>
    <t>TITLE_290</t>
  </si>
  <si>
    <t>TITLE_291</t>
  </si>
  <si>
    <t>TITLE_292</t>
  </si>
  <si>
    <t>TITLE_293</t>
  </si>
  <si>
    <t>TITLE_294</t>
  </si>
  <si>
    <t>TITLE_295</t>
  </si>
  <si>
    <t>TITLE_296</t>
  </si>
  <si>
    <t>TITLE_297</t>
  </si>
  <si>
    <t>TITLE_298</t>
  </si>
  <si>
    <t>TITLE_299</t>
  </si>
  <si>
    <t>TITLE_300</t>
  </si>
  <si>
    <t>TITLE_301</t>
  </si>
  <si>
    <t>TITLE_302</t>
  </si>
  <si>
    <t>TITLE_303</t>
  </si>
  <si>
    <t>TITLE_304</t>
  </si>
  <si>
    <t>TITLE_305</t>
  </si>
  <si>
    <t>TITLE_306</t>
  </si>
  <si>
    <t>TITLE_307</t>
  </si>
  <si>
    <t>TITLE_308</t>
  </si>
  <si>
    <t>TITLE_309</t>
  </si>
  <si>
    <t>TITLE_310</t>
  </si>
  <si>
    <t>TITLE_311</t>
  </si>
  <si>
    <t>TITLE_312</t>
  </si>
  <si>
    <t>TITLE_313</t>
  </si>
  <si>
    <t>TITLE_314</t>
  </si>
  <si>
    <t>TITLE_315</t>
  </si>
  <si>
    <t>TITLE_316</t>
  </si>
  <si>
    <t>TITLE_317</t>
  </si>
  <si>
    <t>TITLE_318</t>
  </si>
  <si>
    <t>TITLE_319</t>
  </si>
  <si>
    <t>TITLE_320</t>
  </si>
  <si>
    <t>TITLE_321</t>
  </si>
  <si>
    <t>TITLE_322</t>
  </si>
  <si>
    <t>TITLE_323</t>
  </si>
  <si>
    <t>TITLE_324</t>
  </si>
  <si>
    <t>TITLE_325</t>
  </si>
  <si>
    <t>TITLE_326</t>
  </si>
  <si>
    <t>TITLE_327</t>
  </si>
  <si>
    <t>TITLE_328</t>
  </si>
  <si>
    <t>TITLE_329</t>
  </si>
  <si>
    <t>TITLE_330</t>
  </si>
  <si>
    <t>TITLE_331</t>
  </si>
  <si>
    <t>TITLE_332</t>
  </si>
  <si>
    <t>TITLE_333</t>
  </si>
  <si>
    <t>TITLE_334</t>
  </si>
  <si>
    <t>TITLE_335</t>
  </si>
  <si>
    <t>TITLE_336</t>
  </si>
  <si>
    <t>TITLE_337</t>
  </si>
  <si>
    <t>TITLE_338</t>
  </si>
  <si>
    <t>TITLE_339</t>
  </si>
  <si>
    <t>TITLE_340</t>
  </si>
  <si>
    <t>TITLE_341</t>
  </si>
  <si>
    <t>TITLE_342</t>
  </si>
  <si>
    <t>TITLE_343</t>
  </si>
  <si>
    <t>TITLE_344</t>
  </si>
  <si>
    <t>TITLE_345</t>
  </si>
  <si>
    <t>TITLE_346</t>
  </si>
  <si>
    <t>TITLE_347</t>
  </si>
  <si>
    <t>TITLE_348</t>
  </si>
  <si>
    <t>TITLE_349</t>
  </si>
  <si>
    <t>TITLE_350</t>
  </si>
  <si>
    <t>TITLE_351</t>
  </si>
  <si>
    <t>TITLE_352</t>
  </si>
  <si>
    <t>TITLE_353</t>
  </si>
  <si>
    <t>TITLE_354</t>
  </si>
  <si>
    <t>TITLE_355</t>
  </si>
  <si>
    <t>TITLE_356</t>
  </si>
  <si>
    <t>TITLE_357</t>
  </si>
  <si>
    <t>TITLE_358</t>
  </si>
  <si>
    <t>TITLE_359</t>
  </si>
  <si>
    <t>TITLE_360</t>
  </si>
  <si>
    <t>TITLE_361</t>
  </si>
  <si>
    <t>TITLE_362</t>
  </si>
  <si>
    <t>TITLE_363</t>
  </si>
  <si>
    <t>TITLE_364</t>
  </si>
  <si>
    <t>TITLE_365</t>
  </si>
  <si>
    <t>TITLE_366</t>
  </si>
  <si>
    <t>緑影の小狩人</t>
  </si>
  <si>
    <t>鉄刃の蛮戦士</t>
  </si>
  <si>
    <t>呪紋の邪術士</t>
  </si>
  <si>
    <t>肥大せし凶腕</t>
  </si>
  <si>
    <t>錬成されし粘塊</t>
  </si>
  <si>
    <t>王冠を戴く略奪王</t>
  </si>
  <si>
    <t>朽塔を這う影</t>
  </si>
  <si>
    <t>雷光を纏う粘獣</t>
  </si>
  <si>
    <t>薄闇の彷徨い</t>
  </si>
  <si>
    <t>嘆きの残響</t>
  </si>
  <si>
    <t>屍竜の咆哮</t>
  </si>
  <si>
    <t>終焉を告げる呪詛</t>
  </si>
  <si>
    <t>洞穴の俊牙</t>
  </si>
  <si>
    <t>月影の疾走</t>
  </si>
  <si>
    <t>紅牙の狩人</t>
  </si>
  <si>
    <t>満月に狂う獣</t>
  </si>
  <si>
    <t>氷嵐の魔狼</t>
  </si>
  <si>
    <t>傷痕を刻む獣王</t>
  </si>
  <si>
    <t>恐怖を狩る影</t>
  </si>
  <si>
    <t>腐蝕の粘液</t>
  </si>
  <si>
    <t>漂う亡騎士</t>
  </si>
  <si>
    <t>墓守の鉄騎</t>
  </si>
  <si>
    <t>冥火の小鬼灯</t>
  </si>
  <si>
    <t>骨界の終焉獣</t>
  </si>
  <si>
    <t>白骨の兵卒</t>
  </si>
  <si>
    <t>砂海の捕食者</t>
  </si>
  <si>
    <t>黒砂の深淵</t>
  </si>
  <si>
    <t>暗牙の伏兵</t>
  </si>
  <si>
    <t>封印されし巨殻</t>
  </si>
  <si>
    <t>溶岩奔流の獄獣</t>
  </si>
  <si>
    <t>秘奥を識る者</t>
  </si>
  <si>
    <t>黒森の妖婦</t>
  </si>
  <si>
    <t>双星の魔姉妹</t>
  </si>
  <si>
    <t>蒼天の魔導王</t>
  </si>
  <si>
    <t>大賢者の系譜</t>
  </si>
  <si>
    <t>魔術学院の首席</t>
  </si>
  <si>
    <t>岩鋼の騎士</t>
  </si>
  <si>
    <t>灼熱の巨神</t>
  </si>
  <si>
    <t>蒼焔の魔躯</t>
  </si>
  <si>
    <t>呪土の偶像</t>
  </si>
  <si>
    <t>蒼重力の支配者</t>
  </si>
  <si>
    <t>裂岩の猛将</t>
  </si>
  <si>
    <t>守護岩壁</t>
  </si>
  <si>
    <t>銀鉄の巨兵</t>
  </si>
  <si>
    <t>黄金機神</t>
  </si>
  <si>
    <t>銀光の希少種</t>
  </si>
  <si>
    <t>星砕きの巨像</t>
  </si>
  <si>
    <t>砕石の暴君</t>
  </si>
  <si>
    <t>炎鱗の蜥蜴</t>
  </si>
  <si>
    <t>独眼の巨槌</t>
  </si>
  <si>
    <t>鋼心の守護巨人</t>
  </si>
  <si>
    <t>戦禍の独眼王</t>
  </si>
  <si>
    <t>大地の神拳</t>
  </si>
  <si>
    <t>煌炎の獄騎士</t>
  </si>
  <si>
    <t>造岩の工匠</t>
  </si>
  <si>
    <t>深海を統べる蒼姫</t>
  </si>
  <si>
    <t>水律の調停者</t>
  </si>
  <si>
    <t>翠森の射手</t>
  </si>
  <si>
    <t>拒絶の要塞獣</t>
  </si>
  <si>
    <t>獄炎機装</t>
  </si>
  <si>
    <t>火精の眷属</t>
  </si>
  <si>
    <t>紅天の暴帝</t>
  </si>
  <si>
    <t>古紅竜の伝説</t>
  </si>
  <si>
    <t>焔王の化身</t>
  </si>
  <si>
    <t>地獄鉄の竜</t>
  </si>
  <si>
    <t>粘界の大公</t>
  </si>
  <si>
    <t>水路の略奪者</t>
  </si>
  <si>
    <t>激流の操舟鬼</t>
  </si>
  <si>
    <t>深淵の裂牙</t>
  </si>
  <si>
    <t>蒼海の終極獣</t>
  </si>
  <si>
    <t>海神の眷属</t>
  </si>
  <si>
    <t>深海王の咆哮</t>
  </si>
  <si>
    <t>血追いの追跡者</t>
  </si>
  <si>
    <t>夢光の小妖精</t>
  </si>
  <si>
    <t>老練なる策謀者</t>
  </si>
  <si>
    <t>蒼鱗の戦姫</t>
  </si>
  <si>
    <t>牙角の猛将</t>
  </si>
  <si>
    <t>狼帝の眷属</t>
  </si>
  <si>
    <t>胞子の捕食花</t>
  </si>
  <si>
    <t>黄金の奇跡</t>
  </si>
  <si>
    <t>粘界の王冠</t>
  </si>
  <si>
    <t>溶融する王泥</t>
  </si>
  <si>
    <t>鉄泥の支配者</t>
  </si>
  <si>
    <t>光滴の幻獣</t>
  </si>
  <si>
    <t>死鎌の狩人</t>
  </si>
  <si>
    <t>角鎧の猛虫</t>
  </si>
  <si>
    <t>百脚の恐怖</t>
  </si>
  <si>
    <t>毒剣の女王蜂</t>
  </si>
  <si>
    <t>獄炎の甲虫王</t>
  </si>
  <si>
    <t>光幻の妖影</t>
  </si>
  <si>
    <t>終末の核</t>
  </si>
  <si>
    <t>終端機神王</t>
  </si>
  <si>
    <t>暴走する地獄炉</t>
  </si>
  <si>
    <t>蒼嵐の渦王</t>
  </si>
  <si>
    <t>機鋼の巨神</t>
  </si>
  <si>
    <t>聖弧の熾天使</t>
  </si>
  <si>
    <t>荒野の牙兵</t>
  </si>
  <si>
    <t>戦歌の蛮勇</t>
  </si>
  <si>
    <t>血塗れの巨漢</t>
  </si>
  <si>
    <t>黄金を喰らう者</t>
  </si>
  <si>
    <t>戦宴の魔将</t>
  </si>
  <si>
    <t>呪書の主</t>
  </si>
  <si>
    <t>光穴の這い虫</t>
  </si>
  <si>
    <t>洞窟の毒糸</t>
  </si>
  <si>
    <t>冥坑の労働霊</t>
  </si>
  <si>
    <t>菌翼の小竜</t>
  </si>
  <si>
    <t>地脈の竜王</t>
  </si>
  <si>
    <t>深淵の黒竜</t>
  </si>
  <si>
    <t>翠花の守り手</t>
  </si>
  <si>
    <t>霊樹の歌姫</t>
  </si>
  <si>
    <t>毒宴の蜘蛛姫</t>
  </si>
  <si>
    <t>砂嵐の魔獣</t>
  </si>
  <si>
    <t>暴風の巨翼</t>
  </si>
  <si>
    <t>生命を啜る影</t>
  </si>
  <si>
    <t>蒼空の黒翼</t>
  </si>
  <si>
    <t>裂風の猛禽</t>
  </si>
  <si>
    <t>骨啄む死鳥</t>
  </si>
  <si>
    <t>妖歌の翼女</t>
  </si>
  <si>
    <t>雷嵐の王鳥</t>
  </si>
  <si>
    <t>天翔ける覇鳥</t>
  </si>
  <si>
    <t>魔覇の鬼神</t>
  </si>
  <si>
    <t>機械王の咆哮</t>
  </si>
  <si>
    <t>黒鋼の破壊者</t>
  </si>
  <si>
    <t>灼熱岩の王</t>
  </si>
  <si>
    <t>貪欲なる溶岩王</t>
  </si>
  <si>
    <t>雷牙の覇王</t>
  </si>
  <si>
    <t>漆黒の毒母</t>
  </si>
  <si>
    <t>死霊王の秘宝</t>
  </si>
  <si>
    <t>冥竜の咆哮</t>
  </si>
  <si>
    <t>魔獄の大君</t>
  </si>
  <si>
    <t>血槌の猛牛王</t>
  </si>
  <si>
    <t>蒼蛇の災厄</t>
  </si>
  <si>
    <t>灼泥の地龍</t>
  </si>
  <si>
    <t>氷葬の鎮魂歌</t>
  </si>
  <si>
    <t>獄炎の暴将</t>
  </si>
  <si>
    <t>冥砂の巨象神</t>
  </si>
  <si>
    <t>夜王の化身</t>
  </si>
  <si>
    <t>冥騎士団長</t>
  </si>
  <si>
    <t>翠災の終末</t>
  </si>
  <si>
    <t>深海の静謐姫</t>
  </si>
  <si>
    <t>骸骨の覇王</t>
  </si>
  <si>
    <t>堕天の魔華</t>
  </si>
  <si>
    <t>屠殺の巨鬼</t>
  </si>
  <si>
    <t>虚無の暴王</t>
  </si>
  <si>
    <t>朽鉄を啜る坑骸</t>
  </si>
  <si>
    <t>鉱欲を担う屈背の穿掘鬼</t>
  </si>
  <si>
    <t>屑鋼を呑み込む漂灰核</t>
  </si>
  <si>
    <t>大地を噛み砕く崩岩獣</t>
  </si>
  <si>
    <t>煤界より滲み出る揺影</t>
  </si>
  <si>
    <t>万鉱を統べる骸晶の王</t>
  </si>
  <si>
    <t>滲緑の溶解核</t>
  </si>
  <si>
    <t>腐水を駆ける濡牙</t>
  </si>
  <si>
    <t>藻骸の漂流戦士</t>
  </si>
  <si>
    <t>泥鱗の潜伏者</t>
  </si>
  <si>
    <t>滴水の深穴喰い</t>
  </si>
  <si>
    <t>苔濤を統べる深渠王</t>
  </si>
  <si>
    <t>朽墓の骸兵</t>
  </si>
  <si>
    <t>鎧墓の守屍</t>
  </si>
  <si>
    <t>蒼焔の魂火</t>
  </si>
  <si>
    <t>石葬の巨像</t>
  </si>
  <si>
    <t>霧哭の漂霊</t>
  </si>
  <si>
    <t>冥冠の死侯</t>
  </si>
  <si>
    <t>殻岩の守蟹</t>
  </si>
  <si>
    <t>硬翼の裂蝠</t>
  </si>
  <si>
    <t>岩膚の暴鬼</t>
  </si>
  <si>
    <t>裂地の泥核</t>
  </si>
  <si>
    <t>穿角の掘甲</t>
  </si>
  <si>
    <t>崩山の巨骸</t>
  </si>
  <si>
    <t>尾火の悪戯者</t>
  </si>
  <si>
    <t>熔心胎動体</t>
  </si>
  <si>
    <t>紅骸の戦鬼</t>
  </si>
  <si>
    <t>灼鱗の地走者</t>
  </si>
  <si>
    <t>灰翼の夜翔</t>
  </si>
  <si>
    <t>熔界の覇竜</t>
  </si>
  <si>
    <t>氷晶核宿</t>
  </si>
  <si>
    <t>凍骨統率者</t>
  </si>
  <si>
    <t>白銀狩人</t>
  </si>
  <si>
    <t>氷翼夜行</t>
  </si>
  <si>
    <t>霜巨踏破</t>
  </si>
  <si>
    <t>氷王覇者</t>
  </si>
  <si>
    <t>刃翼の疾風</t>
  </si>
  <si>
    <t>峡影の潜徒</t>
  </si>
  <si>
    <t>揺嵐の核体</t>
  </si>
  <si>
    <t>断崖の跳獣</t>
  </si>
  <si>
    <t>裂空の残光</t>
  </si>
  <si>
    <t>暴嵐の覇狼</t>
  </si>
  <si>
    <t>雷脈踏破者</t>
  </si>
  <si>
    <t>骸雷征服者</t>
  </si>
  <si>
    <t>火花妖統率者</t>
  </si>
  <si>
    <t>電殻破壊者</t>
  </si>
  <si>
    <t>雷翼翔覇者</t>
  </si>
  <si>
    <t>雷帝討滅者</t>
  </si>
  <si>
    <t>砂骸亡者</t>
  </si>
  <si>
    <t>煌殻秘虫</t>
  </si>
  <si>
    <t>流牙砂蛇</t>
  </si>
  <si>
    <t>古碑守護像</t>
  </si>
  <si>
    <t>飢渇砂魂</t>
  </si>
  <si>
    <t>砂漠冥王</t>
  </si>
  <si>
    <t>紫泡魔核</t>
  </si>
  <si>
    <t>朽葉骸兵</t>
  </si>
  <si>
    <t>碧牙毒狼</t>
  </si>
  <si>
    <t>紫煙妖霊</t>
  </si>
  <si>
    <t>歪根樹王</t>
  </si>
  <si>
    <t>瘴森女王</t>
  </si>
  <si>
    <t>封骸司書</t>
  </si>
  <si>
    <t>頁喰暴典</t>
  </si>
  <si>
    <t>漆黒滴王</t>
  </si>
  <si>
    <t>書楼巨兵</t>
  </si>
  <si>
    <t>詠環幽灯</t>
  </si>
  <si>
    <t>禁架冥主</t>
  </si>
  <si>
    <t>濃影に侵された骸剣士</t>
  </si>
  <si>
    <t>揺らぎ嗤う影戯の小悪魔</t>
  </si>
  <si>
    <t>光を呑む黒淵の滴王</t>
  </si>
  <si>
    <t>残影を裂く夜駆けの魔獣</t>
  </si>
  <si>
    <t>幽布を漂う沈黙の灯霊</t>
  </si>
  <si>
    <t>断章を縫い統べる冥影の王</t>
  </si>
  <si>
    <t>反転世界の蒼眼骸</t>
  </si>
  <si>
    <t>無限増映の粘核体</t>
  </si>
  <si>
    <t>鏡殻閃光の多面蟲</t>
  </si>
  <si>
    <t>影歩きの双生魔</t>
  </si>
  <si>
    <t>破鏡彷徨の燐光霊</t>
  </si>
  <si>
    <t>万象を歪める鏡界王</t>
  </si>
  <si>
    <t>血骨穿つ晶骸兵</t>
  </si>
  <si>
    <t>紅核を抱く供儀屍者</t>
  </si>
  <si>
    <t>滴命を喰らう紅濁体</t>
  </si>
  <si>
    <t>刃祀る狂血の信徒</t>
  </si>
  <si>
    <t>万晶重殻の紅巨兵</t>
  </si>
  <si>
    <t>万血統べる晶王魔皇</t>
  </si>
  <si>
    <t>蒼光の守衛骸</t>
  </si>
  <si>
    <t>流動結界の水晶核</t>
  </si>
  <si>
    <t>紫冥の小悪魔導師</t>
  </si>
  <si>
    <t>盾殻の結界重騎</t>
  </si>
  <si>
    <t>紋章を巡る蒼霊灯</t>
  </si>
  <si>
    <t>深層結界の統括機関</t>
  </si>
  <si>
    <t>断層を歩む骸刻兵</t>
  </si>
  <si>
    <t>瞬界を裂く紅閃鬼</t>
  </si>
  <si>
    <t>停滞に沈む粘時核</t>
  </si>
  <si>
    <t>砂命を呑む環喰獣</t>
  </si>
  <si>
    <t>盤界を漂う歪光精</t>
  </si>
  <si>
    <t>崩刻を統べる終焉王</t>
  </si>
  <si>
    <t>星墓を歩む骸骨兵</t>
  </si>
  <si>
    <t>瞬星を宿す流体核</t>
  </si>
  <si>
    <t>闇天を嗤う微光の悪戯者</t>
  </si>
  <si>
    <t>歪重を纏う星殻甲虫</t>
  </si>
  <si>
    <t>流星の残響たる蒼き精霊</t>
  </si>
  <si>
    <t>天星を呑む虚無の顎</t>
  </si>
  <si>
    <t>刻印に縛られし永劫の処刑兵</t>
  </si>
  <si>
    <t>紅鎖に繋がれた狡知の使徒</t>
  </si>
  <si>
    <t>流転紋章を宿す粘核の盟主</t>
  </si>
  <si>
    <t>闘技場を踏破する無欠の石巨像</t>
  </si>
  <si>
    <t>誓文を囁く蒼炎の漂霊</t>
  </si>
  <si>
    <t>万契を統べる誓約絶対王</t>
  </si>
  <si>
    <t>亡骸の量産者</t>
  </si>
  <si>
    <t>再生する原初粘体</t>
  </si>
  <si>
    <t>模倣の小悪魔</t>
  </si>
  <si>
    <t>円環甲殻の巡行者</t>
  </si>
  <si>
    <t>無窮の青霊灯</t>
  </si>
  <si>
    <t>永劫を統べる循環王</t>
  </si>
  <si>
    <t>禁忌縫合の屍骨王</t>
  </si>
  <si>
    <t>灼装乱撃の小魔侯</t>
  </si>
  <si>
    <t>融界崩蝕の暴核体</t>
  </si>
  <si>
    <t>砲壁鎮座の石塞兵</t>
  </si>
  <si>
    <t>紅冥漂界の滅灯霊</t>
  </si>
  <si>
    <t>終焉要塞の断罪巨将</t>
  </si>
  <si>
    <t>冥界を彷徨う紫骸の断罪者</t>
  </si>
  <si>
    <t>万物を黒へ還す侵触核体</t>
  </si>
  <si>
    <t>妖眼瞬く奈落の尖兵</t>
  </si>
  <si>
    <t>腐界を穿つ甲殻侵滅虫</t>
  </si>
  <si>
    <t>闇渦に揺蕩う無明の灯</t>
  </si>
  <si>
    <t>万象を呑み込む深淵顕現王</t>
  </si>
  <si>
    <t>色彩喪失の骸兵</t>
  </si>
  <si>
    <t>透界の溶核体</t>
  </si>
  <si>
    <t>静寂断絶の影鬼</t>
  </si>
  <si>
    <t>境界崩落の虚構兵</t>
  </si>
  <si>
    <t>希薄存在の残光霊</t>
  </si>
  <si>
    <t>無面統治の監獄主</t>
  </si>
  <si>
    <t>漆黒骸の前線断罪者</t>
  </si>
  <si>
    <t>千刃乱舞の戦禍小鬼</t>
  </si>
  <si>
    <t>侵蝕する流黒刃核</t>
  </si>
  <si>
    <t>尖殻蹂躙の黒鋼甲虫</t>
  </si>
  <si>
    <t>戦塵を纏う紅怨霊</t>
  </si>
  <si>
    <t>黒曜覇軍の終焉将王</t>
  </si>
  <si>
    <t>金骸の聖戦骸騎</t>
  </si>
  <si>
    <t>流転する神性核</t>
  </si>
  <si>
    <t>堕光の幼き代行者</t>
  </si>
  <si>
    <t>破像の神殻守護兵</t>
  </si>
  <si>
    <t>白金の導き霊灯</t>
  </si>
  <si>
    <t>終焉を纏う堕神残滓王</t>
  </si>
  <si>
    <t>万象崩骸の彩滅者</t>
  </si>
  <si>
    <t>流転万色の原初胎動</t>
  </si>
  <si>
    <t>歪界嗤笑の断末魔</t>
  </si>
  <si>
    <t>崩星震殻の断層王</t>
  </si>
  <si>
    <t>虚無蒼焔の終極導霊</t>
  </si>
  <si>
    <t>全界終焉の絶対災禍</t>
  </si>
  <si>
    <t>草露を喰む蒼雫</t>
  </si>
  <si>
    <t>芽吹きを守る小さき精</t>
  </si>
  <si>
    <t>草原荒らしの小鬼</t>
  </si>
  <si>
    <t>風を裂く灰色の牙</t>
  </si>
  <si>
    <t>大地を穿つ猛牙</t>
  </si>
  <si>
    <t>草風に舞う翠翼</t>
  </si>
  <si>
    <t>芽吹きを告げる森童</t>
  </si>
  <si>
    <t>苔牙の森荒らし</t>
  </si>
  <si>
    <t>悠久を歩む古樹巨人</t>
  </si>
  <si>
    <t>白翠に祝福されし花角鹿</t>
  </si>
  <si>
    <t>深緑を喰らう森牙</t>
  </si>
  <si>
    <t>翠晶翅の導き妖精</t>
  </si>
  <si>
    <t>小さな丘の幸運</t>
  </si>
  <si>
    <t>丘風を射抜く翼</t>
  </si>
  <si>
    <t>砕けぬ石角の胸壁</t>
  </si>
  <si>
    <t>風路を読む護り</t>
  </si>
  <si>
    <t>千年を背負う巨殻</t>
  </si>
  <si>
    <t>鬼将が掲げし風冠</t>
  </si>
  <si>
    <t>岩音を聴く護り</t>
  </si>
  <si>
    <t>迷い路を照らす翠灯</t>
  </si>
  <si>
    <t>蒼牙走る黒晶刃</t>
  </si>
  <si>
    <t>消えざる守人の炉心</t>
  </si>
  <si>
    <t>大洞を受け止める壁</t>
  </si>
  <si>
    <t>封脈を統べる王晶</t>
  </si>
  <si>
    <t>風綿と戯れし者</t>
  </si>
  <si>
    <t>岩殻の轟炉を砕きし者</t>
  </si>
  <si>
    <t>蒼天を翔ける風竜の征服者</t>
  </si>
  <si>
    <t>花妖の祝福を授かりし者</t>
  </si>
  <si>
    <t>大地を背負う巨獣を屠りし者</t>
  </si>
  <si>
    <t>天輪を破りし蒼晶の英雄</t>
  </si>
  <si>
    <t>晶駆けの追跡者</t>
  </si>
  <si>
    <t>瓦礫に眼あり</t>
  </si>
  <si>
    <t>裂空の晶翼</t>
  </si>
  <si>
    <t>封鎖を断つ者</t>
  </si>
  <si>
    <t>迷宮喰らいを屠りし者</t>
  </si>
  <si>
    <t>世界の亀裂を越えし英雄</t>
  </si>
  <si>
    <t>深晶を抱く者</t>
  </si>
  <si>
    <t>蒼牙を従えし者</t>
  </si>
  <si>
    <t>骸翼を越えし者</t>
  </si>
  <si>
    <t>晶殻を穿つ者</t>
  </si>
  <si>
    <t>古晶巨躯を砕きし者</t>
  </si>
  <si>
    <t>燐晶の祝福を受けし者</t>
  </si>
  <si>
    <t>幽海を漂う者</t>
  </si>
  <si>
    <t>紅晶牙を折りし者</t>
  </si>
  <si>
    <t>深紫の魔導を暴きし者</t>
  </si>
  <si>
    <t>晶刃を掻い潜る者</t>
  </si>
  <si>
    <t>蒼晶海を制する者</t>
  </si>
  <si>
    <t>冥翼の闇を裂く者</t>
  </si>
  <si>
    <t>晶甲を打ち砕きし者</t>
  </si>
  <si>
    <t>深界樹の加護を継ぐ者</t>
  </si>
  <si>
    <t>万眼に睨まれし者</t>
  </si>
  <si>
    <t>蛇晶の深淵を渡る者</t>
  </si>
  <si>
    <t>幽炎騎士を退けし者</t>
  </si>
  <si>
    <t>晶卵の巣を滅ぼし者</t>
  </si>
  <si>
    <t>蒼竜の咆哮を越えし者</t>
  </si>
  <si>
    <t>幽晶槍を折りし者</t>
  </si>
  <si>
    <t>紫殻を崩せし者</t>
  </si>
  <si>
    <t>月眼に選ばれし者</t>
  </si>
  <si>
    <t>百晶刃を踏破せし者</t>
  </si>
  <si>
    <t>獄角の鎖を断ちし者</t>
  </si>
  <si>
    <t>黒翼と舞いし者</t>
  </si>
  <si>
    <t>熔晶を鎮めし者</t>
  </si>
  <si>
    <t>邪眼の糸を断つ者</t>
  </si>
  <si>
    <t>冥祷を退けし者</t>
  </si>
  <si>
    <t>双獣を屈服させし者</t>
  </si>
  <si>
    <t>終晶を超越せし者</t>
  </si>
  <si>
    <t>MAT_004</t>
    <phoneticPr fontId="1"/>
  </si>
  <si>
    <t>None</t>
    <phoneticPr fontId="1"/>
  </si>
  <si>
    <t>出現ステージ</t>
    <rPh sb="0" eb="2">
      <t>シュツゲン</t>
    </rPh>
    <phoneticPr fontId="1"/>
  </si>
  <si>
    <t>親A</t>
  </si>
  <si>
    <t>親B</t>
  </si>
  <si>
    <t>配合結果</t>
  </si>
  <si>
    <t>・消耗品ショップの実装</t>
    <rPh sb="1" eb="4">
      <t>ショウモウヒン</t>
    </rPh>
    <rPh sb="9" eb="11">
      <t>ジッソウ</t>
    </rPh>
    <phoneticPr fontId="1"/>
  </si>
  <si>
    <t>・スキルの実装</t>
    <rPh sb="5" eb="7">
      <t>ジッソウ</t>
    </rPh>
    <phoneticPr fontId="1"/>
  </si>
  <si>
    <t>　スキルはプレイヤーはトリガーとボタンで発動する。トリガーは様々な条件を設定でき、その条件を満たしたら自動で発動させる形式にする。</t>
    <rPh sb="20" eb="22">
      <t>ハツドウ</t>
    </rPh>
    <rPh sb="30" eb="32">
      <t>サマザマ</t>
    </rPh>
    <rPh sb="33" eb="35">
      <t>ジョウケン</t>
    </rPh>
    <rPh sb="36" eb="38">
      <t>セッテイ</t>
    </rPh>
    <rPh sb="43" eb="45">
      <t>ジョウケン</t>
    </rPh>
    <rPh sb="46" eb="47">
      <t>ミ</t>
    </rPh>
    <rPh sb="51" eb="53">
      <t>ジドウ</t>
    </rPh>
    <rPh sb="54" eb="56">
      <t>ハツドウ</t>
    </rPh>
    <rPh sb="59" eb="61">
      <t>ケイシキ</t>
    </rPh>
    <phoneticPr fontId="1"/>
  </si>
  <si>
    <t>　モンスターのスキルは仲間側はトリガーを設定でき、その条件を満たしたときに自動で発動する。敵側は、ボスモンスター等にスキルを設定してクールダウン後、自動発動するようにする。</t>
    <rPh sb="11" eb="13">
      <t>ナカマ</t>
    </rPh>
    <rPh sb="13" eb="14">
      <t>ガワ</t>
    </rPh>
    <rPh sb="20" eb="22">
      <t>セッテイ</t>
    </rPh>
    <rPh sb="27" eb="29">
      <t>ジョウケン</t>
    </rPh>
    <rPh sb="30" eb="31">
      <t>ミ</t>
    </rPh>
    <rPh sb="37" eb="39">
      <t>ジドウ</t>
    </rPh>
    <rPh sb="40" eb="42">
      <t>ハツドウ</t>
    </rPh>
    <rPh sb="45" eb="46">
      <t>テキ</t>
    </rPh>
    <rPh sb="46" eb="47">
      <t>ガワ</t>
    </rPh>
    <rPh sb="56" eb="57">
      <t>トウ</t>
    </rPh>
    <rPh sb="62" eb="64">
      <t>セッテイ</t>
    </rPh>
    <rPh sb="72" eb="73">
      <t>ゴ</t>
    </rPh>
    <rPh sb="74" eb="76">
      <t>ジドウ</t>
    </rPh>
    <rPh sb="76" eb="78">
      <t>ハツドウ</t>
    </rPh>
    <phoneticPr fontId="1"/>
  </si>
  <si>
    <t>　スキルは、プレイヤー、全モンスターで共通のものにし、同じ挙動をするようにする。</t>
    <rPh sb="12" eb="13">
      <t>ゼン</t>
    </rPh>
    <rPh sb="19" eb="21">
      <t>キョウツウ</t>
    </rPh>
    <rPh sb="27" eb="28">
      <t>オナ</t>
    </rPh>
    <rPh sb="29" eb="31">
      <t>キョドウ</t>
    </rPh>
    <phoneticPr fontId="1"/>
  </si>
  <si>
    <t>　HP回復ポーション(3段階）MP回復ポーション(3段階）魔寄せの鈴(1分間マップ上の全敵がこちらに向かってくる)</t>
    <rPh sb="3" eb="5">
      <t>カイフク</t>
    </rPh>
    <rPh sb="12" eb="14">
      <t>ダンカイ</t>
    </rPh>
    <rPh sb="17" eb="19">
      <t>カイフク</t>
    </rPh>
    <rPh sb="26" eb="28">
      <t>ダンカイ</t>
    </rPh>
    <rPh sb="36" eb="38">
      <t>フンカン</t>
    </rPh>
    <rPh sb="41" eb="42">
      <t>ジョウ</t>
    </rPh>
    <rPh sb="43" eb="44">
      <t>ゼン</t>
    </rPh>
    <rPh sb="44" eb="45">
      <t>テキ</t>
    </rPh>
    <rPh sb="50" eb="51">
      <t>ム</t>
    </rPh>
    <phoneticPr fontId="1"/>
  </si>
  <si>
    <t>必要レベル</t>
  </si>
  <si>
    <t>習得ポイント</t>
  </si>
  <si>
    <t>再使用時間秒</t>
  </si>
  <si>
    <t>詠唱時間秒</t>
  </si>
  <si>
    <t>共通待機時間秒</t>
  </si>
  <si>
    <t>射程</t>
  </si>
  <si>
    <t>対象</t>
  </si>
  <si>
    <t>基本効果</t>
  </si>
  <si>
    <t>参照能力</t>
  </si>
  <si>
    <t>倍率</t>
  </si>
  <si>
    <t>固定値</t>
  </si>
  <si>
    <t>会心有効</t>
  </si>
  <si>
    <t>適用先</t>
  </si>
  <si>
    <t>範囲半径</t>
  </si>
  <si>
    <t>命中上限</t>
  </si>
  <si>
    <t>発動形式</t>
  </si>
  <si>
    <t>発射物速度</t>
  </si>
  <si>
    <t>発射物寿命秒</t>
  </si>
  <si>
    <t>追尾</t>
  </si>
  <si>
    <t>画像パス</t>
  </si>
  <si>
    <t>演出パス</t>
  </si>
  <si>
    <t>追加効果1_種別</t>
  </si>
  <si>
    <t>追加効果1_対象能力</t>
  </si>
  <si>
    <t>追加効果1_変化方式</t>
  </si>
  <si>
    <t>追加効果1_効果量</t>
  </si>
  <si>
    <t>追加効果1_持続秒</t>
  </si>
  <si>
    <t>追加効果1_付与確率％</t>
  </si>
  <si>
    <t>追加効果1_状態異常</t>
  </si>
  <si>
    <t>追加効果1_継続間隔秒</t>
  </si>
  <si>
    <t>追加効果1_重複方式</t>
  </si>
  <si>
    <t>追加効果1_重複上限</t>
  </si>
  <si>
    <t>追加効果2_種別</t>
  </si>
  <si>
    <t>追加効果2_対象能力</t>
  </si>
  <si>
    <t>追加効果2_変化方式</t>
  </si>
  <si>
    <t>追加効果2_効果量</t>
  </si>
  <si>
    <t>追加効果2_持続秒</t>
  </si>
  <si>
    <t>追加効果2_付与確率％</t>
  </si>
  <si>
    <t>追加効果2_状態異常</t>
  </si>
  <si>
    <t>追加効果2_継続間隔秒</t>
  </si>
  <si>
    <t>追加効果2_重複方式</t>
  </si>
  <si>
    <t>追加効果2_重複上限</t>
  </si>
  <si>
    <t>追加効果3_種別</t>
  </si>
  <si>
    <t>追加効果3_対象能力</t>
  </si>
  <si>
    <t>追加効果3_変化方式</t>
  </si>
  <si>
    <t>追加効果3_効果量</t>
  </si>
  <si>
    <t>追加効果3_持続秒</t>
  </si>
  <si>
    <t>追加効果3_付与確率％</t>
  </si>
  <si>
    <t>追加効果3_状態異常</t>
  </si>
  <si>
    <t>追加効果3_継続間隔秒</t>
  </si>
  <si>
    <t>追加効果3_重複方式</t>
  </si>
  <si>
    <t>追加効果3_重複上限</t>
  </si>
  <si>
    <t>発射物速度入力</t>
  </si>
  <si>
    <t>発射物寿命入力秒</t>
  </si>
  <si>
    <t>追尾入力</t>
  </si>
  <si>
    <t>ファイアボール</t>
  </si>
  <si>
    <t>敵一体へ火属性の魔弾を放つ</t>
  </si>
  <si>
    <t>敵一体</t>
  </si>
  <si>
    <t>ダメージ</t>
  </si>
  <si>
    <t>魔法攻撃力</t>
  </si>
  <si>
    <t>火</t>
  </si>
  <si>
    <t>有効</t>
  </si>
  <si>
    <t>選択対象</t>
  </si>
  <si>
    <t>発射物</t>
  </si>
  <si>
    <t>なし</t>
  </si>
  <si>
    <t>時間更新</t>
  </si>
  <si>
    <t>ヒーリング</t>
  </si>
  <si>
    <t>自分または味方一体の体力を回復する</t>
  </si>
  <si>
    <t>味方一体</t>
  </si>
  <si>
    <t>回復</t>
  </si>
  <si>
    <t>使用者と同じ</t>
  </si>
  <si>
    <t>無効</t>
  </si>
  <si>
    <t>即時</t>
  </si>
  <si>
    <t>衝撃波</t>
  </si>
  <si>
    <t>自身の周囲の敵に物理ダメージ</t>
  </si>
  <si>
    <t>自身中心</t>
  </si>
  <si>
    <t>攻撃力</t>
  </si>
  <si>
    <t>範囲内の敵</t>
  </si>
  <si>
    <t>剛力の加護</t>
  </si>
  <si>
    <t>味方一体の攻撃力を20％上昇</t>
  </si>
  <si>
    <t>バフ</t>
  </si>
  <si>
    <t>割合変化</t>
  </si>
  <si>
    <t>疾風の光弾</t>
  </si>
  <si>
    <t>味方へ命中すると移動速度が30％上昇</t>
  </si>
  <si>
    <t>破甲弾</t>
  </si>
  <si>
    <t>敵に命中すると防御力が20％低下</t>
  </si>
  <si>
    <t>デバフ</t>
  </si>
  <si>
    <t>防御力</t>
  </si>
  <si>
    <t>鈍足の陣</t>
  </si>
  <si>
    <t>周囲の敵の移動速度を30％低下</t>
  </si>
  <si>
    <t>毒弾</t>
  </si>
  <si>
    <t>命中時に毒。最大体力の1％を2秒ごとに与える</t>
  </si>
  <si>
    <t>状態異常</t>
  </si>
  <si>
    <t>最大体力割合</t>
  </si>
  <si>
    <t>毒</t>
  </si>
  <si>
    <t>灼熱弾</t>
  </si>
  <si>
    <t>火傷により固定50ダメージを1秒ごとに与える</t>
  </si>
  <si>
    <t>固定ダメージ</t>
  </si>
  <si>
    <t>火傷</t>
  </si>
  <si>
    <t>凍結弾</t>
  </si>
  <si>
    <t>命中時に3秒間凍結させる</t>
  </si>
  <si>
    <t>水</t>
  </si>
  <si>
    <t>凍結</t>
  </si>
  <si>
    <t>封魔</t>
  </si>
  <si>
    <t>敵一体のスキル使用を5秒間封じる</t>
  </si>
  <si>
    <t>沈黙</t>
  </si>
  <si>
    <t>腐食毒弾</t>
  </si>
  <si>
    <t>ダメージと同時に防御力低下と毒を付与</t>
  </si>
  <si>
    <t>消費MP</t>
  </si>
  <si>
    <t>発射物プレファブパス</t>
  </si>
  <si>
    <t>発射物_貫通</t>
  </si>
  <si>
    <t>発射物_回転</t>
  </si>
  <si>
    <t>発射物_回転速度</t>
  </si>
  <si>
    <t>発射物_蛇行</t>
  </si>
  <si>
    <t>発射物_蛇行幅</t>
  </si>
  <si>
    <t>発射物_蛇行回数</t>
  </si>
  <si>
    <t>発射物_加速</t>
  </si>
  <si>
    <t>発射物_加速度</t>
  </si>
  <si>
    <t>発射物_最高速度</t>
  </si>
  <si>
    <t>発射物_命中半径</t>
  </si>
  <si>
    <t>発射物_移動タイプ</t>
  </si>
  <si>
    <t>発射物_追尾旋回速度</t>
  </si>
  <si>
    <t>発射物_拡大速度</t>
  </si>
  <si>
    <t>発射物_最大拡大倍率</t>
  </si>
  <si>
    <t>発射物_直進秒</t>
  </si>
  <si>
    <t>発射物_帰還速度</t>
  </si>
  <si>
    <t>発射物_周回秒</t>
  </si>
  <si>
    <t>発射物_周回半径</t>
  </si>
  <si>
    <t>発射物_周回角速度</t>
  </si>
  <si>
    <t>発射物_追尾開始秒</t>
  </si>
  <si>
    <t>発射物_螺旋角速度</t>
  </si>
  <si>
    <t>発射物_螺旋拡大速度</t>
  </si>
  <si>
    <t>発射物_往復距離</t>
  </si>
  <si>
    <t>発射物_反転回数</t>
  </si>
  <si>
    <t>発射物_反転終了で消滅</t>
  </si>
  <si>
    <t>発射物_使用者に追従</t>
  </si>
  <si>
    <t>発射物_再命中</t>
  </si>
  <si>
    <t>発射物_再命中間隔秒</t>
  </si>
  <si>
    <t>発射物_収束秒</t>
  </si>
  <si>
    <t>発射物_収束最大拡大倍率</t>
  </si>
  <si>
    <t>発射物_収束最大威力倍率</t>
  </si>
  <si>
    <t>発射物_時間切替</t>
  </si>
  <si>
    <t>発射物_切替秒</t>
  </si>
  <si>
    <t>発射物_切替後移動タイプ</t>
  </si>
  <si>
    <t>発射物_切替後速度</t>
  </si>
  <si>
    <t>発射物_連鎖</t>
  </si>
  <si>
    <t>発射物_連鎖回数</t>
  </si>
  <si>
    <t>発射物_連鎖半径</t>
  </si>
  <si>
    <t>発射物_連鎖威力倍率</t>
  </si>
  <si>
    <t>発射物_分裂</t>
  </si>
  <si>
    <t>発射物_子弾数</t>
  </si>
  <si>
    <t>発射物_分裂角度</t>
  </si>
  <si>
    <t>発射物_子弾威力倍率</t>
  </si>
  <si>
    <t>発射物_分裂世代数</t>
  </si>
  <si>
    <t>発射物_命中時爆発</t>
  </si>
  <si>
    <t>発射物_停止時爆発</t>
  </si>
  <si>
    <t>発射物_爆発半径</t>
  </si>
  <si>
    <t>発射物_爆発表示秒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</si>
  <si>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</si>
  <si>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</si>
  <si>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</si>
  <si>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</si>
  <si>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</si>
  <si>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</si>
  <si>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</si>
  <si>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</si>
  <si>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</si>
  <si>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</si>
  <si>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</si>
  <si>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</si>
  <si>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発射物_表示倍率</t>
  </si>
  <si>
    <t>発射物_色</t>
  </si>
  <si>
    <t>発射物_描画順</t>
  </si>
  <si>
    <t>発射物_画像角度</t>
  </si>
  <si>
    <t>直進</t>
  </si>
  <si>
    <t>1;2;3;4;5;6;7;8;9;10;12;11</t>
  </si>
  <si>
    <t>スキル種別</t>
  </si>
  <si>
    <t>生成位置</t>
  </si>
  <si>
    <t>追従先</t>
  </si>
  <si>
    <t>効果発生タイミング</t>
  </si>
  <si>
    <t>効果間隔秒</t>
  </si>
  <si>
    <t>パッシブ1_効果</t>
  </si>
  <si>
    <t>パッシブ1_効果量</t>
  </si>
  <si>
    <t>パッシブ2_効果</t>
  </si>
  <si>
    <t>パッシブ2_効果量</t>
  </si>
  <si>
    <t>パッシブ3_効果</t>
  </si>
  <si>
    <t>パッシブ3_効果量</t>
  </si>
  <si>
    <t>アクティブ</t>
  </si>
  <si>
    <t>使用者</t>
  </si>
  <si>
    <t>追従なし</t>
  </si>
  <si>
    <t>命中時</t>
  </si>
  <si>
    <t>その場</t>
  </si>
  <si>
    <t>生成時</t>
  </si>
  <si>
    <t>13</t>
  </si>
  <si>
    <t>最大HP＋10％</t>
  </si>
  <si>
    <t>枠にセット中のみ有効。</t>
  </si>
  <si>
    <t>自身</t>
  </si>
  <si>
    <t>パッシブ</t>
  </si>
  <si>
    <t>最大HP</t>
  </si>
  <si>
    <t>14</t>
  </si>
  <si>
    <t>最大MP＋10％</t>
  </si>
  <si>
    <t>最大MP</t>
  </si>
  <si>
    <t>15</t>
  </si>
  <si>
    <t>攻撃力＋10％</t>
  </si>
  <si>
    <t>16</t>
  </si>
  <si>
    <t>魔法攻撃力＋10％</t>
  </si>
  <si>
    <t>17</t>
  </si>
  <si>
    <t>防御力＋10％</t>
  </si>
  <si>
    <t>18</t>
  </si>
  <si>
    <t>魔法防御力＋10％</t>
  </si>
  <si>
    <t>魔法防御力</t>
  </si>
  <si>
    <t>19</t>
  </si>
  <si>
    <t>移動速度＋10％</t>
  </si>
  <si>
    <t>20</t>
  </si>
  <si>
    <t>攻撃速度＋10％</t>
  </si>
  <si>
    <t>21</t>
  </si>
  <si>
    <t>攻撃範囲＋10％</t>
  </si>
  <si>
    <t>22</t>
  </si>
  <si>
    <t>会心率＋10％</t>
  </si>
  <si>
    <t>会心率</t>
  </si>
  <si>
    <t>23</t>
  </si>
  <si>
    <t>会心倍率＋10％</t>
  </si>
  <si>
    <t>会心倍率</t>
  </si>
  <si>
    <t>24</t>
  </si>
  <si>
    <t>素材ドロップ率＋10％</t>
  </si>
  <si>
    <t>素材ドロップ率</t>
  </si>
  <si>
    <t>25</t>
  </si>
  <si>
    <t>装備ドロップ率＋10％</t>
  </si>
  <si>
    <t>装備ドロップ率</t>
  </si>
  <si>
    <t>26</t>
  </si>
  <si>
    <t>火属性耐性＋10％</t>
  </si>
  <si>
    <t>火属性耐性</t>
  </si>
  <si>
    <t>27</t>
  </si>
  <si>
    <t>水属性耐性＋10％</t>
  </si>
  <si>
    <t>水属性耐性</t>
  </si>
  <si>
    <t>28</t>
  </si>
  <si>
    <t>風属性耐性＋10％</t>
  </si>
  <si>
    <t>風属性耐性</t>
  </si>
  <si>
    <t>29</t>
  </si>
  <si>
    <t>雷属性耐性＋10％</t>
  </si>
  <si>
    <t>雷属性耐性</t>
  </si>
  <si>
    <t>30</t>
  </si>
  <si>
    <t>光属性耐性＋10％</t>
  </si>
  <si>
    <t>光属性耐性</t>
  </si>
  <si>
    <t>31</t>
  </si>
  <si>
    <t>闇属性耐性＋10％</t>
  </si>
  <si>
    <t>闇属性耐性</t>
  </si>
  <si>
    <t>32</t>
  </si>
  <si>
    <t>全属性耐性＋10％</t>
  </si>
  <si>
    <t>全属性耐性</t>
  </si>
  <si>
    <t>33</t>
  </si>
  <si>
    <t>近接攻撃タイプに変更</t>
  </si>
  <si>
    <t>通常攻撃の方式を変更。両方装着時は後ろの枠を優先。</t>
  </si>
  <si>
    <t>近接攻撃タイプ</t>
  </si>
  <si>
    <t>34</t>
  </si>
  <si>
    <t>遠距離攻撃タイプに変更</t>
  </si>
  <si>
    <t>遠距離攻撃タイプ</t>
  </si>
  <si>
    <t>35</t>
  </si>
  <si>
    <t>配合確率＋10％</t>
  </si>
  <si>
    <t>配合確率</t>
  </si>
  <si>
    <t>36</t>
  </si>
  <si>
    <t>武器取得数＋1</t>
  </si>
  <si>
    <t>武器取得数</t>
  </si>
  <si>
    <t>37</t>
  </si>
  <si>
    <t>称号抽選回数＋1</t>
  </si>
  <si>
    <t>称号抽選回数</t>
  </si>
  <si>
    <t>38</t>
  </si>
  <si>
    <t>敵リスポーン速度＋10％</t>
  </si>
  <si>
    <t>敵リスポーン速度</t>
  </si>
  <si>
    <t>1;2;3;4;5;6;7;8;9;10;12;11;13;14;15;16;17;18;19;20;21;22;23;24;25;26;27;28;29;30;31;32;33;34;35;36;37;38</t>
    <phoneticPr fontId="1"/>
  </si>
  <si>
    <t>一定間隔</t>
  </si>
  <si>
    <t>39</t>
  </si>
  <si>
    <t>使用者の位置に衝撃波を表示し、半径3の敵へ一度だけダメージを与える。</t>
  </si>
  <si>
    <t>40</t>
  </si>
  <si>
    <t>炎の陣</t>
  </si>
  <si>
    <t>使用した地点に5秒残り、0.5秒ごとに半径3の敵へ火属性ダメージを与える。</t>
  </si>
  <si>
    <t>41</t>
  </si>
  <si>
    <t>癒しの陣</t>
  </si>
  <si>
    <t>使用した地点に5秒残り、1秒ごとに半径3の味方を回復する。</t>
  </si>
  <si>
    <t>範囲内の味方</t>
  </si>
  <si>
    <t>42</t>
  </si>
  <si>
    <t>守護の陣</t>
  </si>
  <si>
    <t>使用した地点に5秒残り、1秒ごとに半径3の味方へ防御力＋30％を1.5秒付与する。</t>
  </si>
  <si>
    <t>発射物_素材</t>
  </si>
  <si>
    <t>発射物_範囲に表示を合わせる</t>
  </si>
  <si>
    <t>発射物_爆発拡大秒</t>
  </si>
  <si>
    <t>発射物_爆発開始倍率</t>
  </si>
  <si>
    <t>発射物_固有スプライト</t>
  </si>
  <si>
    <t>#FF703FFF</t>
  </si>
  <si>
    <t>光の弾</t>
  </si>
  <si>
    <t>#76FFB0FF</t>
  </si>
  <si>
    <t>爆発</t>
  </si>
  <si>
    <t>#FFE6A6FF</t>
  </si>
  <si>
    <t>#FFBE55FF</t>
  </si>
  <si>
    <t>#8EEDCFFF</t>
  </si>
  <si>
    <t>#E3A15CFF</t>
  </si>
  <si>
    <t>#B492FFB3</t>
  </si>
  <si>
    <t>魔方陣</t>
  </si>
  <si>
    <t>#9DFF57FF</t>
  </si>
  <si>
    <t>#FF5030FF</t>
  </si>
  <si>
    <t>#72DBFFFF</t>
  </si>
  <si>
    <t>#C18AFFCC</t>
  </si>
  <si>
    <t>#BD70FFFF</t>
  </si>
  <si>
    <t>#FF6B38CC</t>
  </si>
  <si>
    <t>#70FFACB3</t>
  </si>
  <si>
    <t>#83BCFFB3</t>
  </si>
  <si>
    <r>
      <rPr>
        <sz val="11"/>
        <color theme="1"/>
        <rFont val="游ゴシック"/>
        <family val="2"/>
        <charset val="128"/>
        <scheme val="minor"/>
      </rPr>
      <t>有効</t>
    </r>
  </si>
  <si>
    <t>回復</t>
    <rPh sb="0" eb="2">
      <t>カイフク</t>
    </rPh>
    <phoneticPr fontId="1"/>
  </si>
  <si>
    <t>バフ</t>
    <phoneticPr fontId="1"/>
  </si>
  <si>
    <t>デバフ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</si>
</sst>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;[Red]\-#,##0.0000"/>
    <numFmt numFmtId="177" formatCode="0.0##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Carlito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rgb="FFFFFFFF"/>
      <name val="Noto Sans JP"/>
      <family val="3"/>
      <charset val="128"/>
    </font>
    <font>
      <sz val="11"/>
      <color rgb="FF1D4F91"/>
      <name val="Noto Sans JP"/>
      <family val="3"/>
      <charset val="128"/>
    </font>
    <font>
      <sz val="11"/>
      <color rgb="FF263D5C"/>
      <name val="Noto Sans JP"/>
      <family val="3"/>
      <charset val="128"/>
    </font>
    <font>
      <sz val="11"/>
      <color rgb="FF1B3543"/>
      <name val="Noto Sans JP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63D5C"/>
      </patternFill>
    </fill>
    <fill>
      <patternFill patternType="solid">
        <fgColor rgb="FF35685A"/>
      </patternFill>
    </fill>
    <fill>
      <patternFill patternType="solid">
        <fgColor rgb="FF825B36"/>
      </patternFill>
    </fill>
    <fill>
      <patternFill patternType="solid">
        <fgColor rgb="FF69527E"/>
      </patternFill>
    </fill>
    <fill>
      <patternFill patternType="solid">
        <fgColor rgb="FF775C24"/>
      </patternFill>
    </fill>
    <fill>
      <patternFill patternType="solid">
        <fgColor rgb="FF365C78"/>
      </patternFill>
    </fill>
    <fill>
      <patternFill patternType="solid">
        <fgColor rgb="FFE9EDF2"/>
      </patternFill>
    </fill>
    <fill>
      <patternFill patternType="solid">
        <fgColor rgb="FFFFF0C9"/>
      </patternFill>
    </fill>
    <fill>
      <patternFill patternType="solid">
        <fgColor rgb="FF214E66"/>
      </patternFill>
    </fill>
    <fill>
      <patternFill patternType="solid">
        <fgColor rgb="FFFFF3D5"/>
      </patternFill>
    </fill>
    <fill>
      <patternFill patternType="solid">
        <fgColor rgb="FFFFF3D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38" fontId="6" fillId="0" borderId="0" applyFont="0" applyFill="0" applyBorder="0" applyAlignment="0" applyProtection="0">
      <alignment vertical="center"/>
    </xf>
    <xf numFmtId="0" fontId="3" fillId="0" borderId="0"/>
  </cellStyleXfs>
  <cellXfs count="1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0" fontId="2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4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0" fillId="0" borderId="1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0" borderId="20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3" xfId="0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0" fontId="0" fillId="0" borderId="25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vertical="center" shrinkToFit="1"/>
    </xf>
    <xf numFmtId="0" fontId="3" fillId="0" borderId="2" xfId="1" applyBorder="1" applyAlignment="1">
      <alignment horizontal="center" vertical="center" shrinkToFit="1"/>
    </xf>
    <xf numFmtId="0" fontId="4" fillId="0" borderId="2" xfId="1" applyFont="1" applyBorder="1" applyAlignment="1">
      <alignment shrinkToFit="1"/>
    </xf>
    <xf numFmtId="1" fontId="4" fillId="0" borderId="2" xfId="1" applyNumberFormat="1" applyFont="1" applyBorder="1" applyAlignment="1">
      <alignment shrinkToFit="1"/>
    </xf>
    <xf numFmtId="0" fontId="0" fillId="0" borderId="0" xfId="0" applyAlignment="1">
      <alignment horizontal="center" vertical="center"/>
    </xf>
    <xf numFmtId="0" fontId="2" fillId="0" borderId="28" xfId="0" applyFont="1" applyBorder="1" applyAlignment="1">
      <alignment horizontal="center" vertical="center" shrinkToFit="1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2" borderId="0" xfId="0" applyFill="1">
      <alignment vertical="center"/>
    </xf>
    <xf numFmtId="0" fontId="0" fillId="0" borderId="32" xfId="0" applyBorder="1" applyAlignment="1">
      <alignment vertical="center" shrinkToFit="1"/>
    </xf>
    <xf numFmtId="0" fontId="0" fillId="0" borderId="33" xfId="0" applyBorder="1" applyAlignment="1">
      <alignment vertical="center" shrinkToFit="1"/>
    </xf>
    <xf numFmtId="0" fontId="0" fillId="0" borderId="34" xfId="0" applyBorder="1" applyAlignment="1">
      <alignment vertical="center" shrinkToFit="1"/>
    </xf>
    <xf numFmtId="3" fontId="0" fillId="0" borderId="6" xfId="0" applyNumberFormat="1" applyBorder="1" applyAlignment="1">
      <alignment vertical="center" shrinkToFit="1"/>
    </xf>
    <xf numFmtId="176" fontId="0" fillId="0" borderId="6" xfId="2" applyNumberFormat="1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35" xfId="0" applyFont="1" applyBorder="1" applyAlignment="1">
      <alignment horizontal="center"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0" fillId="0" borderId="38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0" fillId="0" borderId="40" xfId="0" applyBorder="1" applyAlignment="1">
      <alignment vertical="center" shrinkToFit="1"/>
    </xf>
    <xf numFmtId="0" fontId="0" fillId="0" borderId="41" xfId="0" applyBorder="1" applyAlignment="1">
      <alignment vertical="center" shrinkToFit="1"/>
    </xf>
    <xf numFmtId="0" fontId="2" fillId="0" borderId="42" xfId="0" applyFont="1" applyBorder="1" applyAlignment="1">
      <alignment vertical="center" shrinkToFit="1"/>
    </xf>
    <xf numFmtId="0" fontId="0" fillId="0" borderId="43" xfId="0" applyBorder="1" applyAlignment="1">
      <alignment vertical="center" shrinkToFit="1"/>
    </xf>
    <xf numFmtId="0" fontId="0" fillId="0" borderId="44" xfId="0" applyBorder="1" applyAlignment="1">
      <alignment vertical="center" shrinkToFit="1"/>
    </xf>
    <xf numFmtId="0" fontId="0" fillId="0" borderId="45" xfId="0" applyBorder="1" applyAlignment="1">
      <alignment vertical="center" shrinkToFit="1"/>
    </xf>
    <xf numFmtId="0" fontId="0" fillId="0" borderId="46" xfId="0" applyBorder="1" applyAlignment="1">
      <alignment vertical="center" shrinkToFit="1"/>
    </xf>
    <xf numFmtId="0" fontId="0" fillId="0" borderId="47" xfId="0" applyBorder="1" applyAlignment="1">
      <alignment vertical="center" shrinkToFit="1"/>
    </xf>
    <xf numFmtId="0" fontId="0" fillId="0" borderId="48" xfId="0" applyBorder="1" applyAlignment="1">
      <alignment vertical="center" shrinkToFit="1"/>
    </xf>
    <xf numFmtId="49" fontId="0" fillId="0" borderId="0" xfId="1" applyNumberFormat="1" applyFont="1"/>
    <xf numFmtId="1" fontId="0" fillId="0" borderId="0" xfId="1" applyNumberFormat="1" applyFont="1"/>
    <xf numFmtId="177" fontId="0" fillId="0" borderId="0" xfId="1" applyNumberFormat="1" applyFont="1"/>
    <xf numFmtId="0" fontId="0" fillId="0" borderId="0" xfId="0" applyAlignment="1"/>
    <xf numFmtId="0" fontId="9" fillId="9" borderId="0" xfId="1" applyFont="1" applyFill="1"/>
    <xf numFmtId="0" fontId="10" fillId="12" borderId="0" xfId="1" applyFont="1" applyFill="1"/>
    <xf numFmtId="0" fontId="7" fillId="3" borderId="49" xfId="1" applyFont="1" applyFill="1" applyBorder="1" applyAlignment="1">
      <alignment horizontal="center" vertical="center" wrapText="1"/>
    </xf>
    <xf numFmtId="0" fontId="7" fillId="3" borderId="50" xfId="1" applyFont="1" applyFill="1" applyBorder="1" applyAlignment="1">
      <alignment horizontal="center" vertical="center" wrapText="1"/>
    </xf>
    <xf numFmtId="0" fontId="7" fillId="4" borderId="50" xfId="1" applyFont="1" applyFill="1" applyBorder="1" applyAlignment="1">
      <alignment horizontal="center" vertical="center" wrapText="1"/>
    </xf>
    <xf numFmtId="0" fontId="7" fillId="5" borderId="50" xfId="1" applyFont="1" applyFill="1" applyBorder="1" applyAlignment="1">
      <alignment horizontal="center" vertical="center" wrapText="1"/>
    </xf>
    <xf numFmtId="0" fontId="7" fillId="6" borderId="50" xfId="1" applyFont="1" applyFill="1" applyBorder="1" applyAlignment="1">
      <alignment horizontal="center" vertical="center" wrapText="1"/>
    </xf>
    <xf numFmtId="0" fontId="7" fillId="7" borderId="50" xfId="1" applyFont="1" applyFill="1" applyBorder="1" applyAlignment="1">
      <alignment horizontal="center" vertical="center" wrapText="1"/>
    </xf>
    <xf numFmtId="0" fontId="7" fillId="8" borderId="50" xfId="1" applyFont="1" applyFill="1" applyBorder="1" applyAlignment="1">
      <alignment horizontal="center" vertical="center" wrapText="1"/>
    </xf>
    <xf numFmtId="0" fontId="7" fillId="11" borderId="50" xfId="1" applyFont="1" applyFill="1" applyBorder="1" applyAlignment="1">
      <alignment wrapText="1"/>
    </xf>
    <xf numFmtId="0" fontId="7" fillId="11" borderId="51" xfId="1" applyFont="1" applyFill="1" applyBorder="1" applyAlignment="1">
      <alignment wrapText="1"/>
    </xf>
    <xf numFmtId="49" fontId="8" fillId="0" borderId="16" xfId="1" applyNumberFormat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 wrapText="1"/>
    </xf>
    <xf numFmtId="1" fontId="8" fillId="0" borderId="2" xfId="1" applyNumberFormat="1" applyFont="1" applyBorder="1" applyAlignment="1">
      <alignment vertical="center"/>
    </xf>
    <xf numFmtId="177" fontId="8" fillId="0" borderId="2" xfId="1" applyNumberFormat="1" applyFont="1" applyBorder="1" applyAlignment="1">
      <alignment vertical="center"/>
    </xf>
    <xf numFmtId="0" fontId="9" fillId="9" borderId="2" xfId="1" applyFont="1" applyFill="1" applyBorder="1" applyAlignment="1">
      <alignment vertical="center"/>
    </xf>
    <xf numFmtId="177" fontId="8" fillId="10" borderId="2" xfId="1" applyNumberFormat="1" applyFont="1" applyFill="1" applyBorder="1" applyAlignment="1">
      <alignment vertical="center"/>
    </xf>
    <xf numFmtId="0" fontId="8" fillId="10" borderId="2" xfId="1" applyFont="1" applyFill="1" applyBorder="1" applyAlignment="1">
      <alignment vertical="center"/>
    </xf>
    <xf numFmtId="0" fontId="8" fillId="0" borderId="2" xfId="1" applyFont="1" applyBorder="1"/>
    <xf numFmtId="177" fontId="8" fillId="0" borderId="2" xfId="1" applyNumberFormat="1" applyFont="1" applyBorder="1"/>
    <xf numFmtId="0" fontId="8" fillId="0" borderId="2" xfId="1" applyFont="1" applyBorder="1" applyAlignment="1">
      <alignment horizontal="center"/>
    </xf>
    <xf numFmtId="0" fontId="10" fillId="12" borderId="2" xfId="1" applyFont="1" applyFill="1" applyBorder="1"/>
    <xf numFmtId="0" fontId="10" fillId="12" borderId="20" xfId="1" applyFont="1" applyFill="1" applyBorder="1"/>
    <xf numFmtId="49" fontId="0" fillId="0" borderId="16" xfId="1" applyNumberFormat="1" applyFont="1" applyBorder="1"/>
    <xf numFmtId="0" fontId="0" fillId="0" borderId="2" xfId="0" applyBorder="1" applyAlignment="1"/>
    <xf numFmtId="1" fontId="0" fillId="0" borderId="2" xfId="1" applyNumberFormat="1" applyFont="1" applyBorder="1"/>
    <xf numFmtId="177" fontId="0" fillId="0" borderId="2" xfId="1" applyNumberFormat="1" applyFont="1" applyBorder="1"/>
    <xf numFmtId="0" fontId="9" fillId="9" borderId="2" xfId="1" applyFont="1" applyFill="1" applyBorder="1"/>
    <xf numFmtId="49" fontId="0" fillId="0" borderId="42" xfId="1" applyNumberFormat="1" applyFont="1" applyBorder="1"/>
    <xf numFmtId="0" fontId="0" fillId="0" borderId="45" xfId="0" applyBorder="1" applyAlignment="1"/>
    <xf numFmtId="1" fontId="0" fillId="0" borderId="45" xfId="1" applyNumberFormat="1" applyFont="1" applyBorder="1"/>
    <xf numFmtId="177" fontId="0" fillId="0" borderId="45" xfId="1" applyNumberFormat="1" applyFont="1" applyBorder="1"/>
    <xf numFmtId="0" fontId="9" fillId="9" borderId="45" xfId="1" applyFont="1" applyFill="1" applyBorder="1"/>
    <xf numFmtId="0" fontId="10" fillId="12" borderId="45" xfId="1" applyFont="1" applyFill="1" applyBorder="1"/>
    <xf numFmtId="0" fontId="10" fillId="12" borderId="52" xfId="1" applyFont="1" applyFill="1" applyBorder="1"/>
    <xf numFmtId="0" fontId="10" fillId="13" borderId="2" xfId="1" applyFont="1" applyFill="1" applyBorder="1"/>
    <xf numFmtId="0" fontId="10" fillId="13" borderId="20" xfId="1" applyFont="1" applyFill="1" applyBorder="1"/>
    <xf numFmtId="0" fontId="10" fillId="13" borderId="50" xfId="1" applyFont="1" applyFill="1" applyBorder="1"/>
    <xf numFmtId="0" fontId="10" fillId="13" borderId="45" xfId="1" applyFont="1" applyFill="1" applyBorder="1"/>
    <xf numFmtId="0" fontId="0" fillId="0" borderId="50" xfId="0" applyBorder="1" applyAlignment="1"/>
  </cellXfs>
  <cellStyles count="4">
    <cellStyle name="Normal" xfId="1" xr:uid="{815D33BA-1CA3-4931-8A1C-5CD2B7DA8A26}"/>
    <cellStyle name="桁区切り" xfId="2" builtinId="6"/>
    <cellStyle name="標準" xfId="0" builtinId="0"/>
    <cellStyle name="標準 2" xfId="3" xr:uid="{BBF9A094-C44A-4888-B41E-3CA08DBEA7D0}"/>
  </cellStyles>
  <dxfs count="1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3543"/>
        <name val="Noto Sans JP"/>
        <family val="3"/>
        <charset val="128"/>
        <scheme val="none"/>
      </font>
      <fill>
        <patternFill patternType="solid">
          <fgColor indexed="64"/>
          <bgColor rgb="FFFFF3D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游ゴシック"/>
        <family val="3"/>
        <charset val="128"/>
        <scheme val="minor"/>
      </font>
      <alignment horizontal="general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general" vertical="center" textRotation="0" wrapText="0" indent="0" justifyLastLine="0" shrinkToFit="1" readingOrder="0"/>
    </dxf>
  </dxfs>
  <tableStyles count="0" defaultTableStyle="TableStyleMedium2" defaultPivotStyle="PivotStyleLight16"/>
  <colors>
    <mruColors>
      <color rgb="FFBC1072"/>
      <color rgb="FFF15DB2"/>
      <color rgb="FF1F832D"/>
      <color rgb="FF249835"/>
      <color rgb="FFC08E1E"/>
      <color rgb="FF9C7218"/>
      <color rgb="FF0E3384"/>
      <color rgb="FF007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666750</xdr:rowOff>
    </xdr:from>
    <xdr:to>
      <xdr:col>9</xdr:col>
      <xdr:colOff>38100</xdr:colOff>
      <xdr:row>1</xdr:row>
      <xdr:rowOff>666750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A56EC8A-3290-CB39-1353-883D92281638}"/>
            </a:ext>
          </a:extLst>
        </xdr:cNvPr>
        <xdr:cNvSpPr/>
      </xdr:nvSpPr>
      <xdr:spPr>
        <a:xfrm>
          <a:off x="7658100" y="666750"/>
          <a:ext cx="952500" cy="952500"/>
        </a:xfrm>
        <a:prstGeom prst="roundRect">
          <a:avLst>
            <a:gd name="adj" fmla="val 14667"/>
          </a:avLst>
        </a:prstGeom>
        <a:gradFill>
          <a:gsLst>
            <a:gs pos="50000">
              <a:srgbClr val="007DEE"/>
            </a:gs>
            <a:gs pos="0">
              <a:srgbClr val="0E3384"/>
            </a:gs>
            <a:gs pos="100000">
              <a:srgbClr val="0E3384"/>
            </a:gs>
          </a:gsLst>
          <a:lin ang="10800000" scaled="0"/>
        </a:gradFill>
        <a:ln w="57150">
          <a:solidFill>
            <a:srgbClr val="C08E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85725</xdr:colOff>
      <xdr:row>0</xdr:row>
      <xdr:rowOff>657225</xdr:rowOff>
    </xdr:from>
    <xdr:to>
      <xdr:col>10</xdr:col>
      <xdr:colOff>85725</xdr:colOff>
      <xdr:row>1</xdr:row>
      <xdr:rowOff>657225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60FCC5BF-5624-4A85-AED6-FBD1A7EA51A9}"/>
            </a:ext>
          </a:extLst>
        </xdr:cNvPr>
        <xdr:cNvSpPr/>
      </xdr:nvSpPr>
      <xdr:spPr>
        <a:xfrm>
          <a:off x="8658225" y="657225"/>
          <a:ext cx="952500" cy="952500"/>
        </a:xfrm>
        <a:prstGeom prst="roundRect">
          <a:avLst>
            <a:gd name="adj" fmla="val 14667"/>
          </a:avLst>
        </a:prstGeom>
        <a:gradFill>
          <a:gsLst>
            <a:gs pos="50000">
              <a:schemeClr val="accent3">
                <a:lumMod val="60000"/>
                <a:lumOff val="40000"/>
              </a:schemeClr>
            </a:gs>
            <a:gs pos="0">
              <a:srgbClr val="1F832D"/>
            </a:gs>
            <a:gs pos="100000">
              <a:srgbClr val="1F832D"/>
            </a:gs>
          </a:gsLst>
          <a:lin ang="10800000" scaled="0"/>
        </a:gradFill>
        <a:ln w="57150">
          <a:solidFill>
            <a:srgbClr val="C08E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549519</xdr:colOff>
      <xdr:row>0</xdr:row>
      <xdr:rowOff>359880</xdr:rowOff>
    </xdr:from>
    <xdr:to>
      <xdr:col>4</xdr:col>
      <xdr:colOff>546718</xdr:colOff>
      <xdr:row>1</xdr:row>
      <xdr:rowOff>359880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C038ABE-1E1C-496D-8814-9A183670E3EF}"/>
            </a:ext>
          </a:extLst>
        </xdr:cNvPr>
        <xdr:cNvSpPr/>
      </xdr:nvSpPr>
      <xdr:spPr>
        <a:xfrm>
          <a:off x="2454519" y="359880"/>
          <a:ext cx="1902199" cy="952500"/>
        </a:xfrm>
        <a:prstGeom prst="roundRect">
          <a:avLst>
            <a:gd name="adj" fmla="val 14667"/>
          </a:avLst>
        </a:prstGeom>
        <a:gradFill>
          <a:gsLst>
            <a:gs pos="50000">
              <a:srgbClr val="F15DB2"/>
            </a:gs>
            <a:gs pos="0">
              <a:srgbClr val="BC1072"/>
            </a:gs>
            <a:gs pos="100000">
              <a:srgbClr val="BC1072"/>
            </a:gs>
          </a:gsLst>
          <a:lin ang="10800000" scaled="0"/>
        </a:gradFill>
        <a:ln w="57150">
          <a:solidFill>
            <a:srgbClr val="C08E1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197826</xdr:colOff>
      <xdr:row>1</xdr:row>
      <xdr:rowOff>761999</xdr:rowOff>
    </xdr:from>
    <xdr:to>
      <xdr:col>2</xdr:col>
      <xdr:colOff>197826</xdr:colOff>
      <xdr:row>2</xdr:row>
      <xdr:rowOff>761999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293758CC-036A-43C5-AC6E-F70219515098}"/>
            </a:ext>
          </a:extLst>
        </xdr:cNvPr>
        <xdr:cNvSpPr/>
      </xdr:nvSpPr>
      <xdr:spPr>
        <a:xfrm>
          <a:off x="1150326" y="1714499"/>
          <a:ext cx="952500" cy="952500"/>
        </a:xfrm>
        <a:prstGeom prst="roundRect">
          <a:avLst>
            <a:gd name="adj" fmla="val 14667"/>
          </a:avLst>
        </a:prstGeom>
        <a:gradFill>
          <a:gsLst>
            <a:gs pos="50000">
              <a:schemeClr val="bg1">
                <a:lumMod val="85000"/>
              </a:schemeClr>
            </a:gs>
            <a:gs pos="0">
              <a:schemeClr val="tx1">
                <a:lumMod val="50000"/>
                <a:lumOff val="50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10800000" scaled="0"/>
        </a:gradFill>
        <a:ln w="571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IYA\Documents\GitHub\MixMaster\Assets\DataCSV\&#12514;&#12531;&#12473;&#12479;&#12540;&#25126;&#38360;&#21147;&#35336;&#31639;&#12471;&#12540;&#12488;.xlsx" TargetMode="External"/><Relationship Id="rId1" Type="http://schemas.openxmlformats.org/officeDocument/2006/relationships/externalLinkPath" Target="&#12514;&#12531;&#12473;&#12479;&#12540;&#25126;&#38360;&#21147;&#35336;&#31639;&#12471;&#12540;&#1248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IYA\Documents\GitHub\MixMaster\Assets\DataCSV\&#12514;&#12531;&#12473;&#12479;&#12540;&#31216;&#21495;&#35336;&#31639;&#12471;&#12540;&#12488;.xlsx" TargetMode="External"/><Relationship Id="rId1" Type="http://schemas.openxmlformats.org/officeDocument/2006/relationships/externalLinkPath" Target="&#12514;&#12531;&#12473;&#12479;&#12540;&#31216;&#21495;&#35336;&#31639;&#12471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い方"/>
      <sheetName val="設定"/>
      <sheetName val="モンスター計算"/>
      <sheetName val="Stage比較"/>
      <sheetName val="個性タイプマスタ"/>
      <sheetName val="属性耐性マスタ"/>
    </sheetNames>
    <sheetDataSet>
      <sheetData sheetId="0"/>
      <sheetData sheetId="1"/>
      <sheetData sheetId="2">
        <row r="5">
          <cell r="E5">
            <v>82</v>
          </cell>
          <cell r="F5">
            <v>13</v>
          </cell>
          <cell r="G5">
            <v>10</v>
          </cell>
          <cell r="H5">
            <v>22</v>
          </cell>
          <cell r="I5">
            <v>7</v>
          </cell>
          <cell r="J5">
            <v>8</v>
          </cell>
          <cell r="K5">
            <v>0.05</v>
          </cell>
          <cell r="L5">
            <v>1.5</v>
          </cell>
          <cell r="M5">
            <v>2</v>
          </cell>
          <cell r="N5">
            <v>1</v>
          </cell>
          <cell r="O5">
            <v>2.5</v>
          </cell>
          <cell r="P5">
            <v>-0.12000000000000001</v>
          </cell>
          <cell r="Q5">
            <v>0.18000000000000002</v>
          </cell>
          <cell r="R5">
            <v>-0.02</v>
          </cell>
          <cell r="S5">
            <v>-0.02</v>
          </cell>
          <cell r="T5">
            <v>-0.02</v>
          </cell>
          <cell r="U5">
            <v>-0.02</v>
          </cell>
          <cell r="V5">
            <v>4</v>
          </cell>
        </row>
        <row r="6">
          <cell r="E6">
            <v>112</v>
          </cell>
          <cell r="F6">
            <v>20</v>
          </cell>
          <cell r="G6">
            <v>5</v>
          </cell>
          <cell r="H6">
            <v>16</v>
          </cell>
          <cell r="I6">
            <v>16</v>
          </cell>
          <cell r="J6">
            <v>6</v>
          </cell>
          <cell r="K6">
            <v>5.5E-2</v>
          </cell>
          <cell r="L6">
            <v>1.5</v>
          </cell>
          <cell r="M6">
            <v>1.85</v>
          </cell>
          <cell r="N6">
            <v>0.87</v>
          </cell>
          <cell r="O6">
            <v>2.35</v>
          </cell>
          <cell r="P6">
            <v>0.26500000000000001</v>
          </cell>
          <cell r="Q6">
            <v>-3.5000000000000003E-2</v>
          </cell>
          <cell r="R6">
            <v>6.5000000000000002E-2</v>
          </cell>
          <cell r="S6">
            <v>6.5000000000000002E-2</v>
          </cell>
          <cell r="T6">
            <v>6.5000000000000002E-2</v>
          </cell>
          <cell r="U6">
            <v>6.5000000000000002E-2</v>
          </cell>
          <cell r="V6">
            <v>4.2</v>
          </cell>
        </row>
        <row r="7">
          <cell r="E7">
            <v>92</v>
          </cell>
          <cell r="F7">
            <v>15</v>
          </cell>
          <cell r="G7">
            <v>8</v>
          </cell>
          <cell r="H7">
            <v>18</v>
          </cell>
          <cell r="I7">
            <v>8</v>
          </cell>
          <cell r="J7">
            <v>8</v>
          </cell>
          <cell r="K7">
            <v>0.05</v>
          </cell>
          <cell r="L7">
            <v>1.5</v>
          </cell>
          <cell r="M7">
            <v>2</v>
          </cell>
          <cell r="N7">
            <v>1.05</v>
          </cell>
          <cell r="O7">
            <v>2.5</v>
          </cell>
          <cell r="P7">
            <v>0</v>
          </cell>
          <cell r="Q7">
            <v>0</v>
          </cell>
          <cell r="R7">
            <v>0.2</v>
          </cell>
          <cell r="S7">
            <v>-0.1</v>
          </cell>
          <cell r="T7">
            <v>0</v>
          </cell>
          <cell r="U7">
            <v>0</v>
          </cell>
          <cell r="V7">
            <v>4</v>
          </cell>
        </row>
        <row r="8">
          <cell r="E8">
            <v>127</v>
          </cell>
          <cell r="F8">
            <v>5</v>
          </cell>
          <cell r="G8">
            <v>27</v>
          </cell>
          <cell r="H8">
            <v>8</v>
          </cell>
          <cell r="I8">
            <v>8</v>
          </cell>
          <cell r="J8">
            <v>7</v>
          </cell>
          <cell r="K8">
            <v>0.06</v>
          </cell>
          <cell r="L8">
            <v>2.15</v>
          </cell>
          <cell r="M8">
            <v>1.65</v>
          </cell>
          <cell r="N8">
            <v>0.53</v>
          </cell>
          <cell r="O8">
            <v>1</v>
          </cell>
          <cell r="P8">
            <v>0.17500000000000002</v>
          </cell>
          <cell r="Q8">
            <v>-0.125</v>
          </cell>
          <cell r="R8">
            <v>-2.5000000000000001E-2</v>
          </cell>
          <cell r="S8">
            <v>-2.5000000000000001E-2</v>
          </cell>
          <cell r="T8">
            <v>-2.5000000000000001E-2</v>
          </cell>
          <cell r="U8">
            <v>-2.5000000000000001E-2</v>
          </cell>
          <cell r="V8">
            <v>4.4000000000000004</v>
          </cell>
        </row>
        <row r="9">
          <cell r="E9">
            <v>92</v>
          </cell>
          <cell r="F9">
            <v>6</v>
          </cell>
          <cell r="G9">
            <v>22</v>
          </cell>
          <cell r="H9">
            <v>8</v>
          </cell>
          <cell r="I9">
            <v>7</v>
          </cell>
          <cell r="J9">
            <v>7</v>
          </cell>
          <cell r="K9">
            <v>7.0000000000000007E-2</v>
          </cell>
          <cell r="L9">
            <v>1.6</v>
          </cell>
          <cell r="M9">
            <v>2.4500000000000002</v>
          </cell>
          <cell r="N9">
            <v>0.94</v>
          </cell>
          <cell r="O9">
            <v>1</v>
          </cell>
          <cell r="P9">
            <v>-0.13500000000000001</v>
          </cell>
          <cell r="Q9">
            <v>0.16500000000000001</v>
          </cell>
          <cell r="R9">
            <v>-3.5000000000000003E-2</v>
          </cell>
          <cell r="S9">
            <v>-3.5000000000000003E-2</v>
          </cell>
          <cell r="T9">
            <v>-3.5000000000000003E-2</v>
          </cell>
          <cell r="U9">
            <v>-3.5000000000000003E-2</v>
          </cell>
          <cell r="V9">
            <v>5.6</v>
          </cell>
        </row>
        <row r="10">
          <cell r="E10">
            <v>172</v>
          </cell>
          <cell r="F10">
            <v>20</v>
          </cell>
          <cell r="G10">
            <v>4</v>
          </cell>
          <cell r="H10">
            <v>14</v>
          </cell>
          <cell r="I10">
            <v>13</v>
          </cell>
          <cell r="J10">
            <v>12</v>
          </cell>
          <cell r="K10">
            <v>3.5000000000000003E-2</v>
          </cell>
          <cell r="L10">
            <v>1.4</v>
          </cell>
          <cell r="M10">
            <v>1.5</v>
          </cell>
          <cell r="N10">
            <v>0.6</v>
          </cell>
          <cell r="O10">
            <v>3.1</v>
          </cell>
          <cell r="P10">
            <v>0.12</v>
          </cell>
          <cell r="Q10">
            <v>0.12</v>
          </cell>
          <cell r="R10">
            <v>0.12</v>
          </cell>
          <cell r="S10">
            <v>0.12</v>
          </cell>
          <cell r="T10">
            <v>0.32</v>
          </cell>
          <cell r="U10">
            <v>1.999999999999999E-2</v>
          </cell>
          <cell r="V10">
            <v>4.12</v>
          </cell>
        </row>
        <row r="11">
          <cell r="E11">
            <v>117</v>
          </cell>
          <cell r="F11">
            <v>28</v>
          </cell>
          <cell r="G11">
            <v>6</v>
          </cell>
          <cell r="H11">
            <v>19</v>
          </cell>
          <cell r="I11">
            <v>7</v>
          </cell>
          <cell r="J11">
            <v>18</v>
          </cell>
          <cell r="K11">
            <v>4.4999999999999998E-2</v>
          </cell>
          <cell r="L11">
            <v>1.45</v>
          </cell>
          <cell r="M11">
            <v>1.9</v>
          </cell>
          <cell r="N11">
            <v>0.84</v>
          </cell>
          <cell r="O11">
            <v>2.65</v>
          </cell>
          <cell r="P11">
            <v>-1.0000000000000009E-2</v>
          </cell>
          <cell r="Q11">
            <v>0.29000000000000004</v>
          </cell>
          <cell r="R11">
            <v>0.09</v>
          </cell>
          <cell r="S11">
            <v>0.09</v>
          </cell>
          <cell r="T11">
            <v>0.09</v>
          </cell>
          <cell r="U11">
            <v>0.09</v>
          </cell>
          <cell r="V11">
            <v>4.4000000000000004</v>
          </cell>
        </row>
        <row r="12">
          <cell r="E12">
            <v>61</v>
          </cell>
          <cell r="F12">
            <v>24</v>
          </cell>
          <cell r="G12">
            <v>11</v>
          </cell>
          <cell r="H12">
            <v>31</v>
          </cell>
          <cell r="I12">
            <v>13</v>
          </cell>
          <cell r="J12">
            <v>20</v>
          </cell>
          <cell r="K12">
            <v>0.04</v>
          </cell>
          <cell r="L12">
            <v>1.38</v>
          </cell>
          <cell r="M12">
            <v>2.2000000000000002</v>
          </cell>
          <cell r="N12">
            <v>0.88</v>
          </cell>
          <cell r="O12">
            <v>3.15</v>
          </cell>
          <cell r="P12">
            <v>0.33</v>
          </cell>
          <cell r="Q12">
            <v>0.03</v>
          </cell>
          <cell r="R12">
            <v>0.13</v>
          </cell>
          <cell r="S12">
            <v>0.13</v>
          </cell>
          <cell r="T12">
            <v>0.13</v>
          </cell>
          <cell r="U12">
            <v>0.13</v>
          </cell>
          <cell r="V12">
            <v>4.4800000000000004</v>
          </cell>
        </row>
        <row r="13">
          <cell r="E13">
            <v>110</v>
          </cell>
          <cell r="F13">
            <v>23</v>
          </cell>
          <cell r="G13">
            <v>9</v>
          </cell>
          <cell r="H13">
            <v>19</v>
          </cell>
          <cell r="I13">
            <v>9</v>
          </cell>
          <cell r="J13">
            <v>11</v>
          </cell>
          <cell r="K13">
            <v>0.06</v>
          </cell>
          <cell r="L13">
            <v>1.4</v>
          </cell>
          <cell r="M13">
            <v>2.1</v>
          </cell>
          <cell r="N13">
            <v>0.95</v>
          </cell>
          <cell r="O13">
            <v>2.875</v>
          </cell>
          <cell r="P13">
            <v>0.03</v>
          </cell>
          <cell r="Q13">
            <v>0.03</v>
          </cell>
          <cell r="R13">
            <v>0.23</v>
          </cell>
          <cell r="S13">
            <v>-7.0000000000000007E-2</v>
          </cell>
          <cell r="T13">
            <v>0.03</v>
          </cell>
          <cell r="U13">
            <v>0.03</v>
          </cell>
          <cell r="V13">
            <v>4.8</v>
          </cell>
        </row>
        <row r="14">
          <cell r="E14">
            <v>130</v>
          </cell>
          <cell r="F14">
            <v>7</v>
          </cell>
          <cell r="G14">
            <v>18</v>
          </cell>
          <cell r="H14">
            <v>6</v>
          </cell>
          <cell r="I14">
            <v>10</v>
          </cell>
          <cell r="J14">
            <v>10</v>
          </cell>
          <cell r="K14">
            <v>0.04</v>
          </cell>
          <cell r="L14">
            <v>1.43</v>
          </cell>
          <cell r="M14">
            <v>2.15</v>
          </cell>
          <cell r="N14">
            <v>0.88</v>
          </cell>
          <cell r="O14">
            <v>1</v>
          </cell>
          <cell r="P14">
            <v>0.39</v>
          </cell>
          <cell r="Q14">
            <v>0.09</v>
          </cell>
          <cell r="R14">
            <v>0.19</v>
          </cell>
          <cell r="S14">
            <v>0.19</v>
          </cell>
          <cell r="T14">
            <v>0.19</v>
          </cell>
          <cell r="U14">
            <v>0.19</v>
          </cell>
          <cell r="V14">
            <v>3.8</v>
          </cell>
        </row>
        <row r="15">
          <cell r="E15">
            <v>96</v>
          </cell>
          <cell r="F15">
            <v>5</v>
          </cell>
          <cell r="G15">
            <v>19</v>
          </cell>
          <cell r="H15">
            <v>6</v>
          </cell>
          <cell r="I15">
            <v>8</v>
          </cell>
          <cell r="J15">
            <v>7</v>
          </cell>
          <cell r="K15">
            <v>0.27</v>
          </cell>
          <cell r="L15">
            <v>2.0299999999999998</v>
          </cell>
          <cell r="M15">
            <v>2.75</v>
          </cell>
          <cell r="N15">
            <v>1.04</v>
          </cell>
          <cell r="O15">
            <v>1</v>
          </cell>
          <cell r="P15">
            <v>-0.16</v>
          </cell>
          <cell r="Q15">
            <v>0.14000000000000001</v>
          </cell>
          <cell r="R15">
            <v>-0.06</v>
          </cell>
          <cell r="S15">
            <v>-0.06</v>
          </cell>
          <cell r="T15">
            <v>-0.06</v>
          </cell>
          <cell r="U15">
            <v>-0.06</v>
          </cell>
          <cell r="V15">
            <v>4.2</v>
          </cell>
        </row>
        <row r="16">
          <cell r="E16">
            <v>110</v>
          </cell>
          <cell r="F16">
            <v>18</v>
          </cell>
          <cell r="G16">
            <v>8</v>
          </cell>
          <cell r="H16">
            <v>18</v>
          </cell>
          <cell r="I16">
            <v>8</v>
          </cell>
          <cell r="J16">
            <v>10</v>
          </cell>
          <cell r="K16">
            <v>7.0000000000000007E-2</v>
          </cell>
          <cell r="L16">
            <v>1.55</v>
          </cell>
          <cell r="M16">
            <v>2.2999999999999998</v>
          </cell>
          <cell r="N16">
            <v>1.1000000000000001</v>
          </cell>
          <cell r="O16">
            <v>2.7</v>
          </cell>
          <cell r="P16">
            <v>-0.03</v>
          </cell>
          <cell r="Q16">
            <v>-0.03</v>
          </cell>
          <cell r="R16">
            <v>-0.03</v>
          </cell>
          <cell r="S16">
            <v>-0.03</v>
          </cell>
          <cell r="T16">
            <v>0.17</v>
          </cell>
          <cell r="U16">
            <v>-0.13</v>
          </cell>
          <cell r="V16">
            <v>4</v>
          </cell>
        </row>
        <row r="17">
          <cell r="E17">
            <v>169</v>
          </cell>
          <cell r="F17">
            <v>39</v>
          </cell>
          <cell r="G17">
            <v>6</v>
          </cell>
          <cell r="H17">
            <v>17</v>
          </cell>
          <cell r="I17">
            <v>9</v>
          </cell>
          <cell r="J17">
            <v>16</v>
          </cell>
          <cell r="K17">
            <v>0.115</v>
          </cell>
          <cell r="L17">
            <v>1.95</v>
          </cell>
          <cell r="M17">
            <v>1.2</v>
          </cell>
          <cell r="N17">
            <v>0.72</v>
          </cell>
          <cell r="O17">
            <v>3.3250000000000002</v>
          </cell>
          <cell r="P17">
            <v>-2.0000000000000004E-2</v>
          </cell>
          <cell r="Q17">
            <v>0.28000000000000003</v>
          </cell>
          <cell r="R17">
            <v>0.08</v>
          </cell>
          <cell r="S17">
            <v>0.08</v>
          </cell>
          <cell r="T17">
            <v>0.08</v>
          </cell>
          <cell r="U17">
            <v>0.08</v>
          </cell>
          <cell r="V17">
            <v>5</v>
          </cell>
        </row>
        <row r="18">
          <cell r="E18">
            <v>94</v>
          </cell>
          <cell r="F18">
            <v>20</v>
          </cell>
          <cell r="G18">
            <v>12</v>
          </cell>
          <cell r="H18">
            <v>26</v>
          </cell>
          <cell r="I18">
            <v>7</v>
          </cell>
          <cell r="J18">
            <v>8</v>
          </cell>
          <cell r="K18">
            <v>0.11</v>
          </cell>
          <cell r="L18">
            <v>1.65</v>
          </cell>
          <cell r="M18">
            <v>2.2000000000000002</v>
          </cell>
          <cell r="N18">
            <v>1.1000000000000001</v>
          </cell>
          <cell r="O18">
            <v>2.75</v>
          </cell>
          <cell r="P18">
            <v>0.16</v>
          </cell>
          <cell r="Q18">
            <v>-0.14000000000000001</v>
          </cell>
          <cell r="R18">
            <v>-0.04</v>
          </cell>
          <cell r="S18">
            <v>-0.04</v>
          </cell>
          <cell r="T18">
            <v>-0.04</v>
          </cell>
          <cell r="U18">
            <v>-0.04</v>
          </cell>
          <cell r="V18">
            <v>4.2</v>
          </cell>
        </row>
        <row r="19">
          <cell r="E19">
            <v>208</v>
          </cell>
          <cell r="F19">
            <v>24</v>
          </cell>
          <cell r="G19">
            <v>5</v>
          </cell>
          <cell r="H19">
            <v>17</v>
          </cell>
          <cell r="I19">
            <v>16</v>
          </cell>
          <cell r="J19">
            <v>15</v>
          </cell>
          <cell r="K19">
            <v>3.5000000000000003E-2</v>
          </cell>
          <cell r="L19">
            <v>1.4</v>
          </cell>
          <cell r="M19">
            <v>1.5</v>
          </cell>
          <cell r="N19">
            <v>0.6</v>
          </cell>
          <cell r="O19">
            <v>3.1</v>
          </cell>
          <cell r="P19">
            <v>0.12</v>
          </cell>
          <cell r="Q19">
            <v>0.12</v>
          </cell>
          <cell r="R19">
            <v>0.32</v>
          </cell>
          <cell r="S19">
            <v>1.999999999999999E-2</v>
          </cell>
          <cell r="T19">
            <v>0.12</v>
          </cell>
          <cell r="U19">
            <v>0.12</v>
          </cell>
          <cell r="V19">
            <v>4.12</v>
          </cell>
        </row>
        <row r="20">
          <cell r="E20">
            <v>248</v>
          </cell>
          <cell r="F20">
            <v>5</v>
          </cell>
          <cell r="G20">
            <v>19</v>
          </cell>
          <cell r="H20">
            <v>8</v>
          </cell>
          <cell r="I20">
            <v>15</v>
          </cell>
          <cell r="J20">
            <v>13</v>
          </cell>
          <cell r="K20">
            <v>2.5000000000000001E-2</v>
          </cell>
          <cell r="L20">
            <v>1.35</v>
          </cell>
          <cell r="M20">
            <v>1.1499999999999999</v>
          </cell>
          <cell r="N20">
            <v>0.51</v>
          </cell>
          <cell r="O20">
            <v>1</v>
          </cell>
          <cell r="P20">
            <v>0.25</v>
          </cell>
          <cell r="Q20">
            <v>-0.05</v>
          </cell>
          <cell r="R20">
            <v>0.05</v>
          </cell>
          <cell r="S20">
            <v>0.05</v>
          </cell>
          <cell r="T20">
            <v>0.05</v>
          </cell>
          <cell r="U20">
            <v>0.05</v>
          </cell>
          <cell r="V20">
            <v>3.2</v>
          </cell>
        </row>
        <row r="21">
          <cell r="E21">
            <v>163</v>
          </cell>
          <cell r="F21">
            <v>7</v>
          </cell>
          <cell r="G21">
            <v>14</v>
          </cell>
          <cell r="H21">
            <v>6</v>
          </cell>
          <cell r="I21">
            <v>14</v>
          </cell>
          <cell r="J21">
            <v>10</v>
          </cell>
          <cell r="K21">
            <v>0.08</v>
          </cell>
          <cell r="L21">
            <v>1.6</v>
          </cell>
          <cell r="M21">
            <v>2.7</v>
          </cell>
          <cell r="N21">
            <v>1.05</v>
          </cell>
          <cell r="O21">
            <v>1</v>
          </cell>
          <cell r="P21">
            <v>-3.5000000000000003E-2</v>
          </cell>
          <cell r="Q21">
            <v>0.26500000000000001</v>
          </cell>
          <cell r="R21">
            <v>6.5000000000000002E-2</v>
          </cell>
          <cell r="S21">
            <v>6.5000000000000002E-2</v>
          </cell>
          <cell r="T21">
            <v>6.5000000000000002E-2</v>
          </cell>
          <cell r="U21">
            <v>6.5000000000000002E-2</v>
          </cell>
          <cell r="V21">
            <v>4</v>
          </cell>
        </row>
        <row r="22">
          <cell r="E22">
            <v>90</v>
          </cell>
          <cell r="F22">
            <v>17</v>
          </cell>
          <cell r="G22">
            <v>6</v>
          </cell>
          <cell r="H22">
            <v>21</v>
          </cell>
          <cell r="I22">
            <v>7</v>
          </cell>
          <cell r="J22">
            <v>8</v>
          </cell>
          <cell r="K22">
            <v>0.05</v>
          </cell>
          <cell r="L22">
            <v>1.4</v>
          </cell>
          <cell r="M22">
            <v>3.35</v>
          </cell>
          <cell r="N22">
            <v>1.55</v>
          </cell>
          <cell r="O22">
            <v>2.2999999999999998</v>
          </cell>
          <cell r="P22">
            <v>-7.0000000000000007E-2</v>
          </cell>
          <cell r="Q22">
            <v>-7.0000000000000007E-2</v>
          </cell>
          <cell r="R22">
            <v>-7.0000000000000007E-2</v>
          </cell>
          <cell r="S22">
            <v>-7.0000000000000007E-2</v>
          </cell>
          <cell r="T22">
            <v>0.13</v>
          </cell>
          <cell r="U22">
            <v>-0.17</v>
          </cell>
          <cell r="V22">
            <v>4</v>
          </cell>
        </row>
        <row r="23">
          <cell r="E23">
            <v>160</v>
          </cell>
          <cell r="F23">
            <v>19</v>
          </cell>
          <cell r="G23">
            <v>9</v>
          </cell>
          <cell r="H23">
            <v>19</v>
          </cell>
          <cell r="I23">
            <v>14</v>
          </cell>
          <cell r="J23">
            <v>9</v>
          </cell>
          <cell r="K23">
            <v>0.08</v>
          </cell>
          <cell r="L23">
            <v>1.6</v>
          </cell>
          <cell r="M23">
            <v>2.8</v>
          </cell>
          <cell r="N23">
            <v>1</v>
          </cell>
          <cell r="O23">
            <v>2.5</v>
          </cell>
          <cell r="P23">
            <v>-8.5000000000000006E-2</v>
          </cell>
          <cell r="Q23">
            <v>0.21500000000000002</v>
          </cell>
          <cell r="R23">
            <v>1.4999999999999999E-2</v>
          </cell>
          <cell r="S23">
            <v>1.4999999999999999E-2</v>
          </cell>
          <cell r="T23">
            <v>1.4999999999999999E-2</v>
          </cell>
          <cell r="U23">
            <v>1.4999999999999999E-2</v>
          </cell>
          <cell r="V23">
            <v>4</v>
          </cell>
        </row>
        <row r="24">
          <cell r="E24">
            <v>77</v>
          </cell>
          <cell r="F24">
            <v>15</v>
          </cell>
          <cell r="G24">
            <v>8</v>
          </cell>
          <cell r="H24">
            <v>35</v>
          </cell>
          <cell r="I24">
            <v>7</v>
          </cell>
          <cell r="J24">
            <v>7</v>
          </cell>
          <cell r="K24">
            <v>0.08</v>
          </cell>
          <cell r="L24">
            <v>1.55</v>
          </cell>
          <cell r="M24">
            <v>4.2</v>
          </cell>
          <cell r="N24">
            <v>1.3</v>
          </cell>
          <cell r="O24">
            <v>2.5</v>
          </cell>
          <cell r="P24">
            <v>0.11000000000000001</v>
          </cell>
          <cell r="Q24">
            <v>-0.19</v>
          </cell>
          <cell r="R24">
            <v>-0.09</v>
          </cell>
          <cell r="S24">
            <v>-0.09</v>
          </cell>
          <cell r="T24">
            <v>-0.09</v>
          </cell>
          <cell r="U24">
            <v>-0.09</v>
          </cell>
          <cell r="V24">
            <v>4.2</v>
          </cell>
        </row>
        <row r="25">
          <cell r="E25">
            <v>149</v>
          </cell>
          <cell r="F25">
            <v>26</v>
          </cell>
          <cell r="G25">
            <v>7</v>
          </cell>
          <cell r="H25">
            <v>22</v>
          </cell>
          <cell r="I25">
            <v>21</v>
          </cell>
          <cell r="J25">
            <v>8</v>
          </cell>
          <cell r="K25">
            <v>5.5E-2</v>
          </cell>
          <cell r="L25">
            <v>1.5</v>
          </cell>
          <cell r="M25">
            <v>1.85</v>
          </cell>
          <cell r="N25">
            <v>0.87</v>
          </cell>
          <cell r="O25">
            <v>2.35</v>
          </cell>
          <cell r="P25">
            <v>6.5000000000000002E-2</v>
          </cell>
          <cell r="Q25">
            <v>6.5000000000000002E-2</v>
          </cell>
          <cell r="R25">
            <v>0.26500000000000001</v>
          </cell>
          <cell r="S25">
            <v>-3.5000000000000003E-2</v>
          </cell>
          <cell r="T25">
            <v>6.5000000000000002E-2</v>
          </cell>
          <cell r="U25">
            <v>6.5000000000000002E-2</v>
          </cell>
          <cell r="V25">
            <v>4.2</v>
          </cell>
        </row>
        <row r="26">
          <cell r="E26">
            <v>160</v>
          </cell>
          <cell r="F26">
            <v>7</v>
          </cell>
          <cell r="G26">
            <v>19</v>
          </cell>
          <cell r="H26">
            <v>9</v>
          </cell>
          <cell r="I26">
            <v>14</v>
          </cell>
          <cell r="J26">
            <v>9</v>
          </cell>
          <cell r="K26">
            <v>0.08</v>
          </cell>
          <cell r="L26">
            <v>1.6</v>
          </cell>
          <cell r="M26">
            <v>2.8</v>
          </cell>
          <cell r="N26">
            <v>1</v>
          </cell>
          <cell r="O26">
            <v>1</v>
          </cell>
          <cell r="P26">
            <v>0.23500000000000001</v>
          </cell>
          <cell r="Q26">
            <v>-6.5000000000000002E-2</v>
          </cell>
          <cell r="R26">
            <v>3.5000000000000003E-2</v>
          </cell>
          <cell r="S26">
            <v>3.5000000000000003E-2</v>
          </cell>
          <cell r="T26">
            <v>3.5000000000000003E-2</v>
          </cell>
          <cell r="U26">
            <v>3.5000000000000003E-2</v>
          </cell>
          <cell r="V26">
            <v>4</v>
          </cell>
        </row>
        <row r="27">
          <cell r="E27">
            <v>169</v>
          </cell>
          <cell r="F27">
            <v>6</v>
          </cell>
          <cell r="G27">
            <v>36</v>
          </cell>
          <cell r="H27">
            <v>11</v>
          </cell>
          <cell r="I27">
            <v>11</v>
          </cell>
          <cell r="J27">
            <v>9</v>
          </cell>
          <cell r="K27">
            <v>0.06</v>
          </cell>
          <cell r="L27">
            <v>2.15</v>
          </cell>
          <cell r="M27">
            <v>1.65</v>
          </cell>
          <cell r="N27">
            <v>0.53</v>
          </cell>
          <cell r="O27">
            <v>1</v>
          </cell>
          <cell r="P27">
            <v>-0.125</v>
          </cell>
          <cell r="Q27">
            <v>0.17500000000000002</v>
          </cell>
          <cell r="R27">
            <v>-2.5000000000000001E-2</v>
          </cell>
          <cell r="S27">
            <v>-2.5000000000000001E-2</v>
          </cell>
          <cell r="T27">
            <v>-2.5000000000000001E-2</v>
          </cell>
          <cell r="U27">
            <v>-2.5000000000000001E-2</v>
          </cell>
          <cell r="V27">
            <v>4.4000000000000004</v>
          </cell>
        </row>
        <row r="28">
          <cell r="E28">
            <v>170</v>
          </cell>
          <cell r="F28">
            <v>18</v>
          </cell>
          <cell r="G28">
            <v>5</v>
          </cell>
          <cell r="H28">
            <v>13</v>
          </cell>
          <cell r="I28">
            <v>13</v>
          </cell>
          <cell r="J28">
            <v>12</v>
          </cell>
          <cell r="K28">
            <v>7.0000000000000007E-2</v>
          </cell>
          <cell r="L28">
            <v>1.5</v>
          </cell>
          <cell r="M28">
            <v>2.8</v>
          </cell>
          <cell r="N28">
            <v>1.45</v>
          </cell>
          <cell r="O28">
            <v>1.55</v>
          </cell>
          <cell r="P28">
            <v>0.03</v>
          </cell>
          <cell r="Q28">
            <v>0.03</v>
          </cell>
          <cell r="R28">
            <v>0.03</v>
          </cell>
          <cell r="S28">
            <v>0.03</v>
          </cell>
          <cell r="T28">
            <v>0.23</v>
          </cell>
          <cell r="U28">
            <v>-7.0000000000000007E-2</v>
          </cell>
          <cell r="V28">
            <v>3.6</v>
          </cell>
        </row>
        <row r="29">
          <cell r="E29">
            <v>133</v>
          </cell>
          <cell r="F29">
            <v>34</v>
          </cell>
          <cell r="G29">
            <v>15</v>
          </cell>
          <cell r="H29">
            <v>43</v>
          </cell>
          <cell r="I29">
            <v>10</v>
          </cell>
          <cell r="J29">
            <v>11</v>
          </cell>
          <cell r="K29">
            <v>0.04</v>
          </cell>
          <cell r="L29">
            <v>2.2000000000000002</v>
          </cell>
          <cell r="M29">
            <v>1.65</v>
          </cell>
          <cell r="N29">
            <v>0.64</v>
          </cell>
          <cell r="O29">
            <v>3.7</v>
          </cell>
          <cell r="P29">
            <v>-0.125</v>
          </cell>
          <cell r="Q29">
            <v>0.17500000000000002</v>
          </cell>
          <cell r="R29">
            <v>-2.5000000000000001E-2</v>
          </cell>
          <cell r="S29">
            <v>-2.5000000000000001E-2</v>
          </cell>
          <cell r="T29">
            <v>-2.5000000000000001E-2</v>
          </cell>
          <cell r="U29">
            <v>-2.5000000000000001E-2</v>
          </cell>
          <cell r="V29">
            <v>5</v>
          </cell>
        </row>
        <row r="30">
          <cell r="E30">
            <v>155</v>
          </cell>
          <cell r="F30">
            <v>37</v>
          </cell>
          <cell r="G30">
            <v>8</v>
          </cell>
          <cell r="H30">
            <v>26</v>
          </cell>
          <cell r="I30">
            <v>9</v>
          </cell>
          <cell r="J30">
            <v>24</v>
          </cell>
          <cell r="K30">
            <v>4.4999999999999998E-2</v>
          </cell>
          <cell r="L30">
            <v>1.45</v>
          </cell>
          <cell r="M30">
            <v>1.9</v>
          </cell>
          <cell r="N30">
            <v>0.84</v>
          </cell>
          <cell r="O30">
            <v>2.65</v>
          </cell>
          <cell r="P30">
            <v>0.29000000000000004</v>
          </cell>
          <cell r="Q30">
            <v>-1.0000000000000009E-2</v>
          </cell>
          <cell r="R30">
            <v>0.09</v>
          </cell>
          <cell r="S30">
            <v>0.09</v>
          </cell>
          <cell r="T30">
            <v>0.09</v>
          </cell>
          <cell r="U30">
            <v>0.09</v>
          </cell>
          <cell r="V30">
            <v>4.4000000000000004</v>
          </cell>
        </row>
        <row r="31">
          <cell r="E31">
            <v>81</v>
          </cell>
          <cell r="F31">
            <v>32</v>
          </cell>
          <cell r="G31">
            <v>15</v>
          </cell>
          <cell r="H31">
            <v>42</v>
          </cell>
          <cell r="I31">
            <v>17</v>
          </cell>
          <cell r="J31">
            <v>26</v>
          </cell>
          <cell r="K31">
            <v>0.04</v>
          </cell>
          <cell r="L31">
            <v>1.38</v>
          </cell>
          <cell r="M31">
            <v>2.2000000000000002</v>
          </cell>
          <cell r="N31">
            <v>0.88</v>
          </cell>
          <cell r="O31">
            <v>3.15</v>
          </cell>
          <cell r="P31">
            <v>0.13</v>
          </cell>
          <cell r="Q31">
            <v>0.13</v>
          </cell>
          <cell r="R31">
            <v>0.33</v>
          </cell>
          <cell r="S31">
            <v>0.03</v>
          </cell>
          <cell r="T31">
            <v>0.13</v>
          </cell>
          <cell r="U31">
            <v>0.13</v>
          </cell>
          <cell r="V31">
            <v>4.4800000000000004</v>
          </cell>
        </row>
        <row r="32">
          <cell r="E32">
            <v>95</v>
          </cell>
          <cell r="F32">
            <v>5</v>
          </cell>
          <cell r="G32">
            <v>30</v>
          </cell>
          <cell r="H32">
            <v>9</v>
          </cell>
          <cell r="I32">
            <v>7</v>
          </cell>
          <cell r="J32">
            <v>8</v>
          </cell>
          <cell r="K32">
            <v>0.18</v>
          </cell>
          <cell r="L32">
            <v>2.1</v>
          </cell>
          <cell r="M32">
            <v>3.15</v>
          </cell>
          <cell r="N32">
            <v>1.35</v>
          </cell>
          <cell r="O32">
            <v>1</v>
          </cell>
          <cell r="P32">
            <v>0.12000000000000001</v>
          </cell>
          <cell r="Q32">
            <v>-0.18</v>
          </cell>
          <cell r="R32">
            <v>-0.08</v>
          </cell>
          <cell r="S32">
            <v>-0.08</v>
          </cell>
          <cell r="T32">
            <v>-0.08</v>
          </cell>
          <cell r="U32">
            <v>-0.08</v>
          </cell>
          <cell r="V32">
            <v>4.8</v>
          </cell>
        </row>
        <row r="33">
          <cell r="E33">
            <v>173</v>
          </cell>
          <cell r="F33">
            <v>10</v>
          </cell>
          <cell r="G33">
            <v>24</v>
          </cell>
          <cell r="H33">
            <v>8</v>
          </cell>
          <cell r="I33">
            <v>13</v>
          </cell>
          <cell r="J33">
            <v>13</v>
          </cell>
          <cell r="K33">
            <v>0.04</v>
          </cell>
          <cell r="L33">
            <v>1.43</v>
          </cell>
          <cell r="M33">
            <v>2.15</v>
          </cell>
          <cell r="N33">
            <v>0.88</v>
          </cell>
          <cell r="O33">
            <v>1</v>
          </cell>
          <cell r="P33">
            <v>0.09</v>
          </cell>
          <cell r="Q33">
            <v>0.39</v>
          </cell>
          <cell r="R33">
            <v>0.19</v>
          </cell>
          <cell r="S33">
            <v>0.19</v>
          </cell>
          <cell r="T33">
            <v>0.19</v>
          </cell>
          <cell r="U33">
            <v>0.19</v>
          </cell>
          <cell r="V33">
            <v>3.8</v>
          </cell>
        </row>
        <row r="34">
          <cell r="E34">
            <v>151</v>
          </cell>
          <cell r="F34">
            <v>57</v>
          </cell>
          <cell r="G34">
            <v>9</v>
          </cell>
          <cell r="H34">
            <v>27</v>
          </cell>
          <cell r="I34">
            <v>11</v>
          </cell>
          <cell r="J34">
            <v>14</v>
          </cell>
          <cell r="K34">
            <v>6.5000000000000002E-2</v>
          </cell>
          <cell r="L34">
            <v>1.45</v>
          </cell>
          <cell r="M34">
            <v>2.1</v>
          </cell>
          <cell r="N34">
            <v>0.9</v>
          </cell>
          <cell r="O34">
            <v>2.8</v>
          </cell>
          <cell r="P34">
            <v>0.02</v>
          </cell>
          <cell r="Q34">
            <v>0.02</v>
          </cell>
          <cell r="R34">
            <v>0.02</v>
          </cell>
          <cell r="S34">
            <v>0.02</v>
          </cell>
          <cell r="T34">
            <v>0.22</v>
          </cell>
          <cell r="U34">
            <v>-0.08</v>
          </cell>
          <cell r="V34">
            <v>4.2</v>
          </cell>
        </row>
        <row r="35">
          <cell r="E35">
            <v>132</v>
          </cell>
          <cell r="F35">
            <v>32</v>
          </cell>
          <cell r="G35">
            <v>12</v>
          </cell>
          <cell r="H35">
            <v>45</v>
          </cell>
          <cell r="I35">
            <v>10</v>
          </cell>
          <cell r="J35">
            <v>11</v>
          </cell>
          <cell r="K35">
            <v>0.12</v>
          </cell>
          <cell r="L35">
            <v>2.5499999999999998</v>
          </cell>
          <cell r="M35">
            <v>2.2999999999999998</v>
          </cell>
          <cell r="N35">
            <v>0.68</v>
          </cell>
          <cell r="O35">
            <v>3.55</v>
          </cell>
          <cell r="P35">
            <v>-0.155</v>
          </cell>
          <cell r="Q35">
            <v>0.14500000000000002</v>
          </cell>
          <cell r="R35">
            <v>-5.5E-2</v>
          </cell>
          <cell r="S35">
            <v>-5.5E-2</v>
          </cell>
          <cell r="T35">
            <v>-5.5E-2</v>
          </cell>
          <cell r="U35">
            <v>-5.5E-2</v>
          </cell>
          <cell r="V35">
            <v>4.8</v>
          </cell>
        </row>
        <row r="36">
          <cell r="E36">
            <v>225</v>
          </cell>
          <cell r="F36">
            <v>52</v>
          </cell>
          <cell r="G36">
            <v>9</v>
          </cell>
          <cell r="H36">
            <v>23</v>
          </cell>
          <cell r="I36">
            <v>12</v>
          </cell>
          <cell r="J36">
            <v>22</v>
          </cell>
          <cell r="K36">
            <v>0.115</v>
          </cell>
          <cell r="L36">
            <v>1.95</v>
          </cell>
          <cell r="M36">
            <v>1.2</v>
          </cell>
          <cell r="N36">
            <v>0.72</v>
          </cell>
          <cell r="O36">
            <v>3.3250000000000002</v>
          </cell>
          <cell r="P36">
            <v>0.28000000000000003</v>
          </cell>
          <cell r="Q36">
            <v>-2.0000000000000004E-2</v>
          </cell>
          <cell r="R36">
            <v>0.08</v>
          </cell>
          <cell r="S36">
            <v>0.08</v>
          </cell>
          <cell r="T36">
            <v>0.08</v>
          </cell>
          <cell r="U36">
            <v>0.08</v>
          </cell>
          <cell r="V36">
            <v>5</v>
          </cell>
        </row>
        <row r="37">
          <cell r="E37">
            <v>126</v>
          </cell>
          <cell r="F37">
            <v>27</v>
          </cell>
          <cell r="G37">
            <v>15</v>
          </cell>
          <cell r="H37">
            <v>34</v>
          </cell>
          <cell r="I37">
            <v>10</v>
          </cell>
          <cell r="J37">
            <v>10</v>
          </cell>
          <cell r="K37">
            <v>0.11</v>
          </cell>
          <cell r="L37">
            <v>1.65</v>
          </cell>
          <cell r="M37">
            <v>2.2000000000000002</v>
          </cell>
          <cell r="N37">
            <v>1.1000000000000001</v>
          </cell>
          <cell r="O37">
            <v>2.75</v>
          </cell>
          <cell r="P37">
            <v>-0.04</v>
          </cell>
          <cell r="Q37">
            <v>-0.04</v>
          </cell>
          <cell r="R37">
            <v>0.16</v>
          </cell>
          <cell r="S37">
            <v>-0.14000000000000001</v>
          </cell>
          <cell r="T37">
            <v>-0.04</v>
          </cell>
          <cell r="U37">
            <v>-0.04</v>
          </cell>
          <cell r="V37">
            <v>4.2</v>
          </cell>
        </row>
        <row r="38">
          <cell r="E38">
            <v>237</v>
          </cell>
          <cell r="F38">
            <v>10</v>
          </cell>
          <cell r="G38">
            <v>22</v>
          </cell>
          <cell r="H38">
            <v>8</v>
          </cell>
          <cell r="I38">
            <v>12</v>
          </cell>
          <cell r="J38">
            <v>28</v>
          </cell>
          <cell r="K38">
            <v>0.05</v>
          </cell>
          <cell r="L38">
            <v>1.5</v>
          </cell>
          <cell r="M38">
            <v>2.0499999999999998</v>
          </cell>
          <cell r="N38">
            <v>0.79</v>
          </cell>
          <cell r="O38">
            <v>1</v>
          </cell>
          <cell r="P38">
            <v>0.27</v>
          </cell>
          <cell r="Q38">
            <v>-0.03</v>
          </cell>
          <cell r="R38">
            <v>7.0000000000000007E-2</v>
          </cell>
          <cell r="S38">
            <v>7.0000000000000007E-2</v>
          </cell>
          <cell r="T38">
            <v>7.0000000000000007E-2</v>
          </cell>
          <cell r="U38">
            <v>7.0000000000000007E-2</v>
          </cell>
          <cell r="V38">
            <v>4</v>
          </cell>
        </row>
        <row r="39">
          <cell r="E39">
            <v>330</v>
          </cell>
          <cell r="F39">
            <v>6</v>
          </cell>
          <cell r="G39">
            <v>26</v>
          </cell>
          <cell r="H39">
            <v>11</v>
          </cell>
          <cell r="I39">
            <v>20</v>
          </cell>
          <cell r="J39">
            <v>17</v>
          </cell>
          <cell r="K39">
            <v>2.5000000000000001E-2</v>
          </cell>
          <cell r="L39">
            <v>1.35</v>
          </cell>
          <cell r="M39">
            <v>1.1499999999999999</v>
          </cell>
          <cell r="N39">
            <v>0.51</v>
          </cell>
          <cell r="O39">
            <v>1</v>
          </cell>
          <cell r="P39">
            <v>-0.05</v>
          </cell>
          <cell r="Q39">
            <v>0.25</v>
          </cell>
          <cell r="R39">
            <v>0.05</v>
          </cell>
          <cell r="S39">
            <v>0.05</v>
          </cell>
          <cell r="T39">
            <v>0.05</v>
          </cell>
          <cell r="U39">
            <v>0.05</v>
          </cell>
          <cell r="V39">
            <v>3.2</v>
          </cell>
        </row>
        <row r="40">
          <cell r="E40">
            <v>148</v>
          </cell>
          <cell r="F40">
            <v>23</v>
          </cell>
          <cell r="G40">
            <v>14</v>
          </cell>
          <cell r="H40">
            <v>30</v>
          </cell>
          <cell r="I40">
            <v>12</v>
          </cell>
          <cell r="J40">
            <v>14</v>
          </cell>
          <cell r="K40">
            <v>0.05</v>
          </cell>
          <cell r="L40">
            <v>1.5</v>
          </cell>
          <cell r="M40">
            <v>2</v>
          </cell>
          <cell r="N40">
            <v>1.05</v>
          </cell>
          <cell r="O40">
            <v>2.5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0.2</v>
          </cell>
          <cell r="U40">
            <v>-0.1</v>
          </cell>
          <cell r="V40">
            <v>4</v>
          </cell>
        </row>
        <row r="41">
          <cell r="E41">
            <v>140</v>
          </cell>
          <cell r="F41">
            <v>23</v>
          </cell>
          <cell r="G41">
            <v>6</v>
          </cell>
          <cell r="H41">
            <v>26</v>
          </cell>
          <cell r="I41">
            <v>12</v>
          </cell>
          <cell r="J41">
            <v>11</v>
          </cell>
          <cell r="K41">
            <v>6.5000000000000002E-2</v>
          </cell>
          <cell r="L41">
            <v>1.45</v>
          </cell>
          <cell r="M41">
            <v>4</v>
          </cell>
          <cell r="N41">
            <v>1.72</v>
          </cell>
          <cell r="O41">
            <v>1.9</v>
          </cell>
          <cell r="P41">
            <v>-0.17</v>
          </cell>
          <cell r="Q41">
            <v>0.13</v>
          </cell>
          <cell r="R41">
            <v>-7.0000000000000007E-2</v>
          </cell>
          <cell r="S41">
            <v>-7.0000000000000007E-2</v>
          </cell>
          <cell r="T41">
            <v>-7.0000000000000007E-2</v>
          </cell>
          <cell r="U41">
            <v>-7.0000000000000007E-2</v>
          </cell>
          <cell r="V41">
            <v>5.4</v>
          </cell>
        </row>
        <row r="42">
          <cell r="E42">
            <v>213</v>
          </cell>
          <cell r="F42">
            <v>26</v>
          </cell>
          <cell r="G42">
            <v>11</v>
          </cell>
          <cell r="H42">
            <v>25</v>
          </cell>
          <cell r="I42">
            <v>18</v>
          </cell>
          <cell r="J42">
            <v>12</v>
          </cell>
          <cell r="K42">
            <v>0.08</v>
          </cell>
          <cell r="L42">
            <v>1.6</v>
          </cell>
          <cell r="M42">
            <v>2.8</v>
          </cell>
          <cell r="N42">
            <v>1</v>
          </cell>
          <cell r="O42">
            <v>2.5</v>
          </cell>
          <cell r="P42">
            <v>0.21500000000000002</v>
          </cell>
          <cell r="Q42">
            <v>-8.5000000000000006E-2</v>
          </cell>
          <cell r="R42">
            <v>1.4999999999999999E-2</v>
          </cell>
          <cell r="S42">
            <v>1.4999999999999999E-2</v>
          </cell>
          <cell r="T42">
            <v>1.4999999999999999E-2</v>
          </cell>
          <cell r="U42">
            <v>1.4999999999999999E-2</v>
          </cell>
          <cell r="V42">
            <v>4</v>
          </cell>
        </row>
        <row r="43">
          <cell r="E43">
            <v>103</v>
          </cell>
          <cell r="F43">
            <v>20</v>
          </cell>
          <cell r="G43">
            <v>10</v>
          </cell>
          <cell r="H43">
            <v>47</v>
          </cell>
          <cell r="I43">
            <v>9</v>
          </cell>
          <cell r="J43">
            <v>9</v>
          </cell>
          <cell r="K43">
            <v>0.08</v>
          </cell>
          <cell r="L43">
            <v>1.55</v>
          </cell>
          <cell r="M43">
            <v>4.2</v>
          </cell>
          <cell r="N43">
            <v>1.3</v>
          </cell>
          <cell r="O43">
            <v>2.5</v>
          </cell>
          <cell r="P43">
            <v>-0.09</v>
          </cell>
          <cell r="Q43">
            <v>-0.09</v>
          </cell>
          <cell r="R43">
            <v>0.11000000000000001</v>
          </cell>
          <cell r="S43">
            <v>-0.19</v>
          </cell>
          <cell r="T43">
            <v>-0.09</v>
          </cell>
          <cell r="U43">
            <v>-0.09</v>
          </cell>
          <cell r="V43">
            <v>4.2</v>
          </cell>
        </row>
        <row r="44">
          <cell r="E44">
            <v>140</v>
          </cell>
          <cell r="F44">
            <v>10</v>
          </cell>
          <cell r="G44">
            <v>30</v>
          </cell>
          <cell r="H44">
            <v>9</v>
          </cell>
          <cell r="I44">
            <v>11</v>
          </cell>
          <cell r="J44">
            <v>10</v>
          </cell>
          <cell r="K44">
            <v>0.1</v>
          </cell>
          <cell r="L44">
            <v>1.85</v>
          </cell>
          <cell r="M44">
            <v>4</v>
          </cell>
          <cell r="N44">
            <v>1.41</v>
          </cell>
          <cell r="O44">
            <v>1</v>
          </cell>
          <cell r="P44">
            <v>0.14500000000000002</v>
          </cell>
          <cell r="Q44">
            <v>-0.155</v>
          </cell>
          <cell r="R44">
            <v>-5.5E-2</v>
          </cell>
          <cell r="S44">
            <v>-5.5E-2</v>
          </cell>
          <cell r="T44">
            <v>-5.5E-2</v>
          </cell>
          <cell r="U44">
            <v>-5.5E-2</v>
          </cell>
          <cell r="V44">
            <v>6.4</v>
          </cell>
        </row>
        <row r="45">
          <cell r="E45">
            <v>213</v>
          </cell>
          <cell r="F45">
            <v>10</v>
          </cell>
          <cell r="G45">
            <v>26</v>
          </cell>
          <cell r="H45">
            <v>12</v>
          </cell>
          <cell r="I45">
            <v>18</v>
          </cell>
          <cell r="J45">
            <v>12</v>
          </cell>
          <cell r="K45">
            <v>0.08</v>
          </cell>
          <cell r="L45">
            <v>1.6</v>
          </cell>
          <cell r="M45">
            <v>2.8</v>
          </cell>
          <cell r="N45">
            <v>1</v>
          </cell>
          <cell r="O45">
            <v>1</v>
          </cell>
          <cell r="P45">
            <v>-6.5000000000000002E-2</v>
          </cell>
          <cell r="Q45">
            <v>0.23500000000000001</v>
          </cell>
          <cell r="R45">
            <v>3.5000000000000003E-2</v>
          </cell>
          <cell r="S45">
            <v>3.5000000000000003E-2</v>
          </cell>
          <cell r="T45">
            <v>3.5000000000000003E-2</v>
          </cell>
          <cell r="U45">
            <v>3.5000000000000003E-2</v>
          </cell>
          <cell r="V45">
            <v>4</v>
          </cell>
        </row>
        <row r="46">
          <cell r="E46">
            <v>195</v>
          </cell>
          <cell r="F46">
            <v>27</v>
          </cell>
          <cell r="G46">
            <v>12</v>
          </cell>
          <cell r="H46">
            <v>27</v>
          </cell>
          <cell r="I46">
            <v>16</v>
          </cell>
          <cell r="J46">
            <v>16</v>
          </cell>
          <cell r="K46">
            <v>7.0000000000000007E-2</v>
          </cell>
          <cell r="L46">
            <v>1.55</v>
          </cell>
          <cell r="M46">
            <v>2.4</v>
          </cell>
          <cell r="N46">
            <v>1</v>
          </cell>
          <cell r="O46">
            <v>2.5</v>
          </cell>
          <cell r="P46">
            <v>0.02</v>
          </cell>
          <cell r="Q46">
            <v>0.02</v>
          </cell>
          <cell r="R46">
            <v>0.02</v>
          </cell>
          <cell r="S46">
            <v>0.02</v>
          </cell>
          <cell r="T46">
            <v>0.22</v>
          </cell>
          <cell r="U46">
            <v>-0.08</v>
          </cell>
          <cell r="V46">
            <v>4</v>
          </cell>
        </row>
        <row r="47">
          <cell r="E47">
            <v>292</v>
          </cell>
          <cell r="F47">
            <v>36</v>
          </cell>
          <cell r="G47">
            <v>7</v>
          </cell>
          <cell r="H47">
            <v>16</v>
          </cell>
          <cell r="I47">
            <v>23</v>
          </cell>
          <cell r="J47">
            <v>22</v>
          </cell>
          <cell r="K47">
            <v>0.1</v>
          </cell>
          <cell r="L47">
            <v>1.75</v>
          </cell>
          <cell r="M47">
            <v>2.4</v>
          </cell>
          <cell r="N47">
            <v>1.2</v>
          </cell>
          <cell r="O47">
            <v>3</v>
          </cell>
          <cell r="P47">
            <v>-2.0000000000000004E-2</v>
          </cell>
          <cell r="Q47">
            <v>0.28000000000000003</v>
          </cell>
          <cell r="R47">
            <v>0.08</v>
          </cell>
          <cell r="S47">
            <v>0.08</v>
          </cell>
          <cell r="T47">
            <v>0.08</v>
          </cell>
          <cell r="U47">
            <v>0.08</v>
          </cell>
          <cell r="V47">
            <v>4</v>
          </cell>
        </row>
        <row r="48">
          <cell r="E48">
            <v>177</v>
          </cell>
          <cell r="F48">
            <v>45</v>
          </cell>
          <cell r="G48">
            <v>19</v>
          </cell>
          <cell r="H48">
            <v>57</v>
          </cell>
          <cell r="I48">
            <v>14</v>
          </cell>
          <cell r="J48">
            <v>15</v>
          </cell>
          <cell r="K48">
            <v>0.04</v>
          </cell>
          <cell r="L48">
            <v>2.2000000000000002</v>
          </cell>
          <cell r="M48">
            <v>1.65</v>
          </cell>
          <cell r="N48">
            <v>0.64</v>
          </cell>
          <cell r="O48">
            <v>3.7</v>
          </cell>
          <cell r="P48">
            <v>0.17500000000000002</v>
          </cell>
          <cell r="Q48">
            <v>-0.125</v>
          </cell>
          <cell r="R48">
            <v>-2.5000000000000001E-2</v>
          </cell>
          <cell r="S48">
            <v>-2.5000000000000001E-2</v>
          </cell>
          <cell r="T48">
            <v>-2.5000000000000001E-2</v>
          </cell>
          <cell r="U48">
            <v>-2.5000000000000001E-2</v>
          </cell>
          <cell r="V48">
            <v>5</v>
          </cell>
        </row>
        <row r="49">
          <cell r="E49">
            <v>207</v>
          </cell>
          <cell r="F49">
            <v>50</v>
          </cell>
          <cell r="G49">
            <v>10</v>
          </cell>
          <cell r="H49">
            <v>34</v>
          </cell>
          <cell r="I49">
            <v>12</v>
          </cell>
          <cell r="J49">
            <v>32</v>
          </cell>
          <cell r="K49">
            <v>4.4999999999999998E-2</v>
          </cell>
          <cell r="L49">
            <v>1.45</v>
          </cell>
          <cell r="M49">
            <v>1.9</v>
          </cell>
          <cell r="N49">
            <v>0.84</v>
          </cell>
          <cell r="O49">
            <v>2.65</v>
          </cell>
          <cell r="P49">
            <v>0.09</v>
          </cell>
          <cell r="Q49">
            <v>0.09</v>
          </cell>
          <cell r="R49">
            <v>0.29000000000000004</v>
          </cell>
          <cell r="S49">
            <v>-1.0000000000000009E-2</v>
          </cell>
          <cell r="T49">
            <v>0.09</v>
          </cell>
          <cell r="U49">
            <v>0.09</v>
          </cell>
          <cell r="V49">
            <v>4.4000000000000004</v>
          </cell>
        </row>
        <row r="50">
          <cell r="E50">
            <v>148</v>
          </cell>
          <cell r="F50">
            <v>8</v>
          </cell>
          <cell r="G50">
            <v>55</v>
          </cell>
          <cell r="H50">
            <v>15</v>
          </cell>
          <cell r="I50">
            <v>12</v>
          </cell>
          <cell r="J50">
            <v>11</v>
          </cell>
          <cell r="K50">
            <v>9.5000000000000001E-2</v>
          </cell>
          <cell r="L50">
            <v>2.4</v>
          </cell>
          <cell r="M50">
            <v>3.35</v>
          </cell>
          <cell r="N50">
            <v>0.86</v>
          </cell>
          <cell r="O50">
            <v>1</v>
          </cell>
          <cell r="P50">
            <v>0.13</v>
          </cell>
          <cell r="Q50">
            <v>-0.17</v>
          </cell>
          <cell r="R50">
            <v>-7.0000000000000007E-2</v>
          </cell>
          <cell r="S50">
            <v>-7.0000000000000007E-2</v>
          </cell>
          <cell r="T50">
            <v>-7.0000000000000007E-2</v>
          </cell>
          <cell r="U50">
            <v>-7.0000000000000007E-2</v>
          </cell>
          <cell r="V50">
            <v>4.5999999999999996</v>
          </cell>
        </row>
        <row r="51">
          <cell r="E51">
            <v>127</v>
          </cell>
          <cell r="F51">
            <v>6</v>
          </cell>
          <cell r="G51">
            <v>40</v>
          </cell>
          <cell r="H51">
            <v>12</v>
          </cell>
          <cell r="I51">
            <v>10</v>
          </cell>
          <cell r="J51">
            <v>11</v>
          </cell>
          <cell r="K51">
            <v>0.18</v>
          </cell>
          <cell r="L51">
            <v>2.1</v>
          </cell>
          <cell r="M51">
            <v>3.15</v>
          </cell>
          <cell r="N51">
            <v>1.35</v>
          </cell>
          <cell r="O51">
            <v>1</v>
          </cell>
          <cell r="P51">
            <v>-0.18</v>
          </cell>
          <cell r="Q51">
            <v>0.12000000000000001</v>
          </cell>
          <cell r="R51">
            <v>-0.08</v>
          </cell>
          <cell r="S51">
            <v>-0.08</v>
          </cell>
          <cell r="T51">
            <v>-0.08</v>
          </cell>
          <cell r="U51">
            <v>-0.08</v>
          </cell>
          <cell r="V51">
            <v>4.8</v>
          </cell>
        </row>
        <row r="52">
          <cell r="E52">
            <v>187</v>
          </cell>
          <cell r="F52">
            <v>31</v>
          </cell>
          <cell r="G52">
            <v>10</v>
          </cell>
          <cell r="H52">
            <v>37</v>
          </cell>
          <cell r="I52">
            <v>13</v>
          </cell>
          <cell r="J52">
            <v>14</v>
          </cell>
          <cell r="K52">
            <v>0.06</v>
          </cell>
          <cell r="L52">
            <v>1.6</v>
          </cell>
          <cell r="M52">
            <v>2.25</v>
          </cell>
          <cell r="N52">
            <v>0.91</v>
          </cell>
          <cell r="O52">
            <v>4.75</v>
          </cell>
          <cell r="P52">
            <v>-0.02</v>
          </cell>
          <cell r="Q52">
            <v>-0.02</v>
          </cell>
          <cell r="R52">
            <v>-0.02</v>
          </cell>
          <cell r="S52">
            <v>-0.02</v>
          </cell>
          <cell r="T52">
            <v>0.18000000000000002</v>
          </cell>
          <cell r="U52">
            <v>-0.12000000000000001</v>
          </cell>
          <cell r="V52">
            <v>6.6</v>
          </cell>
        </row>
        <row r="53">
          <cell r="E53">
            <v>144</v>
          </cell>
          <cell r="F53">
            <v>34</v>
          </cell>
          <cell r="G53">
            <v>16</v>
          </cell>
          <cell r="H53">
            <v>68</v>
          </cell>
          <cell r="I53">
            <v>11</v>
          </cell>
          <cell r="J53">
            <v>14</v>
          </cell>
          <cell r="K53">
            <v>0.18</v>
          </cell>
          <cell r="L53">
            <v>1.85</v>
          </cell>
          <cell r="M53">
            <v>2.0499999999999998</v>
          </cell>
          <cell r="N53">
            <v>0.75</v>
          </cell>
          <cell r="O53">
            <v>4.45</v>
          </cell>
          <cell r="P53">
            <v>-0.16</v>
          </cell>
          <cell r="Q53">
            <v>0.14000000000000001</v>
          </cell>
          <cell r="R53">
            <v>-0.06</v>
          </cell>
          <cell r="S53">
            <v>-0.06</v>
          </cell>
          <cell r="T53">
            <v>-0.06</v>
          </cell>
          <cell r="U53">
            <v>-0.06</v>
          </cell>
          <cell r="V53">
            <v>5.6</v>
          </cell>
        </row>
        <row r="54">
          <cell r="E54">
            <v>176</v>
          </cell>
          <cell r="F54">
            <v>42</v>
          </cell>
          <cell r="G54">
            <v>16</v>
          </cell>
          <cell r="H54">
            <v>60</v>
          </cell>
          <cell r="I54">
            <v>14</v>
          </cell>
          <cell r="J54">
            <v>15</v>
          </cell>
          <cell r="K54">
            <v>0.12</v>
          </cell>
          <cell r="L54">
            <v>2.5499999999999998</v>
          </cell>
          <cell r="M54">
            <v>2.2999999999999998</v>
          </cell>
          <cell r="N54">
            <v>0.68</v>
          </cell>
          <cell r="O54">
            <v>3.55</v>
          </cell>
          <cell r="P54">
            <v>0.14500000000000002</v>
          </cell>
          <cell r="Q54">
            <v>-0.155</v>
          </cell>
          <cell r="R54">
            <v>-5.5E-2</v>
          </cell>
          <cell r="S54">
            <v>-5.5E-2</v>
          </cell>
          <cell r="T54">
            <v>-5.5E-2</v>
          </cell>
          <cell r="U54">
            <v>-5.5E-2</v>
          </cell>
          <cell r="V54">
            <v>4.8</v>
          </cell>
        </row>
        <row r="55">
          <cell r="E55">
            <v>300</v>
          </cell>
          <cell r="F55">
            <v>69</v>
          </cell>
          <cell r="G55">
            <v>11</v>
          </cell>
          <cell r="H55">
            <v>30</v>
          </cell>
          <cell r="I55">
            <v>16</v>
          </cell>
          <cell r="J55">
            <v>29</v>
          </cell>
          <cell r="K55">
            <v>0.115</v>
          </cell>
          <cell r="L55">
            <v>1.95</v>
          </cell>
          <cell r="M55">
            <v>1.2</v>
          </cell>
          <cell r="N55">
            <v>0.72</v>
          </cell>
          <cell r="O55">
            <v>3.3250000000000002</v>
          </cell>
          <cell r="P55">
            <v>0.08</v>
          </cell>
          <cell r="Q55">
            <v>0.08</v>
          </cell>
          <cell r="R55">
            <v>0.28000000000000003</v>
          </cell>
          <cell r="S55">
            <v>-2.0000000000000004E-2</v>
          </cell>
          <cell r="T55">
            <v>0.08</v>
          </cell>
          <cell r="U55">
            <v>0.08</v>
          </cell>
          <cell r="V55">
            <v>5</v>
          </cell>
        </row>
        <row r="56">
          <cell r="E56">
            <v>343</v>
          </cell>
          <cell r="F56">
            <v>12</v>
          </cell>
          <cell r="G56">
            <v>26</v>
          </cell>
          <cell r="H56">
            <v>12</v>
          </cell>
          <cell r="I56">
            <v>27</v>
          </cell>
          <cell r="J56">
            <v>24</v>
          </cell>
          <cell r="K56">
            <v>0.04</v>
          </cell>
          <cell r="L56">
            <v>1.4</v>
          </cell>
          <cell r="M56">
            <v>2.2000000000000002</v>
          </cell>
          <cell r="N56">
            <v>0.82</v>
          </cell>
          <cell r="O56">
            <v>1</v>
          </cell>
          <cell r="P56">
            <v>0.30000000000000004</v>
          </cell>
          <cell r="Q56">
            <v>0</v>
          </cell>
          <cell r="R56">
            <v>0.1</v>
          </cell>
          <cell r="S56">
            <v>0.1</v>
          </cell>
          <cell r="T56">
            <v>0.1</v>
          </cell>
          <cell r="U56">
            <v>0.1</v>
          </cell>
          <cell r="V56">
            <v>4</v>
          </cell>
        </row>
        <row r="57">
          <cell r="E57">
            <v>315</v>
          </cell>
          <cell r="F57">
            <v>14</v>
          </cell>
          <cell r="G57">
            <v>29</v>
          </cell>
          <cell r="H57">
            <v>10</v>
          </cell>
          <cell r="I57">
            <v>16</v>
          </cell>
          <cell r="J57">
            <v>38</v>
          </cell>
          <cell r="K57">
            <v>0.05</v>
          </cell>
          <cell r="L57">
            <v>1.5</v>
          </cell>
          <cell r="M57">
            <v>2.0499999999999998</v>
          </cell>
          <cell r="N57">
            <v>0.79</v>
          </cell>
          <cell r="O57">
            <v>1</v>
          </cell>
          <cell r="P57">
            <v>-0.03</v>
          </cell>
          <cell r="Q57">
            <v>0.27</v>
          </cell>
          <cell r="R57">
            <v>7.0000000000000007E-2</v>
          </cell>
          <cell r="S57">
            <v>7.0000000000000007E-2</v>
          </cell>
          <cell r="T57">
            <v>7.0000000000000007E-2</v>
          </cell>
          <cell r="U57">
            <v>7.0000000000000007E-2</v>
          </cell>
          <cell r="V57">
            <v>4</v>
          </cell>
        </row>
        <row r="58">
          <cell r="E58">
            <v>214</v>
          </cell>
          <cell r="F58">
            <v>38</v>
          </cell>
          <cell r="G58">
            <v>12</v>
          </cell>
          <cell r="H58">
            <v>39</v>
          </cell>
          <cell r="I58">
            <v>16</v>
          </cell>
          <cell r="J58">
            <v>17</v>
          </cell>
          <cell r="K58">
            <v>4.4999999999999998E-2</v>
          </cell>
          <cell r="L58">
            <v>1.4</v>
          </cell>
          <cell r="M58">
            <v>2.0499999999999998</v>
          </cell>
          <cell r="N58">
            <v>0.92</v>
          </cell>
          <cell r="O58">
            <v>2.6749999999999998</v>
          </cell>
          <cell r="P58">
            <v>0.19</v>
          </cell>
          <cell r="Q58">
            <v>0.19</v>
          </cell>
          <cell r="R58">
            <v>0.19</v>
          </cell>
          <cell r="S58">
            <v>0.19</v>
          </cell>
          <cell r="T58">
            <v>0.39</v>
          </cell>
          <cell r="U58">
            <v>0.09</v>
          </cell>
          <cell r="V58">
            <v>4</v>
          </cell>
        </row>
        <row r="59">
          <cell r="E59">
            <v>172</v>
          </cell>
          <cell r="F59">
            <v>41</v>
          </cell>
          <cell r="G59">
            <v>13</v>
          </cell>
          <cell r="H59">
            <v>53</v>
          </cell>
          <cell r="I59">
            <v>15</v>
          </cell>
          <cell r="J59">
            <v>16</v>
          </cell>
          <cell r="K59">
            <v>0.26</v>
          </cell>
          <cell r="L59">
            <v>1.95</v>
          </cell>
          <cell r="M59">
            <v>2.75</v>
          </cell>
          <cell r="N59">
            <v>0.95</v>
          </cell>
          <cell r="O59">
            <v>2.8</v>
          </cell>
          <cell r="P59">
            <v>-0.15000000000000002</v>
          </cell>
          <cell r="Q59">
            <v>0.15000000000000002</v>
          </cell>
          <cell r="R59">
            <v>-0.05</v>
          </cell>
          <cell r="S59">
            <v>-0.05</v>
          </cell>
          <cell r="T59">
            <v>-0.05</v>
          </cell>
          <cell r="U59">
            <v>-0.05</v>
          </cell>
          <cell r="V59">
            <v>4.4000000000000004</v>
          </cell>
        </row>
        <row r="60">
          <cell r="E60">
            <v>186</v>
          </cell>
          <cell r="F60">
            <v>31</v>
          </cell>
          <cell r="G60">
            <v>8</v>
          </cell>
          <cell r="H60">
            <v>34</v>
          </cell>
          <cell r="I60">
            <v>16</v>
          </cell>
          <cell r="J60">
            <v>15</v>
          </cell>
          <cell r="K60">
            <v>6.5000000000000002E-2</v>
          </cell>
          <cell r="L60">
            <v>1.45</v>
          </cell>
          <cell r="M60">
            <v>4</v>
          </cell>
          <cell r="N60">
            <v>1.72</v>
          </cell>
          <cell r="O60">
            <v>1.9</v>
          </cell>
          <cell r="P60">
            <v>0.13</v>
          </cell>
          <cell r="Q60">
            <v>-0.17</v>
          </cell>
          <cell r="R60">
            <v>-7.0000000000000007E-2</v>
          </cell>
          <cell r="S60">
            <v>-7.0000000000000007E-2</v>
          </cell>
          <cell r="T60">
            <v>-7.0000000000000007E-2</v>
          </cell>
          <cell r="U60">
            <v>-7.0000000000000007E-2</v>
          </cell>
          <cell r="V60">
            <v>5.4</v>
          </cell>
        </row>
        <row r="61">
          <cell r="E61">
            <v>283</v>
          </cell>
          <cell r="F61">
            <v>34</v>
          </cell>
          <cell r="G61">
            <v>15</v>
          </cell>
          <cell r="H61">
            <v>33</v>
          </cell>
          <cell r="I61">
            <v>25</v>
          </cell>
          <cell r="J61">
            <v>16</v>
          </cell>
          <cell r="K61">
            <v>0.08</v>
          </cell>
          <cell r="L61">
            <v>1.6</v>
          </cell>
          <cell r="M61">
            <v>2.8</v>
          </cell>
          <cell r="N61">
            <v>1</v>
          </cell>
          <cell r="O61">
            <v>2.5</v>
          </cell>
          <cell r="P61">
            <v>1.4999999999999999E-2</v>
          </cell>
          <cell r="Q61">
            <v>1.4999999999999999E-2</v>
          </cell>
          <cell r="R61">
            <v>0.21500000000000002</v>
          </cell>
          <cell r="S61">
            <v>-8.5000000000000006E-2</v>
          </cell>
          <cell r="T61">
            <v>1.4999999999999999E-2</v>
          </cell>
          <cell r="U61">
            <v>1.4999999999999999E-2</v>
          </cell>
          <cell r="V61">
            <v>4</v>
          </cell>
        </row>
        <row r="62">
          <cell r="E62">
            <v>429</v>
          </cell>
          <cell r="F62">
            <v>11</v>
          </cell>
          <cell r="G62">
            <v>32</v>
          </cell>
          <cell r="H62">
            <v>12</v>
          </cell>
          <cell r="I62">
            <v>41</v>
          </cell>
          <cell r="J62">
            <v>20</v>
          </cell>
          <cell r="K62">
            <v>0.03</v>
          </cell>
          <cell r="L62">
            <v>1.35</v>
          </cell>
          <cell r="M62">
            <v>1.5</v>
          </cell>
          <cell r="N62">
            <v>0.65</v>
          </cell>
          <cell r="O62">
            <v>1</v>
          </cell>
          <cell r="P62">
            <v>0.30000000000000004</v>
          </cell>
          <cell r="Q62">
            <v>0</v>
          </cell>
          <cell r="R62">
            <v>0.1</v>
          </cell>
          <cell r="S62">
            <v>0.1</v>
          </cell>
          <cell r="T62">
            <v>0.1</v>
          </cell>
          <cell r="U62">
            <v>0.1</v>
          </cell>
          <cell r="V62">
            <v>3.4</v>
          </cell>
        </row>
        <row r="63">
          <cell r="E63">
            <v>186</v>
          </cell>
          <cell r="F63">
            <v>13</v>
          </cell>
          <cell r="G63">
            <v>40</v>
          </cell>
          <cell r="H63">
            <v>13</v>
          </cell>
          <cell r="I63">
            <v>15</v>
          </cell>
          <cell r="J63">
            <v>14</v>
          </cell>
          <cell r="K63">
            <v>0.1</v>
          </cell>
          <cell r="L63">
            <v>1.85</v>
          </cell>
          <cell r="M63">
            <v>4</v>
          </cell>
          <cell r="N63">
            <v>1.41</v>
          </cell>
          <cell r="O63">
            <v>1</v>
          </cell>
          <cell r="P63">
            <v>-0.155</v>
          </cell>
          <cell r="Q63">
            <v>0.14500000000000002</v>
          </cell>
          <cell r="R63">
            <v>-5.5E-2</v>
          </cell>
          <cell r="S63">
            <v>-5.5E-2</v>
          </cell>
          <cell r="T63">
            <v>-5.5E-2</v>
          </cell>
          <cell r="U63">
            <v>-5.5E-2</v>
          </cell>
          <cell r="V63">
            <v>6.4</v>
          </cell>
        </row>
        <row r="64">
          <cell r="E64">
            <v>193</v>
          </cell>
          <cell r="F64">
            <v>31</v>
          </cell>
          <cell r="G64">
            <v>24</v>
          </cell>
          <cell r="H64">
            <v>53</v>
          </cell>
          <cell r="I64">
            <v>16</v>
          </cell>
          <cell r="J64">
            <v>19</v>
          </cell>
          <cell r="K64">
            <v>0.05</v>
          </cell>
          <cell r="L64">
            <v>1.5</v>
          </cell>
          <cell r="M64">
            <v>2</v>
          </cell>
          <cell r="N64">
            <v>1</v>
          </cell>
          <cell r="O64">
            <v>2.5</v>
          </cell>
          <cell r="P64">
            <v>-0.02</v>
          </cell>
          <cell r="Q64">
            <v>-0.02</v>
          </cell>
          <cell r="R64">
            <v>-0.02</v>
          </cell>
          <cell r="S64">
            <v>-0.02</v>
          </cell>
          <cell r="T64">
            <v>0.18000000000000002</v>
          </cell>
          <cell r="U64">
            <v>-0.12000000000000001</v>
          </cell>
          <cell r="V64">
            <v>4</v>
          </cell>
        </row>
        <row r="65">
          <cell r="E65">
            <v>231</v>
          </cell>
          <cell r="F65">
            <v>36</v>
          </cell>
          <cell r="G65">
            <v>12</v>
          </cell>
          <cell r="H65">
            <v>45</v>
          </cell>
          <cell r="I65">
            <v>19</v>
          </cell>
          <cell r="J65">
            <v>19</v>
          </cell>
          <cell r="K65">
            <v>7.4999999999999997E-2</v>
          </cell>
          <cell r="L65">
            <v>1.5</v>
          </cell>
          <cell r="M65">
            <v>3.1</v>
          </cell>
          <cell r="N65">
            <v>1.1499999999999999</v>
          </cell>
          <cell r="O65">
            <v>3.0750000000000002</v>
          </cell>
          <cell r="P65">
            <v>-0.11</v>
          </cell>
          <cell r="Q65">
            <v>0.19</v>
          </cell>
          <cell r="R65">
            <v>-0.01</v>
          </cell>
          <cell r="S65">
            <v>-0.01</v>
          </cell>
          <cell r="T65">
            <v>-0.01</v>
          </cell>
          <cell r="U65">
            <v>-0.01</v>
          </cell>
          <cell r="V65">
            <v>8.6</v>
          </cell>
        </row>
        <row r="66">
          <cell r="E66">
            <v>389</v>
          </cell>
          <cell r="F66">
            <v>47</v>
          </cell>
          <cell r="G66">
            <v>9</v>
          </cell>
          <cell r="H66">
            <v>21</v>
          </cell>
          <cell r="I66">
            <v>31</v>
          </cell>
          <cell r="J66">
            <v>29</v>
          </cell>
          <cell r="K66">
            <v>0.1</v>
          </cell>
          <cell r="L66">
            <v>1.75</v>
          </cell>
          <cell r="M66">
            <v>2.4</v>
          </cell>
          <cell r="N66">
            <v>1.2</v>
          </cell>
          <cell r="O66">
            <v>3</v>
          </cell>
          <cell r="P66">
            <v>0.28000000000000003</v>
          </cell>
          <cell r="Q66">
            <v>-2.0000000000000004E-2</v>
          </cell>
          <cell r="R66">
            <v>0.08</v>
          </cell>
          <cell r="S66">
            <v>0.08</v>
          </cell>
          <cell r="T66">
            <v>0.08</v>
          </cell>
          <cell r="U66">
            <v>0.08</v>
          </cell>
          <cell r="V66">
            <v>4</v>
          </cell>
        </row>
        <row r="67">
          <cell r="E67">
            <v>236</v>
          </cell>
          <cell r="F67">
            <v>61</v>
          </cell>
          <cell r="G67">
            <v>26</v>
          </cell>
          <cell r="H67">
            <v>76</v>
          </cell>
          <cell r="I67">
            <v>18</v>
          </cell>
          <cell r="J67">
            <v>20</v>
          </cell>
          <cell r="K67">
            <v>0.04</v>
          </cell>
          <cell r="L67">
            <v>2.2000000000000002</v>
          </cell>
          <cell r="M67">
            <v>1.65</v>
          </cell>
          <cell r="N67">
            <v>0.64</v>
          </cell>
          <cell r="O67">
            <v>3.7</v>
          </cell>
          <cell r="P67">
            <v>-2.5000000000000001E-2</v>
          </cell>
          <cell r="Q67">
            <v>-2.5000000000000001E-2</v>
          </cell>
          <cell r="R67">
            <v>0.17500000000000002</v>
          </cell>
          <cell r="S67">
            <v>-0.125</v>
          </cell>
          <cell r="T67">
            <v>-2.5000000000000001E-2</v>
          </cell>
          <cell r="U67">
            <v>-2.5000000000000001E-2</v>
          </cell>
          <cell r="V67">
            <v>5</v>
          </cell>
        </row>
        <row r="68">
          <cell r="E68">
            <v>290</v>
          </cell>
          <cell r="F68">
            <v>16</v>
          </cell>
          <cell r="G68">
            <v>39</v>
          </cell>
          <cell r="H68">
            <v>14</v>
          </cell>
          <cell r="I68">
            <v>26</v>
          </cell>
          <cell r="J68">
            <v>26</v>
          </cell>
          <cell r="K68">
            <v>0.04</v>
          </cell>
          <cell r="L68">
            <v>1.4</v>
          </cell>
          <cell r="M68">
            <v>2.4500000000000002</v>
          </cell>
          <cell r="N68">
            <v>1.03</v>
          </cell>
          <cell r="O68">
            <v>1</v>
          </cell>
          <cell r="P68">
            <v>0.24000000000000002</v>
          </cell>
          <cell r="Q68">
            <v>-6.0000000000000005E-2</v>
          </cell>
          <cell r="R68">
            <v>0.04</v>
          </cell>
          <cell r="S68">
            <v>0.04</v>
          </cell>
          <cell r="T68">
            <v>0.04</v>
          </cell>
          <cell r="U68">
            <v>0.04</v>
          </cell>
          <cell r="V68">
            <v>4</v>
          </cell>
        </row>
        <row r="69">
          <cell r="E69">
            <v>197</v>
          </cell>
          <cell r="F69">
            <v>10</v>
          </cell>
          <cell r="G69">
            <v>73</v>
          </cell>
          <cell r="H69">
            <v>20</v>
          </cell>
          <cell r="I69">
            <v>16</v>
          </cell>
          <cell r="J69">
            <v>15</v>
          </cell>
          <cell r="K69">
            <v>9.5000000000000001E-2</v>
          </cell>
          <cell r="L69">
            <v>2.4</v>
          </cell>
          <cell r="M69">
            <v>3.35</v>
          </cell>
          <cell r="N69">
            <v>0.86</v>
          </cell>
          <cell r="O69">
            <v>1</v>
          </cell>
          <cell r="P69">
            <v>-0.17</v>
          </cell>
          <cell r="Q69">
            <v>0.13</v>
          </cell>
          <cell r="R69">
            <v>-7.0000000000000007E-2</v>
          </cell>
          <cell r="S69">
            <v>-7.0000000000000007E-2</v>
          </cell>
          <cell r="T69">
            <v>-7.0000000000000007E-2</v>
          </cell>
          <cell r="U69">
            <v>-7.0000000000000007E-2</v>
          </cell>
          <cell r="V69">
            <v>4.5999999999999996</v>
          </cell>
        </row>
        <row r="70">
          <cell r="E70">
            <v>259</v>
          </cell>
          <cell r="F70">
            <v>55</v>
          </cell>
          <cell r="G70">
            <v>21</v>
          </cell>
          <cell r="H70">
            <v>46</v>
          </cell>
          <cell r="I70">
            <v>21</v>
          </cell>
          <cell r="J70">
            <v>25</v>
          </cell>
          <cell r="K70">
            <v>0.06</v>
          </cell>
          <cell r="L70">
            <v>1.4</v>
          </cell>
          <cell r="M70">
            <v>2.1</v>
          </cell>
          <cell r="N70">
            <v>0.95</v>
          </cell>
          <cell r="O70">
            <v>2.875</v>
          </cell>
          <cell r="P70">
            <v>0.03</v>
          </cell>
          <cell r="Q70">
            <v>0.03</v>
          </cell>
          <cell r="R70">
            <v>0.03</v>
          </cell>
          <cell r="S70">
            <v>0.03</v>
          </cell>
          <cell r="T70">
            <v>0.23</v>
          </cell>
          <cell r="U70">
            <v>-7.0000000000000007E-2</v>
          </cell>
          <cell r="V70">
            <v>4.8</v>
          </cell>
        </row>
        <row r="71">
          <cell r="E71">
            <v>285</v>
          </cell>
          <cell r="F71">
            <v>46</v>
          </cell>
          <cell r="G71">
            <v>21</v>
          </cell>
          <cell r="H71">
            <v>46</v>
          </cell>
          <cell r="I71">
            <v>22</v>
          </cell>
          <cell r="J71">
            <v>25</v>
          </cell>
          <cell r="K71">
            <v>7.0000000000000007E-2</v>
          </cell>
          <cell r="L71">
            <v>1.55</v>
          </cell>
          <cell r="M71">
            <v>2.2999999999999998</v>
          </cell>
          <cell r="N71">
            <v>1.1000000000000001</v>
          </cell>
          <cell r="O71">
            <v>2.7</v>
          </cell>
          <cell r="P71">
            <v>-0.13</v>
          </cell>
          <cell r="Q71">
            <v>0.17</v>
          </cell>
          <cell r="R71">
            <v>-0.03</v>
          </cell>
          <cell r="S71">
            <v>-0.03</v>
          </cell>
          <cell r="T71">
            <v>-0.03</v>
          </cell>
          <cell r="U71">
            <v>-0.03</v>
          </cell>
          <cell r="V71">
            <v>4</v>
          </cell>
        </row>
        <row r="72">
          <cell r="E72">
            <v>191</v>
          </cell>
          <cell r="F72">
            <v>46</v>
          </cell>
          <cell r="G72">
            <v>21</v>
          </cell>
          <cell r="H72">
            <v>91</v>
          </cell>
          <cell r="I72">
            <v>15</v>
          </cell>
          <cell r="J72">
            <v>18</v>
          </cell>
          <cell r="K72">
            <v>0.18</v>
          </cell>
          <cell r="L72">
            <v>1.85</v>
          </cell>
          <cell r="M72">
            <v>2.0499999999999998</v>
          </cell>
          <cell r="N72">
            <v>0.75</v>
          </cell>
          <cell r="O72">
            <v>4.45</v>
          </cell>
          <cell r="P72">
            <v>0.14000000000000001</v>
          </cell>
          <cell r="Q72">
            <v>-0.16</v>
          </cell>
          <cell r="R72">
            <v>-0.06</v>
          </cell>
          <cell r="S72">
            <v>-0.06</v>
          </cell>
          <cell r="T72">
            <v>-0.06</v>
          </cell>
          <cell r="U72">
            <v>-0.06</v>
          </cell>
          <cell r="V72">
            <v>5.6</v>
          </cell>
        </row>
        <row r="73">
          <cell r="E73">
            <v>234</v>
          </cell>
          <cell r="F73">
            <v>56</v>
          </cell>
          <cell r="G73">
            <v>22</v>
          </cell>
          <cell r="H73">
            <v>80</v>
          </cell>
          <cell r="I73">
            <v>18</v>
          </cell>
          <cell r="J73">
            <v>20</v>
          </cell>
          <cell r="K73">
            <v>0.12</v>
          </cell>
          <cell r="L73">
            <v>2.5499999999999998</v>
          </cell>
          <cell r="M73">
            <v>2.2999999999999998</v>
          </cell>
          <cell r="N73">
            <v>0.68</v>
          </cell>
          <cell r="O73">
            <v>3.55</v>
          </cell>
          <cell r="P73">
            <v>-5.5E-2</v>
          </cell>
          <cell r="Q73">
            <v>-5.5E-2</v>
          </cell>
          <cell r="R73">
            <v>0.14500000000000002</v>
          </cell>
          <cell r="S73">
            <v>-0.155</v>
          </cell>
          <cell r="T73">
            <v>-5.5E-2</v>
          </cell>
          <cell r="U73">
            <v>-5.5E-2</v>
          </cell>
          <cell r="V73">
            <v>4.8</v>
          </cell>
        </row>
        <row r="74">
          <cell r="E74">
            <v>431</v>
          </cell>
          <cell r="F74">
            <v>16</v>
          </cell>
          <cell r="G74">
            <v>44</v>
          </cell>
          <cell r="H74">
            <v>15</v>
          </cell>
          <cell r="I74">
            <v>39</v>
          </cell>
          <cell r="J74">
            <v>21</v>
          </cell>
          <cell r="K74">
            <v>3.5000000000000003E-2</v>
          </cell>
          <cell r="L74">
            <v>1.43</v>
          </cell>
          <cell r="M74">
            <v>1.75</v>
          </cell>
          <cell r="N74">
            <v>0.73</v>
          </cell>
          <cell r="O74">
            <v>1</v>
          </cell>
          <cell r="P74">
            <v>0.29000000000000004</v>
          </cell>
          <cell r="Q74">
            <v>-1.0000000000000009E-2</v>
          </cell>
          <cell r="R74">
            <v>0.09</v>
          </cell>
          <cell r="S74">
            <v>0.09</v>
          </cell>
          <cell r="T74">
            <v>0.09</v>
          </cell>
          <cell r="U74">
            <v>0.09</v>
          </cell>
          <cell r="V74">
            <v>4.4000000000000004</v>
          </cell>
        </row>
        <row r="75">
          <cell r="E75">
            <v>456</v>
          </cell>
          <cell r="F75">
            <v>16</v>
          </cell>
          <cell r="G75">
            <v>35</v>
          </cell>
          <cell r="H75">
            <v>16</v>
          </cell>
          <cell r="I75">
            <v>35</v>
          </cell>
          <cell r="J75">
            <v>32</v>
          </cell>
          <cell r="K75">
            <v>0.04</v>
          </cell>
          <cell r="L75">
            <v>1.4</v>
          </cell>
          <cell r="M75">
            <v>2.2000000000000002</v>
          </cell>
          <cell r="N75">
            <v>0.82</v>
          </cell>
          <cell r="O75">
            <v>1</v>
          </cell>
          <cell r="P75">
            <v>0</v>
          </cell>
          <cell r="Q75">
            <v>0.30000000000000004</v>
          </cell>
          <cell r="R75">
            <v>0.1</v>
          </cell>
          <cell r="S75">
            <v>0.1</v>
          </cell>
          <cell r="T75">
            <v>0.1</v>
          </cell>
          <cell r="U75">
            <v>0.1</v>
          </cell>
          <cell r="V75">
            <v>4</v>
          </cell>
        </row>
        <row r="76">
          <cell r="E76">
            <v>491</v>
          </cell>
          <cell r="F76">
            <v>56</v>
          </cell>
          <cell r="G76">
            <v>12</v>
          </cell>
          <cell r="H76">
            <v>41</v>
          </cell>
          <cell r="I76">
            <v>37</v>
          </cell>
          <cell r="J76">
            <v>35</v>
          </cell>
          <cell r="K76">
            <v>3.5000000000000003E-2</v>
          </cell>
          <cell r="L76">
            <v>1.4</v>
          </cell>
          <cell r="M76">
            <v>1.5</v>
          </cell>
          <cell r="N76">
            <v>0.6</v>
          </cell>
          <cell r="O76">
            <v>3.1</v>
          </cell>
          <cell r="P76">
            <v>0.12</v>
          </cell>
          <cell r="Q76">
            <v>0.12</v>
          </cell>
          <cell r="R76">
            <v>0.12</v>
          </cell>
          <cell r="S76">
            <v>0.12</v>
          </cell>
          <cell r="T76">
            <v>0.32</v>
          </cell>
          <cell r="U76">
            <v>1.999999999999999E-2</v>
          </cell>
          <cell r="V76">
            <v>4.12</v>
          </cell>
        </row>
        <row r="77">
          <cell r="E77">
            <v>232</v>
          </cell>
          <cell r="F77">
            <v>43</v>
          </cell>
          <cell r="G77">
            <v>16</v>
          </cell>
          <cell r="H77">
            <v>54</v>
          </cell>
          <cell r="I77">
            <v>18</v>
          </cell>
          <cell r="J77">
            <v>21</v>
          </cell>
          <cell r="K77">
            <v>0.05</v>
          </cell>
          <cell r="L77">
            <v>1.4</v>
          </cell>
          <cell r="M77">
            <v>3.35</v>
          </cell>
          <cell r="N77">
            <v>1.55</v>
          </cell>
          <cell r="O77">
            <v>2.2999999999999998</v>
          </cell>
          <cell r="P77">
            <v>-0.17</v>
          </cell>
          <cell r="Q77">
            <v>0.13</v>
          </cell>
          <cell r="R77">
            <v>-7.0000000000000007E-2</v>
          </cell>
          <cell r="S77">
            <v>-7.0000000000000007E-2</v>
          </cell>
          <cell r="T77">
            <v>-7.0000000000000007E-2</v>
          </cell>
          <cell r="U77">
            <v>-7.0000000000000007E-2</v>
          </cell>
          <cell r="V77">
            <v>4</v>
          </cell>
        </row>
        <row r="78">
          <cell r="E78">
            <v>229</v>
          </cell>
          <cell r="F78">
            <v>54</v>
          </cell>
          <cell r="G78">
            <v>18</v>
          </cell>
          <cell r="H78">
            <v>70</v>
          </cell>
          <cell r="I78">
            <v>19</v>
          </cell>
          <cell r="J78">
            <v>21</v>
          </cell>
          <cell r="K78">
            <v>0.26</v>
          </cell>
          <cell r="L78">
            <v>1.95</v>
          </cell>
          <cell r="M78">
            <v>2.75</v>
          </cell>
          <cell r="N78">
            <v>0.95</v>
          </cell>
          <cell r="O78">
            <v>2.8</v>
          </cell>
          <cell r="P78">
            <v>0.15000000000000002</v>
          </cell>
          <cell r="Q78">
            <v>-0.15000000000000002</v>
          </cell>
          <cell r="R78">
            <v>-0.05</v>
          </cell>
          <cell r="S78">
            <v>-0.05</v>
          </cell>
          <cell r="T78">
            <v>-0.05</v>
          </cell>
          <cell r="U78">
            <v>-0.05</v>
          </cell>
          <cell r="V78">
            <v>4.4000000000000004</v>
          </cell>
        </row>
        <row r="79">
          <cell r="E79">
            <v>248</v>
          </cell>
          <cell r="F79">
            <v>41</v>
          </cell>
          <cell r="G79">
            <v>11</v>
          </cell>
          <cell r="H79">
            <v>46</v>
          </cell>
          <cell r="I79">
            <v>21</v>
          </cell>
          <cell r="J79">
            <v>20</v>
          </cell>
          <cell r="K79">
            <v>6.5000000000000002E-2</v>
          </cell>
          <cell r="L79">
            <v>1.45</v>
          </cell>
          <cell r="M79">
            <v>4</v>
          </cell>
          <cell r="N79">
            <v>1.72</v>
          </cell>
          <cell r="O79">
            <v>1.9</v>
          </cell>
          <cell r="P79">
            <v>-7.0000000000000007E-2</v>
          </cell>
          <cell r="Q79">
            <v>-7.0000000000000007E-2</v>
          </cell>
          <cell r="R79">
            <v>0.13</v>
          </cell>
          <cell r="S79">
            <v>-0.17</v>
          </cell>
          <cell r="T79">
            <v>-7.0000000000000007E-2</v>
          </cell>
          <cell r="U79">
            <v>-7.0000000000000007E-2</v>
          </cell>
          <cell r="V79">
            <v>5.4</v>
          </cell>
        </row>
        <row r="80">
          <cell r="E80">
            <v>251</v>
          </cell>
          <cell r="F80">
            <v>17</v>
          </cell>
          <cell r="G80">
            <v>58</v>
          </cell>
          <cell r="H80">
            <v>26</v>
          </cell>
          <cell r="I80">
            <v>20</v>
          </cell>
          <cell r="J80">
            <v>20</v>
          </cell>
          <cell r="K80">
            <v>0.08</v>
          </cell>
          <cell r="L80">
            <v>1.55</v>
          </cell>
          <cell r="M80">
            <v>3.3</v>
          </cell>
          <cell r="N80">
            <v>1.32</v>
          </cell>
          <cell r="O80">
            <v>1</v>
          </cell>
          <cell r="P80">
            <v>0.16</v>
          </cell>
          <cell r="Q80">
            <v>-0.14000000000000001</v>
          </cell>
          <cell r="R80">
            <v>-0.04</v>
          </cell>
          <cell r="S80">
            <v>-0.04</v>
          </cell>
          <cell r="T80">
            <v>-0.04</v>
          </cell>
          <cell r="U80">
            <v>-0.04</v>
          </cell>
          <cell r="V80">
            <v>4.8</v>
          </cell>
        </row>
        <row r="81">
          <cell r="E81">
            <v>571</v>
          </cell>
          <cell r="F81">
            <v>15</v>
          </cell>
          <cell r="G81">
            <v>42</v>
          </cell>
          <cell r="H81">
            <v>16</v>
          </cell>
          <cell r="I81">
            <v>54</v>
          </cell>
          <cell r="J81">
            <v>27</v>
          </cell>
          <cell r="K81">
            <v>0.03</v>
          </cell>
          <cell r="L81">
            <v>1.35</v>
          </cell>
          <cell r="M81">
            <v>1.5</v>
          </cell>
          <cell r="N81">
            <v>0.65</v>
          </cell>
          <cell r="O81">
            <v>1</v>
          </cell>
          <cell r="P81">
            <v>0</v>
          </cell>
          <cell r="Q81">
            <v>0.30000000000000004</v>
          </cell>
          <cell r="R81">
            <v>0.1</v>
          </cell>
          <cell r="S81">
            <v>0.1</v>
          </cell>
          <cell r="T81">
            <v>0.1</v>
          </cell>
          <cell r="U81">
            <v>0.1</v>
          </cell>
          <cell r="V81">
            <v>3.4</v>
          </cell>
        </row>
        <row r="82">
          <cell r="E82">
            <v>352</v>
          </cell>
          <cell r="F82">
            <v>62</v>
          </cell>
          <cell r="G82">
            <v>15</v>
          </cell>
          <cell r="H82">
            <v>52</v>
          </cell>
          <cell r="I82">
            <v>49</v>
          </cell>
          <cell r="J82">
            <v>18</v>
          </cell>
          <cell r="K82">
            <v>5.5E-2</v>
          </cell>
          <cell r="L82">
            <v>1.5</v>
          </cell>
          <cell r="M82">
            <v>1.85</v>
          </cell>
          <cell r="N82">
            <v>0.87</v>
          </cell>
          <cell r="O82">
            <v>2.35</v>
          </cell>
          <cell r="P82">
            <v>6.5000000000000002E-2</v>
          </cell>
          <cell r="Q82">
            <v>6.5000000000000002E-2</v>
          </cell>
          <cell r="R82">
            <v>6.5000000000000002E-2</v>
          </cell>
          <cell r="S82">
            <v>6.5000000000000002E-2</v>
          </cell>
          <cell r="T82">
            <v>0.26500000000000001</v>
          </cell>
          <cell r="U82">
            <v>-3.5000000000000003E-2</v>
          </cell>
          <cell r="V82">
            <v>4.2</v>
          </cell>
        </row>
        <row r="83">
          <cell r="E83">
            <v>442</v>
          </cell>
          <cell r="F83">
            <v>48</v>
          </cell>
          <cell r="G83">
            <v>13</v>
          </cell>
          <cell r="H83">
            <v>33</v>
          </cell>
          <cell r="I83">
            <v>34</v>
          </cell>
          <cell r="J83">
            <v>31</v>
          </cell>
          <cell r="K83">
            <v>7.0000000000000007E-2</v>
          </cell>
          <cell r="L83">
            <v>1.5</v>
          </cell>
          <cell r="M83">
            <v>2.8</v>
          </cell>
          <cell r="N83">
            <v>1.45</v>
          </cell>
          <cell r="O83">
            <v>1.55</v>
          </cell>
          <cell r="P83">
            <v>-7.0000000000000007E-2</v>
          </cell>
          <cell r="Q83">
            <v>0.23</v>
          </cell>
          <cell r="R83">
            <v>0.03</v>
          </cell>
          <cell r="S83">
            <v>0.03</v>
          </cell>
          <cell r="T83">
            <v>0.03</v>
          </cell>
          <cell r="U83">
            <v>0.03</v>
          </cell>
          <cell r="V83">
            <v>3.6</v>
          </cell>
        </row>
        <row r="84">
          <cell r="E84">
            <v>307</v>
          </cell>
          <cell r="F84">
            <v>48</v>
          </cell>
          <cell r="G84">
            <v>16</v>
          </cell>
          <cell r="H84">
            <v>60</v>
          </cell>
          <cell r="I84">
            <v>25</v>
          </cell>
          <cell r="J84">
            <v>25</v>
          </cell>
          <cell r="K84">
            <v>7.4999999999999997E-2</v>
          </cell>
          <cell r="L84">
            <v>1.5</v>
          </cell>
          <cell r="M84">
            <v>3.1</v>
          </cell>
          <cell r="N84">
            <v>1.1499999999999999</v>
          </cell>
          <cell r="O84">
            <v>3.0750000000000002</v>
          </cell>
          <cell r="P84">
            <v>0.19</v>
          </cell>
          <cell r="Q84">
            <v>-0.11</v>
          </cell>
          <cell r="R84">
            <v>-0.01</v>
          </cell>
          <cell r="S84">
            <v>-0.01</v>
          </cell>
          <cell r="T84">
            <v>-0.01</v>
          </cell>
          <cell r="U84">
            <v>-0.01</v>
          </cell>
          <cell r="V84">
            <v>8.6</v>
          </cell>
        </row>
        <row r="85">
          <cell r="E85">
            <v>518</v>
          </cell>
          <cell r="F85">
            <v>63</v>
          </cell>
          <cell r="G85">
            <v>13</v>
          </cell>
          <cell r="H85">
            <v>28</v>
          </cell>
          <cell r="I85">
            <v>41</v>
          </cell>
          <cell r="J85">
            <v>39</v>
          </cell>
          <cell r="K85">
            <v>0.1</v>
          </cell>
          <cell r="L85">
            <v>1.75</v>
          </cell>
          <cell r="M85">
            <v>2.4</v>
          </cell>
          <cell r="N85">
            <v>1.2</v>
          </cell>
          <cell r="O85">
            <v>3</v>
          </cell>
          <cell r="P85">
            <v>0.08</v>
          </cell>
          <cell r="Q85">
            <v>0.08</v>
          </cell>
          <cell r="R85">
            <v>0.28000000000000003</v>
          </cell>
          <cell r="S85">
            <v>-2.0000000000000004E-2</v>
          </cell>
          <cell r="T85">
            <v>0.08</v>
          </cell>
          <cell r="U85">
            <v>0.08</v>
          </cell>
          <cell r="V85">
            <v>4</v>
          </cell>
        </row>
        <row r="86">
          <cell r="E86">
            <v>242</v>
          </cell>
          <cell r="F86">
            <v>19</v>
          </cell>
          <cell r="G86">
            <v>74</v>
          </cell>
          <cell r="H86">
            <v>25</v>
          </cell>
          <cell r="I86">
            <v>21</v>
          </cell>
          <cell r="J86">
            <v>22</v>
          </cell>
          <cell r="K86">
            <v>0.11</v>
          </cell>
          <cell r="L86">
            <v>1.58</v>
          </cell>
          <cell r="M86">
            <v>4.45</v>
          </cell>
          <cell r="N86">
            <v>1.3</v>
          </cell>
          <cell r="O86">
            <v>1</v>
          </cell>
          <cell r="P86">
            <v>0.14000000000000001</v>
          </cell>
          <cell r="Q86">
            <v>-0.16</v>
          </cell>
          <cell r="R86">
            <v>-0.06</v>
          </cell>
          <cell r="S86">
            <v>-0.06</v>
          </cell>
          <cell r="T86">
            <v>-0.06</v>
          </cell>
          <cell r="U86">
            <v>-0.06</v>
          </cell>
          <cell r="V86">
            <v>5.6</v>
          </cell>
        </row>
        <row r="87">
          <cell r="E87">
            <v>387</v>
          </cell>
          <cell r="F87">
            <v>21</v>
          </cell>
          <cell r="G87">
            <v>52</v>
          </cell>
          <cell r="H87">
            <v>18</v>
          </cell>
          <cell r="I87">
            <v>35</v>
          </cell>
          <cell r="J87">
            <v>34</v>
          </cell>
          <cell r="K87">
            <v>0.04</v>
          </cell>
          <cell r="L87">
            <v>1.4</v>
          </cell>
          <cell r="M87">
            <v>2.4500000000000002</v>
          </cell>
          <cell r="N87">
            <v>1.03</v>
          </cell>
          <cell r="O87">
            <v>1</v>
          </cell>
          <cell r="P87">
            <v>-6.0000000000000005E-2</v>
          </cell>
          <cell r="Q87">
            <v>0.24000000000000002</v>
          </cell>
          <cell r="R87">
            <v>0.04</v>
          </cell>
          <cell r="S87">
            <v>0.04</v>
          </cell>
          <cell r="T87">
            <v>0.04</v>
          </cell>
          <cell r="U87">
            <v>0.04</v>
          </cell>
          <cell r="V87">
            <v>4</v>
          </cell>
        </row>
        <row r="88">
          <cell r="E88">
            <v>190</v>
          </cell>
          <cell r="F88">
            <v>76</v>
          </cell>
          <cell r="G88">
            <v>36</v>
          </cell>
          <cell r="H88">
            <v>99</v>
          </cell>
          <cell r="I88">
            <v>40</v>
          </cell>
          <cell r="J88">
            <v>62</v>
          </cell>
          <cell r="K88">
            <v>0.04</v>
          </cell>
          <cell r="L88">
            <v>1.38</v>
          </cell>
          <cell r="M88">
            <v>2.2000000000000002</v>
          </cell>
          <cell r="N88">
            <v>0.88</v>
          </cell>
          <cell r="O88">
            <v>3.15</v>
          </cell>
          <cell r="P88">
            <v>0.13</v>
          </cell>
          <cell r="Q88">
            <v>0.13</v>
          </cell>
          <cell r="R88">
            <v>0.13</v>
          </cell>
          <cell r="S88">
            <v>0.13</v>
          </cell>
          <cell r="T88">
            <v>0.33</v>
          </cell>
          <cell r="U88">
            <v>0.03</v>
          </cell>
          <cell r="V88">
            <v>4.4800000000000004</v>
          </cell>
        </row>
        <row r="89">
          <cell r="E89">
            <v>391</v>
          </cell>
          <cell r="F89">
            <v>147</v>
          </cell>
          <cell r="G89">
            <v>22</v>
          </cell>
          <cell r="H89">
            <v>70</v>
          </cell>
          <cell r="I89">
            <v>29</v>
          </cell>
          <cell r="J89">
            <v>36</v>
          </cell>
          <cell r="K89">
            <v>6.5000000000000002E-2</v>
          </cell>
          <cell r="L89">
            <v>1.45</v>
          </cell>
          <cell r="M89">
            <v>2.1</v>
          </cell>
          <cell r="N89">
            <v>0.9</v>
          </cell>
          <cell r="O89">
            <v>2.8</v>
          </cell>
          <cell r="P89">
            <v>-0.08</v>
          </cell>
          <cell r="Q89">
            <v>0.22</v>
          </cell>
          <cell r="R89">
            <v>0.02</v>
          </cell>
          <cell r="S89">
            <v>0.02</v>
          </cell>
          <cell r="T89">
            <v>0.02</v>
          </cell>
          <cell r="U89">
            <v>0.02</v>
          </cell>
          <cell r="V89">
            <v>4.2</v>
          </cell>
        </row>
        <row r="90">
          <cell r="E90">
            <v>380</v>
          </cell>
          <cell r="F90">
            <v>61</v>
          </cell>
          <cell r="G90">
            <v>27</v>
          </cell>
          <cell r="H90">
            <v>61</v>
          </cell>
          <cell r="I90">
            <v>29</v>
          </cell>
          <cell r="J90">
            <v>33</v>
          </cell>
          <cell r="K90">
            <v>7.0000000000000007E-2</v>
          </cell>
          <cell r="L90">
            <v>1.55</v>
          </cell>
          <cell r="M90">
            <v>2.2999999999999998</v>
          </cell>
          <cell r="N90">
            <v>1.1000000000000001</v>
          </cell>
          <cell r="O90">
            <v>2.7</v>
          </cell>
          <cell r="P90">
            <v>0.17</v>
          </cell>
          <cell r="Q90">
            <v>-0.13</v>
          </cell>
          <cell r="R90">
            <v>-0.03</v>
          </cell>
          <cell r="S90">
            <v>-0.03</v>
          </cell>
          <cell r="T90">
            <v>-0.03</v>
          </cell>
          <cell r="U90">
            <v>-0.03</v>
          </cell>
          <cell r="V90">
            <v>4</v>
          </cell>
        </row>
        <row r="91">
          <cell r="E91">
            <v>254</v>
          </cell>
          <cell r="F91">
            <v>61</v>
          </cell>
          <cell r="G91">
            <v>28</v>
          </cell>
          <cell r="H91">
            <v>121</v>
          </cell>
          <cell r="I91">
            <v>20</v>
          </cell>
          <cell r="J91">
            <v>24</v>
          </cell>
          <cell r="K91">
            <v>0.18</v>
          </cell>
          <cell r="L91">
            <v>1.85</v>
          </cell>
          <cell r="M91">
            <v>2.0499999999999998</v>
          </cell>
          <cell r="N91">
            <v>0.75</v>
          </cell>
          <cell r="O91">
            <v>4.45</v>
          </cell>
          <cell r="P91">
            <v>-0.06</v>
          </cell>
          <cell r="Q91">
            <v>-0.06</v>
          </cell>
          <cell r="R91">
            <v>0.14000000000000001</v>
          </cell>
          <cell r="S91">
            <v>-0.16</v>
          </cell>
          <cell r="T91">
            <v>-0.06</v>
          </cell>
          <cell r="U91">
            <v>-0.06</v>
          </cell>
          <cell r="V91">
            <v>5.6</v>
          </cell>
        </row>
        <row r="92">
          <cell r="E92">
            <v>220</v>
          </cell>
          <cell r="F92">
            <v>12</v>
          </cell>
          <cell r="G92">
            <v>125</v>
          </cell>
          <cell r="H92">
            <v>28</v>
          </cell>
          <cell r="I92">
            <v>17</v>
          </cell>
          <cell r="J92">
            <v>17</v>
          </cell>
          <cell r="K92">
            <v>0.08</v>
          </cell>
          <cell r="L92">
            <v>1.95</v>
          </cell>
          <cell r="M92">
            <v>2.85</v>
          </cell>
          <cell r="N92">
            <v>1.0900000000000001</v>
          </cell>
          <cell r="O92">
            <v>1</v>
          </cell>
          <cell r="P92">
            <v>8.5000000000000006E-2</v>
          </cell>
          <cell r="Q92">
            <v>-0.21500000000000002</v>
          </cell>
          <cell r="R92">
            <v>-0.115</v>
          </cell>
          <cell r="S92">
            <v>-0.115</v>
          </cell>
          <cell r="T92">
            <v>-0.115</v>
          </cell>
          <cell r="U92">
            <v>-0.115</v>
          </cell>
          <cell r="V92">
            <v>4.4000000000000004</v>
          </cell>
        </row>
        <row r="93">
          <cell r="E93">
            <v>573</v>
          </cell>
          <cell r="F93">
            <v>21</v>
          </cell>
          <cell r="G93">
            <v>58</v>
          </cell>
          <cell r="H93">
            <v>20</v>
          </cell>
          <cell r="I93">
            <v>51</v>
          </cell>
          <cell r="J93">
            <v>29</v>
          </cell>
          <cell r="K93">
            <v>3.5000000000000003E-2</v>
          </cell>
          <cell r="L93">
            <v>1.43</v>
          </cell>
          <cell r="M93">
            <v>1.75</v>
          </cell>
          <cell r="N93">
            <v>0.73</v>
          </cell>
          <cell r="O93">
            <v>1</v>
          </cell>
          <cell r="P93">
            <v>-1.0000000000000009E-2</v>
          </cell>
          <cell r="Q93">
            <v>0.29000000000000004</v>
          </cell>
          <cell r="R93">
            <v>0.09</v>
          </cell>
          <cell r="S93">
            <v>0.09</v>
          </cell>
          <cell r="T93">
            <v>0.09</v>
          </cell>
          <cell r="U93">
            <v>0.09</v>
          </cell>
          <cell r="V93">
            <v>4.4000000000000004</v>
          </cell>
        </row>
        <row r="94">
          <cell r="E94">
            <v>296</v>
          </cell>
          <cell r="F94">
            <v>64</v>
          </cell>
          <cell r="G94">
            <v>36</v>
          </cell>
          <cell r="H94">
            <v>80</v>
          </cell>
          <cell r="I94">
            <v>23</v>
          </cell>
          <cell r="J94">
            <v>24</v>
          </cell>
          <cell r="K94">
            <v>0.11</v>
          </cell>
          <cell r="L94">
            <v>1.65</v>
          </cell>
          <cell r="M94">
            <v>2.2000000000000002</v>
          </cell>
          <cell r="N94">
            <v>1.1000000000000001</v>
          </cell>
          <cell r="O94">
            <v>2.75</v>
          </cell>
          <cell r="P94">
            <v>-0.04</v>
          </cell>
          <cell r="Q94">
            <v>-0.04</v>
          </cell>
          <cell r="R94">
            <v>-0.04</v>
          </cell>
          <cell r="S94">
            <v>-0.04</v>
          </cell>
          <cell r="T94">
            <v>0.16</v>
          </cell>
          <cell r="U94">
            <v>-0.14000000000000001</v>
          </cell>
          <cell r="V94">
            <v>4.2</v>
          </cell>
        </row>
        <row r="95">
          <cell r="E95">
            <v>384</v>
          </cell>
          <cell r="F95">
            <v>61</v>
          </cell>
          <cell r="G95">
            <v>35</v>
          </cell>
          <cell r="H95">
            <v>77</v>
          </cell>
          <cell r="I95">
            <v>32</v>
          </cell>
          <cell r="J95">
            <v>35</v>
          </cell>
          <cell r="K95">
            <v>0.05</v>
          </cell>
          <cell r="L95">
            <v>1.5</v>
          </cell>
          <cell r="M95">
            <v>2</v>
          </cell>
          <cell r="N95">
            <v>1.05</v>
          </cell>
          <cell r="O95">
            <v>2.5</v>
          </cell>
          <cell r="P95">
            <v>-0.1</v>
          </cell>
          <cell r="Q95">
            <v>0.2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4</v>
          </cell>
        </row>
        <row r="96">
          <cell r="E96">
            <v>309</v>
          </cell>
          <cell r="F96">
            <v>58</v>
          </cell>
          <cell r="G96">
            <v>21</v>
          </cell>
          <cell r="H96">
            <v>72</v>
          </cell>
          <cell r="I96">
            <v>24</v>
          </cell>
          <cell r="J96">
            <v>28</v>
          </cell>
          <cell r="K96">
            <v>0.05</v>
          </cell>
          <cell r="L96">
            <v>1.4</v>
          </cell>
          <cell r="M96">
            <v>3.35</v>
          </cell>
          <cell r="N96">
            <v>1.55</v>
          </cell>
          <cell r="O96">
            <v>2.2999999999999998</v>
          </cell>
          <cell r="P96">
            <v>0.13</v>
          </cell>
          <cell r="Q96">
            <v>-0.17</v>
          </cell>
          <cell r="R96">
            <v>-7.0000000000000007E-2</v>
          </cell>
          <cell r="S96">
            <v>-7.0000000000000007E-2</v>
          </cell>
          <cell r="T96">
            <v>-7.0000000000000007E-2</v>
          </cell>
          <cell r="U96">
            <v>-7.0000000000000007E-2</v>
          </cell>
          <cell r="V96">
            <v>4</v>
          </cell>
        </row>
        <row r="97">
          <cell r="E97">
            <v>305</v>
          </cell>
          <cell r="F97">
            <v>72</v>
          </cell>
          <cell r="G97">
            <v>23</v>
          </cell>
          <cell r="H97">
            <v>93</v>
          </cell>
          <cell r="I97">
            <v>26</v>
          </cell>
          <cell r="J97">
            <v>28</v>
          </cell>
          <cell r="K97">
            <v>0.26</v>
          </cell>
          <cell r="L97">
            <v>1.95</v>
          </cell>
          <cell r="M97">
            <v>2.75</v>
          </cell>
          <cell r="N97">
            <v>0.95</v>
          </cell>
          <cell r="O97">
            <v>2.8</v>
          </cell>
          <cell r="P97">
            <v>-0.05</v>
          </cell>
          <cell r="Q97">
            <v>-0.05</v>
          </cell>
          <cell r="R97">
            <v>0.15000000000000002</v>
          </cell>
          <cell r="S97">
            <v>-0.15000000000000002</v>
          </cell>
          <cell r="T97">
            <v>-0.05</v>
          </cell>
          <cell r="U97">
            <v>-0.05</v>
          </cell>
          <cell r="V97">
            <v>4.4000000000000004</v>
          </cell>
        </row>
        <row r="98">
          <cell r="E98">
            <v>334</v>
          </cell>
          <cell r="F98">
            <v>28</v>
          </cell>
          <cell r="G98">
            <v>80</v>
          </cell>
          <cell r="H98">
            <v>25</v>
          </cell>
          <cell r="I98">
            <v>26</v>
          </cell>
          <cell r="J98">
            <v>28</v>
          </cell>
          <cell r="K98">
            <v>6.5000000000000002E-2</v>
          </cell>
          <cell r="L98">
            <v>1.46</v>
          </cell>
          <cell r="M98">
            <v>3.88</v>
          </cell>
          <cell r="N98">
            <v>1.29</v>
          </cell>
          <cell r="O98">
            <v>1</v>
          </cell>
          <cell r="P98">
            <v>0.16</v>
          </cell>
          <cell r="Q98">
            <v>-0.14000000000000001</v>
          </cell>
          <cell r="R98">
            <v>-0.04</v>
          </cell>
          <cell r="S98">
            <v>-0.04</v>
          </cell>
          <cell r="T98">
            <v>-0.04</v>
          </cell>
          <cell r="U98">
            <v>-0.04</v>
          </cell>
          <cell r="V98">
            <v>9.1999999999999993</v>
          </cell>
        </row>
        <row r="99">
          <cell r="E99">
            <v>334</v>
          </cell>
          <cell r="F99">
            <v>23</v>
          </cell>
          <cell r="G99">
            <v>77</v>
          </cell>
          <cell r="H99">
            <v>35</v>
          </cell>
          <cell r="I99">
            <v>27</v>
          </cell>
          <cell r="J99">
            <v>27</v>
          </cell>
          <cell r="K99">
            <v>0.08</v>
          </cell>
          <cell r="L99">
            <v>1.55</v>
          </cell>
          <cell r="M99">
            <v>3.3</v>
          </cell>
          <cell r="N99">
            <v>1.32</v>
          </cell>
          <cell r="O99">
            <v>1</v>
          </cell>
          <cell r="P99">
            <v>-0.14000000000000001</v>
          </cell>
          <cell r="Q99">
            <v>0.16</v>
          </cell>
          <cell r="R99">
            <v>-0.04</v>
          </cell>
          <cell r="S99">
            <v>-0.04</v>
          </cell>
          <cell r="T99">
            <v>-0.04</v>
          </cell>
          <cell r="U99">
            <v>-0.04</v>
          </cell>
          <cell r="V99">
            <v>4.8</v>
          </cell>
        </row>
        <row r="100">
          <cell r="E100">
            <v>242</v>
          </cell>
          <cell r="F100">
            <v>48</v>
          </cell>
          <cell r="G100">
            <v>24</v>
          </cell>
          <cell r="H100">
            <v>110</v>
          </cell>
          <cell r="I100">
            <v>21</v>
          </cell>
          <cell r="J100">
            <v>22</v>
          </cell>
          <cell r="K100">
            <v>0.08</v>
          </cell>
          <cell r="L100">
            <v>1.55</v>
          </cell>
          <cell r="M100">
            <v>4.2</v>
          </cell>
          <cell r="N100">
            <v>1.3</v>
          </cell>
          <cell r="O100">
            <v>2.5</v>
          </cell>
          <cell r="P100">
            <v>-0.09</v>
          </cell>
          <cell r="Q100">
            <v>-0.09</v>
          </cell>
          <cell r="R100">
            <v>-0.09</v>
          </cell>
          <cell r="S100">
            <v>-0.09</v>
          </cell>
          <cell r="T100">
            <v>0.11000000000000001</v>
          </cell>
          <cell r="U100">
            <v>-0.19</v>
          </cell>
          <cell r="V100">
            <v>4.2</v>
          </cell>
        </row>
        <row r="101">
          <cell r="E101">
            <v>505</v>
          </cell>
          <cell r="F101">
            <v>70</v>
          </cell>
          <cell r="G101">
            <v>32</v>
          </cell>
          <cell r="H101">
            <v>72</v>
          </cell>
          <cell r="I101">
            <v>40</v>
          </cell>
          <cell r="J101">
            <v>40</v>
          </cell>
          <cell r="K101">
            <v>7.0000000000000007E-2</v>
          </cell>
          <cell r="L101">
            <v>1.55</v>
          </cell>
          <cell r="M101">
            <v>2.4</v>
          </cell>
          <cell r="N101">
            <v>1</v>
          </cell>
          <cell r="O101">
            <v>2.5</v>
          </cell>
          <cell r="P101">
            <v>-0.08</v>
          </cell>
          <cell r="Q101">
            <v>0.22</v>
          </cell>
          <cell r="R101">
            <v>0.02</v>
          </cell>
          <cell r="S101">
            <v>0.02</v>
          </cell>
          <cell r="T101">
            <v>0.02</v>
          </cell>
          <cell r="U101">
            <v>0.02</v>
          </cell>
          <cell r="V101">
            <v>4</v>
          </cell>
        </row>
        <row r="102">
          <cell r="E102">
            <v>588</v>
          </cell>
          <cell r="F102">
            <v>64</v>
          </cell>
          <cell r="G102">
            <v>17</v>
          </cell>
          <cell r="H102">
            <v>44</v>
          </cell>
          <cell r="I102">
            <v>45</v>
          </cell>
          <cell r="J102">
            <v>41</v>
          </cell>
          <cell r="K102">
            <v>7.0000000000000007E-2</v>
          </cell>
          <cell r="L102">
            <v>1.5</v>
          </cell>
          <cell r="M102">
            <v>2.8</v>
          </cell>
          <cell r="N102">
            <v>1.45</v>
          </cell>
          <cell r="O102">
            <v>1.55</v>
          </cell>
          <cell r="P102">
            <v>0.23</v>
          </cell>
          <cell r="Q102">
            <v>-7.0000000000000007E-2</v>
          </cell>
          <cell r="R102">
            <v>0.03</v>
          </cell>
          <cell r="S102">
            <v>0.03</v>
          </cell>
          <cell r="T102">
            <v>0.03</v>
          </cell>
          <cell r="U102">
            <v>0.03</v>
          </cell>
          <cell r="V102">
            <v>3.6</v>
          </cell>
        </row>
        <row r="103">
          <cell r="E103">
            <v>409</v>
          </cell>
          <cell r="F103">
            <v>64</v>
          </cell>
          <cell r="G103">
            <v>21</v>
          </cell>
          <cell r="H103">
            <v>79</v>
          </cell>
          <cell r="I103">
            <v>34</v>
          </cell>
          <cell r="J103">
            <v>33</v>
          </cell>
          <cell r="K103">
            <v>7.4999999999999997E-2</v>
          </cell>
          <cell r="L103">
            <v>1.5</v>
          </cell>
          <cell r="M103">
            <v>3.1</v>
          </cell>
          <cell r="N103">
            <v>1.1499999999999999</v>
          </cell>
          <cell r="O103">
            <v>3.0750000000000002</v>
          </cell>
          <cell r="P103">
            <v>-0.01</v>
          </cell>
          <cell r="Q103">
            <v>-0.01</v>
          </cell>
          <cell r="R103">
            <v>0.19</v>
          </cell>
          <cell r="S103">
            <v>-0.11</v>
          </cell>
          <cell r="T103">
            <v>-0.01</v>
          </cell>
          <cell r="U103">
            <v>-0.01</v>
          </cell>
          <cell r="V103">
            <v>8.6</v>
          </cell>
        </row>
        <row r="104">
          <cell r="E104">
            <v>414</v>
          </cell>
          <cell r="F104">
            <v>24</v>
          </cell>
          <cell r="G104">
            <v>79</v>
          </cell>
          <cell r="H104">
            <v>36</v>
          </cell>
          <cell r="I104">
            <v>33</v>
          </cell>
          <cell r="J104">
            <v>33</v>
          </cell>
          <cell r="K104">
            <v>0.11</v>
          </cell>
          <cell r="L104">
            <v>1.75</v>
          </cell>
          <cell r="M104">
            <v>3</v>
          </cell>
          <cell r="N104">
            <v>1.18</v>
          </cell>
          <cell r="O104">
            <v>1</v>
          </cell>
          <cell r="P104">
            <v>0.17</v>
          </cell>
          <cell r="Q104">
            <v>-0.13</v>
          </cell>
          <cell r="R104">
            <v>-0.03</v>
          </cell>
          <cell r="S104">
            <v>-0.03</v>
          </cell>
          <cell r="T104">
            <v>-0.03</v>
          </cell>
          <cell r="U104">
            <v>-0.03</v>
          </cell>
          <cell r="V104">
            <v>4.2</v>
          </cell>
        </row>
        <row r="105">
          <cell r="E105">
            <v>322</v>
          </cell>
          <cell r="F105">
            <v>25</v>
          </cell>
          <cell r="G105">
            <v>98</v>
          </cell>
          <cell r="H105">
            <v>33</v>
          </cell>
          <cell r="I105">
            <v>28</v>
          </cell>
          <cell r="J105">
            <v>29</v>
          </cell>
          <cell r="K105">
            <v>0.11</v>
          </cell>
          <cell r="L105">
            <v>1.58</v>
          </cell>
          <cell r="M105">
            <v>4.45</v>
          </cell>
          <cell r="N105">
            <v>1.3</v>
          </cell>
          <cell r="O105">
            <v>1</v>
          </cell>
          <cell r="P105">
            <v>-0.16</v>
          </cell>
          <cell r="Q105">
            <v>0.14000000000000001</v>
          </cell>
          <cell r="R105">
            <v>-0.06</v>
          </cell>
          <cell r="S105">
            <v>-0.06</v>
          </cell>
          <cell r="T105">
            <v>-0.06</v>
          </cell>
          <cell r="U105">
            <v>-0.06</v>
          </cell>
          <cell r="V105">
            <v>5.6</v>
          </cell>
        </row>
        <row r="106">
          <cell r="E106">
            <v>487</v>
          </cell>
          <cell r="F106">
            <v>117</v>
          </cell>
          <cell r="G106">
            <v>24</v>
          </cell>
          <cell r="H106">
            <v>81</v>
          </cell>
          <cell r="I106">
            <v>28</v>
          </cell>
          <cell r="J106">
            <v>75</v>
          </cell>
          <cell r="K106">
            <v>4.4999999999999998E-2</v>
          </cell>
          <cell r="L106">
            <v>1.45</v>
          </cell>
          <cell r="M106">
            <v>1.9</v>
          </cell>
          <cell r="N106">
            <v>0.84</v>
          </cell>
          <cell r="O106">
            <v>2.65</v>
          </cell>
          <cell r="P106">
            <v>0.09</v>
          </cell>
          <cell r="Q106">
            <v>0.09</v>
          </cell>
          <cell r="R106">
            <v>0.09</v>
          </cell>
          <cell r="S106">
            <v>0.09</v>
          </cell>
          <cell r="T106">
            <v>0.29000000000000004</v>
          </cell>
          <cell r="U106">
            <v>-1.0000000000000009E-2</v>
          </cell>
          <cell r="V106">
            <v>4.4000000000000004</v>
          </cell>
        </row>
        <row r="107">
          <cell r="E107">
            <v>485</v>
          </cell>
          <cell r="F107">
            <v>81</v>
          </cell>
          <cell r="G107">
            <v>27</v>
          </cell>
          <cell r="H107">
            <v>96</v>
          </cell>
          <cell r="I107">
            <v>33</v>
          </cell>
          <cell r="J107">
            <v>37</v>
          </cell>
          <cell r="K107">
            <v>0.06</v>
          </cell>
          <cell r="L107">
            <v>1.6</v>
          </cell>
          <cell r="M107">
            <v>2.25</v>
          </cell>
          <cell r="N107">
            <v>0.91</v>
          </cell>
          <cell r="O107">
            <v>4.75</v>
          </cell>
          <cell r="P107">
            <v>-0.12000000000000001</v>
          </cell>
          <cell r="Q107">
            <v>0.18000000000000002</v>
          </cell>
          <cell r="R107">
            <v>-0.02</v>
          </cell>
          <cell r="S107">
            <v>-0.02</v>
          </cell>
          <cell r="T107">
            <v>-0.02</v>
          </cell>
          <cell r="U107">
            <v>-0.02</v>
          </cell>
          <cell r="V107">
            <v>6.6</v>
          </cell>
        </row>
        <row r="108">
          <cell r="E108">
            <v>521</v>
          </cell>
          <cell r="F108">
            <v>195</v>
          </cell>
          <cell r="G108">
            <v>29</v>
          </cell>
          <cell r="H108">
            <v>93</v>
          </cell>
          <cell r="I108">
            <v>39</v>
          </cell>
          <cell r="J108">
            <v>48</v>
          </cell>
          <cell r="K108">
            <v>6.5000000000000002E-2</v>
          </cell>
          <cell r="L108">
            <v>1.45</v>
          </cell>
          <cell r="M108">
            <v>2.1</v>
          </cell>
          <cell r="N108">
            <v>0.9</v>
          </cell>
          <cell r="O108">
            <v>2.8</v>
          </cell>
          <cell r="P108">
            <v>0.22</v>
          </cell>
          <cell r="Q108">
            <v>-0.08</v>
          </cell>
          <cell r="R108">
            <v>0.02</v>
          </cell>
          <cell r="S108">
            <v>0.02</v>
          </cell>
          <cell r="T108">
            <v>0.02</v>
          </cell>
          <cell r="U108">
            <v>0.02</v>
          </cell>
          <cell r="V108">
            <v>4.2</v>
          </cell>
        </row>
        <row r="109">
          <cell r="E109">
            <v>505</v>
          </cell>
          <cell r="F109">
            <v>81</v>
          </cell>
          <cell r="G109">
            <v>36</v>
          </cell>
          <cell r="H109">
            <v>81</v>
          </cell>
          <cell r="I109">
            <v>38</v>
          </cell>
          <cell r="J109">
            <v>44</v>
          </cell>
          <cell r="K109">
            <v>7.0000000000000007E-2</v>
          </cell>
          <cell r="L109">
            <v>1.55</v>
          </cell>
          <cell r="M109">
            <v>2.2999999999999998</v>
          </cell>
          <cell r="N109">
            <v>1.1000000000000001</v>
          </cell>
          <cell r="O109">
            <v>2.7</v>
          </cell>
          <cell r="P109">
            <v>-0.03</v>
          </cell>
          <cell r="Q109">
            <v>-0.03</v>
          </cell>
          <cell r="R109">
            <v>0.17</v>
          </cell>
          <cell r="S109">
            <v>-0.13</v>
          </cell>
          <cell r="T109">
            <v>-0.03</v>
          </cell>
          <cell r="U109">
            <v>-0.03</v>
          </cell>
          <cell r="V109">
            <v>4</v>
          </cell>
        </row>
        <row r="110">
          <cell r="E110">
            <v>409</v>
          </cell>
          <cell r="F110">
            <v>26</v>
          </cell>
          <cell r="G110">
            <v>71</v>
          </cell>
          <cell r="H110">
            <v>22</v>
          </cell>
          <cell r="I110">
            <v>30</v>
          </cell>
          <cell r="J110">
            <v>32</v>
          </cell>
          <cell r="K110">
            <v>7.0000000000000007E-2</v>
          </cell>
          <cell r="L110">
            <v>1.45</v>
          </cell>
          <cell r="M110">
            <v>3.35</v>
          </cell>
          <cell r="N110">
            <v>1.77</v>
          </cell>
          <cell r="O110">
            <v>1</v>
          </cell>
          <cell r="P110">
            <v>0.13500000000000001</v>
          </cell>
          <cell r="Q110">
            <v>-0.16500000000000001</v>
          </cell>
          <cell r="R110">
            <v>-6.5000000000000002E-2</v>
          </cell>
          <cell r="S110">
            <v>-6.5000000000000002E-2</v>
          </cell>
          <cell r="T110">
            <v>-6.5000000000000002E-2</v>
          </cell>
          <cell r="U110">
            <v>-6.5000000000000002E-2</v>
          </cell>
          <cell r="V110">
            <v>5</v>
          </cell>
        </row>
        <row r="111">
          <cell r="E111">
            <v>293</v>
          </cell>
          <cell r="F111">
            <v>16</v>
          </cell>
          <cell r="G111">
            <v>167</v>
          </cell>
          <cell r="H111">
            <v>38</v>
          </cell>
          <cell r="I111">
            <v>22</v>
          </cell>
          <cell r="J111">
            <v>23</v>
          </cell>
          <cell r="K111">
            <v>0.08</v>
          </cell>
          <cell r="L111">
            <v>1.95</v>
          </cell>
          <cell r="M111">
            <v>2.85</v>
          </cell>
          <cell r="N111">
            <v>1.0900000000000001</v>
          </cell>
          <cell r="O111">
            <v>1</v>
          </cell>
          <cell r="P111">
            <v>-0.21500000000000002</v>
          </cell>
          <cell r="Q111">
            <v>8.5000000000000006E-2</v>
          </cell>
          <cell r="R111">
            <v>-0.115</v>
          </cell>
          <cell r="S111">
            <v>-0.115</v>
          </cell>
          <cell r="T111">
            <v>-0.115</v>
          </cell>
          <cell r="U111">
            <v>-0.115</v>
          </cell>
          <cell r="V111">
            <v>4.4000000000000004</v>
          </cell>
        </row>
        <row r="112">
          <cell r="E112">
            <v>708</v>
          </cell>
          <cell r="F112">
            <v>162</v>
          </cell>
          <cell r="G112">
            <v>27</v>
          </cell>
          <cell r="H112">
            <v>72</v>
          </cell>
          <cell r="I112">
            <v>38</v>
          </cell>
          <cell r="J112">
            <v>68</v>
          </cell>
          <cell r="K112">
            <v>0.115</v>
          </cell>
          <cell r="L112">
            <v>1.95</v>
          </cell>
          <cell r="M112">
            <v>1.2</v>
          </cell>
          <cell r="N112">
            <v>0.72</v>
          </cell>
          <cell r="O112">
            <v>3.3250000000000002</v>
          </cell>
          <cell r="P112">
            <v>0.08</v>
          </cell>
          <cell r="Q112">
            <v>0.08</v>
          </cell>
          <cell r="R112">
            <v>0.08</v>
          </cell>
          <cell r="S112">
            <v>0.08</v>
          </cell>
          <cell r="T112">
            <v>0.28000000000000003</v>
          </cell>
          <cell r="U112">
            <v>-2.0000000000000004E-2</v>
          </cell>
          <cell r="V112">
            <v>5</v>
          </cell>
        </row>
        <row r="113">
          <cell r="E113">
            <v>556</v>
          </cell>
          <cell r="F113">
            <v>97</v>
          </cell>
          <cell r="G113">
            <v>32</v>
          </cell>
          <cell r="H113">
            <v>100</v>
          </cell>
          <cell r="I113">
            <v>43</v>
          </cell>
          <cell r="J113">
            <v>45</v>
          </cell>
          <cell r="K113">
            <v>4.4999999999999998E-2</v>
          </cell>
          <cell r="L113">
            <v>1.4</v>
          </cell>
          <cell r="M113">
            <v>2.0499999999999998</v>
          </cell>
          <cell r="N113">
            <v>0.92</v>
          </cell>
          <cell r="O113">
            <v>2.6749999999999998</v>
          </cell>
          <cell r="P113">
            <v>0.09</v>
          </cell>
          <cell r="Q113">
            <v>0.39</v>
          </cell>
          <cell r="R113">
            <v>0.19</v>
          </cell>
          <cell r="S113">
            <v>0.19</v>
          </cell>
          <cell r="T113">
            <v>0.19</v>
          </cell>
          <cell r="U113">
            <v>0.19</v>
          </cell>
          <cell r="V113">
            <v>4</v>
          </cell>
        </row>
        <row r="114">
          <cell r="E114">
            <v>512</v>
          </cell>
          <cell r="F114">
            <v>81</v>
          </cell>
          <cell r="G114">
            <v>46</v>
          </cell>
          <cell r="H114">
            <v>103</v>
          </cell>
          <cell r="I114">
            <v>42</v>
          </cell>
          <cell r="J114">
            <v>47</v>
          </cell>
          <cell r="K114">
            <v>0.05</v>
          </cell>
          <cell r="L114">
            <v>1.5</v>
          </cell>
          <cell r="M114">
            <v>2</v>
          </cell>
          <cell r="N114">
            <v>1.05</v>
          </cell>
          <cell r="O114">
            <v>2.5</v>
          </cell>
          <cell r="P114">
            <v>0.2</v>
          </cell>
          <cell r="Q114">
            <v>-0.1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4</v>
          </cell>
        </row>
        <row r="115">
          <cell r="E115">
            <v>411</v>
          </cell>
          <cell r="F115">
            <v>77</v>
          </cell>
          <cell r="G115">
            <v>28</v>
          </cell>
          <cell r="H115">
            <v>96</v>
          </cell>
          <cell r="I115">
            <v>32</v>
          </cell>
          <cell r="J115">
            <v>37</v>
          </cell>
          <cell r="K115">
            <v>0.05</v>
          </cell>
          <cell r="L115">
            <v>1.4</v>
          </cell>
          <cell r="M115">
            <v>3.35</v>
          </cell>
          <cell r="N115">
            <v>1.55</v>
          </cell>
          <cell r="O115">
            <v>2.2999999999999998</v>
          </cell>
          <cell r="P115">
            <v>-7.0000000000000007E-2</v>
          </cell>
          <cell r="Q115">
            <v>-7.0000000000000007E-2</v>
          </cell>
          <cell r="R115">
            <v>0.13</v>
          </cell>
          <cell r="S115">
            <v>-0.17</v>
          </cell>
          <cell r="T115">
            <v>-7.0000000000000007E-2</v>
          </cell>
          <cell r="U115">
            <v>-7.0000000000000007E-2</v>
          </cell>
          <cell r="V115">
            <v>4</v>
          </cell>
        </row>
        <row r="116">
          <cell r="E116">
            <v>367</v>
          </cell>
          <cell r="F116">
            <v>22</v>
          </cell>
          <cell r="G116">
            <v>98</v>
          </cell>
          <cell r="H116">
            <v>24</v>
          </cell>
          <cell r="I116">
            <v>31</v>
          </cell>
          <cell r="J116">
            <v>32</v>
          </cell>
          <cell r="K116">
            <v>0.21</v>
          </cell>
          <cell r="L116">
            <v>1.78</v>
          </cell>
          <cell r="M116">
            <v>4.05</v>
          </cell>
          <cell r="N116">
            <v>1.56</v>
          </cell>
          <cell r="O116">
            <v>1</v>
          </cell>
          <cell r="P116">
            <v>0.12000000000000001</v>
          </cell>
          <cell r="Q116">
            <v>-0.18</v>
          </cell>
          <cell r="R116">
            <v>-0.08</v>
          </cell>
          <cell r="S116">
            <v>-0.08</v>
          </cell>
          <cell r="T116">
            <v>-0.08</v>
          </cell>
          <cell r="U116">
            <v>-0.08</v>
          </cell>
          <cell r="V116">
            <v>5</v>
          </cell>
        </row>
        <row r="117">
          <cell r="E117">
            <v>445</v>
          </cell>
          <cell r="F117">
            <v>38</v>
          </cell>
          <cell r="G117">
            <v>107</v>
          </cell>
          <cell r="H117">
            <v>34</v>
          </cell>
          <cell r="I117">
            <v>34</v>
          </cell>
          <cell r="J117">
            <v>37</v>
          </cell>
          <cell r="K117">
            <v>6.5000000000000002E-2</v>
          </cell>
          <cell r="L117">
            <v>1.46</v>
          </cell>
          <cell r="M117">
            <v>3.88</v>
          </cell>
          <cell r="N117">
            <v>1.29</v>
          </cell>
          <cell r="O117">
            <v>1</v>
          </cell>
          <cell r="P117">
            <v>-0.14000000000000001</v>
          </cell>
          <cell r="Q117">
            <v>0.16</v>
          </cell>
          <cell r="R117">
            <v>-0.04</v>
          </cell>
          <cell r="S117">
            <v>-0.04</v>
          </cell>
          <cell r="T117">
            <v>-0.04</v>
          </cell>
          <cell r="U117">
            <v>-0.04</v>
          </cell>
          <cell r="V117">
            <v>9.1999999999999993</v>
          </cell>
        </row>
        <row r="118">
          <cell r="E118">
            <v>667</v>
          </cell>
          <cell r="F118">
            <v>81</v>
          </cell>
          <cell r="G118">
            <v>36</v>
          </cell>
          <cell r="H118">
            <v>79</v>
          </cell>
          <cell r="I118">
            <v>58</v>
          </cell>
          <cell r="J118">
            <v>38</v>
          </cell>
          <cell r="K118">
            <v>0.08</v>
          </cell>
          <cell r="L118">
            <v>1.6</v>
          </cell>
          <cell r="M118">
            <v>2.8</v>
          </cell>
          <cell r="N118">
            <v>1</v>
          </cell>
          <cell r="O118">
            <v>2.5</v>
          </cell>
          <cell r="P118">
            <v>1.4999999999999999E-2</v>
          </cell>
          <cell r="Q118">
            <v>1.4999999999999999E-2</v>
          </cell>
          <cell r="R118">
            <v>1.4999999999999999E-2</v>
          </cell>
          <cell r="S118">
            <v>1.4999999999999999E-2</v>
          </cell>
          <cell r="T118">
            <v>0.21500000000000002</v>
          </cell>
          <cell r="U118">
            <v>-8.5000000000000006E-2</v>
          </cell>
          <cell r="V118">
            <v>4</v>
          </cell>
        </row>
        <row r="119">
          <cell r="E119">
            <v>502</v>
          </cell>
          <cell r="F119">
            <v>80</v>
          </cell>
          <cell r="G119">
            <v>62</v>
          </cell>
          <cell r="H119">
            <v>137</v>
          </cell>
          <cell r="I119">
            <v>42</v>
          </cell>
          <cell r="J119">
            <v>49</v>
          </cell>
          <cell r="K119">
            <v>0.05</v>
          </cell>
          <cell r="L119">
            <v>1.5</v>
          </cell>
          <cell r="M119">
            <v>2</v>
          </cell>
          <cell r="N119">
            <v>1</v>
          </cell>
          <cell r="O119">
            <v>2.5</v>
          </cell>
          <cell r="P119">
            <v>-0.12000000000000001</v>
          </cell>
          <cell r="Q119">
            <v>0.18000000000000002</v>
          </cell>
          <cell r="R119">
            <v>-0.02</v>
          </cell>
          <cell r="S119">
            <v>-0.02</v>
          </cell>
          <cell r="T119">
            <v>-0.02</v>
          </cell>
          <cell r="U119">
            <v>-0.02</v>
          </cell>
          <cell r="V119">
            <v>4</v>
          </cell>
        </row>
        <row r="120">
          <cell r="E120">
            <v>673</v>
          </cell>
          <cell r="F120">
            <v>94</v>
          </cell>
          <cell r="G120">
            <v>43</v>
          </cell>
          <cell r="H120">
            <v>95</v>
          </cell>
          <cell r="I120">
            <v>54</v>
          </cell>
          <cell r="J120">
            <v>54</v>
          </cell>
          <cell r="K120">
            <v>7.0000000000000007E-2</v>
          </cell>
          <cell r="L120">
            <v>1.55</v>
          </cell>
          <cell r="M120">
            <v>2.4</v>
          </cell>
          <cell r="N120">
            <v>1</v>
          </cell>
          <cell r="O120">
            <v>2.5</v>
          </cell>
          <cell r="P120">
            <v>0.22</v>
          </cell>
          <cell r="Q120">
            <v>-0.08</v>
          </cell>
          <cell r="R120">
            <v>0.02</v>
          </cell>
          <cell r="S120">
            <v>0.02</v>
          </cell>
          <cell r="T120">
            <v>0.02</v>
          </cell>
          <cell r="U120">
            <v>0.02</v>
          </cell>
          <cell r="V120">
            <v>4</v>
          </cell>
        </row>
        <row r="121">
          <cell r="E121">
            <v>783</v>
          </cell>
          <cell r="F121">
            <v>85</v>
          </cell>
          <cell r="G121">
            <v>22</v>
          </cell>
          <cell r="H121">
            <v>58</v>
          </cell>
          <cell r="I121">
            <v>60</v>
          </cell>
          <cell r="J121">
            <v>55</v>
          </cell>
          <cell r="K121">
            <v>7.0000000000000007E-2</v>
          </cell>
          <cell r="L121">
            <v>1.5</v>
          </cell>
          <cell r="M121">
            <v>2.8</v>
          </cell>
          <cell r="N121">
            <v>1.45</v>
          </cell>
          <cell r="O121">
            <v>1.55</v>
          </cell>
          <cell r="P121">
            <v>0.03</v>
          </cell>
          <cell r="Q121">
            <v>0.03</v>
          </cell>
          <cell r="R121">
            <v>0.23</v>
          </cell>
          <cell r="S121">
            <v>-7.0000000000000007E-2</v>
          </cell>
          <cell r="T121">
            <v>0.03</v>
          </cell>
          <cell r="U121">
            <v>0.03</v>
          </cell>
          <cell r="V121">
            <v>3.6</v>
          </cell>
        </row>
        <row r="122">
          <cell r="E122">
            <v>734</v>
          </cell>
          <cell r="F122">
            <v>44</v>
          </cell>
          <cell r="G122">
            <v>84</v>
          </cell>
          <cell r="H122">
            <v>31</v>
          </cell>
          <cell r="I122">
            <v>37</v>
          </cell>
          <cell r="J122">
            <v>103</v>
          </cell>
          <cell r="K122">
            <v>0.05</v>
          </cell>
          <cell r="L122">
            <v>1.47</v>
          </cell>
          <cell r="M122">
            <v>2.4500000000000002</v>
          </cell>
          <cell r="N122">
            <v>1</v>
          </cell>
          <cell r="O122">
            <v>1</v>
          </cell>
          <cell r="P122">
            <v>0.26500000000000001</v>
          </cell>
          <cell r="Q122">
            <v>-3.5000000000000003E-2</v>
          </cell>
          <cell r="R122">
            <v>6.5000000000000002E-2</v>
          </cell>
          <cell r="S122">
            <v>6.5000000000000002E-2</v>
          </cell>
          <cell r="T122">
            <v>6.5000000000000002E-2</v>
          </cell>
          <cell r="U122">
            <v>6.5000000000000002E-2</v>
          </cell>
          <cell r="V122">
            <v>4.2</v>
          </cell>
        </row>
        <row r="123">
          <cell r="E123">
            <v>550</v>
          </cell>
          <cell r="F123">
            <v>32</v>
          </cell>
          <cell r="G123">
            <v>105</v>
          </cell>
          <cell r="H123">
            <v>47</v>
          </cell>
          <cell r="I123">
            <v>44</v>
          </cell>
          <cell r="J123">
            <v>44</v>
          </cell>
          <cell r="K123">
            <v>0.11</v>
          </cell>
          <cell r="L123">
            <v>1.75</v>
          </cell>
          <cell r="M123">
            <v>3</v>
          </cell>
          <cell r="N123">
            <v>1.18</v>
          </cell>
          <cell r="O123">
            <v>1</v>
          </cell>
          <cell r="P123">
            <v>-0.13</v>
          </cell>
          <cell r="Q123">
            <v>0.17</v>
          </cell>
          <cell r="R123">
            <v>-0.03</v>
          </cell>
          <cell r="S123">
            <v>-0.03</v>
          </cell>
          <cell r="T123">
            <v>-0.03</v>
          </cell>
          <cell r="U123">
            <v>-0.03</v>
          </cell>
          <cell r="V123">
            <v>4.2</v>
          </cell>
        </row>
        <row r="124">
          <cell r="E124">
            <v>557</v>
          </cell>
          <cell r="F124">
            <v>143</v>
          </cell>
          <cell r="G124">
            <v>60</v>
          </cell>
          <cell r="H124">
            <v>179</v>
          </cell>
          <cell r="I124">
            <v>43</v>
          </cell>
          <cell r="J124">
            <v>46</v>
          </cell>
          <cell r="K124">
            <v>0.04</v>
          </cell>
          <cell r="L124">
            <v>2.2000000000000002</v>
          </cell>
          <cell r="M124">
            <v>1.65</v>
          </cell>
          <cell r="N124">
            <v>0.64</v>
          </cell>
          <cell r="O124">
            <v>3.7</v>
          </cell>
          <cell r="P124">
            <v>-2.5000000000000001E-2</v>
          </cell>
          <cell r="Q124">
            <v>-2.5000000000000001E-2</v>
          </cell>
          <cell r="R124">
            <v>-2.5000000000000001E-2</v>
          </cell>
          <cell r="S124">
            <v>-2.5000000000000001E-2</v>
          </cell>
          <cell r="T124">
            <v>0.17500000000000002</v>
          </cell>
          <cell r="U124">
            <v>-0.125</v>
          </cell>
          <cell r="V124">
            <v>5</v>
          </cell>
        </row>
        <row r="125">
          <cell r="E125">
            <v>673</v>
          </cell>
          <cell r="F125">
            <v>142</v>
          </cell>
          <cell r="G125">
            <v>54</v>
          </cell>
          <cell r="H125">
            <v>120</v>
          </cell>
          <cell r="I125">
            <v>54</v>
          </cell>
          <cell r="J125">
            <v>65</v>
          </cell>
          <cell r="K125">
            <v>0.06</v>
          </cell>
          <cell r="L125">
            <v>1.4</v>
          </cell>
          <cell r="M125">
            <v>2.1</v>
          </cell>
          <cell r="N125">
            <v>0.95</v>
          </cell>
          <cell r="O125">
            <v>2.875</v>
          </cell>
          <cell r="P125">
            <v>-7.0000000000000007E-2</v>
          </cell>
          <cell r="Q125">
            <v>0.23</v>
          </cell>
          <cell r="R125">
            <v>0.03</v>
          </cell>
          <cell r="S125">
            <v>0.03</v>
          </cell>
          <cell r="T125">
            <v>0.03</v>
          </cell>
          <cell r="U125">
            <v>0.03</v>
          </cell>
          <cell r="V125">
            <v>4.8</v>
          </cell>
        </row>
        <row r="126">
          <cell r="E126">
            <v>646</v>
          </cell>
          <cell r="F126">
            <v>108</v>
          </cell>
          <cell r="G126">
            <v>36</v>
          </cell>
          <cell r="H126">
            <v>128</v>
          </cell>
          <cell r="I126">
            <v>44</v>
          </cell>
          <cell r="J126">
            <v>49</v>
          </cell>
          <cell r="K126">
            <v>0.06</v>
          </cell>
          <cell r="L126">
            <v>1.6</v>
          </cell>
          <cell r="M126">
            <v>2.25</v>
          </cell>
          <cell r="N126">
            <v>0.91</v>
          </cell>
          <cell r="O126">
            <v>4.75</v>
          </cell>
          <cell r="P126">
            <v>0.18000000000000002</v>
          </cell>
          <cell r="Q126">
            <v>-0.12000000000000001</v>
          </cell>
          <cell r="R126">
            <v>-0.02</v>
          </cell>
          <cell r="S126">
            <v>-0.02</v>
          </cell>
          <cell r="T126">
            <v>-0.02</v>
          </cell>
          <cell r="U126">
            <v>-0.02</v>
          </cell>
          <cell r="V126">
            <v>6.6</v>
          </cell>
        </row>
        <row r="127">
          <cell r="E127">
            <v>693</v>
          </cell>
          <cell r="F127">
            <v>260</v>
          </cell>
          <cell r="G127">
            <v>39</v>
          </cell>
          <cell r="H127">
            <v>124</v>
          </cell>
          <cell r="I127">
            <v>52</v>
          </cell>
          <cell r="J127">
            <v>64</v>
          </cell>
          <cell r="K127">
            <v>6.5000000000000002E-2</v>
          </cell>
          <cell r="L127">
            <v>1.45</v>
          </cell>
          <cell r="M127">
            <v>2.1</v>
          </cell>
          <cell r="N127">
            <v>0.9</v>
          </cell>
          <cell r="O127">
            <v>2.8</v>
          </cell>
          <cell r="P127">
            <v>0.02</v>
          </cell>
          <cell r="Q127">
            <v>0.02</v>
          </cell>
          <cell r="R127">
            <v>0.22</v>
          </cell>
          <cell r="S127">
            <v>-0.08</v>
          </cell>
          <cell r="T127">
            <v>0.02</v>
          </cell>
          <cell r="U127">
            <v>0.02</v>
          </cell>
          <cell r="V127">
            <v>4.2</v>
          </cell>
        </row>
        <row r="128">
          <cell r="E128">
            <v>619</v>
          </cell>
          <cell r="F128">
            <v>44</v>
          </cell>
          <cell r="G128">
            <v>129</v>
          </cell>
          <cell r="H128">
            <v>58</v>
          </cell>
          <cell r="I128">
            <v>51</v>
          </cell>
          <cell r="J128">
            <v>57</v>
          </cell>
          <cell r="K128">
            <v>0.05</v>
          </cell>
          <cell r="L128">
            <v>1.5</v>
          </cell>
          <cell r="M128">
            <v>2</v>
          </cell>
          <cell r="N128">
            <v>1.05</v>
          </cell>
          <cell r="O128">
            <v>1</v>
          </cell>
          <cell r="P128">
            <v>0.21000000000000002</v>
          </cell>
          <cell r="Q128">
            <v>-9.0000000000000011E-2</v>
          </cell>
          <cell r="R128">
            <v>0.01</v>
          </cell>
          <cell r="S128">
            <v>0.01</v>
          </cell>
          <cell r="T128">
            <v>0.01</v>
          </cell>
          <cell r="U128">
            <v>0.01</v>
          </cell>
          <cell r="V128">
            <v>4</v>
          </cell>
        </row>
        <row r="129">
          <cell r="E129">
            <v>545</v>
          </cell>
          <cell r="F129">
            <v>34</v>
          </cell>
          <cell r="G129">
            <v>94</v>
          </cell>
          <cell r="H129">
            <v>30</v>
          </cell>
          <cell r="I129">
            <v>40</v>
          </cell>
          <cell r="J129">
            <v>43</v>
          </cell>
          <cell r="K129">
            <v>7.0000000000000007E-2</v>
          </cell>
          <cell r="L129">
            <v>1.45</v>
          </cell>
          <cell r="M129">
            <v>3.35</v>
          </cell>
          <cell r="N129">
            <v>1.77</v>
          </cell>
          <cell r="O129">
            <v>1</v>
          </cell>
          <cell r="P129">
            <v>-0.16500000000000001</v>
          </cell>
          <cell r="Q129">
            <v>0.13500000000000001</v>
          </cell>
          <cell r="R129">
            <v>-6.5000000000000002E-2</v>
          </cell>
          <cell r="S129">
            <v>-6.5000000000000002E-2</v>
          </cell>
          <cell r="T129">
            <v>-6.5000000000000002E-2</v>
          </cell>
          <cell r="U129">
            <v>-6.5000000000000002E-2</v>
          </cell>
          <cell r="V129">
            <v>5</v>
          </cell>
        </row>
        <row r="130">
          <cell r="E130">
            <v>552</v>
          </cell>
          <cell r="F130">
            <v>132</v>
          </cell>
          <cell r="G130">
            <v>51</v>
          </cell>
          <cell r="H130">
            <v>188</v>
          </cell>
          <cell r="I130">
            <v>44</v>
          </cell>
          <cell r="J130">
            <v>47</v>
          </cell>
          <cell r="K130">
            <v>0.12</v>
          </cell>
          <cell r="L130">
            <v>2.5499999999999998</v>
          </cell>
          <cell r="M130">
            <v>2.2999999999999998</v>
          </cell>
          <cell r="N130">
            <v>0.68</v>
          </cell>
          <cell r="O130">
            <v>3.55</v>
          </cell>
          <cell r="P130">
            <v>-5.5E-2</v>
          </cell>
          <cell r="Q130">
            <v>-5.5E-2</v>
          </cell>
          <cell r="R130">
            <v>-5.5E-2</v>
          </cell>
          <cell r="S130">
            <v>-5.5E-2</v>
          </cell>
          <cell r="T130">
            <v>0.14500000000000002</v>
          </cell>
          <cell r="U130">
            <v>-0.155</v>
          </cell>
          <cell r="V130">
            <v>4.8</v>
          </cell>
        </row>
        <row r="131">
          <cell r="E131">
            <v>1273</v>
          </cell>
          <cell r="F131">
            <v>146</v>
          </cell>
          <cell r="G131">
            <v>31</v>
          </cell>
          <cell r="H131">
            <v>105</v>
          </cell>
          <cell r="I131">
            <v>97</v>
          </cell>
          <cell r="J131">
            <v>92</v>
          </cell>
          <cell r="K131">
            <v>3.5000000000000003E-2</v>
          </cell>
          <cell r="L131">
            <v>1.4</v>
          </cell>
          <cell r="M131">
            <v>1.5</v>
          </cell>
          <cell r="N131">
            <v>0.6</v>
          </cell>
          <cell r="O131">
            <v>3.1</v>
          </cell>
          <cell r="P131">
            <v>1.999999999999999E-2</v>
          </cell>
          <cell r="Q131">
            <v>0.32</v>
          </cell>
          <cell r="R131">
            <v>0.12</v>
          </cell>
          <cell r="S131">
            <v>0.12</v>
          </cell>
          <cell r="T131">
            <v>0.12</v>
          </cell>
          <cell r="U131">
            <v>0.12</v>
          </cell>
          <cell r="V131">
            <v>4.12</v>
          </cell>
        </row>
        <row r="132">
          <cell r="E132">
            <v>740</v>
          </cell>
          <cell r="F132">
            <v>129</v>
          </cell>
          <cell r="G132">
            <v>42</v>
          </cell>
          <cell r="H132">
            <v>133</v>
          </cell>
          <cell r="I132">
            <v>57</v>
          </cell>
          <cell r="J132">
            <v>60</v>
          </cell>
          <cell r="K132">
            <v>4.4999999999999998E-2</v>
          </cell>
          <cell r="L132">
            <v>1.4</v>
          </cell>
          <cell r="M132">
            <v>2.0499999999999998</v>
          </cell>
          <cell r="N132">
            <v>0.92</v>
          </cell>
          <cell r="O132">
            <v>2.6749999999999998</v>
          </cell>
          <cell r="P132">
            <v>0.39</v>
          </cell>
          <cell r="Q132">
            <v>0.09</v>
          </cell>
          <cell r="R132">
            <v>0.19</v>
          </cell>
          <cell r="S132">
            <v>0.19</v>
          </cell>
          <cell r="T132">
            <v>0.19</v>
          </cell>
          <cell r="U132">
            <v>0.19</v>
          </cell>
          <cell r="V132">
            <v>4</v>
          </cell>
        </row>
        <row r="133">
          <cell r="E133">
            <v>681</v>
          </cell>
          <cell r="F133">
            <v>108</v>
          </cell>
          <cell r="G133">
            <v>62</v>
          </cell>
          <cell r="H133">
            <v>137</v>
          </cell>
          <cell r="I133">
            <v>56</v>
          </cell>
          <cell r="J133">
            <v>62</v>
          </cell>
          <cell r="K133">
            <v>0.05</v>
          </cell>
          <cell r="L133">
            <v>1.5</v>
          </cell>
          <cell r="M133">
            <v>2</v>
          </cell>
          <cell r="N133">
            <v>1.05</v>
          </cell>
          <cell r="O133">
            <v>2.5</v>
          </cell>
          <cell r="P133">
            <v>0</v>
          </cell>
          <cell r="Q133">
            <v>0</v>
          </cell>
          <cell r="R133">
            <v>0.2</v>
          </cell>
          <cell r="S133">
            <v>-0.1</v>
          </cell>
          <cell r="T133">
            <v>0</v>
          </cell>
          <cell r="U133">
            <v>0</v>
          </cell>
          <cell r="V133">
            <v>4</v>
          </cell>
        </row>
        <row r="134">
          <cell r="E134">
            <v>592</v>
          </cell>
          <cell r="F134">
            <v>36</v>
          </cell>
          <cell r="G134">
            <v>163</v>
          </cell>
          <cell r="H134">
            <v>56</v>
          </cell>
          <cell r="I134">
            <v>49</v>
          </cell>
          <cell r="J134">
            <v>45</v>
          </cell>
          <cell r="K134">
            <v>0.13</v>
          </cell>
          <cell r="L134">
            <v>1.7</v>
          </cell>
          <cell r="M134">
            <v>3</v>
          </cell>
          <cell r="N134">
            <v>1.06</v>
          </cell>
          <cell r="O134">
            <v>1</v>
          </cell>
          <cell r="P134">
            <v>0.15500000000000003</v>
          </cell>
          <cell r="Q134">
            <v>-0.14500000000000002</v>
          </cell>
          <cell r="R134">
            <v>-4.4999999999999998E-2</v>
          </cell>
          <cell r="S134">
            <v>-4.4999999999999998E-2</v>
          </cell>
          <cell r="T134">
            <v>-4.4999999999999998E-2</v>
          </cell>
          <cell r="U134">
            <v>-4.4999999999999998E-2</v>
          </cell>
          <cell r="V134">
            <v>5.2</v>
          </cell>
        </row>
        <row r="135">
          <cell r="E135">
            <v>488</v>
          </cell>
          <cell r="F135">
            <v>29</v>
          </cell>
          <cell r="G135">
            <v>131</v>
          </cell>
          <cell r="H135">
            <v>32</v>
          </cell>
          <cell r="I135">
            <v>41</v>
          </cell>
          <cell r="J135">
            <v>42</v>
          </cell>
          <cell r="K135">
            <v>0.21</v>
          </cell>
          <cell r="L135">
            <v>1.78</v>
          </cell>
          <cell r="M135">
            <v>4.05</v>
          </cell>
          <cell r="N135">
            <v>1.56</v>
          </cell>
          <cell r="O135">
            <v>1</v>
          </cell>
          <cell r="P135">
            <v>-0.18</v>
          </cell>
          <cell r="Q135">
            <v>0.12000000000000001</v>
          </cell>
          <cell r="R135">
            <v>-0.08</v>
          </cell>
          <cell r="S135">
            <v>-0.08</v>
          </cell>
          <cell r="T135">
            <v>-0.08</v>
          </cell>
          <cell r="U135">
            <v>-0.08</v>
          </cell>
          <cell r="V135">
            <v>5</v>
          </cell>
        </row>
        <row r="136">
          <cell r="E136">
            <v>585</v>
          </cell>
          <cell r="F136">
            <v>97</v>
          </cell>
          <cell r="G136">
            <v>26</v>
          </cell>
          <cell r="H136">
            <v>107</v>
          </cell>
          <cell r="I136">
            <v>50</v>
          </cell>
          <cell r="J136">
            <v>48</v>
          </cell>
          <cell r="K136">
            <v>6.5000000000000002E-2</v>
          </cell>
          <cell r="L136">
            <v>1.45</v>
          </cell>
          <cell r="M136">
            <v>4</v>
          </cell>
          <cell r="N136">
            <v>1.72</v>
          </cell>
          <cell r="O136">
            <v>1.9</v>
          </cell>
          <cell r="P136">
            <v>-7.0000000000000007E-2</v>
          </cell>
          <cell r="Q136">
            <v>-7.0000000000000007E-2</v>
          </cell>
          <cell r="R136">
            <v>-7.0000000000000007E-2</v>
          </cell>
          <cell r="S136">
            <v>-7.0000000000000007E-2</v>
          </cell>
          <cell r="T136">
            <v>0.13</v>
          </cell>
          <cell r="U136">
            <v>-0.17</v>
          </cell>
          <cell r="V136">
            <v>5.4</v>
          </cell>
        </row>
        <row r="137">
          <cell r="E137">
            <v>912</v>
          </cell>
          <cell r="F137">
            <v>160</v>
          </cell>
          <cell r="G137">
            <v>40</v>
          </cell>
          <cell r="H137">
            <v>135</v>
          </cell>
          <cell r="I137">
            <v>127</v>
          </cell>
          <cell r="J137">
            <v>47</v>
          </cell>
          <cell r="K137">
            <v>5.5E-2</v>
          </cell>
          <cell r="L137">
            <v>1.5</v>
          </cell>
          <cell r="M137">
            <v>1.85</v>
          </cell>
          <cell r="N137">
            <v>0.87</v>
          </cell>
          <cell r="O137">
            <v>2.35</v>
          </cell>
          <cell r="P137">
            <v>-3.5000000000000003E-2</v>
          </cell>
          <cell r="Q137">
            <v>0.26500000000000001</v>
          </cell>
          <cell r="R137">
            <v>6.5000000000000002E-2</v>
          </cell>
          <cell r="S137">
            <v>6.5000000000000002E-2</v>
          </cell>
          <cell r="T137">
            <v>6.5000000000000002E-2</v>
          </cell>
          <cell r="U137">
            <v>6.5000000000000002E-2</v>
          </cell>
          <cell r="V137">
            <v>4.2</v>
          </cell>
        </row>
        <row r="138">
          <cell r="E138">
            <v>668</v>
          </cell>
          <cell r="F138">
            <v>107</v>
          </cell>
          <cell r="G138">
            <v>82</v>
          </cell>
          <cell r="H138">
            <v>182</v>
          </cell>
          <cell r="I138">
            <v>55</v>
          </cell>
          <cell r="J138">
            <v>65</v>
          </cell>
          <cell r="K138">
            <v>0.05</v>
          </cell>
          <cell r="L138">
            <v>1.5</v>
          </cell>
          <cell r="M138">
            <v>2</v>
          </cell>
          <cell r="N138">
            <v>1</v>
          </cell>
          <cell r="O138">
            <v>2.5</v>
          </cell>
          <cell r="P138">
            <v>0.18000000000000002</v>
          </cell>
          <cell r="Q138">
            <v>-0.12000000000000001</v>
          </cell>
          <cell r="R138">
            <v>-0.02</v>
          </cell>
          <cell r="S138">
            <v>-0.02</v>
          </cell>
          <cell r="T138">
            <v>-0.02</v>
          </cell>
          <cell r="U138">
            <v>-0.02</v>
          </cell>
          <cell r="V138">
            <v>4</v>
          </cell>
        </row>
        <row r="139">
          <cell r="E139">
            <v>895</v>
          </cell>
          <cell r="F139">
            <v>125</v>
          </cell>
          <cell r="G139">
            <v>57</v>
          </cell>
          <cell r="H139">
            <v>126</v>
          </cell>
          <cell r="I139">
            <v>72</v>
          </cell>
          <cell r="J139">
            <v>72</v>
          </cell>
          <cell r="K139">
            <v>7.0000000000000007E-2</v>
          </cell>
          <cell r="L139">
            <v>1.55</v>
          </cell>
          <cell r="M139">
            <v>2.4</v>
          </cell>
          <cell r="N139">
            <v>1</v>
          </cell>
          <cell r="O139">
            <v>2.5</v>
          </cell>
          <cell r="P139">
            <v>0.02</v>
          </cell>
          <cell r="Q139">
            <v>0.02</v>
          </cell>
          <cell r="R139">
            <v>0.22</v>
          </cell>
          <cell r="S139">
            <v>-0.08</v>
          </cell>
          <cell r="T139">
            <v>0.02</v>
          </cell>
          <cell r="U139">
            <v>0.02</v>
          </cell>
          <cell r="V139">
            <v>4</v>
          </cell>
        </row>
        <row r="140">
          <cell r="E140">
            <v>749</v>
          </cell>
          <cell r="F140">
            <v>47</v>
          </cell>
          <cell r="G140">
            <v>180</v>
          </cell>
          <cell r="H140">
            <v>65</v>
          </cell>
          <cell r="I140">
            <v>60</v>
          </cell>
          <cell r="J140">
            <v>55</v>
          </cell>
          <cell r="K140">
            <v>7.0000000000000007E-2</v>
          </cell>
          <cell r="L140">
            <v>1.6</v>
          </cell>
          <cell r="M140">
            <v>2.4500000000000002</v>
          </cell>
          <cell r="N140">
            <v>0.94</v>
          </cell>
          <cell r="O140">
            <v>1</v>
          </cell>
          <cell r="P140">
            <v>0.16500000000000001</v>
          </cell>
          <cell r="Q140">
            <v>-0.13500000000000001</v>
          </cell>
          <cell r="R140">
            <v>-3.5000000000000003E-2</v>
          </cell>
          <cell r="S140">
            <v>-3.5000000000000003E-2</v>
          </cell>
          <cell r="T140">
            <v>-3.5000000000000003E-2</v>
          </cell>
          <cell r="U140">
            <v>-3.5000000000000003E-2</v>
          </cell>
          <cell r="V140">
            <v>5.6</v>
          </cell>
        </row>
        <row r="141">
          <cell r="E141">
            <v>977</v>
          </cell>
          <cell r="F141">
            <v>59</v>
          </cell>
          <cell r="G141">
            <v>112</v>
          </cell>
          <cell r="H141">
            <v>42</v>
          </cell>
          <cell r="I141">
            <v>49</v>
          </cell>
          <cell r="J141">
            <v>137</v>
          </cell>
          <cell r="K141">
            <v>0.05</v>
          </cell>
          <cell r="L141">
            <v>1.47</v>
          </cell>
          <cell r="M141">
            <v>2.4500000000000002</v>
          </cell>
          <cell r="N141">
            <v>1</v>
          </cell>
          <cell r="O141">
            <v>1</v>
          </cell>
          <cell r="P141">
            <v>-3.5000000000000003E-2</v>
          </cell>
          <cell r="Q141">
            <v>0.26500000000000001</v>
          </cell>
          <cell r="R141">
            <v>6.5000000000000002E-2</v>
          </cell>
          <cell r="S141">
            <v>6.5000000000000002E-2</v>
          </cell>
          <cell r="T141">
            <v>6.5000000000000002E-2</v>
          </cell>
          <cell r="U141">
            <v>6.5000000000000002E-2</v>
          </cell>
          <cell r="V141">
            <v>4.2</v>
          </cell>
        </row>
        <row r="142">
          <cell r="E142">
            <v>1221</v>
          </cell>
          <cell r="F142">
            <v>148</v>
          </cell>
          <cell r="G142">
            <v>30</v>
          </cell>
          <cell r="H142">
            <v>66</v>
          </cell>
          <cell r="I142">
            <v>98</v>
          </cell>
          <cell r="J142">
            <v>91</v>
          </cell>
          <cell r="K142">
            <v>0.1</v>
          </cell>
          <cell r="L142">
            <v>1.75</v>
          </cell>
          <cell r="M142">
            <v>2.4</v>
          </cell>
          <cell r="N142">
            <v>1.2</v>
          </cell>
          <cell r="O142">
            <v>3</v>
          </cell>
          <cell r="P142">
            <v>0.08</v>
          </cell>
          <cell r="Q142">
            <v>0.08</v>
          </cell>
          <cell r="R142">
            <v>0.08</v>
          </cell>
          <cell r="S142">
            <v>0.08</v>
          </cell>
          <cell r="T142">
            <v>0.28000000000000003</v>
          </cell>
          <cell r="U142">
            <v>-2.0000000000000004E-2</v>
          </cell>
          <cell r="V142">
            <v>4</v>
          </cell>
        </row>
        <row r="143">
          <cell r="E143">
            <v>492</v>
          </cell>
          <cell r="F143">
            <v>196</v>
          </cell>
          <cell r="G143">
            <v>92</v>
          </cell>
          <cell r="H143">
            <v>256</v>
          </cell>
          <cell r="I143">
            <v>104</v>
          </cell>
          <cell r="J143">
            <v>161</v>
          </cell>
          <cell r="K143">
            <v>0.04</v>
          </cell>
          <cell r="L143">
            <v>1.38</v>
          </cell>
          <cell r="M143">
            <v>2.2000000000000002</v>
          </cell>
          <cell r="N143">
            <v>0.88</v>
          </cell>
          <cell r="O143">
            <v>3.15</v>
          </cell>
          <cell r="P143">
            <v>0.03</v>
          </cell>
          <cell r="Q143">
            <v>0.33</v>
          </cell>
          <cell r="R143">
            <v>0.13</v>
          </cell>
          <cell r="S143">
            <v>0.13</v>
          </cell>
          <cell r="T143">
            <v>0.13</v>
          </cell>
          <cell r="U143">
            <v>0.13</v>
          </cell>
          <cell r="V143">
            <v>4.4800000000000004</v>
          </cell>
        </row>
        <row r="144">
          <cell r="E144">
            <v>895</v>
          </cell>
          <cell r="F144">
            <v>189</v>
          </cell>
          <cell r="G144">
            <v>72</v>
          </cell>
          <cell r="H144">
            <v>160</v>
          </cell>
          <cell r="I144">
            <v>72</v>
          </cell>
          <cell r="J144">
            <v>86</v>
          </cell>
          <cell r="K144">
            <v>0.06</v>
          </cell>
          <cell r="L144">
            <v>1.4</v>
          </cell>
          <cell r="M144">
            <v>2.1</v>
          </cell>
          <cell r="N144">
            <v>0.95</v>
          </cell>
          <cell r="O144">
            <v>2.875</v>
          </cell>
          <cell r="P144">
            <v>0.23</v>
          </cell>
          <cell r="Q144">
            <v>-7.0000000000000007E-2</v>
          </cell>
          <cell r="R144">
            <v>0.03</v>
          </cell>
          <cell r="S144">
            <v>0.03</v>
          </cell>
          <cell r="T144">
            <v>0.03</v>
          </cell>
          <cell r="U144">
            <v>0.03</v>
          </cell>
          <cell r="V144">
            <v>4.8</v>
          </cell>
        </row>
        <row r="145">
          <cell r="E145">
            <v>860</v>
          </cell>
          <cell r="F145">
            <v>144</v>
          </cell>
          <cell r="G145">
            <v>47</v>
          </cell>
          <cell r="H145">
            <v>170</v>
          </cell>
          <cell r="I145">
            <v>59</v>
          </cell>
          <cell r="J145">
            <v>65</v>
          </cell>
          <cell r="K145">
            <v>0.06</v>
          </cell>
          <cell r="L145">
            <v>1.6</v>
          </cell>
          <cell r="M145">
            <v>2.25</v>
          </cell>
          <cell r="N145">
            <v>0.91</v>
          </cell>
          <cell r="O145">
            <v>4.75</v>
          </cell>
          <cell r="P145">
            <v>-0.02</v>
          </cell>
          <cell r="Q145">
            <v>-0.02</v>
          </cell>
          <cell r="R145">
            <v>0.18000000000000002</v>
          </cell>
          <cell r="S145">
            <v>-0.12000000000000001</v>
          </cell>
          <cell r="T145">
            <v>-0.02</v>
          </cell>
          <cell r="U145">
            <v>-0.02</v>
          </cell>
          <cell r="V145">
            <v>6.6</v>
          </cell>
        </row>
        <row r="146">
          <cell r="E146">
            <v>779</v>
          </cell>
          <cell r="F146">
            <v>42</v>
          </cell>
          <cell r="G146">
            <v>158</v>
          </cell>
          <cell r="H146">
            <v>46</v>
          </cell>
          <cell r="I146">
            <v>62</v>
          </cell>
          <cell r="J146">
            <v>55</v>
          </cell>
          <cell r="K146">
            <v>0.27</v>
          </cell>
          <cell r="L146">
            <v>2.0299999999999998</v>
          </cell>
          <cell r="M146">
            <v>2.75</v>
          </cell>
          <cell r="N146">
            <v>1.04</v>
          </cell>
          <cell r="O146">
            <v>1</v>
          </cell>
          <cell r="P146">
            <v>0.14000000000000001</v>
          </cell>
          <cell r="Q146">
            <v>-0.16</v>
          </cell>
          <cell r="R146">
            <v>-0.06</v>
          </cell>
          <cell r="S146">
            <v>-0.06</v>
          </cell>
          <cell r="T146">
            <v>-0.06</v>
          </cell>
          <cell r="U146">
            <v>-0.06</v>
          </cell>
          <cell r="V146">
            <v>4.2</v>
          </cell>
        </row>
        <row r="147">
          <cell r="E147">
            <v>824</v>
          </cell>
          <cell r="F147">
            <v>58</v>
          </cell>
          <cell r="G147">
            <v>172</v>
          </cell>
          <cell r="H147">
            <v>77</v>
          </cell>
          <cell r="I147">
            <v>68</v>
          </cell>
          <cell r="J147">
            <v>75</v>
          </cell>
          <cell r="K147">
            <v>0.05</v>
          </cell>
          <cell r="L147">
            <v>1.5</v>
          </cell>
          <cell r="M147">
            <v>2</v>
          </cell>
          <cell r="N147">
            <v>1.05</v>
          </cell>
          <cell r="O147">
            <v>1</v>
          </cell>
          <cell r="P147">
            <v>-9.0000000000000011E-2</v>
          </cell>
          <cell r="Q147">
            <v>0.21000000000000002</v>
          </cell>
          <cell r="R147">
            <v>0.01</v>
          </cell>
          <cell r="S147">
            <v>0.01</v>
          </cell>
          <cell r="T147">
            <v>0.01</v>
          </cell>
          <cell r="U147">
            <v>0.01</v>
          </cell>
          <cell r="V147">
            <v>4</v>
          </cell>
        </row>
        <row r="148">
          <cell r="E148">
            <v>600</v>
          </cell>
          <cell r="F148">
            <v>144</v>
          </cell>
          <cell r="G148">
            <v>66</v>
          </cell>
          <cell r="H148">
            <v>284</v>
          </cell>
          <cell r="I148">
            <v>47</v>
          </cell>
          <cell r="J148">
            <v>57</v>
          </cell>
          <cell r="K148">
            <v>0.18</v>
          </cell>
          <cell r="L148">
            <v>1.85</v>
          </cell>
          <cell r="M148">
            <v>2.0499999999999998</v>
          </cell>
          <cell r="N148">
            <v>0.75</v>
          </cell>
          <cell r="O148">
            <v>4.45</v>
          </cell>
          <cell r="P148">
            <v>-0.06</v>
          </cell>
          <cell r="Q148">
            <v>-0.06</v>
          </cell>
          <cell r="R148">
            <v>-0.06</v>
          </cell>
          <cell r="S148">
            <v>-0.06</v>
          </cell>
          <cell r="T148">
            <v>0.14000000000000001</v>
          </cell>
          <cell r="U148">
            <v>-0.16</v>
          </cell>
          <cell r="V148">
            <v>5.6</v>
          </cell>
        </row>
        <row r="149">
          <cell r="E149">
            <v>768</v>
          </cell>
          <cell r="F149">
            <v>165</v>
          </cell>
          <cell r="G149">
            <v>94</v>
          </cell>
          <cell r="H149">
            <v>208</v>
          </cell>
          <cell r="I149">
            <v>59</v>
          </cell>
          <cell r="J149">
            <v>63</v>
          </cell>
          <cell r="K149">
            <v>0.11</v>
          </cell>
          <cell r="L149">
            <v>1.65</v>
          </cell>
          <cell r="M149">
            <v>2.2000000000000002</v>
          </cell>
          <cell r="N149">
            <v>1.1000000000000001</v>
          </cell>
          <cell r="O149">
            <v>2.75</v>
          </cell>
          <cell r="P149">
            <v>-0.14000000000000001</v>
          </cell>
          <cell r="Q149">
            <v>0.16</v>
          </cell>
          <cell r="R149">
            <v>-0.04</v>
          </cell>
          <cell r="S149">
            <v>-0.04</v>
          </cell>
          <cell r="T149">
            <v>-0.04</v>
          </cell>
          <cell r="U149">
            <v>-0.04</v>
          </cell>
          <cell r="V149">
            <v>4.2</v>
          </cell>
        </row>
        <row r="150">
          <cell r="E150">
            <v>1694</v>
          </cell>
          <cell r="F150">
            <v>194</v>
          </cell>
          <cell r="G150">
            <v>41</v>
          </cell>
          <cell r="H150">
            <v>140</v>
          </cell>
          <cell r="I150">
            <v>129</v>
          </cell>
          <cell r="J150">
            <v>122</v>
          </cell>
          <cell r="K150">
            <v>3.5000000000000003E-2</v>
          </cell>
          <cell r="L150">
            <v>1.4</v>
          </cell>
          <cell r="M150">
            <v>1.5</v>
          </cell>
          <cell r="N150">
            <v>0.6</v>
          </cell>
          <cell r="O150">
            <v>3.1</v>
          </cell>
          <cell r="P150">
            <v>0.32</v>
          </cell>
          <cell r="Q150">
            <v>1.999999999999999E-2</v>
          </cell>
          <cell r="R150">
            <v>0.12</v>
          </cell>
          <cell r="S150">
            <v>0.12</v>
          </cell>
          <cell r="T150">
            <v>0.12</v>
          </cell>
          <cell r="U150">
            <v>0.12</v>
          </cell>
          <cell r="V150">
            <v>4.12</v>
          </cell>
        </row>
        <row r="151">
          <cell r="E151">
            <v>985</v>
          </cell>
          <cell r="F151">
            <v>172</v>
          </cell>
          <cell r="G151">
            <v>55</v>
          </cell>
          <cell r="H151">
            <v>176</v>
          </cell>
          <cell r="I151">
            <v>76</v>
          </cell>
          <cell r="J151">
            <v>80</v>
          </cell>
          <cell r="K151">
            <v>4.4999999999999998E-2</v>
          </cell>
          <cell r="L151">
            <v>1.4</v>
          </cell>
          <cell r="M151">
            <v>2.0499999999999998</v>
          </cell>
          <cell r="N151">
            <v>0.92</v>
          </cell>
          <cell r="O151">
            <v>2.6749999999999998</v>
          </cell>
          <cell r="P151">
            <v>0.19</v>
          </cell>
          <cell r="Q151">
            <v>0.19</v>
          </cell>
          <cell r="R151">
            <v>0.39</v>
          </cell>
          <cell r="S151">
            <v>0.09</v>
          </cell>
          <cell r="T151">
            <v>0.19</v>
          </cell>
          <cell r="U151">
            <v>0.19</v>
          </cell>
          <cell r="V151">
            <v>4</v>
          </cell>
        </row>
        <row r="152">
          <cell r="E152">
            <v>1330</v>
          </cell>
          <cell r="F152">
            <v>57</v>
          </cell>
          <cell r="G152">
            <v>117</v>
          </cell>
          <cell r="H152">
            <v>53</v>
          </cell>
          <cell r="I152">
            <v>110</v>
          </cell>
          <cell r="J152">
            <v>79</v>
          </cell>
          <cell r="K152">
            <v>0.08</v>
          </cell>
          <cell r="L152">
            <v>1.6</v>
          </cell>
          <cell r="M152">
            <v>2.7</v>
          </cell>
          <cell r="N152">
            <v>1.05</v>
          </cell>
          <cell r="O152">
            <v>1</v>
          </cell>
          <cell r="P152">
            <v>0.26500000000000001</v>
          </cell>
          <cell r="Q152">
            <v>-3.5000000000000003E-2</v>
          </cell>
          <cell r="R152">
            <v>6.5000000000000002E-2</v>
          </cell>
          <cell r="S152">
            <v>6.5000000000000002E-2</v>
          </cell>
          <cell r="T152">
            <v>6.5000000000000002E-2</v>
          </cell>
          <cell r="U152">
            <v>6.5000000000000002E-2</v>
          </cell>
          <cell r="V152">
            <v>4</v>
          </cell>
        </row>
        <row r="153">
          <cell r="E153">
            <v>788</v>
          </cell>
          <cell r="F153">
            <v>48</v>
          </cell>
          <cell r="G153">
            <v>218</v>
          </cell>
          <cell r="H153">
            <v>75</v>
          </cell>
          <cell r="I153">
            <v>65</v>
          </cell>
          <cell r="J153">
            <v>60</v>
          </cell>
          <cell r="K153">
            <v>0.13</v>
          </cell>
          <cell r="L153">
            <v>1.7</v>
          </cell>
          <cell r="M153">
            <v>3</v>
          </cell>
          <cell r="N153">
            <v>1.06</v>
          </cell>
          <cell r="O153">
            <v>1</v>
          </cell>
          <cell r="P153">
            <v>-0.14500000000000002</v>
          </cell>
          <cell r="Q153">
            <v>0.15500000000000003</v>
          </cell>
          <cell r="R153">
            <v>-4.4999999999999998E-2</v>
          </cell>
          <cell r="S153">
            <v>-4.4999999999999998E-2</v>
          </cell>
          <cell r="T153">
            <v>-4.4999999999999998E-2</v>
          </cell>
          <cell r="U153">
            <v>-4.4999999999999998E-2</v>
          </cell>
          <cell r="V153">
            <v>5.2</v>
          </cell>
        </row>
        <row r="154">
          <cell r="E154">
            <v>719</v>
          </cell>
          <cell r="F154">
            <v>169</v>
          </cell>
          <cell r="G154">
            <v>55</v>
          </cell>
          <cell r="H154">
            <v>220</v>
          </cell>
          <cell r="I154">
            <v>61</v>
          </cell>
          <cell r="J154">
            <v>67</v>
          </cell>
          <cell r="K154">
            <v>0.26</v>
          </cell>
          <cell r="L154">
            <v>1.95</v>
          </cell>
          <cell r="M154">
            <v>2.75</v>
          </cell>
          <cell r="N154">
            <v>0.95</v>
          </cell>
          <cell r="O154">
            <v>2.8</v>
          </cell>
          <cell r="P154">
            <v>-0.05</v>
          </cell>
          <cell r="Q154">
            <v>-0.05</v>
          </cell>
          <cell r="R154">
            <v>-0.05</v>
          </cell>
          <cell r="S154">
            <v>-0.05</v>
          </cell>
          <cell r="T154">
            <v>0.15000000000000002</v>
          </cell>
          <cell r="U154">
            <v>-0.15000000000000002</v>
          </cell>
          <cell r="V154">
            <v>4.4000000000000004</v>
          </cell>
        </row>
        <row r="155">
          <cell r="E155">
            <v>628</v>
          </cell>
          <cell r="F155">
            <v>123</v>
          </cell>
          <cell r="G155">
            <v>62</v>
          </cell>
          <cell r="H155">
            <v>287</v>
          </cell>
          <cell r="I155">
            <v>55</v>
          </cell>
          <cell r="J155">
            <v>56</v>
          </cell>
          <cell r="K155">
            <v>0.08</v>
          </cell>
          <cell r="L155">
            <v>1.55</v>
          </cell>
          <cell r="M155">
            <v>4.2</v>
          </cell>
          <cell r="N155">
            <v>1.3</v>
          </cell>
          <cell r="O155">
            <v>2.5</v>
          </cell>
          <cell r="P155">
            <v>-0.19</v>
          </cell>
          <cell r="Q155">
            <v>0.11000000000000001</v>
          </cell>
          <cell r="R155">
            <v>-0.09</v>
          </cell>
          <cell r="S155">
            <v>-0.09</v>
          </cell>
          <cell r="T155">
            <v>-0.09</v>
          </cell>
          <cell r="U155">
            <v>-0.09</v>
          </cell>
          <cell r="V155">
            <v>4.2</v>
          </cell>
        </row>
        <row r="156">
          <cell r="E156">
            <v>1213</v>
          </cell>
          <cell r="F156">
            <v>213</v>
          </cell>
          <cell r="G156">
            <v>53</v>
          </cell>
          <cell r="H156">
            <v>180</v>
          </cell>
          <cell r="I156">
            <v>169</v>
          </cell>
          <cell r="J156">
            <v>62</v>
          </cell>
          <cell r="K156">
            <v>5.5E-2</v>
          </cell>
          <cell r="L156">
            <v>1.5</v>
          </cell>
          <cell r="M156">
            <v>1.85</v>
          </cell>
          <cell r="N156">
            <v>0.87</v>
          </cell>
          <cell r="O156">
            <v>2.35</v>
          </cell>
          <cell r="P156">
            <v>0.26500000000000001</v>
          </cell>
          <cell r="Q156">
            <v>-3.5000000000000003E-2</v>
          </cell>
          <cell r="R156">
            <v>6.5000000000000002E-2</v>
          </cell>
          <cell r="S156">
            <v>6.5000000000000002E-2</v>
          </cell>
          <cell r="T156">
            <v>6.5000000000000002E-2</v>
          </cell>
          <cell r="U156">
            <v>6.5000000000000002E-2</v>
          </cell>
          <cell r="V156">
            <v>4.2</v>
          </cell>
        </row>
        <row r="157">
          <cell r="E157">
            <v>888</v>
          </cell>
          <cell r="F157">
            <v>142</v>
          </cell>
          <cell r="G157">
            <v>109</v>
          </cell>
          <cell r="H157">
            <v>242</v>
          </cell>
          <cell r="I157">
            <v>74</v>
          </cell>
          <cell r="J157">
            <v>87</v>
          </cell>
          <cell r="K157">
            <v>0.05</v>
          </cell>
          <cell r="L157">
            <v>1.5</v>
          </cell>
          <cell r="M157">
            <v>2</v>
          </cell>
          <cell r="N157">
            <v>1</v>
          </cell>
          <cell r="O157">
            <v>2.5</v>
          </cell>
          <cell r="P157">
            <v>-0.02</v>
          </cell>
          <cell r="Q157">
            <v>-0.02</v>
          </cell>
          <cell r="R157">
            <v>0.18000000000000002</v>
          </cell>
          <cell r="S157">
            <v>-0.12000000000000001</v>
          </cell>
          <cell r="T157">
            <v>-0.02</v>
          </cell>
          <cell r="U157">
            <v>-0.02</v>
          </cell>
          <cell r="V157">
            <v>4</v>
          </cell>
        </row>
        <row r="158">
          <cell r="E158">
            <v>1376</v>
          </cell>
          <cell r="F158">
            <v>49</v>
          </cell>
          <cell r="G158">
            <v>293</v>
          </cell>
          <cell r="H158">
            <v>86</v>
          </cell>
          <cell r="I158">
            <v>91</v>
          </cell>
          <cell r="J158">
            <v>76</v>
          </cell>
          <cell r="K158">
            <v>0.06</v>
          </cell>
          <cell r="L158">
            <v>2.15</v>
          </cell>
          <cell r="M158">
            <v>1.65</v>
          </cell>
          <cell r="N158">
            <v>0.53</v>
          </cell>
          <cell r="O158">
            <v>1</v>
          </cell>
          <cell r="P158">
            <v>0.17500000000000002</v>
          </cell>
          <cell r="Q158">
            <v>-0.125</v>
          </cell>
          <cell r="R158">
            <v>-2.5000000000000001E-2</v>
          </cell>
          <cell r="S158">
            <v>-2.5000000000000001E-2</v>
          </cell>
          <cell r="T158">
            <v>-2.5000000000000001E-2</v>
          </cell>
          <cell r="U158">
            <v>-2.5000000000000001E-2</v>
          </cell>
          <cell r="V158">
            <v>4.4000000000000004</v>
          </cell>
        </row>
        <row r="159">
          <cell r="E159">
            <v>997</v>
          </cell>
          <cell r="F159">
            <v>63</v>
          </cell>
          <cell r="G159">
            <v>239</v>
          </cell>
          <cell r="H159">
            <v>86</v>
          </cell>
          <cell r="I159">
            <v>80</v>
          </cell>
          <cell r="J159">
            <v>74</v>
          </cell>
          <cell r="K159">
            <v>7.0000000000000007E-2</v>
          </cell>
          <cell r="L159">
            <v>1.6</v>
          </cell>
          <cell r="M159">
            <v>2.4500000000000002</v>
          </cell>
          <cell r="N159">
            <v>0.94</v>
          </cell>
          <cell r="O159">
            <v>1</v>
          </cell>
          <cell r="P159">
            <v>-0.13500000000000001</v>
          </cell>
          <cell r="Q159">
            <v>0.16500000000000001</v>
          </cell>
          <cell r="R159">
            <v>-3.5000000000000003E-2</v>
          </cell>
          <cell r="S159">
            <v>-3.5000000000000003E-2</v>
          </cell>
          <cell r="T159">
            <v>-3.5000000000000003E-2</v>
          </cell>
          <cell r="U159">
            <v>-3.5000000000000003E-2</v>
          </cell>
          <cell r="V159">
            <v>5.6</v>
          </cell>
        </row>
        <row r="160">
          <cell r="E160">
            <v>964</v>
          </cell>
          <cell r="F160">
            <v>150</v>
          </cell>
          <cell r="G160">
            <v>50</v>
          </cell>
          <cell r="H160">
            <v>186</v>
          </cell>
          <cell r="I160">
            <v>80</v>
          </cell>
          <cell r="J160">
            <v>79</v>
          </cell>
          <cell r="K160">
            <v>7.4999999999999997E-2</v>
          </cell>
          <cell r="L160">
            <v>1.5</v>
          </cell>
          <cell r="M160">
            <v>3.1</v>
          </cell>
          <cell r="N160">
            <v>1.1499999999999999</v>
          </cell>
          <cell r="O160">
            <v>3.0750000000000002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0.19</v>
          </cell>
          <cell r="U160">
            <v>-0.11</v>
          </cell>
          <cell r="V160">
            <v>8.6</v>
          </cell>
        </row>
        <row r="161">
          <cell r="E161">
            <v>1263</v>
          </cell>
          <cell r="F161">
            <v>304</v>
          </cell>
          <cell r="G161">
            <v>61</v>
          </cell>
          <cell r="H161">
            <v>210</v>
          </cell>
          <cell r="I161">
            <v>73</v>
          </cell>
          <cell r="J161">
            <v>195</v>
          </cell>
          <cell r="K161">
            <v>4.4999999999999998E-2</v>
          </cell>
          <cell r="L161">
            <v>1.45</v>
          </cell>
          <cell r="M161">
            <v>1.9</v>
          </cell>
          <cell r="N161">
            <v>0.84</v>
          </cell>
          <cell r="O161">
            <v>2.65</v>
          </cell>
          <cell r="P161">
            <v>-1.0000000000000009E-2</v>
          </cell>
          <cell r="Q161">
            <v>0.29000000000000004</v>
          </cell>
          <cell r="R161">
            <v>0.09</v>
          </cell>
          <cell r="S161">
            <v>0.09</v>
          </cell>
          <cell r="T161">
            <v>0.09</v>
          </cell>
          <cell r="U161">
            <v>0.09</v>
          </cell>
          <cell r="V161">
            <v>4.4000000000000004</v>
          </cell>
        </row>
        <row r="162">
          <cell r="E162">
            <v>656</v>
          </cell>
          <cell r="F162">
            <v>261</v>
          </cell>
          <cell r="G162">
            <v>122</v>
          </cell>
          <cell r="H162">
            <v>340</v>
          </cell>
          <cell r="I162">
            <v>138</v>
          </cell>
          <cell r="J162">
            <v>215</v>
          </cell>
          <cell r="K162">
            <v>0.04</v>
          </cell>
          <cell r="L162">
            <v>1.38</v>
          </cell>
          <cell r="M162">
            <v>2.2000000000000002</v>
          </cell>
          <cell r="N162">
            <v>0.88</v>
          </cell>
          <cell r="O162">
            <v>3.15</v>
          </cell>
          <cell r="P162">
            <v>0.33</v>
          </cell>
          <cell r="Q162">
            <v>0.03</v>
          </cell>
          <cell r="R162">
            <v>0.13</v>
          </cell>
          <cell r="S162">
            <v>0.13</v>
          </cell>
          <cell r="T162">
            <v>0.13</v>
          </cell>
          <cell r="U162">
            <v>0.13</v>
          </cell>
          <cell r="V162">
            <v>4.4800000000000004</v>
          </cell>
        </row>
        <row r="163">
          <cell r="E163">
            <v>1192</v>
          </cell>
          <cell r="F163">
            <v>252</v>
          </cell>
          <cell r="G163">
            <v>96</v>
          </cell>
          <cell r="H163">
            <v>213</v>
          </cell>
          <cell r="I163">
            <v>95</v>
          </cell>
          <cell r="J163">
            <v>114</v>
          </cell>
          <cell r="K163">
            <v>0.06</v>
          </cell>
          <cell r="L163">
            <v>1.4</v>
          </cell>
          <cell r="M163">
            <v>2.1</v>
          </cell>
          <cell r="N163">
            <v>0.95</v>
          </cell>
          <cell r="O163">
            <v>2.875</v>
          </cell>
          <cell r="P163">
            <v>0.03</v>
          </cell>
          <cell r="Q163">
            <v>0.03</v>
          </cell>
          <cell r="R163">
            <v>0.23</v>
          </cell>
          <cell r="S163">
            <v>-7.0000000000000007E-2</v>
          </cell>
          <cell r="T163">
            <v>0.03</v>
          </cell>
          <cell r="U163">
            <v>0.03</v>
          </cell>
          <cell r="V163">
            <v>4.8</v>
          </cell>
        </row>
        <row r="164">
          <cell r="E164">
            <v>1406</v>
          </cell>
          <cell r="F164">
            <v>81</v>
          </cell>
          <cell r="G164">
            <v>192</v>
          </cell>
          <cell r="H164">
            <v>60</v>
          </cell>
          <cell r="I164">
            <v>109</v>
          </cell>
          <cell r="J164">
            <v>109</v>
          </cell>
          <cell r="K164">
            <v>0.04</v>
          </cell>
          <cell r="L164">
            <v>1.43</v>
          </cell>
          <cell r="M164">
            <v>2.15</v>
          </cell>
          <cell r="N164">
            <v>0.88</v>
          </cell>
          <cell r="O164">
            <v>1</v>
          </cell>
          <cell r="P164">
            <v>0.39</v>
          </cell>
          <cell r="Q164">
            <v>0.09</v>
          </cell>
          <cell r="R164">
            <v>0.19</v>
          </cell>
          <cell r="S164">
            <v>0.19</v>
          </cell>
          <cell r="T164">
            <v>0.19</v>
          </cell>
          <cell r="U164">
            <v>0.19</v>
          </cell>
          <cell r="V164">
            <v>3.8</v>
          </cell>
        </row>
        <row r="165">
          <cell r="E165">
            <v>1037</v>
          </cell>
          <cell r="F165">
            <v>56</v>
          </cell>
          <cell r="G165">
            <v>211</v>
          </cell>
          <cell r="H165">
            <v>62</v>
          </cell>
          <cell r="I165">
            <v>82</v>
          </cell>
          <cell r="J165">
            <v>73</v>
          </cell>
          <cell r="K165">
            <v>0.27</v>
          </cell>
          <cell r="L165">
            <v>2.0299999999999998</v>
          </cell>
          <cell r="M165">
            <v>2.75</v>
          </cell>
          <cell r="N165">
            <v>1.04</v>
          </cell>
          <cell r="O165">
            <v>1</v>
          </cell>
          <cell r="P165">
            <v>-0.16</v>
          </cell>
          <cell r="Q165">
            <v>0.14000000000000001</v>
          </cell>
          <cell r="R165">
            <v>-0.06</v>
          </cell>
          <cell r="S165">
            <v>-0.06</v>
          </cell>
          <cell r="T165">
            <v>-0.06</v>
          </cell>
          <cell r="U165">
            <v>-0.06</v>
          </cell>
          <cell r="V165">
            <v>4.2</v>
          </cell>
        </row>
        <row r="166">
          <cell r="E166">
            <v>1192</v>
          </cell>
          <cell r="F166">
            <v>191</v>
          </cell>
          <cell r="G166">
            <v>86</v>
          </cell>
          <cell r="H166">
            <v>191</v>
          </cell>
          <cell r="I166">
            <v>91</v>
          </cell>
          <cell r="J166">
            <v>105</v>
          </cell>
          <cell r="K166">
            <v>7.0000000000000007E-2</v>
          </cell>
          <cell r="L166">
            <v>1.55</v>
          </cell>
          <cell r="M166">
            <v>2.2999999999999998</v>
          </cell>
          <cell r="N166">
            <v>1.1000000000000001</v>
          </cell>
          <cell r="O166">
            <v>2.7</v>
          </cell>
          <cell r="P166">
            <v>-0.03</v>
          </cell>
          <cell r="Q166">
            <v>-0.03</v>
          </cell>
          <cell r="R166">
            <v>-0.03</v>
          </cell>
          <cell r="S166">
            <v>-0.03</v>
          </cell>
          <cell r="T166">
            <v>0.17</v>
          </cell>
          <cell r="U166">
            <v>-0.13</v>
          </cell>
          <cell r="V166">
            <v>4</v>
          </cell>
        </row>
        <row r="167">
          <cell r="E167">
            <v>1835</v>
          </cell>
          <cell r="F167">
            <v>421</v>
          </cell>
          <cell r="G167">
            <v>70</v>
          </cell>
          <cell r="H167">
            <v>186</v>
          </cell>
          <cell r="I167">
            <v>100</v>
          </cell>
          <cell r="J167">
            <v>176</v>
          </cell>
          <cell r="K167">
            <v>0.115</v>
          </cell>
          <cell r="L167">
            <v>1.95</v>
          </cell>
          <cell r="M167">
            <v>1.2</v>
          </cell>
          <cell r="N167">
            <v>0.72</v>
          </cell>
          <cell r="O167">
            <v>3.3250000000000002</v>
          </cell>
          <cell r="P167">
            <v>-2.0000000000000004E-2</v>
          </cell>
          <cell r="Q167">
            <v>0.28000000000000003</v>
          </cell>
          <cell r="R167">
            <v>0.08</v>
          </cell>
          <cell r="S167">
            <v>0.08</v>
          </cell>
          <cell r="T167">
            <v>0.08</v>
          </cell>
          <cell r="U167">
            <v>0.08</v>
          </cell>
          <cell r="V167">
            <v>5</v>
          </cell>
        </row>
        <row r="168">
          <cell r="E168">
            <v>1023</v>
          </cell>
          <cell r="F168">
            <v>220</v>
          </cell>
          <cell r="G168">
            <v>125</v>
          </cell>
          <cell r="H168">
            <v>277</v>
          </cell>
          <cell r="I168">
            <v>79</v>
          </cell>
          <cell r="J168">
            <v>84</v>
          </cell>
          <cell r="K168">
            <v>0.11</v>
          </cell>
          <cell r="L168">
            <v>1.65</v>
          </cell>
          <cell r="M168">
            <v>2.2000000000000002</v>
          </cell>
          <cell r="N168">
            <v>1.1000000000000001</v>
          </cell>
          <cell r="O168">
            <v>2.75</v>
          </cell>
          <cell r="P168">
            <v>0.16</v>
          </cell>
          <cell r="Q168">
            <v>-0.14000000000000001</v>
          </cell>
          <cell r="R168">
            <v>-0.04</v>
          </cell>
          <cell r="S168">
            <v>-0.04</v>
          </cell>
          <cell r="T168">
            <v>-0.04</v>
          </cell>
          <cell r="U168">
            <v>-0.04</v>
          </cell>
          <cell r="V168">
            <v>4.2</v>
          </cell>
        </row>
        <row r="169">
          <cell r="E169">
            <v>2255</v>
          </cell>
          <cell r="F169">
            <v>258</v>
          </cell>
          <cell r="G169">
            <v>54</v>
          </cell>
          <cell r="H169">
            <v>186</v>
          </cell>
          <cell r="I169">
            <v>172</v>
          </cell>
          <cell r="J169">
            <v>163</v>
          </cell>
          <cell r="K169">
            <v>3.5000000000000003E-2</v>
          </cell>
          <cell r="L169">
            <v>1.4</v>
          </cell>
          <cell r="M169">
            <v>1.5</v>
          </cell>
          <cell r="N169">
            <v>0.6</v>
          </cell>
          <cell r="O169">
            <v>3.1</v>
          </cell>
          <cell r="P169">
            <v>0.12</v>
          </cell>
          <cell r="Q169">
            <v>0.12</v>
          </cell>
          <cell r="R169">
            <v>0.32</v>
          </cell>
          <cell r="S169">
            <v>1.999999999999999E-2</v>
          </cell>
          <cell r="T169">
            <v>0.12</v>
          </cell>
          <cell r="U169">
            <v>0.12</v>
          </cell>
          <cell r="V169">
            <v>4.12</v>
          </cell>
        </row>
        <row r="170">
          <cell r="E170">
            <v>2688</v>
          </cell>
          <cell r="F170">
            <v>51</v>
          </cell>
          <cell r="G170">
            <v>212</v>
          </cell>
          <cell r="H170">
            <v>86</v>
          </cell>
          <cell r="I170">
            <v>159</v>
          </cell>
          <cell r="J170">
            <v>136</v>
          </cell>
          <cell r="K170">
            <v>2.5000000000000001E-2</v>
          </cell>
          <cell r="L170">
            <v>1.35</v>
          </cell>
          <cell r="M170">
            <v>1.1499999999999999</v>
          </cell>
          <cell r="N170">
            <v>0.51</v>
          </cell>
          <cell r="O170">
            <v>1</v>
          </cell>
          <cell r="P170">
            <v>0.25</v>
          </cell>
          <cell r="Q170">
            <v>-0.05</v>
          </cell>
          <cell r="R170">
            <v>0.05</v>
          </cell>
          <cell r="S170">
            <v>0.05</v>
          </cell>
          <cell r="T170">
            <v>0.05</v>
          </cell>
          <cell r="U170">
            <v>0.05</v>
          </cell>
          <cell r="V170">
            <v>3.2</v>
          </cell>
        </row>
        <row r="171">
          <cell r="E171">
            <v>1770</v>
          </cell>
          <cell r="F171">
            <v>76</v>
          </cell>
          <cell r="G171">
            <v>156</v>
          </cell>
          <cell r="H171">
            <v>70</v>
          </cell>
          <cell r="I171">
            <v>147</v>
          </cell>
          <cell r="J171">
            <v>105</v>
          </cell>
          <cell r="K171">
            <v>0.08</v>
          </cell>
          <cell r="L171">
            <v>1.6</v>
          </cell>
          <cell r="M171">
            <v>2.7</v>
          </cell>
          <cell r="N171">
            <v>1.05</v>
          </cell>
          <cell r="O171">
            <v>1</v>
          </cell>
          <cell r="P171">
            <v>-3.5000000000000003E-2</v>
          </cell>
          <cell r="Q171">
            <v>0.26500000000000001</v>
          </cell>
          <cell r="R171">
            <v>6.5000000000000002E-2</v>
          </cell>
          <cell r="S171">
            <v>6.5000000000000002E-2</v>
          </cell>
          <cell r="T171">
            <v>6.5000000000000002E-2</v>
          </cell>
          <cell r="U171">
            <v>6.5000000000000002E-2</v>
          </cell>
          <cell r="V171">
            <v>4</v>
          </cell>
        </row>
        <row r="172">
          <cell r="E172">
            <v>970</v>
          </cell>
          <cell r="F172">
            <v>182</v>
          </cell>
          <cell r="G172">
            <v>66</v>
          </cell>
          <cell r="H172">
            <v>225</v>
          </cell>
          <cell r="I172">
            <v>76</v>
          </cell>
          <cell r="J172">
            <v>88</v>
          </cell>
          <cell r="K172">
            <v>0.05</v>
          </cell>
          <cell r="L172">
            <v>1.4</v>
          </cell>
          <cell r="M172">
            <v>3.35</v>
          </cell>
          <cell r="N172">
            <v>1.55</v>
          </cell>
          <cell r="O172">
            <v>2.2999999999999998</v>
          </cell>
          <cell r="P172">
            <v>-7.0000000000000007E-2</v>
          </cell>
          <cell r="Q172">
            <v>-7.0000000000000007E-2</v>
          </cell>
          <cell r="R172">
            <v>-7.0000000000000007E-2</v>
          </cell>
          <cell r="S172">
            <v>-7.0000000000000007E-2</v>
          </cell>
          <cell r="T172">
            <v>0.13</v>
          </cell>
          <cell r="U172">
            <v>-0.17</v>
          </cell>
          <cell r="V172">
            <v>4</v>
          </cell>
        </row>
        <row r="173">
          <cell r="E173">
            <v>1731</v>
          </cell>
          <cell r="F173">
            <v>210</v>
          </cell>
          <cell r="G173">
            <v>92</v>
          </cell>
          <cell r="H173">
            <v>205</v>
          </cell>
          <cell r="I173">
            <v>150</v>
          </cell>
          <cell r="J173">
            <v>98</v>
          </cell>
          <cell r="K173">
            <v>0.08</v>
          </cell>
          <cell r="L173">
            <v>1.6</v>
          </cell>
          <cell r="M173">
            <v>2.8</v>
          </cell>
          <cell r="N173">
            <v>1</v>
          </cell>
          <cell r="O173">
            <v>2.5</v>
          </cell>
          <cell r="P173">
            <v>-8.5000000000000006E-2</v>
          </cell>
          <cell r="Q173">
            <v>0.21500000000000002</v>
          </cell>
          <cell r="R173">
            <v>1.4999999999999999E-2</v>
          </cell>
          <cell r="S173">
            <v>1.4999999999999999E-2</v>
          </cell>
          <cell r="T173">
            <v>1.4999999999999999E-2</v>
          </cell>
          <cell r="U173">
            <v>1.4999999999999999E-2</v>
          </cell>
          <cell r="V173">
            <v>4</v>
          </cell>
        </row>
        <row r="174">
          <cell r="E174">
            <v>836</v>
          </cell>
          <cell r="F174">
            <v>164</v>
          </cell>
          <cell r="G174">
            <v>82</v>
          </cell>
          <cell r="H174">
            <v>381</v>
          </cell>
          <cell r="I174">
            <v>74</v>
          </cell>
          <cell r="J174">
            <v>75</v>
          </cell>
          <cell r="K174">
            <v>0.08</v>
          </cell>
          <cell r="L174">
            <v>1.55</v>
          </cell>
          <cell r="M174">
            <v>4.2</v>
          </cell>
          <cell r="N174">
            <v>1.3</v>
          </cell>
          <cell r="O174">
            <v>2.5</v>
          </cell>
          <cell r="P174">
            <v>0.11000000000000001</v>
          </cell>
          <cell r="Q174">
            <v>-0.19</v>
          </cell>
          <cell r="R174">
            <v>-0.09</v>
          </cell>
          <cell r="S174">
            <v>-0.09</v>
          </cell>
          <cell r="T174">
            <v>-0.09</v>
          </cell>
          <cell r="U174">
            <v>-0.09</v>
          </cell>
          <cell r="V174">
            <v>4.2</v>
          </cell>
        </row>
        <row r="175">
          <cell r="E175">
            <v>1615</v>
          </cell>
          <cell r="F175">
            <v>284</v>
          </cell>
          <cell r="G175">
            <v>71</v>
          </cell>
          <cell r="H175">
            <v>240</v>
          </cell>
          <cell r="I175">
            <v>225</v>
          </cell>
          <cell r="J175">
            <v>83</v>
          </cell>
          <cell r="K175">
            <v>5.5E-2</v>
          </cell>
          <cell r="L175">
            <v>1.5</v>
          </cell>
          <cell r="M175">
            <v>1.85</v>
          </cell>
          <cell r="N175">
            <v>0.87</v>
          </cell>
          <cell r="O175">
            <v>2.35</v>
          </cell>
          <cell r="P175">
            <v>6.5000000000000002E-2</v>
          </cell>
          <cell r="Q175">
            <v>6.5000000000000002E-2</v>
          </cell>
          <cell r="R175">
            <v>0.26500000000000001</v>
          </cell>
          <cell r="S175">
            <v>-3.5000000000000003E-2</v>
          </cell>
          <cell r="T175">
            <v>6.5000000000000002E-2</v>
          </cell>
          <cell r="U175">
            <v>6.5000000000000002E-2</v>
          </cell>
          <cell r="V175">
            <v>4.2</v>
          </cell>
        </row>
        <row r="176">
          <cell r="E176">
            <v>1731</v>
          </cell>
          <cell r="F176">
            <v>79</v>
          </cell>
          <cell r="G176">
            <v>212</v>
          </cell>
          <cell r="H176">
            <v>95</v>
          </cell>
          <cell r="I176">
            <v>150</v>
          </cell>
          <cell r="J176">
            <v>98</v>
          </cell>
          <cell r="K176">
            <v>0.08</v>
          </cell>
          <cell r="L176">
            <v>1.6</v>
          </cell>
          <cell r="M176">
            <v>2.8</v>
          </cell>
          <cell r="N176">
            <v>1</v>
          </cell>
          <cell r="O176">
            <v>1</v>
          </cell>
          <cell r="P176">
            <v>0.23500000000000001</v>
          </cell>
          <cell r="Q176">
            <v>-6.5000000000000002E-2</v>
          </cell>
          <cell r="R176">
            <v>3.5000000000000003E-2</v>
          </cell>
          <cell r="S176">
            <v>3.5000000000000003E-2</v>
          </cell>
          <cell r="T176">
            <v>3.5000000000000003E-2</v>
          </cell>
          <cell r="U176">
            <v>3.5000000000000003E-2</v>
          </cell>
          <cell r="V176">
            <v>4</v>
          </cell>
        </row>
        <row r="177">
          <cell r="E177">
            <v>1831</v>
          </cell>
          <cell r="F177">
            <v>65</v>
          </cell>
          <cell r="G177">
            <v>390</v>
          </cell>
          <cell r="H177">
            <v>114</v>
          </cell>
          <cell r="I177">
            <v>121</v>
          </cell>
          <cell r="J177">
            <v>102</v>
          </cell>
          <cell r="K177">
            <v>0.06</v>
          </cell>
          <cell r="L177">
            <v>2.15</v>
          </cell>
          <cell r="M177">
            <v>1.65</v>
          </cell>
          <cell r="N177">
            <v>0.53</v>
          </cell>
          <cell r="O177">
            <v>1</v>
          </cell>
          <cell r="P177">
            <v>-0.125</v>
          </cell>
          <cell r="Q177">
            <v>0.17500000000000002</v>
          </cell>
          <cell r="R177">
            <v>-2.5000000000000001E-2</v>
          </cell>
          <cell r="S177">
            <v>-2.5000000000000001E-2</v>
          </cell>
          <cell r="T177">
            <v>-2.5000000000000001E-2</v>
          </cell>
          <cell r="U177">
            <v>-2.5000000000000001E-2</v>
          </cell>
          <cell r="V177">
            <v>4.4000000000000004</v>
          </cell>
        </row>
        <row r="178">
          <cell r="E178">
            <v>1846</v>
          </cell>
          <cell r="F178">
            <v>200</v>
          </cell>
          <cell r="G178">
            <v>52</v>
          </cell>
          <cell r="H178">
            <v>137</v>
          </cell>
          <cell r="I178">
            <v>142</v>
          </cell>
          <cell r="J178">
            <v>129</v>
          </cell>
          <cell r="K178">
            <v>7.0000000000000007E-2</v>
          </cell>
          <cell r="L178">
            <v>1.5</v>
          </cell>
          <cell r="M178">
            <v>2.8</v>
          </cell>
          <cell r="N178">
            <v>1.45</v>
          </cell>
          <cell r="O178">
            <v>1.55</v>
          </cell>
          <cell r="P178">
            <v>0.03</v>
          </cell>
          <cell r="Q178">
            <v>0.03</v>
          </cell>
          <cell r="R178">
            <v>0.03</v>
          </cell>
          <cell r="S178">
            <v>0.03</v>
          </cell>
          <cell r="T178">
            <v>0.23</v>
          </cell>
          <cell r="U178">
            <v>-7.0000000000000007E-2</v>
          </cell>
          <cell r="V178">
            <v>3.6</v>
          </cell>
        </row>
        <row r="179">
          <cell r="E179">
            <v>1444</v>
          </cell>
          <cell r="F179">
            <v>370</v>
          </cell>
          <cell r="G179">
            <v>157</v>
          </cell>
          <cell r="H179">
            <v>464</v>
          </cell>
          <cell r="I179">
            <v>112</v>
          </cell>
          <cell r="J179">
            <v>121</v>
          </cell>
          <cell r="K179">
            <v>0.04</v>
          </cell>
          <cell r="L179">
            <v>2.2000000000000002</v>
          </cell>
          <cell r="M179">
            <v>1.65</v>
          </cell>
          <cell r="N179">
            <v>0.64</v>
          </cell>
          <cell r="O179">
            <v>3.7</v>
          </cell>
          <cell r="P179">
            <v>-0.125</v>
          </cell>
          <cell r="Q179">
            <v>0.17500000000000002</v>
          </cell>
          <cell r="R179">
            <v>-2.5000000000000001E-2</v>
          </cell>
          <cell r="S179">
            <v>-2.5000000000000001E-2</v>
          </cell>
          <cell r="T179">
            <v>-2.5000000000000001E-2</v>
          </cell>
          <cell r="U179">
            <v>-2.5000000000000001E-2</v>
          </cell>
          <cell r="V179">
            <v>5</v>
          </cell>
        </row>
        <row r="180">
          <cell r="E180">
            <v>1681</v>
          </cell>
          <cell r="F180">
            <v>405</v>
          </cell>
          <cell r="G180">
            <v>82</v>
          </cell>
          <cell r="H180">
            <v>279</v>
          </cell>
          <cell r="I180">
            <v>98</v>
          </cell>
          <cell r="J180">
            <v>260</v>
          </cell>
          <cell r="K180">
            <v>4.4999999999999998E-2</v>
          </cell>
          <cell r="L180">
            <v>1.45</v>
          </cell>
          <cell r="M180">
            <v>1.9</v>
          </cell>
          <cell r="N180">
            <v>0.84</v>
          </cell>
          <cell r="O180">
            <v>2.65</v>
          </cell>
          <cell r="P180">
            <v>0.29000000000000004</v>
          </cell>
          <cell r="Q180">
            <v>-1.0000000000000009E-2</v>
          </cell>
          <cell r="R180">
            <v>0.09</v>
          </cell>
          <cell r="S180">
            <v>0.09</v>
          </cell>
          <cell r="T180">
            <v>0.09</v>
          </cell>
          <cell r="U180">
            <v>0.09</v>
          </cell>
          <cell r="V180">
            <v>4.4000000000000004</v>
          </cell>
        </row>
        <row r="181">
          <cell r="E181">
            <v>872</v>
          </cell>
          <cell r="F181">
            <v>347</v>
          </cell>
          <cell r="G181">
            <v>163</v>
          </cell>
          <cell r="H181">
            <v>453</v>
          </cell>
          <cell r="I181">
            <v>184</v>
          </cell>
          <cell r="J181">
            <v>286</v>
          </cell>
          <cell r="K181">
            <v>0.04</v>
          </cell>
          <cell r="L181">
            <v>1.38</v>
          </cell>
          <cell r="M181">
            <v>2.2000000000000002</v>
          </cell>
          <cell r="N181">
            <v>0.88</v>
          </cell>
          <cell r="O181">
            <v>3.15</v>
          </cell>
          <cell r="P181">
            <v>0.13</v>
          </cell>
          <cell r="Q181">
            <v>0.13</v>
          </cell>
          <cell r="R181">
            <v>0.33</v>
          </cell>
          <cell r="S181">
            <v>0.03</v>
          </cell>
          <cell r="T181">
            <v>0.13</v>
          </cell>
          <cell r="U181">
            <v>0.13</v>
          </cell>
          <cell r="V181">
            <v>4.4800000000000004</v>
          </cell>
        </row>
        <row r="182">
          <cell r="E182">
            <v>1031</v>
          </cell>
          <cell r="F182">
            <v>49</v>
          </cell>
          <cell r="G182">
            <v>325</v>
          </cell>
          <cell r="H182">
            <v>95</v>
          </cell>
          <cell r="I182">
            <v>79</v>
          </cell>
          <cell r="J182">
            <v>86</v>
          </cell>
          <cell r="K182">
            <v>0.18</v>
          </cell>
          <cell r="L182">
            <v>2.1</v>
          </cell>
          <cell r="M182">
            <v>3.15</v>
          </cell>
          <cell r="N182">
            <v>1.35</v>
          </cell>
          <cell r="O182">
            <v>1</v>
          </cell>
          <cell r="P182">
            <v>0.12000000000000001</v>
          </cell>
          <cell r="Q182">
            <v>-0.18</v>
          </cell>
          <cell r="R182">
            <v>-0.08</v>
          </cell>
          <cell r="S182">
            <v>-0.08</v>
          </cell>
          <cell r="T182">
            <v>-0.08</v>
          </cell>
          <cell r="U182">
            <v>-0.08</v>
          </cell>
          <cell r="V182">
            <v>4.8</v>
          </cell>
        </row>
        <row r="183">
          <cell r="E183">
            <v>1872</v>
          </cell>
          <cell r="F183">
            <v>108</v>
          </cell>
          <cell r="G183">
            <v>256</v>
          </cell>
          <cell r="H183">
            <v>81</v>
          </cell>
          <cell r="I183">
            <v>145</v>
          </cell>
          <cell r="J183">
            <v>145</v>
          </cell>
          <cell r="K183">
            <v>0.04</v>
          </cell>
          <cell r="L183">
            <v>1.43</v>
          </cell>
          <cell r="M183">
            <v>2.15</v>
          </cell>
          <cell r="N183">
            <v>0.88</v>
          </cell>
          <cell r="O183">
            <v>1</v>
          </cell>
          <cell r="P183">
            <v>0.09</v>
          </cell>
          <cell r="Q183">
            <v>0.39</v>
          </cell>
          <cell r="R183">
            <v>0.19</v>
          </cell>
          <cell r="S183">
            <v>0.19</v>
          </cell>
          <cell r="T183">
            <v>0.19</v>
          </cell>
          <cell r="U183">
            <v>0.19</v>
          </cell>
          <cell r="V183">
            <v>3.8</v>
          </cell>
        </row>
        <row r="184">
          <cell r="E184">
            <v>1634</v>
          </cell>
          <cell r="F184">
            <v>613</v>
          </cell>
          <cell r="G184">
            <v>92</v>
          </cell>
          <cell r="H184">
            <v>293</v>
          </cell>
          <cell r="I184">
            <v>122</v>
          </cell>
          <cell r="J184">
            <v>150</v>
          </cell>
          <cell r="K184">
            <v>6.5000000000000002E-2</v>
          </cell>
          <cell r="L184">
            <v>1.45</v>
          </cell>
          <cell r="M184">
            <v>2.1</v>
          </cell>
          <cell r="N184">
            <v>0.9</v>
          </cell>
          <cell r="O184">
            <v>2.8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0.22</v>
          </cell>
          <cell r="U184">
            <v>-0.08</v>
          </cell>
          <cell r="V184">
            <v>4.2</v>
          </cell>
        </row>
        <row r="185">
          <cell r="E185">
            <v>1431</v>
          </cell>
          <cell r="F185">
            <v>343</v>
          </cell>
          <cell r="G185">
            <v>132</v>
          </cell>
          <cell r="H185">
            <v>490</v>
          </cell>
          <cell r="I185">
            <v>113</v>
          </cell>
          <cell r="J185">
            <v>121</v>
          </cell>
          <cell r="K185">
            <v>0.12</v>
          </cell>
          <cell r="L185">
            <v>2.5499999999999998</v>
          </cell>
          <cell r="M185">
            <v>2.2999999999999998</v>
          </cell>
          <cell r="N185">
            <v>0.68</v>
          </cell>
          <cell r="O185">
            <v>3.55</v>
          </cell>
          <cell r="P185">
            <v>-0.155</v>
          </cell>
          <cell r="Q185">
            <v>0.14500000000000002</v>
          </cell>
          <cell r="R185">
            <v>-5.5E-2</v>
          </cell>
          <cell r="S185">
            <v>-5.5E-2</v>
          </cell>
          <cell r="T185">
            <v>-5.5E-2</v>
          </cell>
          <cell r="U185">
            <v>-5.5E-2</v>
          </cell>
          <cell r="V185">
            <v>4.8</v>
          </cell>
        </row>
        <row r="186">
          <cell r="E186">
            <v>2443</v>
          </cell>
          <cell r="F186">
            <v>560</v>
          </cell>
          <cell r="G186">
            <v>93</v>
          </cell>
          <cell r="H186">
            <v>247</v>
          </cell>
          <cell r="I186">
            <v>133</v>
          </cell>
          <cell r="J186">
            <v>235</v>
          </cell>
          <cell r="K186">
            <v>0.115</v>
          </cell>
          <cell r="L186">
            <v>1.95</v>
          </cell>
          <cell r="M186">
            <v>1.2</v>
          </cell>
          <cell r="N186">
            <v>0.72</v>
          </cell>
          <cell r="O186">
            <v>3.3250000000000002</v>
          </cell>
          <cell r="P186">
            <v>0.28000000000000003</v>
          </cell>
          <cell r="Q186">
            <v>-2.0000000000000004E-2</v>
          </cell>
          <cell r="R186">
            <v>0.08</v>
          </cell>
          <cell r="S186">
            <v>0.08</v>
          </cell>
          <cell r="T186">
            <v>0.08</v>
          </cell>
          <cell r="U186">
            <v>0.08</v>
          </cell>
          <cell r="V186">
            <v>5</v>
          </cell>
        </row>
        <row r="187">
          <cell r="E187">
            <v>1361</v>
          </cell>
          <cell r="F187">
            <v>293</v>
          </cell>
          <cell r="G187">
            <v>166</v>
          </cell>
          <cell r="H187">
            <v>369</v>
          </cell>
          <cell r="I187">
            <v>105</v>
          </cell>
          <cell r="J187">
            <v>112</v>
          </cell>
          <cell r="K187">
            <v>0.11</v>
          </cell>
          <cell r="L187">
            <v>1.65</v>
          </cell>
          <cell r="M187">
            <v>2.2000000000000002</v>
          </cell>
          <cell r="N187">
            <v>1.1000000000000001</v>
          </cell>
          <cell r="O187">
            <v>2.75</v>
          </cell>
          <cell r="P187">
            <v>-0.04</v>
          </cell>
          <cell r="Q187">
            <v>-0.04</v>
          </cell>
          <cell r="R187">
            <v>0.16</v>
          </cell>
          <cell r="S187">
            <v>-0.14000000000000001</v>
          </cell>
          <cell r="T187">
            <v>-0.04</v>
          </cell>
          <cell r="U187">
            <v>-0.04</v>
          </cell>
          <cell r="V187">
            <v>4.2</v>
          </cell>
        </row>
        <row r="188">
          <cell r="E188">
            <v>2565</v>
          </cell>
          <cell r="F188">
            <v>113</v>
          </cell>
          <cell r="G188">
            <v>240</v>
          </cell>
          <cell r="H188">
            <v>82</v>
          </cell>
          <cell r="I188">
            <v>128</v>
          </cell>
          <cell r="J188">
            <v>307</v>
          </cell>
          <cell r="K188">
            <v>0.05</v>
          </cell>
          <cell r="L188">
            <v>1.5</v>
          </cell>
          <cell r="M188">
            <v>2.0499999999999998</v>
          </cell>
          <cell r="N188">
            <v>0.79</v>
          </cell>
          <cell r="O188">
            <v>1</v>
          </cell>
          <cell r="P188">
            <v>0.27</v>
          </cell>
          <cell r="Q188">
            <v>-0.03</v>
          </cell>
          <cell r="R188">
            <v>7.0000000000000007E-2</v>
          </cell>
          <cell r="S188">
            <v>7.0000000000000007E-2</v>
          </cell>
          <cell r="T188">
            <v>7.0000000000000007E-2</v>
          </cell>
          <cell r="U188">
            <v>7.0000000000000007E-2</v>
          </cell>
          <cell r="V188">
            <v>4</v>
          </cell>
        </row>
        <row r="189">
          <cell r="E189">
            <v>3577</v>
          </cell>
          <cell r="F189">
            <v>68</v>
          </cell>
          <cell r="G189">
            <v>282</v>
          </cell>
          <cell r="H189">
            <v>114</v>
          </cell>
          <cell r="I189">
            <v>212</v>
          </cell>
          <cell r="J189">
            <v>181</v>
          </cell>
          <cell r="K189">
            <v>2.5000000000000001E-2</v>
          </cell>
          <cell r="L189">
            <v>1.35</v>
          </cell>
          <cell r="M189">
            <v>1.1499999999999999</v>
          </cell>
          <cell r="N189">
            <v>0.51</v>
          </cell>
          <cell r="O189">
            <v>1</v>
          </cell>
          <cell r="P189">
            <v>-0.05</v>
          </cell>
          <cell r="Q189">
            <v>0.25</v>
          </cell>
          <cell r="R189">
            <v>0.05</v>
          </cell>
          <cell r="S189">
            <v>0.05</v>
          </cell>
          <cell r="T189">
            <v>0.05</v>
          </cell>
          <cell r="U189">
            <v>0.05</v>
          </cell>
          <cell r="V189">
            <v>3.2</v>
          </cell>
        </row>
        <row r="190">
          <cell r="E190">
            <v>1605</v>
          </cell>
          <cell r="F190">
            <v>254</v>
          </cell>
          <cell r="G190">
            <v>145</v>
          </cell>
          <cell r="H190">
            <v>323</v>
          </cell>
          <cell r="I190">
            <v>133</v>
          </cell>
          <cell r="J190">
            <v>147</v>
          </cell>
          <cell r="K190">
            <v>0.05</v>
          </cell>
          <cell r="L190">
            <v>1.5</v>
          </cell>
          <cell r="M190">
            <v>2</v>
          </cell>
          <cell r="N190">
            <v>1.05</v>
          </cell>
          <cell r="O190">
            <v>2.5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0.2</v>
          </cell>
          <cell r="U190">
            <v>-0.1</v>
          </cell>
          <cell r="V190">
            <v>4</v>
          </cell>
        </row>
        <row r="191">
          <cell r="E191">
            <v>1516</v>
          </cell>
          <cell r="F191">
            <v>252</v>
          </cell>
          <cell r="G191">
            <v>66</v>
          </cell>
          <cell r="H191">
            <v>278</v>
          </cell>
          <cell r="I191">
            <v>131</v>
          </cell>
          <cell r="J191">
            <v>124</v>
          </cell>
          <cell r="K191">
            <v>6.5000000000000002E-2</v>
          </cell>
          <cell r="L191">
            <v>1.45</v>
          </cell>
          <cell r="M191">
            <v>4</v>
          </cell>
          <cell r="N191">
            <v>1.72</v>
          </cell>
          <cell r="O191">
            <v>1.9</v>
          </cell>
          <cell r="P191">
            <v>-0.17</v>
          </cell>
          <cell r="Q191">
            <v>0.13</v>
          </cell>
          <cell r="R191">
            <v>-7.0000000000000007E-2</v>
          </cell>
          <cell r="S191">
            <v>-7.0000000000000007E-2</v>
          </cell>
          <cell r="T191">
            <v>-7.0000000000000007E-2</v>
          </cell>
          <cell r="U191">
            <v>-7.0000000000000007E-2</v>
          </cell>
          <cell r="V191">
            <v>5.4</v>
          </cell>
        </row>
        <row r="192">
          <cell r="E192">
            <v>2303</v>
          </cell>
          <cell r="F192">
            <v>280</v>
          </cell>
          <cell r="G192">
            <v>123</v>
          </cell>
          <cell r="H192">
            <v>273</v>
          </cell>
          <cell r="I192">
            <v>200</v>
          </cell>
          <cell r="J192">
            <v>131</v>
          </cell>
          <cell r="K192">
            <v>0.08</v>
          </cell>
          <cell r="L192">
            <v>1.6</v>
          </cell>
          <cell r="M192">
            <v>2.8</v>
          </cell>
          <cell r="N192">
            <v>1</v>
          </cell>
          <cell r="O192">
            <v>2.5</v>
          </cell>
          <cell r="P192">
            <v>0.21500000000000002</v>
          </cell>
          <cell r="Q192">
            <v>-8.5000000000000006E-2</v>
          </cell>
          <cell r="R192">
            <v>1.4999999999999999E-2</v>
          </cell>
          <cell r="S192">
            <v>1.4999999999999999E-2</v>
          </cell>
          <cell r="T192">
            <v>1.4999999999999999E-2</v>
          </cell>
          <cell r="U192">
            <v>1.4999999999999999E-2</v>
          </cell>
          <cell r="V192">
            <v>4</v>
          </cell>
        </row>
        <row r="193">
          <cell r="E193">
            <v>1113</v>
          </cell>
          <cell r="F193">
            <v>218</v>
          </cell>
          <cell r="G193">
            <v>110</v>
          </cell>
          <cell r="H193">
            <v>507</v>
          </cell>
          <cell r="I193">
            <v>98</v>
          </cell>
          <cell r="J193">
            <v>100</v>
          </cell>
          <cell r="K193">
            <v>0.08</v>
          </cell>
          <cell r="L193">
            <v>1.55</v>
          </cell>
          <cell r="M193">
            <v>4.2</v>
          </cell>
          <cell r="N193">
            <v>1.3</v>
          </cell>
          <cell r="O193">
            <v>2.5</v>
          </cell>
          <cell r="P193">
            <v>-0.09</v>
          </cell>
          <cell r="Q193">
            <v>-0.09</v>
          </cell>
          <cell r="R193">
            <v>0.11000000000000001</v>
          </cell>
          <cell r="S193">
            <v>-0.19</v>
          </cell>
          <cell r="T193">
            <v>-0.09</v>
          </cell>
          <cell r="U193">
            <v>-0.09</v>
          </cell>
          <cell r="V193">
            <v>4.2</v>
          </cell>
        </row>
        <row r="194">
          <cell r="E194">
            <v>1516</v>
          </cell>
          <cell r="F194">
            <v>106</v>
          </cell>
          <cell r="G194">
            <v>329</v>
          </cell>
          <cell r="H194">
            <v>104</v>
          </cell>
          <cell r="I194">
            <v>121</v>
          </cell>
          <cell r="J194">
            <v>112</v>
          </cell>
          <cell r="K194">
            <v>0.1</v>
          </cell>
          <cell r="L194">
            <v>1.85</v>
          </cell>
          <cell r="M194">
            <v>4</v>
          </cell>
          <cell r="N194">
            <v>1.41</v>
          </cell>
          <cell r="O194">
            <v>1</v>
          </cell>
          <cell r="P194">
            <v>0.14500000000000002</v>
          </cell>
          <cell r="Q194">
            <v>-0.155</v>
          </cell>
          <cell r="R194">
            <v>-5.5E-2</v>
          </cell>
          <cell r="S194">
            <v>-5.5E-2</v>
          </cell>
          <cell r="T194">
            <v>-5.5E-2</v>
          </cell>
          <cell r="U194">
            <v>-5.5E-2</v>
          </cell>
          <cell r="V194">
            <v>6.4</v>
          </cell>
        </row>
        <row r="195">
          <cell r="E195">
            <v>2303</v>
          </cell>
          <cell r="F195">
            <v>106</v>
          </cell>
          <cell r="G195">
            <v>282</v>
          </cell>
          <cell r="H195">
            <v>127</v>
          </cell>
          <cell r="I195">
            <v>200</v>
          </cell>
          <cell r="J195">
            <v>131</v>
          </cell>
          <cell r="K195">
            <v>0.08</v>
          </cell>
          <cell r="L195">
            <v>1.6</v>
          </cell>
          <cell r="M195">
            <v>2.8</v>
          </cell>
          <cell r="N195">
            <v>1</v>
          </cell>
          <cell r="O195">
            <v>1</v>
          </cell>
          <cell r="P195">
            <v>-6.5000000000000002E-2</v>
          </cell>
          <cell r="Q195">
            <v>0.23500000000000001</v>
          </cell>
          <cell r="R195">
            <v>3.5000000000000003E-2</v>
          </cell>
          <cell r="S195">
            <v>3.5000000000000003E-2</v>
          </cell>
          <cell r="T195">
            <v>3.5000000000000003E-2</v>
          </cell>
          <cell r="U195">
            <v>3.5000000000000003E-2</v>
          </cell>
          <cell r="V195">
            <v>4</v>
          </cell>
        </row>
        <row r="196">
          <cell r="E196">
            <v>2111</v>
          </cell>
          <cell r="F196">
            <v>294</v>
          </cell>
          <cell r="G196">
            <v>134</v>
          </cell>
          <cell r="H196">
            <v>298</v>
          </cell>
          <cell r="I196">
            <v>169</v>
          </cell>
          <cell r="J196">
            <v>169</v>
          </cell>
          <cell r="K196">
            <v>7.0000000000000007E-2</v>
          </cell>
          <cell r="L196">
            <v>1.55</v>
          </cell>
          <cell r="M196">
            <v>2.4</v>
          </cell>
          <cell r="N196">
            <v>1</v>
          </cell>
          <cell r="O196">
            <v>2.5</v>
          </cell>
          <cell r="P196">
            <v>0.02</v>
          </cell>
          <cell r="Q196">
            <v>0.02</v>
          </cell>
          <cell r="R196">
            <v>0.02</v>
          </cell>
          <cell r="S196">
            <v>0.02</v>
          </cell>
          <cell r="T196">
            <v>0.22</v>
          </cell>
          <cell r="U196">
            <v>-0.08</v>
          </cell>
          <cell r="V196">
            <v>4</v>
          </cell>
        </row>
        <row r="197">
          <cell r="E197">
            <v>3167</v>
          </cell>
          <cell r="F197">
            <v>385</v>
          </cell>
          <cell r="G197">
            <v>77</v>
          </cell>
          <cell r="H197">
            <v>171</v>
          </cell>
          <cell r="I197">
            <v>253</v>
          </cell>
          <cell r="J197">
            <v>236</v>
          </cell>
          <cell r="K197">
            <v>0.1</v>
          </cell>
          <cell r="L197">
            <v>1.75</v>
          </cell>
          <cell r="M197">
            <v>2.4</v>
          </cell>
          <cell r="N197">
            <v>1.2</v>
          </cell>
          <cell r="O197">
            <v>3</v>
          </cell>
          <cell r="P197">
            <v>-2.0000000000000004E-2</v>
          </cell>
          <cell r="Q197">
            <v>0.28000000000000003</v>
          </cell>
          <cell r="R197">
            <v>0.08</v>
          </cell>
          <cell r="S197">
            <v>0.08</v>
          </cell>
          <cell r="T197">
            <v>0.08</v>
          </cell>
          <cell r="U197">
            <v>0.08</v>
          </cell>
          <cell r="V197">
            <v>4</v>
          </cell>
        </row>
        <row r="198">
          <cell r="E198">
            <v>1921</v>
          </cell>
          <cell r="F198">
            <v>493</v>
          </cell>
          <cell r="G198">
            <v>209</v>
          </cell>
          <cell r="H198">
            <v>618</v>
          </cell>
          <cell r="I198">
            <v>149</v>
          </cell>
          <cell r="J198">
            <v>160</v>
          </cell>
          <cell r="K198">
            <v>0.04</v>
          </cell>
          <cell r="L198">
            <v>2.2000000000000002</v>
          </cell>
          <cell r="M198">
            <v>1.65</v>
          </cell>
          <cell r="N198">
            <v>0.64</v>
          </cell>
          <cell r="O198">
            <v>3.7</v>
          </cell>
          <cell r="P198">
            <v>0.17500000000000002</v>
          </cell>
          <cell r="Q198">
            <v>-0.125</v>
          </cell>
          <cell r="R198">
            <v>-2.5000000000000001E-2</v>
          </cell>
          <cell r="S198">
            <v>-2.5000000000000001E-2</v>
          </cell>
          <cell r="T198">
            <v>-2.5000000000000001E-2</v>
          </cell>
          <cell r="U198">
            <v>-2.5000000000000001E-2</v>
          </cell>
          <cell r="V198">
            <v>5</v>
          </cell>
        </row>
        <row r="199">
          <cell r="E199">
            <v>2238</v>
          </cell>
          <cell r="F199">
            <v>539</v>
          </cell>
          <cell r="G199">
            <v>109</v>
          </cell>
          <cell r="H199">
            <v>371</v>
          </cell>
          <cell r="I199">
            <v>130</v>
          </cell>
          <cell r="J199">
            <v>346</v>
          </cell>
          <cell r="K199">
            <v>4.4999999999999998E-2</v>
          </cell>
          <cell r="L199">
            <v>1.45</v>
          </cell>
          <cell r="M199">
            <v>1.9</v>
          </cell>
          <cell r="N199">
            <v>0.84</v>
          </cell>
          <cell r="O199">
            <v>2.65</v>
          </cell>
          <cell r="P199">
            <v>0.09</v>
          </cell>
          <cell r="Q199">
            <v>0.09</v>
          </cell>
          <cell r="R199">
            <v>0.29000000000000004</v>
          </cell>
          <cell r="S199">
            <v>-1.0000000000000009E-2</v>
          </cell>
          <cell r="T199">
            <v>0.09</v>
          </cell>
          <cell r="U199">
            <v>0.09</v>
          </cell>
          <cell r="V199">
            <v>4.4000000000000004</v>
          </cell>
        </row>
        <row r="200">
          <cell r="E200">
            <v>1605</v>
          </cell>
          <cell r="F200">
            <v>85</v>
          </cell>
          <cell r="G200">
            <v>599</v>
          </cell>
          <cell r="H200">
            <v>167</v>
          </cell>
          <cell r="I200">
            <v>128</v>
          </cell>
          <cell r="J200">
            <v>118</v>
          </cell>
          <cell r="K200">
            <v>9.5000000000000001E-2</v>
          </cell>
          <cell r="L200">
            <v>2.4</v>
          </cell>
          <cell r="M200">
            <v>3.35</v>
          </cell>
          <cell r="N200">
            <v>0.86</v>
          </cell>
          <cell r="O200">
            <v>1</v>
          </cell>
          <cell r="P200">
            <v>0.13</v>
          </cell>
          <cell r="Q200">
            <v>-0.17</v>
          </cell>
          <cell r="R200">
            <v>-7.0000000000000007E-2</v>
          </cell>
          <cell r="S200">
            <v>-7.0000000000000007E-2</v>
          </cell>
          <cell r="T200">
            <v>-7.0000000000000007E-2</v>
          </cell>
          <cell r="U200">
            <v>-7.0000000000000007E-2</v>
          </cell>
          <cell r="V200">
            <v>4.5999999999999996</v>
          </cell>
        </row>
        <row r="201">
          <cell r="E201">
            <v>1372</v>
          </cell>
          <cell r="F201">
            <v>66</v>
          </cell>
          <cell r="G201">
            <v>432</v>
          </cell>
          <cell r="H201">
            <v>126</v>
          </cell>
          <cell r="I201">
            <v>105</v>
          </cell>
          <cell r="J201">
            <v>115</v>
          </cell>
          <cell r="K201">
            <v>0.18</v>
          </cell>
          <cell r="L201">
            <v>2.1</v>
          </cell>
          <cell r="M201">
            <v>3.15</v>
          </cell>
          <cell r="N201">
            <v>1.35</v>
          </cell>
          <cell r="O201">
            <v>1</v>
          </cell>
          <cell r="P201">
            <v>-0.18</v>
          </cell>
          <cell r="Q201">
            <v>0.12000000000000001</v>
          </cell>
          <cell r="R201">
            <v>-0.08</v>
          </cell>
          <cell r="S201">
            <v>-0.08</v>
          </cell>
          <cell r="T201">
            <v>-0.08</v>
          </cell>
          <cell r="U201">
            <v>-0.08</v>
          </cell>
          <cell r="V201">
            <v>4.8</v>
          </cell>
        </row>
        <row r="202">
          <cell r="E202">
            <v>2027</v>
          </cell>
          <cell r="F202">
            <v>339</v>
          </cell>
          <cell r="G202">
            <v>112</v>
          </cell>
          <cell r="H202">
            <v>401</v>
          </cell>
          <cell r="I202">
            <v>139</v>
          </cell>
          <cell r="J202">
            <v>154</v>
          </cell>
          <cell r="K202">
            <v>0.06</v>
          </cell>
          <cell r="L202">
            <v>1.6</v>
          </cell>
          <cell r="M202">
            <v>2.25</v>
          </cell>
          <cell r="N202">
            <v>0.91</v>
          </cell>
          <cell r="O202">
            <v>4.75</v>
          </cell>
          <cell r="P202">
            <v>-0.02</v>
          </cell>
          <cell r="Q202">
            <v>-0.02</v>
          </cell>
          <cell r="R202">
            <v>-0.02</v>
          </cell>
          <cell r="S202">
            <v>-0.02</v>
          </cell>
          <cell r="T202">
            <v>0.18000000000000002</v>
          </cell>
          <cell r="U202">
            <v>-0.12000000000000001</v>
          </cell>
          <cell r="V202">
            <v>6.6</v>
          </cell>
        </row>
        <row r="203">
          <cell r="E203">
            <v>1556</v>
          </cell>
          <cell r="F203">
            <v>372</v>
          </cell>
          <cell r="G203">
            <v>172</v>
          </cell>
          <cell r="H203">
            <v>736</v>
          </cell>
          <cell r="I203">
            <v>121</v>
          </cell>
          <cell r="J203">
            <v>149</v>
          </cell>
          <cell r="K203">
            <v>0.18</v>
          </cell>
          <cell r="L203">
            <v>1.85</v>
          </cell>
          <cell r="M203">
            <v>2.0499999999999998</v>
          </cell>
          <cell r="N203">
            <v>0.75</v>
          </cell>
          <cell r="O203">
            <v>4.45</v>
          </cell>
          <cell r="P203">
            <v>-0.16</v>
          </cell>
          <cell r="Q203">
            <v>0.14000000000000001</v>
          </cell>
          <cell r="R203">
            <v>-0.06</v>
          </cell>
          <cell r="S203">
            <v>-0.06</v>
          </cell>
          <cell r="T203">
            <v>-0.06</v>
          </cell>
          <cell r="U203">
            <v>-0.06</v>
          </cell>
          <cell r="V203">
            <v>5.6</v>
          </cell>
        </row>
        <row r="204">
          <cell r="E204">
            <v>1904</v>
          </cell>
          <cell r="F204">
            <v>457</v>
          </cell>
          <cell r="G204">
            <v>176</v>
          </cell>
          <cell r="H204">
            <v>652</v>
          </cell>
          <cell r="I204">
            <v>150</v>
          </cell>
          <cell r="J204">
            <v>162</v>
          </cell>
          <cell r="K204">
            <v>0.12</v>
          </cell>
          <cell r="L204">
            <v>2.5499999999999998</v>
          </cell>
          <cell r="M204">
            <v>2.2999999999999998</v>
          </cell>
          <cell r="N204">
            <v>0.68</v>
          </cell>
          <cell r="O204">
            <v>3.55</v>
          </cell>
          <cell r="P204">
            <v>0.14500000000000002</v>
          </cell>
          <cell r="Q204">
            <v>-0.155</v>
          </cell>
          <cell r="R204">
            <v>-5.5E-2</v>
          </cell>
          <cell r="S204">
            <v>-5.5E-2</v>
          </cell>
          <cell r="T204">
            <v>-5.5E-2</v>
          </cell>
          <cell r="U204">
            <v>-5.5E-2</v>
          </cell>
          <cell r="V204">
            <v>4.8</v>
          </cell>
        </row>
        <row r="205">
          <cell r="E205">
            <v>3252</v>
          </cell>
          <cell r="F205">
            <v>745</v>
          </cell>
          <cell r="G205">
            <v>124</v>
          </cell>
          <cell r="H205">
            <v>329</v>
          </cell>
          <cell r="I205">
            <v>177</v>
          </cell>
          <cell r="J205">
            <v>312</v>
          </cell>
          <cell r="K205">
            <v>0.115</v>
          </cell>
          <cell r="L205">
            <v>1.95</v>
          </cell>
          <cell r="M205">
            <v>1.2</v>
          </cell>
          <cell r="N205">
            <v>0.72</v>
          </cell>
          <cell r="O205">
            <v>3.3250000000000002</v>
          </cell>
          <cell r="P205">
            <v>0.08</v>
          </cell>
          <cell r="Q205">
            <v>0.08</v>
          </cell>
          <cell r="R205">
            <v>0.28000000000000003</v>
          </cell>
          <cell r="S205">
            <v>-2.0000000000000004E-2</v>
          </cell>
          <cell r="T205">
            <v>0.08</v>
          </cell>
          <cell r="U205">
            <v>0.08</v>
          </cell>
          <cell r="V205">
            <v>5</v>
          </cell>
        </row>
        <row r="206">
          <cell r="E206">
            <v>3716</v>
          </cell>
          <cell r="F206">
            <v>128</v>
          </cell>
          <cell r="G206">
            <v>287</v>
          </cell>
          <cell r="H206">
            <v>129</v>
          </cell>
          <cell r="I206">
            <v>288</v>
          </cell>
          <cell r="J206">
            <v>260</v>
          </cell>
          <cell r="K206">
            <v>0.04</v>
          </cell>
          <cell r="L206">
            <v>1.4</v>
          </cell>
          <cell r="M206">
            <v>2.2000000000000002</v>
          </cell>
          <cell r="N206">
            <v>0.82</v>
          </cell>
          <cell r="O206">
            <v>1</v>
          </cell>
          <cell r="P206">
            <v>0.30000000000000004</v>
          </cell>
          <cell r="Q206">
            <v>0</v>
          </cell>
          <cell r="R206">
            <v>0.1</v>
          </cell>
          <cell r="S206">
            <v>0.1</v>
          </cell>
          <cell r="T206">
            <v>0.1</v>
          </cell>
          <cell r="U206">
            <v>0.1</v>
          </cell>
          <cell r="V206">
            <v>4</v>
          </cell>
        </row>
        <row r="207">
          <cell r="E207">
            <v>3414</v>
          </cell>
          <cell r="F207">
            <v>150</v>
          </cell>
          <cell r="G207">
            <v>320</v>
          </cell>
          <cell r="H207">
            <v>109</v>
          </cell>
          <cell r="I207">
            <v>171</v>
          </cell>
          <cell r="J207">
            <v>409</v>
          </cell>
          <cell r="K207">
            <v>0.05</v>
          </cell>
          <cell r="L207">
            <v>1.5</v>
          </cell>
          <cell r="M207">
            <v>2.0499999999999998</v>
          </cell>
          <cell r="N207">
            <v>0.79</v>
          </cell>
          <cell r="O207">
            <v>1</v>
          </cell>
          <cell r="P207">
            <v>-0.03</v>
          </cell>
          <cell r="Q207">
            <v>0.27</v>
          </cell>
          <cell r="R207">
            <v>7.0000000000000007E-2</v>
          </cell>
          <cell r="S207">
            <v>7.0000000000000007E-2</v>
          </cell>
          <cell r="T207">
            <v>7.0000000000000007E-2</v>
          </cell>
          <cell r="U207">
            <v>7.0000000000000007E-2</v>
          </cell>
          <cell r="V207">
            <v>4</v>
          </cell>
        </row>
        <row r="208">
          <cell r="E208">
            <v>2323</v>
          </cell>
          <cell r="F208">
            <v>406</v>
          </cell>
          <cell r="G208">
            <v>131</v>
          </cell>
          <cell r="H208">
            <v>416</v>
          </cell>
          <cell r="I208">
            <v>178</v>
          </cell>
          <cell r="J208">
            <v>190</v>
          </cell>
          <cell r="K208">
            <v>4.4999999999999998E-2</v>
          </cell>
          <cell r="L208">
            <v>1.4</v>
          </cell>
          <cell r="M208">
            <v>2.0499999999999998</v>
          </cell>
          <cell r="N208">
            <v>0.92</v>
          </cell>
          <cell r="O208">
            <v>2.6749999999999998</v>
          </cell>
          <cell r="P208">
            <v>0.19</v>
          </cell>
          <cell r="Q208">
            <v>0.19</v>
          </cell>
          <cell r="R208">
            <v>0.19</v>
          </cell>
          <cell r="S208">
            <v>0.19</v>
          </cell>
          <cell r="T208">
            <v>0.39</v>
          </cell>
          <cell r="U208">
            <v>0.09</v>
          </cell>
          <cell r="V208">
            <v>4</v>
          </cell>
        </row>
        <row r="209">
          <cell r="E209">
            <v>1865</v>
          </cell>
          <cell r="F209">
            <v>440</v>
          </cell>
          <cell r="G209">
            <v>144</v>
          </cell>
          <cell r="H209">
            <v>571</v>
          </cell>
          <cell r="I209">
            <v>157</v>
          </cell>
          <cell r="J209">
            <v>174</v>
          </cell>
          <cell r="K209">
            <v>0.26</v>
          </cell>
          <cell r="L209">
            <v>1.95</v>
          </cell>
          <cell r="M209">
            <v>2.75</v>
          </cell>
          <cell r="N209">
            <v>0.95</v>
          </cell>
          <cell r="O209">
            <v>2.8</v>
          </cell>
          <cell r="P209">
            <v>-0.15000000000000002</v>
          </cell>
          <cell r="Q209">
            <v>0.15000000000000002</v>
          </cell>
          <cell r="R209">
            <v>-0.05</v>
          </cell>
          <cell r="S209">
            <v>-0.05</v>
          </cell>
          <cell r="T209">
            <v>-0.05</v>
          </cell>
          <cell r="U209">
            <v>-0.05</v>
          </cell>
          <cell r="V209">
            <v>4.4000000000000004</v>
          </cell>
        </row>
        <row r="210">
          <cell r="E210">
            <v>2018</v>
          </cell>
          <cell r="F210">
            <v>335</v>
          </cell>
          <cell r="G210">
            <v>88</v>
          </cell>
          <cell r="H210">
            <v>370</v>
          </cell>
          <cell r="I210">
            <v>174</v>
          </cell>
          <cell r="J210">
            <v>166</v>
          </cell>
          <cell r="K210">
            <v>6.5000000000000002E-2</v>
          </cell>
          <cell r="L210">
            <v>1.45</v>
          </cell>
          <cell r="M210">
            <v>4</v>
          </cell>
          <cell r="N210">
            <v>1.72</v>
          </cell>
          <cell r="O210">
            <v>1.9</v>
          </cell>
          <cell r="P210">
            <v>0.13</v>
          </cell>
          <cell r="Q210">
            <v>-0.17</v>
          </cell>
          <cell r="R210">
            <v>-7.0000000000000007E-2</v>
          </cell>
          <cell r="S210">
            <v>-7.0000000000000007E-2</v>
          </cell>
          <cell r="T210">
            <v>-7.0000000000000007E-2</v>
          </cell>
          <cell r="U210">
            <v>-7.0000000000000007E-2</v>
          </cell>
          <cell r="V210">
            <v>5.4</v>
          </cell>
        </row>
        <row r="211">
          <cell r="E211">
            <v>3066</v>
          </cell>
          <cell r="F211">
            <v>372</v>
          </cell>
          <cell r="G211">
            <v>163</v>
          </cell>
          <cell r="H211">
            <v>363</v>
          </cell>
          <cell r="I211">
            <v>266</v>
          </cell>
          <cell r="J211">
            <v>174</v>
          </cell>
          <cell r="K211">
            <v>0.08</v>
          </cell>
          <cell r="L211">
            <v>1.6</v>
          </cell>
          <cell r="M211">
            <v>2.8</v>
          </cell>
          <cell r="N211">
            <v>1</v>
          </cell>
          <cell r="O211">
            <v>2.5</v>
          </cell>
          <cell r="P211">
            <v>1.4999999999999999E-2</v>
          </cell>
          <cell r="Q211">
            <v>1.4999999999999999E-2</v>
          </cell>
          <cell r="R211">
            <v>0.21500000000000002</v>
          </cell>
          <cell r="S211">
            <v>-8.5000000000000006E-2</v>
          </cell>
          <cell r="T211">
            <v>1.4999999999999999E-2</v>
          </cell>
          <cell r="U211">
            <v>1.4999999999999999E-2</v>
          </cell>
          <cell r="V211">
            <v>4</v>
          </cell>
        </row>
        <row r="212">
          <cell r="E212">
            <v>4650</v>
          </cell>
          <cell r="F212">
            <v>119</v>
          </cell>
          <cell r="G212">
            <v>342</v>
          </cell>
          <cell r="H212">
            <v>129</v>
          </cell>
          <cell r="I212">
            <v>439</v>
          </cell>
          <cell r="J212">
            <v>217</v>
          </cell>
          <cell r="K212">
            <v>0.03</v>
          </cell>
          <cell r="L212">
            <v>1.35</v>
          </cell>
          <cell r="M212">
            <v>1.5</v>
          </cell>
          <cell r="N212">
            <v>0.65</v>
          </cell>
          <cell r="O212">
            <v>1</v>
          </cell>
          <cell r="P212">
            <v>0.30000000000000004</v>
          </cell>
          <cell r="Q212">
            <v>0</v>
          </cell>
          <cell r="R212">
            <v>0.1</v>
          </cell>
          <cell r="S212">
            <v>0.1</v>
          </cell>
          <cell r="T212">
            <v>0.1</v>
          </cell>
          <cell r="U212">
            <v>0.1</v>
          </cell>
          <cell r="V212">
            <v>3.4</v>
          </cell>
        </row>
        <row r="213">
          <cell r="E213">
            <v>2018</v>
          </cell>
          <cell r="F213">
            <v>141</v>
          </cell>
          <cell r="G213">
            <v>438</v>
          </cell>
          <cell r="H213">
            <v>138</v>
          </cell>
          <cell r="I213">
            <v>161</v>
          </cell>
          <cell r="J213">
            <v>149</v>
          </cell>
          <cell r="K213">
            <v>0.1</v>
          </cell>
          <cell r="L213">
            <v>1.85</v>
          </cell>
          <cell r="M213">
            <v>4</v>
          </cell>
          <cell r="N213">
            <v>1.41</v>
          </cell>
          <cell r="O213">
            <v>1</v>
          </cell>
          <cell r="P213">
            <v>-0.155</v>
          </cell>
          <cell r="Q213">
            <v>0.14500000000000002</v>
          </cell>
          <cell r="R213">
            <v>-5.5E-2</v>
          </cell>
          <cell r="S213">
            <v>-5.5E-2</v>
          </cell>
          <cell r="T213">
            <v>-5.5E-2</v>
          </cell>
          <cell r="U213">
            <v>-5.5E-2</v>
          </cell>
          <cell r="V213">
            <v>6.4</v>
          </cell>
        </row>
        <row r="214">
          <cell r="E214">
            <v>2095</v>
          </cell>
          <cell r="F214">
            <v>335</v>
          </cell>
          <cell r="G214">
            <v>257</v>
          </cell>
          <cell r="H214">
            <v>572</v>
          </cell>
          <cell r="I214">
            <v>174</v>
          </cell>
          <cell r="J214">
            <v>204</v>
          </cell>
          <cell r="K214">
            <v>0.05</v>
          </cell>
          <cell r="L214">
            <v>1.5</v>
          </cell>
          <cell r="M214">
            <v>2</v>
          </cell>
          <cell r="N214">
            <v>1</v>
          </cell>
          <cell r="O214">
            <v>2.5</v>
          </cell>
          <cell r="P214">
            <v>-0.02</v>
          </cell>
          <cell r="Q214">
            <v>-0.02</v>
          </cell>
          <cell r="R214">
            <v>-0.02</v>
          </cell>
          <cell r="S214">
            <v>-0.02</v>
          </cell>
          <cell r="T214">
            <v>0.18000000000000002</v>
          </cell>
          <cell r="U214">
            <v>-0.12000000000000001</v>
          </cell>
          <cell r="V214">
            <v>4</v>
          </cell>
        </row>
        <row r="215">
          <cell r="E215">
            <v>2501</v>
          </cell>
          <cell r="F215">
            <v>389</v>
          </cell>
          <cell r="G215">
            <v>130</v>
          </cell>
          <cell r="H215">
            <v>483</v>
          </cell>
          <cell r="I215">
            <v>207</v>
          </cell>
          <cell r="J215">
            <v>205</v>
          </cell>
          <cell r="K215">
            <v>7.4999999999999997E-2</v>
          </cell>
          <cell r="L215">
            <v>1.5</v>
          </cell>
          <cell r="M215">
            <v>3.1</v>
          </cell>
          <cell r="N215">
            <v>1.1499999999999999</v>
          </cell>
          <cell r="O215">
            <v>3.0750000000000002</v>
          </cell>
          <cell r="P215">
            <v>-0.11</v>
          </cell>
          <cell r="Q215">
            <v>0.19</v>
          </cell>
          <cell r="R215">
            <v>-0.01</v>
          </cell>
          <cell r="S215">
            <v>-0.01</v>
          </cell>
          <cell r="T215">
            <v>-0.01</v>
          </cell>
          <cell r="U215">
            <v>-0.01</v>
          </cell>
          <cell r="V215">
            <v>8.6</v>
          </cell>
        </row>
        <row r="216">
          <cell r="E216">
            <v>4215</v>
          </cell>
          <cell r="F216">
            <v>512</v>
          </cell>
          <cell r="G216">
            <v>102</v>
          </cell>
          <cell r="H216">
            <v>227</v>
          </cell>
          <cell r="I216">
            <v>337</v>
          </cell>
          <cell r="J216">
            <v>315</v>
          </cell>
          <cell r="K216">
            <v>0.1</v>
          </cell>
          <cell r="L216">
            <v>1.75</v>
          </cell>
          <cell r="M216">
            <v>2.4</v>
          </cell>
          <cell r="N216">
            <v>1.2</v>
          </cell>
          <cell r="O216">
            <v>3</v>
          </cell>
          <cell r="P216">
            <v>0.28000000000000003</v>
          </cell>
          <cell r="Q216">
            <v>-2.0000000000000004E-2</v>
          </cell>
          <cell r="R216">
            <v>0.08</v>
          </cell>
          <cell r="S216">
            <v>0.08</v>
          </cell>
          <cell r="T216">
            <v>0.08</v>
          </cell>
          <cell r="U216">
            <v>0.08</v>
          </cell>
          <cell r="V216">
            <v>4</v>
          </cell>
        </row>
        <row r="217">
          <cell r="E217">
            <v>2557</v>
          </cell>
          <cell r="F217">
            <v>656</v>
          </cell>
          <cell r="G217">
            <v>277</v>
          </cell>
          <cell r="H217">
            <v>822</v>
          </cell>
          <cell r="I217">
            <v>198</v>
          </cell>
          <cell r="J217">
            <v>214</v>
          </cell>
          <cell r="K217">
            <v>0.04</v>
          </cell>
          <cell r="L217">
            <v>2.2000000000000002</v>
          </cell>
          <cell r="M217">
            <v>1.65</v>
          </cell>
          <cell r="N217">
            <v>0.64</v>
          </cell>
          <cell r="O217">
            <v>3.7</v>
          </cell>
          <cell r="P217">
            <v>-2.5000000000000001E-2</v>
          </cell>
          <cell r="Q217">
            <v>-2.5000000000000001E-2</v>
          </cell>
          <cell r="R217">
            <v>0.17500000000000002</v>
          </cell>
          <cell r="S217">
            <v>-0.125</v>
          </cell>
          <cell r="T217">
            <v>-2.5000000000000001E-2</v>
          </cell>
          <cell r="U217">
            <v>-2.5000000000000001E-2</v>
          </cell>
          <cell r="V217">
            <v>5</v>
          </cell>
        </row>
        <row r="218">
          <cell r="E218">
            <v>3147</v>
          </cell>
          <cell r="F218">
            <v>173</v>
          </cell>
          <cell r="G218">
            <v>425</v>
          </cell>
          <cell r="H218">
            <v>149</v>
          </cell>
          <cell r="I218">
            <v>283</v>
          </cell>
          <cell r="J218">
            <v>279</v>
          </cell>
          <cell r="K218">
            <v>0.04</v>
          </cell>
          <cell r="L218">
            <v>1.4</v>
          </cell>
          <cell r="M218">
            <v>2.4500000000000002</v>
          </cell>
          <cell r="N218">
            <v>1.03</v>
          </cell>
          <cell r="O218">
            <v>1</v>
          </cell>
          <cell r="P218">
            <v>0.24000000000000002</v>
          </cell>
          <cell r="Q218">
            <v>-6.0000000000000005E-2</v>
          </cell>
          <cell r="R218">
            <v>0.04</v>
          </cell>
          <cell r="S218">
            <v>0.04</v>
          </cell>
          <cell r="T218">
            <v>0.04</v>
          </cell>
          <cell r="U218">
            <v>0.04</v>
          </cell>
          <cell r="V218">
            <v>4</v>
          </cell>
        </row>
        <row r="219">
          <cell r="E219">
            <v>2136</v>
          </cell>
          <cell r="F219">
            <v>113</v>
          </cell>
          <cell r="G219">
            <v>797</v>
          </cell>
          <cell r="H219">
            <v>222</v>
          </cell>
          <cell r="I219">
            <v>171</v>
          </cell>
          <cell r="J219">
            <v>157</v>
          </cell>
          <cell r="K219">
            <v>9.5000000000000001E-2</v>
          </cell>
          <cell r="L219">
            <v>2.4</v>
          </cell>
          <cell r="M219">
            <v>3.35</v>
          </cell>
          <cell r="N219">
            <v>0.86</v>
          </cell>
          <cell r="O219">
            <v>1</v>
          </cell>
          <cell r="P219">
            <v>-0.17</v>
          </cell>
          <cell r="Q219">
            <v>0.13</v>
          </cell>
          <cell r="R219">
            <v>-7.0000000000000007E-2</v>
          </cell>
          <cell r="S219">
            <v>-7.0000000000000007E-2</v>
          </cell>
          <cell r="T219">
            <v>-7.0000000000000007E-2</v>
          </cell>
          <cell r="U219">
            <v>-7.0000000000000007E-2</v>
          </cell>
          <cell r="V219">
            <v>4.5999999999999996</v>
          </cell>
        </row>
        <row r="220">
          <cell r="E220">
            <v>2810</v>
          </cell>
          <cell r="F220">
            <v>594</v>
          </cell>
          <cell r="G220">
            <v>225</v>
          </cell>
          <cell r="H220">
            <v>501</v>
          </cell>
          <cell r="I220">
            <v>225</v>
          </cell>
          <cell r="J220">
            <v>270</v>
          </cell>
          <cell r="K220">
            <v>0.06</v>
          </cell>
          <cell r="L220">
            <v>1.4</v>
          </cell>
          <cell r="M220">
            <v>2.1</v>
          </cell>
          <cell r="N220">
            <v>0.95</v>
          </cell>
          <cell r="O220">
            <v>2.875</v>
          </cell>
          <cell r="P220">
            <v>0.03</v>
          </cell>
          <cell r="Q220">
            <v>0.03</v>
          </cell>
          <cell r="R220">
            <v>0.03</v>
          </cell>
          <cell r="S220">
            <v>0.03</v>
          </cell>
          <cell r="T220">
            <v>0.23</v>
          </cell>
          <cell r="U220">
            <v>-7.0000000000000007E-2</v>
          </cell>
          <cell r="V220">
            <v>4.8</v>
          </cell>
        </row>
        <row r="221">
          <cell r="E221">
            <v>3091</v>
          </cell>
          <cell r="F221">
            <v>496</v>
          </cell>
          <cell r="G221">
            <v>223</v>
          </cell>
          <cell r="H221">
            <v>495</v>
          </cell>
          <cell r="I221">
            <v>235</v>
          </cell>
          <cell r="J221">
            <v>272</v>
          </cell>
          <cell r="K221">
            <v>7.0000000000000007E-2</v>
          </cell>
          <cell r="L221">
            <v>1.55</v>
          </cell>
          <cell r="M221">
            <v>2.2999999999999998</v>
          </cell>
          <cell r="N221">
            <v>1.1000000000000001</v>
          </cell>
          <cell r="O221">
            <v>2.7</v>
          </cell>
          <cell r="P221">
            <v>-0.13</v>
          </cell>
          <cell r="Q221">
            <v>0.17</v>
          </cell>
          <cell r="R221">
            <v>-0.03</v>
          </cell>
          <cell r="S221">
            <v>-0.03</v>
          </cell>
          <cell r="T221">
            <v>-0.03</v>
          </cell>
          <cell r="U221">
            <v>-0.03</v>
          </cell>
          <cell r="V221">
            <v>4</v>
          </cell>
        </row>
        <row r="222">
          <cell r="E222">
            <v>2071</v>
          </cell>
          <cell r="F222">
            <v>496</v>
          </cell>
          <cell r="G222">
            <v>229</v>
          </cell>
          <cell r="H222">
            <v>980</v>
          </cell>
          <cell r="I222">
            <v>161</v>
          </cell>
          <cell r="J222">
            <v>198</v>
          </cell>
          <cell r="K222">
            <v>0.18</v>
          </cell>
          <cell r="L222">
            <v>1.85</v>
          </cell>
          <cell r="M222">
            <v>2.0499999999999998</v>
          </cell>
          <cell r="N222">
            <v>0.75</v>
          </cell>
          <cell r="O222">
            <v>4.45</v>
          </cell>
          <cell r="P222">
            <v>0.14000000000000001</v>
          </cell>
          <cell r="Q222">
            <v>-0.16</v>
          </cell>
          <cell r="R222">
            <v>-0.06</v>
          </cell>
          <cell r="S222">
            <v>-0.06</v>
          </cell>
          <cell r="T222">
            <v>-0.06</v>
          </cell>
          <cell r="U222">
            <v>-0.06</v>
          </cell>
          <cell r="V222">
            <v>5.6</v>
          </cell>
        </row>
        <row r="223">
          <cell r="E223">
            <v>2535</v>
          </cell>
          <cell r="F223">
            <v>608</v>
          </cell>
          <cell r="G223">
            <v>234</v>
          </cell>
          <cell r="H223">
            <v>868</v>
          </cell>
          <cell r="I223">
            <v>200</v>
          </cell>
          <cell r="J223">
            <v>215</v>
          </cell>
          <cell r="K223">
            <v>0.12</v>
          </cell>
          <cell r="L223">
            <v>2.5499999999999998</v>
          </cell>
          <cell r="M223">
            <v>2.2999999999999998</v>
          </cell>
          <cell r="N223">
            <v>0.68</v>
          </cell>
          <cell r="O223">
            <v>3.55</v>
          </cell>
          <cell r="P223">
            <v>-5.5E-2</v>
          </cell>
          <cell r="Q223">
            <v>-5.5E-2</v>
          </cell>
          <cell r="R223">
            <v>0.14500000000000002</v>
          </cell>
          <cell r="S223">
            <v>-0.155</v>
          </cell>
          <cell r="T223">
            <v>-5.5E-2</v>
          </cell>
          <cell r="U223">
            <v>-5.5E-2</v>
          </cell>
          <cell r="V223">
            <v>4.8</v>
          </cell>
        </row>
        <row r="224">
          <cell r="E224">
            <v>4668</v>
          </cell>
          <cell r="F224">
            <v>168</v>
          </cell>
          <cell r="G224">
            <v>472</v>
          </cell>
          <cell r="H224">
            <v>166</v>
          </cell>
          <cell r="I224">
            <v>418</v>
          </cell>
          <cell r="J224">
            <v>232</v>
          </cell>
          <cell r="K224">
            <v>3.5000000000000003E-2</v>
          </cell>
          <cell r="L224">
            <v>1.43</v>
          </cell>
          <cell r="M224">
            <v>1.75</v>
          </cell>
          <cell r="N224">
            <v>0.73</v>
          </cell>
          <cell r="O224">
            <v>1</v>
          </cell>
          <cell r="P224">
            <v>0.29000000000000004</v>
          </cell>
          <cell r="Q224">
            <v>-1.0000000000000009E-2</v>
          </cell>
          <cell r="R224">
            <v>0.09</v>
          </cell>
          <cell r="S224">
            <v>0.09</v>
          </cell>
          <cell r="T224">
            <v>0.09</v>
          </cell>
          <cell r="U224">
            <v>0.09</v>
          </cell>
          <cell r="V224">
            <v>4.4000000000000004</v>
          </cell>
        </row>
        <row r="225">
          <cell r="E225">
            <v>4946</v>
          </cell>
          <cell r="F225">
            <v>170</v>
          </cell>
          <cell r="G225">
            <v>382</v>
          </cell>
          <cell r="H225">
            <v>172</v>
          </cell>
          <cell r="I225">
            <v>383</v>
          </cell>
          <cell r="J225">
            <v>346</v>
          </cell>
          <cell r="K225">
            <v>0.04</v>
          </cell>
          <cell r="L225">
            <v>1.4</v>
          </cell>
          <cell r="M225">
            <v>2.2000000000000002</v>
          </cell>
          <cell r="N225">
            <v>0.82</v>
          </cell>
          <cell r="O225">
            <v>1</v>
          </cell>
          <cell r="P225">
            <v>0</v>
          </cell>
          <cell r="Q225">
            <v>0.30000000000000004</v>
          </cell>
          <cell r="R225">
            <v>0.1</v>
          </cell>
          <cell r="S225">
            <v>0.1</v>
          </cell>
          <cell r="T225">
            <v>0.1</v>
          </cell>
          <cell r="U225">
            <v>0.1</v>
          </cell>
          <cell r="V225">
            <v>4</v>
          </cell>
        </row>
        <row r="226">
          <cell r="E226">
            <v>5317</v>
          </cell>
          <cell r="F226">
            <v>608</v>
          </cell>
          <cell r="G226">
            <v>128</v>
          </cell>
          <cell r="H226">
            <v>439</v>
          </cell>
          <cell r="I226">
            <v>406</v>
          </cell>
          <cell r="J226">
            <v>383</v>
          </cell>
          <cell r="K226">
            <v>3.5000000000000003E-2</v>
          </cell>
          <cell r="L226">
            <v>1.4</v>
          </cell>
          <cell r="M226">
            <v>1.5</v>
          </cell>
          <cell r="N226">
            <v>0.6</v>
          </cell>
          <cell r="O226">
            <v>3.1</v>
          </cell>
          <cell r="P226">
            <v>0.12</v>
          </cell>
          <cell r="Q226">
            <v>0.12</v>
          </cell>
          <cell r="R226">
            <v>0.12</v>
          </cell>
          <cell r="S226">
            <v>0.12</v>
          </cell>
          <cell r="T226">
            <v>0.32</v>
          </cell>
          <cell r="U226">
            <v>1.999999999999999E-2</v>
          </cell>
          <cell r="V226">
            <v>4.12</v>
          </cell>
        </row>
        <row r="227">
          <cell r="E227">
            <v>2516</v>
          </cell>
          <cell r="F227">
            <v>471</v>
          </cell>
          <cell r="G227">
            <v>171</v>
          </cell>
          <cell r="H227">
            <v>584</v>
          </cell>
          <cell r="I227">
            <v>196</v>
          </cell>
          <cell r="J227">
            <v>229</v>
          </cell>
          <cell r="K227">
            <v>0.05</v>
          </cell>
          <cell r="L227">
            <v>1.4</v>
          </cell>
          <cell r="M227">
            <v>3.35</v>
          </cell>
          <cell r="N227">
            <v>1.55</v>
          </cell>
          <cell r="O227">
            <v>2.2999999999999998</v>
          </cell>
          <cell r="P227">
            <v>-0.17</v>
          </cell>
          <cell r="Q227">
            <v>0.13</v>
          </cell>
          <cell r="R227">
            <v>-7.0000000000000007E-2</v>
          </cell>
          <cell r="S227">
            <v>-7.0000000000000007E-2</v>
          </cell>
          <cell r="T227">
            <v>-7.0000000000000007E-2</v>
          </cell>
          <cell r="U227">
            <v>-7.0000000000000007E-2</v>
          </cell>
          <cell r="V227">
            <v>4</v>
          </cell>
        </row>
        <row r="228">
          <cell r="E228">
            <v>2482</v>
          </cell>
          <cell r="F228">
            <v>585</v>
          </cell>
          <cell r="G228">
            <v>192</v>
          </cell>
          <cell r="H228">
            <v>760</v>
          </cell>
          <cell r="I228">
            <v>209</v>
          </cell>
          <cell r="J228">
            <v>231</v>
          </cell>
          <cell r="K228">
            <v>0.26</v>
          </cell>
          <cell r="L228">
            <v>1.95</v>
          </cell>
          <cell r="M228">
            <v>2.75</v>
          </cell>
          <cell r="N228">
            <v>0.95</v>
          </cell>
          <cell r="O228">
            <v>2.8</v>
          </cell>
          <cell r="P228">
            <v>0.15000000000000002</v>
          </cell>
          <cell r="Q228">
            <v>-0.15000000000000002</v>
          </cell>
          <cell r="R228">
            <v>-0.05</v>
          </cell>
          <cell r="S228">
            <v>-0.05</v>
          </cell>
          <cell r="T228">
            <v>-0.05</v>
          </cell>
          <cell r="U228">
            <v>-0.05</v>
          </cell>
          <cell r="V228">
            <v>4.4000000000000004</v>
          </cell>
        </row>
        <row r="229">
          <cell r="E229">
            <v>2686</v>
          </cell>
          <cell r="F229">
            <v>446</v>
          </cell>
          <cell r="G229">
            <v>118</v>
          </cell>
          <cell r="H229">
            <v>493</v>
          </cell>
          <cell r="I229">
            <v>231</v>
          </cell>
          <cell r="J229">
            <v>220</v>
          </cell>
          <cell r="K229">
            <v>6.5000000000000002E-2</v>
          </cell>
          <cell r="L229">
            <v>1.45</v>
          </cell>
          <cell r="M229">
            <v>4</v>
          </cell>
          <cell r="N229">
            <v>1.72</v>
          </cell>
          <cell r="O229">
            <v>1.9</v>
          </cell>
          <cell r="P229">
            <v>-7.0000000000000007E-2</v>
          </cell>
          <cell r="Q229">
            <v>-7.0000000000000007E-2</v>
          </cell>
          <cell r="R229">
            <v>0.13</v>
          </cell>
          <cell r="S229">
            <v>-0.17</v>
          </cell>
          <cell r="T229">
            <v>-7.0000000000000007E-2</v>
          </cell>
          <cell r="U229">
            <v>-7.0000000000000007E-2</v>
          </cell>
          <cell r="V229">
            <v>5.4</v>
          </cell>
        </row>
        <row r="230">
          <cell r="E230">
            <v>2720</v>
          </cell>
          <cell r="F230">
            <v>187</v>
          </cell>
          <cell r="G230">
            <v>628</v>
          </cell>
          <cell r="H230">
            <v>283</v>
          </cell>
          <cell r="I230">
            <v>218</v>
          </cell>
          <cell r="J230">
            <v>218</v>
          </cell>
          <cell r="K230">
            <v>0.08</v>
          </cell>
          <cell r="L230">
            <v>1.55</v>
          </cell>
          <cell r="M230">
            <v>3.3</v>
          </cell>
          <cell r="N230">
            <v>1.32</v>
          </cell>
          <cell r="O230">
            <v>1</v>
          </cell>
          <cell r="P230">
            <v>0.16</v>
          </cell>
          <cell r="Q230">
            <v>-0.14000000000000001</v>
          </cell>
          <cell r="R230">
            <v>-0.04</v>
          </cell>
          <cell r="S230">
            <v>-0.04</v>
          </cell>
          <cell r="T230">
            <v>-0.04</v>
          </cell>
          <cell r="U230">
            <v>-0.04</v>
          </cell>
          <cell r="V230">
            <v>4.8</v>
          </cell>
        </row>
        <row r="231">
          <cell r="E231">
            <v>6189</v>
          </cell>
          <cell r="F231">
            <v>159</v>
          </cell>
          <cell r="G231">
            <v>456</v>
          </cell>
          <cell r="H231">
            <v>172</v>
          </cell>
          <cell r="I231">
            <v>585</v>
          </cell>
          <cell r="J231">
            <v>288</v>
          </cell>
          <cell r="K231">
            <v>0.03</v>
          </cell>
          <cell r="L231">
            <v>1.35</v>
          </cell>
          <cell r="M231">
            <v>1.5</v>
          </cell>
          <cell r="N231">
            <v>0.65</v>
          </cell>
          <cell r="O231">
            <v>1</v>
          </cell>
          <cell r="P231">
            <v>0</v>
          </cell>
          <cell r="Q231">
            <v>0.30000000000000004</v>
          </cell>
          <cell r="R231">
            <v>0.1</v>
          </cell>
          <cell r="S231">
            <v>0.1</v>
          </cell>
          <cell r="T231">
            <v>0.1</v>
          </cell>
          <cell r="U231">
            <v>0.1</v>
          </cell>
          <cell r="V231">
            <v>3.4</v>
          </cell>
        </row>
        <row r="232">
          <cell r="E232">
            <v>3808</v>
          </cell>
          <cell r="F232">
            <v>669</v>
          </cell>
          <cell r="G232">
            <v>168</v>
          </cell>
          <cell r="H232">
            <v>565</v>
          </cell>
          <cell r="I232">
            <v>530</v>
          </cell>
          <cell r="J232">
            <v>196</v>
          </cell>
          <cell r="K232">
            <v>5.5E-2</v>
          </cell>
          <cell r="L232">
            <v>1.5</v>
          </cell>
          <cell r="M232">
            <v>1.85</v>
          </cell>
          <cell r="N232">
            <v>0.87</v>
          </cell>
          <cell r="O232">
            <v>2.35</v>
          </cell>
          <cell r="P232">
            <v>6.5000000000000002E-2</v>
          </cell>
          <cell r="Q232">
            <v>6.5000000000000002E-2</v>
          </cell>
          <cell r="R232">
            <v>6.5000000000000002E-2</v>
          </cell>
          <cell r="S232">
            <v>6.5000000000000002E-2</v>
          </cell>
          <cell r="T232">
            <v>0.26500000000000001</v>
          </cell>
          <cell r="U232">
            <v>-3.5000000000000003E-2</v>
          </cell>
          <cell r="V232">
            <v>4.2</v>
          </cell>
        </row>
        <row r="233">
          <cell r="E233">
            <v>4788</v>
          </cell>
          <cell r="F233">
            <v>518</v>
          </cell>
          <cell r="G233">
            <v>135</v>
          </cell>
          <cell r="H233">
            <v>354</v>
          </cell>
          <cell r="I233">
            <v>368</v>
          </cell>
          <cell r="J233">
            <v>335</v>
          </cell>
          <cell r="K233">
            <v>7.0000000000000007E-2</v>
          </cell>
          <cell r="L233">
            <v>1.5</v>
          </cell>
          <cell r="M233">
            <v>2.8</v>
          </cell>
          <cell r="N233">
            <v>1.45</v>
          </cell>
          <cell r="O233">
            <v>1.55</v>
          </cell>
          <cell r="P233">
            <v>-7.0000000000000007E-2</v>
          </cell>
          <cell r="Q233">
            <v>0.23</v>
          </cell>
          <cell r="R233">
            <v>0.03</v>
          </cell>
          <cell r="S233">
            <v>0.03</v>
          </cell>
          <cell r="T233">
            <v>0.03</v>
          </cell>
          <cell r="U233">
            <v>0.03</v>
          </cell>
          <cell r="V233">
            <v>3.6</v>
          </cell>
        </row>
        <row r="234">
          <cell r="E234">
            <v>3329</v>
          </cell>
          <cell r="F234">
            <v>518</v>
          </cell>
          <cell r="G234">
            <v>174</v>
          </cell>
          <cell r="H234">
            <v>643</v>
          </cell>
          <cell r="I234">
            <v>275</v>
          </cell>
          <cell r="J234">
            <v>272</v>
          </cell>
          <cell r="K234">
            <v>7.4999999999999997E-2</v>
          </cell>
          <cell r="L234">
            <v>1.5</v>
          </cell>
          <cell r="M234">
            <v>3.1</v>
          </cell>
          <cell r="N234">
            <v>1.1499999999999999</v>
          </cell>
          <cell r="O234">
            <v>3.0750000000000002</v>
          </cell>
          <cell r="P234">
            <v>0.19</v>
          </cell>
          <cell r="Q234">
            <v>-0.11</v>
          </cell>
          <cell r="R234">
            <v>-0.01</v>
          </cell>
          <cell r="S234">
            <v>-0.01</v>
          </cell>
          <cell r="T234">
            <v>-0.01</v>
          </cell>
          <cell r="U234">
            <v>-0.01</v>
          </cell>
          <cell r="V234">
            <v>8.6</v>
          </cell>
        </row>
        <row r="235">
          <cell r="E235">
            <v>5611</v>
          </cell>
          <cell r="F235">
            <v>682</v>
          </cell>
          <cell r="G235">
            <v>136</v>
          </cell>
          <cell r="H235">
            <v>302</v>
          </cell>
          <cell r="I235">
            <v>449</v>
          </cell>
          <cell r="J235">
            <v>419</v>
          </cell>
          <cell r="K235">
            <v>0.1</v>
          </cell>
          <cell r="L235">
            <v>1.75</v>
          </cell>
          <cell r="M235">
            <v>2.4</v>
          </cell>
          <cell r="N235">
            <v>1.2</v>
          </cell>
          <cell r="O235">
            <v>3</v>
          </cell>
          <cell r="P235">
            <v>0.08</v>
          </cell>
          <cell r="Q235">
            <v>0.08</v>
          </cell>
          <cell r="R235">
            <v>0.28000000000000003</v>
          </cell>
          <cell r="S235">
            <v>-2.0000000000000004E-2</v>
          </cell>
          <cell r="T235">
            <v>0.08</v>
          </cell>
          <cell r="U235">
            <v>0.08</v>
          </cell>
          <cell r="V235">
            <v>4</v>
          </cell>
        </row>
        <row r="236">
          <cell r="E236">
            <v>2618</v>
          </cell>
          <cell r="F236">
            <v>206</v>
          </cell>
          <cell r="G236">
            <v>800</v>
          </cell>
          <cell r="H236">
            <v>270</v>
          </cell>
          <cell r="I236">
            <v>227</v>
          </cell>
          <cell r="J236">
            <v>233</v>
          </cell>
          <cell r="K236">
            <v>0.11</v>
          </cell>
          <cell r="L236">
            <v>1.58</v>
          </cell>
          <cell r="M236">
            <v>4.45</v>
          </cell>
          <cell r="N236">
            <v>1.3</v>
          </cell>
          <cell r="O236">
            <v>1</v>
          </cell>
          <cell r="P236">
            <v>0.14000000000000001</v>
          </cell>
          <cell r="Q236">
            <v>-0.16</v>
          </cell>
          <cell r="R236">
            <v>-0.06</v>
          </cell>
          <cell r="S236">
            <v>-0.06</v>
          </cell>
          <cell r="T236">
            <v>-0.06</v>
          </cell>
          <cell r="U236">
            <v>-0.06</v>
          </cell>
          <cell r="V236">
            <v>5.6</v>
          </cell>
        </row>
        <row r="237">
          <cell r="E237">
            <v>4189</v>
          </cell>
          <cell r="F237">
            <v>230</v>
          </cell>
          <cell r="G237">
            <v>566</v>
          </cell>
          <cell r="H237">
            <v>199</v>
          </cell>
          <cell r="I237">
            <v>377</v>
          </cell>
          <cell r="J237">
            <v>371</v>
          </cell>
          <cell r="K237">
            <v>0.04</v>
          </cell>
          <cell r="L237">
            <v>1.4</v>
          </cell>
          <cell r="M237">
            <v>2.4500000000000002</v>
          </cell>
          <cell r="N237">
            <v>1.03</v>
          </cell>
          <cell r="O237">
            <v>1</v>
          </cell>
          <cell r="P237">
            <v>-6.0000000000000005E-2</v>
          </cell>
          <cell r="Q237">
            <v>0.24000000000000002</v>
          </cell>
          <cell r="R237">
            <v>0.04</v>
          </cell>
          <cell r="S237">
            <v>0.04</v>
          </cell>
          <cell r="T237">
            <v>0.04</v>
          </cell>
          <cell r="U237">
            <v>0.04</v>
          </cell>
          <cell r="V237">
            <v>4</v>
          </cell>
        </row>
        <row r="238">
          <cell r="E238">
            <v>2057</v>
          </cell>
          <cell r="F238">
            <v>818</v>
          </cell>
          <cell r="G238">
            <v>384</v>
          </cell>
          <cell r="H238">
            <v>1068</v>
          </cell>
          <cell r="I238">
            <v>434</v>
          </cell>
          <cell r="J238">
            <v>673</v>
          </cell>
          <cell r="K238">
            <v>0.04</v>
          </cell>
          <cell r="L238">
            <v>1.38</v>
          </cell>
          <cell r="M238">
            <v>2.2000000000000002</v>
          </cell>
          <cell r="N238">
            <v>0.88</v>
          </cell>
          <cell r="O238">
            <v>3.15</v>
          </cell>
          <cell r="P238">
            <v>0.13</v>
          </cell>
          <cell r="Q238">
            <v>0.13</v>
          </cell>
          <cell r="R238">
            <v>0.13</v>
          </cell>
          <cell r="S238">
            <v>0.13</v>
          </cell>
          <cell r="T238">
            <v>0.33</v>
          </cell>
          <cell r="U238">
            <v>0.03</v>
          </cell>
          <cell r="V238">
            <v>4.4800000000000004</v>
          </cell>
        </row>
        <row r="239">
          <cell r="E239">
            <v>4238</v>
          </cell>
          <cell r="F239">
            <v>1590</v>
          </cell>
          <cell r="G239">
            <v>239</v>
          </cell>
          <cell r="H239">
            <v>759</v>
          </cell>
          <cell r="I239">
            <v>316</v>
          </cell>
          <cell r="J239">
            <v>388</v>
          </cell>
          <cell r="K239">
            <v>6.5000000000000002E-2</v>
          </cell>
          <cell r="L239">
            <v>1.45</v>
          </cell>
          <cell r="M239">
            <v>2.1</v>
          </cell>
          <cell r="N239">
            <v>0.9</v>
          </cell>
          <cell r="O239">
            <v>2.8</v>
          </cell>
          <cell r="P239">
            <v>-0.08</v>
          </cell>
          <cell r="Q239">
            <v>0.22</v>
          </cell>
          <cell r="R239">
            <v>0.02</v>
          </cell>
          <cell r="S239">
            <v>0.02</v>
          </cell>
          <cell r="T239">
            <v>0.02</v>
          </cell>
          <cell r="U239">
            <v>0.02</v>
          </cell>
          <cell r="V239">
            <v>4.2</v>
          </cell>
        </row>
        <row r="240">
          <cell r="E240">
            <v>4114</v>
          </cell>
          <cell r="F240">
            <v>660</v>
          </cell>
          <cell r="G240">
            <v>296</v>
          </cell>
          <cell r="H240">
            <v>658</v>
          </cell>
          <cell r="I240">
            <v>313</v>
          </cell>
          <cell r="J240">
            <v>362</v>
          </cell>
          <cell r="K240">
            <v>7.0000000000000007E-2</v>
          </cell>
          <cell r="L240">
            <v>1.55</v>
          </cell>
          <cell r="M240">
            <v>2.2999999999999998</v>
          </cell>
          <cell r="N240">
            <v>1.1000000000000001</v>
          </cell>
          <cell r="O240">
            <v>2.7</v>
          </cell>
          <cell r="P240">
            <v>0.17</v>
          </cell>
          <cell r="Q240">
            <v>-0.13</v>
          </cell>
          <cell r="R240">
            <v>-0.03</v>
          </cell>
          <cell r="S240">
            <v>-0.03</v>
          </cell>
          <cell r="T240">
            <v>-0.03</v>
          </cell>
          <cell r="U240">
            <v>-0.03</v>
          </cell>
          <cell r="V240">
            <v>4</v>
          </cell>
        </row>
        <row r="241">
          <cell r="E241">
            <v>2757</v>
          </cell>
          <cell r="F241">
            <v>660</v>
          </cell>
          <cell r="G241">
            <v>305</v>
          </cell>
          <cell r="H241">
            <v>1305</v>
          </cell>
          <cell r="I241">
            <v>214</v>
          </cell>
          <cell r="J241">
            <v>263</v>
          </cell>
          <cell r="K241">
            <v>0.18</v>
          </cell>
          <cell r="L241">
            <v>1.85</v>
          </cell>
          <cell r="M241">
            <v>2.0499999999999998</v>
          </cell>
          <cell r="N241">
            <v>0.75</v>
          </cell>
          <cell r="O241">
            <v>4.45</v>
          </cell>
          <cell r="P241">
            <v>-0.06</v>
          </cell>
          <cell r="Q241">
            <v>-0.06</v>
          </cell>
          <cell r="R241">
            <v>0.14000000000000001</v>
          </cell>
          <cell r="S241">
            <v>-0.16</v>
          </cell>
          <cell r="T241">
            <v>-0.06</v>
          </cell>
          <cell r="U241">
            <v>-0.06</v>
          </cell>
          <cell r="V241">
            <v>5.6</v>
          </cell>
        </row>
        <row r="242">
          <cell r="E242">
            <v>2386</v>
          </cell>
          <cell r="F242">
            <v>133</v>
          </cell>
          <cell r="G242">
            <v>1356</v>
          </cell>
          <cell r="H242">
            <v>305</v>
          </cell>
          <cell r="I242">
            <v>181</v>
          </cell>
          <cell r="J242">
            <v>184</v>
          </cell>
          <cell r="K242">
            <v>0.08</v>
          </cell>
          <cell r="L242">
            <v>1.95</v>
          </cell>
          <cell r="M242">
            <v>2.85</v>
          </cell>
          <cell r="N242">
            <v>1.0900000000000001</v>
          </cell>
          <cell r="O242">
            <v>1</v>
          </cell>
          <cell r="P242">
            <v>8.5000000000000006E-2</v>
          </cell>
          <cell r="Q242">
            <v>-0.21500000000000002</v>
          </cell>
          <cell r="R242">
            <v>-0.115</v>
          </cell>
          <cell r="S242">
            <v>-0.115</v>
          </cell>
          <cell r="T242">
            <v>-0.115</v>
          </cell>
          <cell r="U242">
            <v>-0.115</v>
          </cell>
          <cell r="V242">
            <v>4.4000000000000004</v>
          </cell>
        </row>
        <row r="243">
          <cell r="E243">
            <v>6213</v>
          </cell>
          <cell r="F243">
            <v>224</v>
          </cell>
          <cell r="G243">
            <v>629</v>
          </cell>
          <cell r="H243">
            <v>221</v>
          </cell>
          <cell r="I243">
            <v>556</v>
          </cell>
          <cell r="J243">
            <v>309</v>
          </cell>
          <cell r="K243">
            <v>3.5000000000000003E-2</v>
          </cell>
          <cell r="L243">
            <v>1.43</v>
          </cell>
          <cell r="M243">
            <v>1.75</v>
          </cell>
          <cell r="N243">
            <v>0.73</v>
          </cell>
          <cell r="O243">
            <v>1</v>
          </cell>
          <cell r="P243">
            <v>-1.0000000000000009E-2</v>
          </cell>
          <cell r="Q243">
            <v>0.29000000000000004</v>
          </cell>
          <cell r="R243">
            <v>0.09</v>
          </cell>
          <cell r="S243">
            <v>0.09</v>
          </cell>
          <cell r="T243">
            <v>0.09</v>
          </cell>
          <cell r="U243">
            <v>0.09</v>
          </cell>
          <cell r="V243">
            <v>4.4000000000000004</v>
          </cell>
        </row>
        <row r="244">
          <cell r="E244">
            <v>3209</v>
          </cell>
          <cell r="F244">
            <v>690</v>
          </cell>
          <cell r="G244">
            <v>392</v>
          </cell>
          <cell r="H244">
            <v>870</v>
          </cell>
          <cell r="I244">
            <v>247</v>
          </cell>
          <cell r="J244">
            <v>263</v>
          </cell>
          <cell r="K244">
            <v>0.11</v>
          </cell>
          <cell r="L244">
            <v>1.65</v>
          </cell>
          <cell r="M244">
            <v>2.2000000000000002</v>
          </cell>
          <cell r="N244">
            <v>1.1000000000000001</v>
          </cell>
          <cell r="O244">
            <v>2.75</v>
          </cell>
          <cell r="P244">
            <v>-0.04</v>
          </cell>
          <cell r="Q244">
            <v>-0.04</v>
          </cell>
          <cell r="R244">
            <v>-0.04</v>
          </cell>
          <cell r="S244">
            <v>-0.04</v>
          </cell>
          <cell r="T244">
            <v>0.16</v>
          </cell>
          <cell r="U244">
            <v>-0.14000000000000001</v>
          </cell>
          <cell r="V244">
            <v>4.2</v>
          </cell>
        </row>
        <row r="245">
          <cell r="E245">
            <v>4164</v>
          </cell>
          <cell r="F245">
            <v>660</v>
          </cell>
          <cell r="G245">
            <v>377</v>
          </cell>
          <cell r="H245">
            <v>837</v>
          </cell>
          <cell r="I245">
            <v>344</v>
          </cell>
          <cell r="J245">
            <v>380</v>
          </cell>
          <cell r="K245">
            <v>0.05</v>
          </cell>
          <cell r="L245">
            <v>1.5</v>
          </cell>
          <cell r="M245">
            <v>2</v>
          </cell>
          <cell r="N245">
            <v>1.05</v>
          </cell>
          <cell r="O245">
            <v>2.5</v>
          </cell>
          <cell r="P245">
            <v>-0.1</v>
          </cell>
          <cell r="Q245">
            <v>0.2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4</v>
          </cell>
        </row>
        <row r="246">
          <cell r="E246">
            <v>3349</v>
          </cell>
          <cell r="F246">
            <v>627</v>
          </cell>
          <cell r="G246">
            <v>228</v>
          </cell>
          <cell r="H246">
            <v>778</v>
          </cell>
          <cell r="I246">
            <v>261</v>
          </cell>
          <cell r="J246">
            <v>304</v>
          </cell>
          <cell r="K246">
            <v>0.05</v>
          </cell>
          <cell r="L246">
            <v>1.4</v>
          </cell>
          <cell r="M246">
            <v>3.35</v>
          </cell>
          <cell r="N246">
            <v>1.55</v>
          </cell>
          <cell r="O246">
            <v>2.2999999999999998</v>
          </cell>
          <cell r="P246">
            <v>0.13</v>
          </cell>
          <cell r="Q246">
            <v>-0.17</v>
          </cell>
          <cell r="R246">
            <v>-7.0000000000000007E-2</v>
          </cell>
          <cell r="S246">
            <v>-7.0000000000000007E-2</v>
          </cell>
          <cell r="T246">
            <v>-7.0000000000000007E-2</v>
          </cell>
          <cell r="U246">
            <v>-7.0000000000000007E-2</v>
          </cell>
          <cell r="V246">
            <v>4</v>
          </cell>
        </row>
        <row r="247">
          <cell r="E247">
            <v>3304</v>
          </cell>
          <cell r="F247">
            <v>779</v>
          </cell>
          <cell r="G247">
            <v>255</v>
          </cell>
          <cell r="H247">
            <v>1011</v>
          </cell>
          <cell r="I247">
            <v>279</v>
          </cell>
          <cell r="J247">
            <v>308</v>
          </cell>
          <cell r="K247">
            <v>0.26</v>
          </cell>
          <cell r="L247">
            <v>1.95</v>
          </cell>
          <cell r="M247">
            <v>2.75</v>
          </cell>
          <cell r="N247">
            <v>0.95</v>
          </cell>
          <cell r="O247">
            <v>2.8</v>
          </cell>
          <cell r="P247">
            <v>-0.05</v>
          </cell>
          <cell r="Q247">
            <v>-0.05</v>
          </cell>
          <cell r="R247">
            <v>0.15000000000000002</v>
          </cell>
          <cell r="S247">
            <v>-0.15000000000000002</v>
          </cell>
          <cell r="T247">
            <v>-0.05</v>
          </cell>
          <cell r="U247">
            <v>-0.05</v>
          </cell>
          <cell r="V247">
            <v>4.4000000000000004</v>
          </cell>
        </row>
        <row r="248">
          <cell r="E248">
            <v>3621</v>
          </cell>
          <cell r="F248">
            <v>308</v>
          </cell>
          <cell r="G248">
            <v>867</v>
          </cell>
          <cell r="H248">
            <v>273</v>
          </cell>
          <cell r="I248">
            <v>279</v>
          </cell>
          <cell r="J248">
            <v>301</v>
          </cell>
          <cell r="K248">
            <v>6.5000000000000002E-2</v>
          </cell>
          <cell r="L248">
            <v>1.46</v>
          </cell>
          <cell r="M248">
            <v>3.88</v>
          </cell>
          <cell r="N248">
            <v>1.29</v>
          </cell>
          <cell r="O248">
            <v>1</v>
          </cell>
          <cell r="P248">
            <v>0.16</v>
          </cell>
          <cell r="Q248">
            <v>-0.14000000000000001</v>
          </cell>
          <cell r="R248">
            <v>-0.04</v>
          </cell>
          <cell r="S248">
            <v>-0.04</v>
          </cell>
          <cell r="T248">
            <v>-0.04</v>
          </cell>
          <cell r="U248">
            <v>-0.04</v>
          </cell>
          <cell r="V248">
            <v>9.1999999999999993</v>
          </cell>
        </row>
        <row r="249">
          <cell r="E249">
            <v>3621</v>
          </cell>
          <cell r="F249">
            <v>249</v>
          </cell>
          <cell r="G249">
            <v>836</v>
          </cell>
          <cell r="H249">
            <v>376</v>
          </cell>
          <cell r="I249">
            <v>290</v>
          </cell>
          <cell r="J249">
            <v>290</v>
          </cell>
          <cell r="K249">
            <v>0.08</v>
          </cell>
          <cell r="L249">
            <v>1.55</v>
          </cell>
          <cell r="M249">
            <v>3.3</v>
          </cell>
          <cell r="N249">
            <v>1.32</v>
          </cell>
          <cell r="O249">
            <v>1</v>
          </cell>
          <cell r="P249">
            <v>-0.14000000000000001</v>
          </cell>
          <cell r="Q249">
            <v>0.16</v>
          </cell>
          <cell r="R249">
            <v>-0.04</v>
          </cell>
          <cell r="S249">
            <v>-0.04</v>
          </cell>
          <cell r="T249">
            <v>-0.04</v>
          </cell>
          <cell r="U249">
            <v>-0.04</v>
          </cell>
          <cell r="V249">
            <v>4.8</v>
          </cell>
        </row>
        <row r="250">
          <cell r="E250">
            <v>2625</v>
          </cell>
          <cell r="F250">
            <v>515</v>
          </cell>
          <cell r="G250">
            <v>258</v>
          </cell>
          <cell r="H250">
            <v>1195</v>
          </cell>
          <cell r="I250">
            <v>232</v>
          </cell>
          <cell r="J250">
            <v>235</v>
          </cell>
          <cell r="K250">
            <v>0.08</v>
          </cell>
          <cell r="L250">
            <v>1.55</v>
          </cell>
          <cell r="M250">
            <v>4.2</v>
          </cell>
          <cell r="N250">
            <v>1.3</v>
          </cell>
          <cell r="O250">
            <v>2.5</v>
          </cell>
          <cell r="P250">
            <v>-0.09</v>
          </cell>
          <cell r="Q250">
            <v>-0.09</v>
          </cell>
          <cell r="R250">
            <v>-0.09</v>
          </cell>
          <cell r="S250">
            <v>-0.09</v>
          </cell>
          <cell r="T250">
            <v>0.11000000000000001</v>
          </cell>
          <cell r="U250">
            <v>-0.19</v>
          </cell>
          <cell r="V250">
            <v>4.2</v>
          </cell>
        </row>
        <row r="251">
          <cell r="E251">
            <v>5476</v>
          </cell>
          <cell r="F251">
            <v>762</v>
          </cell>
          <cell r="G251">
            <v>348</v>
          </cell>
          <cell r="H251">
            <v>773</v>
          </cell>
          <cell r="I251">
            <v>438</v>
          </cell>
          <cell r="J251">
            <v>438</v>
          </cell>
          <cell r="K251">
            <v>7.0000000000000007E-2</v>
          </cell>
          <cell r="L251">
            <v>1.55</v>
          </cell>
          <cell r="M251">
            <v>2.4</v>
          </cell>
          <cell r="N251">
            <v>1</v>
          </cell>
          <cell r="O251">
            <v>2.5</v>
          </cell>
          <cell r="P251">
            <v>-0.08</v>
          </cell>
          <cell r="Q251">
            <v>0.22</v>
          </cell>
          <cell r="R251">
            <v>0.02</v>
          </cell>
          <cell r="S251">
            <v>0.02</v>
          </cell>
          <cell r="T251">
            <v>0.02</v>
          </cell>
          <cell r="U251">
            <v>0.02</v>
          </cell>
          <cell r="V251">
            <v>4</v>
          </cell>
        </row>
        <row r="252">
          <cell r="E252">
            <v>6373</v>
          </cell>
          <cell r="F252">
            <v>690</v>
          </cell>
          <cell r="G252">
            <v>181</v>
          </cell>
          <cell r="H252">
            <v>472</v>
          </cell>
          <cell r="I252">
            <v>490</v>
          </cell>
          <cell r="J252">
            <v>446</v>
          </cell>
          <cell r="K252">
            <v>7.0000000000000007E-2</v>
          </cell>
          <cell r="L252">
            <v>1.5</v>
          </cell>
          <cell r="M252">
            <v>2.8</v>
          </cell>
          <cell r="N252">
            <v>1.45</v>
          </cell>
          <cell r="O252">
            <v>1.55</v>
          </cell>
          <cell r="P252">
            <v>0.23</v>
          </cell>
          <cell r="Q252">
            <v>-7.0000000000000007E-2</v>
          </cell>
          <cell r="R252">
            <v>0.03</v>
          </cell>
          <cell r="S252">
            <v>0.03</v>
          </cell>
          <cell r="T252">
            <v>0.03</v>
          </cell>
          <cell r="U252">
            <v>0.03</v>
          </cell>
          <cell r="V252">
            <v>3.6</v>
          </cell>
        </row>
        <row r="253">
          <cell r="E253">
            <v>4431</v>
          </cell>
          <cell r="F253">
            <v>690</v>
          </cell>
          <cell r="G253">
            <v>231</v>
          </cell>
          <cell r="H253">
            <v>856</v>
          </cell>
          <cell r="I253">
            <v>366</v>
          </cell>
          <cell r="J253">
            <v>362</v>
          </cell>
          <cell r="K253">
            <v>7.4999999999999997E-2</v>
          </cell>
          <cell r="L253">
            <v>1.5</v>
          </cell>
          <cell r="M253">
            <v>3.1</v>
          </cell>
          <cell r="N253">
            <v>1.1499999999999999</v>
          </cell>
          <cell r="O253">
            <v>3.0750000000000002</v>
          </cell>
          <cell r="P253">
            <v>-0.01</v>
          </cell>
          <cell r="Q253">
            <v>-0.01</v>
          </cell>
          <cell r="R253">
            <v>0.19</v>
          </cell>
          <cell r="S253">
            <v>-0.11</v>
          </cell>
          <cell r="T253">
            <v>-0.01</v>
          </cell>
          <cell r="U253">
            <v>-0.01</v>
          </cell>
          <cell r="V253">
            <v>8.6</v>
          </cell>
        </row>
        <row r="254">
          <cell r="E254">
            <v>4481</v>
          </cell>
          <cell r="F254">
            <v>258</v>
          </cell>
          <cell r="G254">
            <v>857</v>
          </cell>
          <cell r="H254">
            <v>386</v>
          </cell>
          <cell r="I254">
            <v>358</v>
          </cell>
          <cell r="J254">
            <v>358</v>
          </cell>
          <cell r="K254">
            <v>0.11</v>
          </cell>
          <cell r="L254">
            <v>1.75</v>
          </cell>
          <cell r="M254">
            <v>3</v>
          </cell>
          <cell r="N254">
            <v>1.18</v>
          </cell>
          <cell r="O254">
            <v>1</v>
          </cell>
          <cell r="P254">
            <v>0.17</v>
          </cell>
          <cell r="Q254">
            <v>-0.13</v>
          </cell>
          <cell r="R254">
            <v>-0.03</v>
          </cell>
          <cell r="S254">
            <v>-0.03</v>
          </cell>
          <cell r="T254">
            <v>-0.03</v>
          </cell>
          <cell r="U254">
            <v>-0.03</v>
          </cell>
          <cell r="V254">
            <v>4.2</v>
          </cell>
        </row>
        <row r="255">
          <cell r="E255">
            <v>3485</v>
          </cell>
          <cell r="F255">
            <v>274</v>
          </cell>
          <cell r="G255">
            <v>1064</v>
          </cell>
          <cell r="H255">
            <v>359</v>
          </cell>
          <cell r="I255">
            <v>303</v>
          </cell>
          <cell r="J255">
            <v>311</v>
          </cell>
          <cell r="K255">
            <v>0.11</v>
          </cell>
          <cell r="L255">
            <v>1.58</v>
          </cell>
          <cell r="M255">
            <v>4.45</v>
          </cell>
          <cell r="N255">
            <v>1.3</v>
          </cell>
          <cell r="O255">
            <v>1</v>
          </cell>
          <cell r="P255">
            <v>-0.16</v>
          </cell>
          <cell r="Q255">
            <v>0.14000000000000001</v>
          </cell>
          <cell r="R255">
            <v>-0.06</v>
          </cell>
          <cell r="S255">
            <v>-0.06</v>
          </cell>
          <cell r="T255">
            <v>-0.06</v>
          </cell>
          <cell r="U255">
            <v>-0.06</v>
          </cell>
          <cell r="V255">
            <v>5.6</v>
          </cell>
        </row>
        <row r="256">
          <cell r="E256">
            <v>5277</v>
          </cell>
          <cell r="F256">
            <v>1270</v>
          </cell>
          <cell r="G256">
            <v>256</v>
          </cell>
          <cell r="H256">
            <v>875</v>
          </cell>
          <cell r="I256">
            <v>307</v>
          </cell>
          <cell r="J256">
            <v>816</v>
          </cell>
          <cell r="K256">
            <v>4.4999999999999998E-2</v>
          </cell>
          <cell r="L256">
            <v>1.45</v>
          </cell>
          <cell r="M256">
            <v>1.9</v>
          </cell>
          <cell r="N256">
            <v>0.84</v>
          </cell>
          <cell r="O256">
            <v>2.65</v>
          </cell>
          <cell r="P256">
            <v>0.09</v>
          </cell>
          <cell r="Q256">
            <v>0.09</v>
          </cell>
          <cell r="R256">
            <v>0.09</v>
          </cell>
          <cell r="S256">
            <v>0.09</v>
          </cell>
          <cell r="T256">
            <v>0.29000000000000004</v>
          </cell>
          <cell r="U256">
            <v>-1.0000000000000009E-2</v>
          </cell>
          <cell r="V256">
            <v>4.4000000000000004</v>
          </cell>
        </row>
        <row r="257">
          <cell r="E257">
            <v>5257</v>
          </cell>
          <cell r="F257">
            <v>878</v>
          </cell>
          <cell r="G257">
            <v>291</v>
          </cell>
          <cell r="H257">
            <v>1042</v>
          </cell>
          <cell r="I257">
            <v>359</v>
          </cell>
          <cell r="J257">
            <v>399</v>
          </cell>
          <cell r="K257">
            <v>0.06</v>
          </cell>
          <cell r="L257">
            <v>1.6</v>
          </cell>
          <cell r="M257">
            <v>2.25</v>
          </cell>
          <cell r="N257">
            <v>0.91</v>
          </cell>
          <cell r="O257">
            <v>4.75</v>
          </cell>
          <cell r="P257">
            <v>-0.12000000000000001</v>
          </cell>
          <cell r="Q257">
            <v>0.18000000000000002</v>
          </cell>
          <cell r="R257">
            <v>-0.02</v>
          </cell>
          <cell r="S257">
            <v>-0.02</v>
          </cell>
          <cell r="T257">
            <v>-0.02</v>
          </cell>
          <cell r="U257">
            <v>-0.02</v>
          </cell>
          <cell r="V257">
            <v>6.6</v>
          </cell>
        </row>
        <row r="258">
          <cell r="E258">
            <v>5641</v>
          </cell>
          <cell r="F258">
            <v>2116</v>
          </cell>
          <cell r="G258">
            <v>318</v>
          </cell>
          <cell r="H258">
            <v>1010</v>
          </cell>
          <cell r="I258">
            <v>421</v>
          </cell>
          <cell r="J258">
            <v>517</v>
          </cell>
          <cell r="K258">
            <v>6.5000000000000002E-2</v>
          </cell>
          <cell r="L258">
            <v>1.45</v>
          </cell>
          <cell r="M258">
            <v>2.1</v>
          </cell>
          <cell r="N258">
            <v>0.9</v>
          </cell>
          <cell r="O258">
            <v>2.8</v>
          </cell>
          <cell r="P258">
            <v>0.22</v>
          </cell>
          <cell r="Q258">
            <v>-0.08</v>
          </cell>
          <cell r="R258">
            <v>0.02</v>
          </cell>
          <cell r="S258">
            <v>0.02</v>
          </cell>
          <cell r="T258">
            <v>0.02</v>
          </cell>
          <cell r="U258">
            <v>0.02</v>
          </cell>
          <cell r="V258">
            <v>4.2</v>
          </cell>
        </row>
        <row r="259">
          <cell r="E259">
            <v>5476</v>
          </cell>
          <cell r="F259">
            <v>878</v>
          </cell>
          <cell r="G259">
            <v>394</v>
          </cell>
          <cell r="H259">
            <v>876</v>
          </cell>
          <cell r="I259">
            <v>416</v>
          </cell>
          <cell r="J259">
            <v>482</v>
          </cell>
          <cell r="K259">
            <v>7.0000000000000007E-2</v>
          </cell>
          <cell r="L259">
            <v>1.55</v>
          </cell>
          <cell r="M259">
            <v>2.2999999999999998</v>
          </cell>
          <cell r="N259">
            <v>1.1000000000000001</v>
          </cell>
          <cell r="O259">
            <v>2.7</v>
          </cell>
          <cell r="P259">
            <v>-0.03</v>
          </cell>
          <cell r="Q259">
            <v>-0.03</v>
          </cell>
          <cell r="R259">
            <v>0.17</v>
          </cell>
          <cell r="S259">
            <v>-0.13</v>
          </cell>
          <cell r="T259">
            <v>-0.03</v>
          </cell>
          <cell r="U259">
            <v>-0.03</v>
          </cell>
          <cell r="V259">
            <v>4</v>
          </cell>
        </row>
        <row r="260">
          <cell r="E260">
            <v>4436</v>
          </cell>
          <cell r="F260">
            <v>277</v>
          </cell>
          <cell r="G260">
            <v>768</v>
          </cell>
          <cell r="H260">
            <v>242</v>
          </cell>
          <cell r="I260">
            <v>329</v>
          </cell>
          <cell r="J260">
            <v>346</v>
          </cell>
          <cell r="K260">
            <v>7.0000000000000007E-2</v>
          </cell>
          <cell r="L260">
            <v>1.45</v>
          </cell>
          <cell r="M260">
            <v>3.35</v>
          </cell>
          <cell r="N260">
            <v>1.77</v>
          </cell>
          <cell r="O260">
            <v>1</v>
          </cell>
          <cell r="P260">
            <v>0.13500000000000001</v>
          </cell>
          <cell r="Q260">
            <v>-0.16500000000000001</v>
          </cell>
          <cell r="R260">
            <v>-6.5000000000000002E-2</v>
          </cell>
          <cell r="S260">
            <v>-6.5000000000000002E-2</v>
          </cell>
          <cell r="T260">
            <v>-6.5000000000000002E-2</v>
          </cell>
          <cell r="U260">
            <v>-6.5000000000000002E-2</v>
          </cell>
          <cell r="V260">
            <v>5</v>
          </cell>
        </row>
        <row r="261">
          <cell r="E261">
            <v>3176</v>
          </cell>
          <cell r="F261">
            <v>177</v>
          </cell>
          <cell r="G261">
            <v>1804</v>
          </cell>
          <cell r="H261">
            <v>406</v>
          </cell>
          <cell r="I261">
            <v>241</v>
          </cell>
          <cell r="J261">
            <v>245</v>
          </cell>
          <cell r="K261">
            <v>0.08</v>
          </cell>
          <cell r="L261">
            <v>1.95</v>
          </cell>
          <cell r="M261">
            <v>2.85</v>
          </cell>
          <cell r="N261">
            <v>1.0900000000000001</v>
          </cell>
          <cell r="O261">
            <v>1</v>
          </cell>
          <cell r="P261">
            <v>-0.21500000000000002</v>
          </cell>
          <cell r="Q261">
            <v>8.5000000000000006E-2</v>
          </cell>
          <cell r="R261">
            <v>-0.115</v>
          </cell>
          <cell r="S261">
            <v>-0.115</v>
          </cell>
          <cell r="T261">
            <v>-0.115</v>
          </cell>
          <cell r="U261">
            <v>-0.115</v>
          </cell>
          <cell r="V261">
            <v>4.4000000000000004</v>
          </cell>
        </row>
        <row r="262">
          <cell r="E262">
            <v>7667</v>
          </cell>
          <cell r="F262">
            <v>1757</v>
          </cell>
          <cell r="G262">
            <v>294</v>
          </cell>
          <cell r="H262">
            <v>777</v>
          </cell>
          <cell r="I262">
            <v>416</v>
          </cell>
          <cell r="J262">
            <v>736</v>
          </cell>
          <cell r="K262">
            <v>0.115</v>
          </cell>
          <cell r="L262">
            <v>1.95</v>
          </cell>
          <cell r="M262">
            <v>1.2</v>
          </cell>
          <cell r="N262">
            <v>0.72</v>
          </cell>
          <cell r="O262">
            <v>3.3250000000000002</v>
          </cell>
          <cell r="P262">
            <v>0.08</v>
          </cell>
          <cell r="Q262">
            <v>0.08</v>
          </cell>
          <cell r="R262">
            <v>0.08</v>
          </cell>
          <cell r="S262">
            <v>0.08</v>
          </cell>
          <cell r="T262">
            <v>0.28000000000000003</v>
          </cell>
          <cell r="U262">
            <v>-2.0000000000000004E-2</v>
          </cell>
          <cell r="V262">
            <v>5</v>
          </cell>
        </row>
        <row r="263">
          <cell r="E263">
            <v>6024</v>
          </cell>
          <cell r="F263">
            <v>1054</v>
          </cell>
          <cell r="G263">
            <v>340</v>
          </cell>
          <cell r="H263">
            <v>1079</v>
          </cell>
          <cell r="I263">
            <v>463</v>
          </cell>
          <cell r="J263">
            <v>492</v>
          </cell>
          <cell r="K263">
            <v>4.4999999999999998E-2</v>
          </cell>
          <cell r="L263">
            <v>1.4</v>
          </cell>
          <cell r="M263">
            <v>2.0499999999999998</v>
          </cell>
          <cell r="N263">
            <v>0.92</v>
          </cell>
          <cell r="O263">
            <v>2.6749999999999998</v>
          </cell>
          <cell r="P263">
            <v>0.09</v>
          </cell>
          <cell r="Q263">
            <v>0.39</v>
          </cell>
          <cell r="R263">
            <v>0.19</v>
          </cell>
          <cell r="S263">
            <v>0.19</v>
          </cell>
          <cell r="T263">
            <v>0.19</v>
          </cell>
          <cell r="U263">
            <v>0.19</v>
          </cell>
          <cell r="V263">
            <v>4</v>
          </cell>
        </row>
        <row r="264">
          <cell r="E264">
            <v>5542</v>
          </cell>
          <cell r="F264">
            <v>878</v>
          </cell>
          <cell r="G264">
            <v>501</v>
          </cell>
          <cell r="H264">
            <v>1114</v>
          </cell>
          <cell r="I264">
            <v>458</v>
          </cell>
          <cell r="J264">
            <v>506</v>
          </cell>
          <cell r="K264">
            <v>0.05</v>
          </cell>
          <cell r="L264">
            <v>1.5</v>
          </cell>
          <cell r="M264">
            <v>2</v>
          </cell>
          <cell r="N264">
            <v>1.05</v>
          </cell>
          <cell r="O264">
            <v>2.5</v>
          </cell>
          <cell r="P264">
            <v>0.2</v>
          </cell>
          <cell r="Q264">
            <v>-0.1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4</v>
          </cell>
        </row>
        <row r="265">
          <cell r="E265">
            <v>4458</v>
          </cell>
          <cell r="F265">
            <v>834</v>
          </cell>
          <cell r="G265">
            <v>303</v>
          </cell>
          <cell r="H265">
            <v>1035</v>
          </cell>
          <cell r="I265">
            <v>347</v>
          </cell>
          <cell r="J265">
            <v>405</v>
          </cell>
          <cell r="K265">
            <v>0.05</v>
          </cell>
          <cell r="L265">
            <v>1.4</v>
          </cell>
          <cell r="M265">
            <v>3.35</v>
          </cell>
          <cell r="N265">
            <v>1.55</v>
          </cell>
          <cell r="O265">
            <v>2.2999999999999998</v>
          </cell>
          <cell r="P265">
            <v>-7.0000000000000007E-2</v>
          </cell>
          <cell r="Q265">
            <v>-7.0000000000000007E-2</v>
          </cell>
          <cell r="R265">
            <v>0.13</v>
          </cell>
          <cell r="S265">
            <v>-0.17</v>
          </cell>
          <cell r="T265">
            <v>-7.0000000000000007E-2</v>
          </cell>
          <cell r="U265">
            <v>-7.0000000000000007E-2</v>
          </cell>
          <cell r="V265">
            <v>4</v>
          </cell>
        </row>
        <row r="266">
          <cell r="E266">
            <v>3976</v>
          </cell>
          <cell r="F266">
            <v>234</v>
          </cell>
          <cell r="G266">
            <v>1067</v>
          </cell>
          <cell r="H266">
            <v>264</v>
          </cell>
          <cell r="I266">
            <v>337</v>
          </cell>
          <cell r="J266">
            <v>342</v>
          </cell>
          <cell r="K266">
            <v>0.21</v>
          </cell>
          <cell r="L266">
            <v>1.78</v>
          </cell>
          <cell r="M266">
            <v>4.05</v>
          </cell>
          <cell r="N266">
            <v>1.56</v>
          </cell>
          <cell r="O266">
            <v>1</v>
          </cell>
          <cell r="P266">
            <v>0.12000000000000001</v>
          </cell>
          <cell r="Q266">
            <v>-0.18</v>
          </cell>
          <cell r="R266">
            <v>-0.08</v>
          </cell>
          <cell r="S266">
            <v>-0.08</v>
          </cell>
          <cell r="T266">
            <v>-0.08</v>
          </cell>
          <cell r="U266">
            <v>-0.08</v>
          </cell>
          <cell r="V266">
            <v>5</v>
          </cell>
        </row>
        <row r="267">
          <cell r="E267">
            <v>4819</v>
          </cell>
          <cell r="F267">
            <v>410</v>
          </cell>
          <cell r="G267">
            <v>1154</v>
          </cell>
          <cell r="H267">
            <v>364</v>
          </cell>
          <cell r="I267">
            <v>371</v>
          </cell>
          <cell r="J267">
            <v>400</v>
          </cell>
          <cell r="K267">
            <v>6.5000000000000002E-2</v>
          </cell>
          <cell r="L267">
            <v>1.46</v>
          </cell>
          <cell r="M267">
            <v>3.88</v>
          </cell>
          <cell r="N267">
            <v>1.29</v>
          </cell>
          <cell r="O267">
            <v>1</v>
          </cell>
          <cell r="P267">
            <v>-0.14000000000000001</v>
          </cell>
          <cell r="Q267">
            <v>0.16</v>
          </cell>
          <cell r="R267">
            <v>-0.04</v>
          </cell>
          <cell r="S267">
            <v>-0.04</v>
          </cell>
          <cell r="T267">
            <v>-0.04</v>
          </cell>
          <cell r="U267">
            <v>-0.04</v>
          </cell>
          <cell r="V267">
            <v>9.1999999999999993</v>
          </cell>
        </row>
        <row r="268">
          <cell r="E268">
            <v>7229</v>
          </cell>
          <cell r="F268">
            <v>878</v>
          </cell>
          <cell r="G268">
            <v>386</v>
          </cell>
          <cell r="H268">
            <v>857</v>
          </cell>
          <cell r="I268">
            <v>626</v>
          </cell>
          <cell r="J268">
            <v>410</v>
          </cell>
          <cell r="K268">
            <v>0.08</v>
          </cell>
          <cell r="L268">
            <v>1.6</v>
          </cell>
          <cell r="M268">
            <v>2.8</v>
          </cell>
          <cell r="N268">
            <v>1</v>
          </cell>
          <cell r="O268">
            <v>2.5</v>
          </cell>
          <cell r="P268">
            <v>1.4999999999999999E-2</v>
          </cell>
          <cell r="Q268">
            <v>1.4999999999999999E-2</v>
          </cell>
          <cell r="R268">
            <v>1.4999999999999999E-2</v>
          </cell>
          <cell r="S268">
            <v>1.4999999999999999E-2</v>
          </cell>
          <cell r="T268">
            <v>0.21500000000000002</v>
          </cell>
          <cell r="U268">
            <v>-8.5000000000000006E-2</v>
          </cell>
          <cell r="V268">
            <v>4</v>
          </cell>
        </row>
        <row r="269">
          <cell r="E269">
            <v>5434</v>
          </cell>
          <cell r="F269">
            <v>870</v>
          </cell>
          <cell r="G269">
            <v>667</v>
          </cell>
          <cell r="H269">
            <v>1482</v>
          </cell>
          <cell r="I269">
            <v>451</v>
          </cell>
          <cell r="J269">
            <v>530</v>
          </cell>
          <cell r="K269">
            <v>0.05</v>
          </cell>
          <cell r="L269">
            <v>1.5</v>
          </cell>
          <cell r="M269">
            <v>2</v>
          </cell>
          <cell r="N269">
            <v>1</v>
          </cell>
          <cell r="O269">
            <v>2.5</v>
          </cell>
          <cell r="P269">
            <v>-0.12000000000000001</v>
          </cell>
          <cell r="Q269">
            <v>0.18000000000000002</v>
          </cell>
          <cell r="R269">
            <v>-0.02</v>
          </cell>
          <cell r="S269">
            <v>-0.02</v>
          </cell>
          <cell r="T269">
            <v>-0.02</v>
          </cell>
          <cell r="U269">
            <v>-0.02</v>
          </cell>
          <cell r="V269">
            <v>4</v>
          </cell>
        </row>
        <row r="270">
          <cell r="E270">
            <v>7289</v>
          </cell>
          <cell r="F270">
            <v>1014</v>
          </cell>
          <cell r="G270">
            <v>463</v>
          </cell>
          <cell r="H270">
            <v>1029</v>
          </cell>
          <cell r="I270">
            <v>583</v>
          </cell>
          <cell r="J270">
            <v>583</v>
          </cell>
          <cell r="K270">
            <v>7.0000000000000007E-2</v>
          </cell>
          <cell r="L270">
            <v>1.55</v>
          </cell>
          <cell r="M270">
            <v>2.4</v>
          </cell>
          <cell r="N270">
            <v>1</v>
          </cell>
          <cell r="O270">
            <v>2.5</v>
          </cell>
          <cell r="P270">
            <v>0.22</v>
          </cell>
          <cell r="Q270">
            <v>-0.08</v>
          </cell>
          <cell r="R270">
            <v>0.02</v>
          </cell>
          <cell r="S270">
            <v>0.02</v>
          </cell>
          <cell r="T270">
            <v>0.02</v>
          </cell>
          <cell r="U270">
            <v>0.02</v>
          </cell>
          <cell r="V270">
            <v>4</v>
          </cell>
        </row>
        <row r="271">
          <cell r="E271">
            <v>8482</v>
          </cell>
          <cell r="F271">
            <v>918</v>
          </cell>
          <cell r="G271">
            <v>240</v>
          </cell>
          <cell r="H271">
            <v>628</v>
          </cell>
          <cell r="I271">
            <v>652</v>
          </cell>
          <cell r="J271">
            <v>594</v>
          </cell>
          <cell r="K271">
            <v>7.0000000000000007E-2</v>
          </cell>
          <cell r="L271">
            <v>1.5</v>
          </cell>
          <cell r="M271">
            <v>2.8</v>
          </cell>
          <cell r="N271">
            <v>1.45</v>
          </cell>
          <cell r="O271">
            <v>1.55</v>
          </cell>
          <cell r="P271">
            <v>0.03</v>
          </cell>
          <cell r="Q271">
            <v>0.03</v>
          </cell>
          <cell r="R271">
            <v>0.23</v>
          </cell>
          <cell r="S271">
            <v>-7.0000000000000007E-2</v>
          </cell>
          <cell r="T271">
            <v>0.03</v>
          </cell>
          <cell r="U271">
            <v>0.03</v>
          </cell>
          <cell r="V271">
            <v>3.6</v>
          </cell>
        </row>
        <row r="272">
          <cell r="E272">
            <v>7952</v>
          </cell>
          <cell r="F272">
            <v>481</v>
          </cell>
          <cell r="G272">
            <v>910</v>
          </cell>
          <cell r="H272">
            <v>340</v>
          </cell>
          <cell r="I272">
            <v>403</v>
          </cell>
          <cell r="J272">
            <v>1113</v>
          </cell>
          <cell r="K272">
            <v>0.05</v>
          </cell>
          <cell r="L272">
            <v>1.47</v>
          </cell>
          <cell r="M272">
            <v>2.4500000000000002</v>
          </cell>
          <cell r="N272">
            <v>1</v>
          </cell>
          <cell r="O272">
            <v>1</v>
          </cell>
          <cell r="P272">
            <v>0.26500000000000001</v>
          </cell>
          <cell r="Q272">
            <v>-3.5000000000000003E-2</v>
          </cell>
          <cell r="R272">
            <v>6.5000000000000002E-2</v>
          </cell>
          <cell r="S272">
            <v>6.5000000000000002E-2</v>
          </cell>
          <cell r="T272">
            <v>6.5000000000000002E-2</v>
          </cell>
          <cell r="U272">
            <v>6.5000000000000002E-2</v>
          </cell>
          <cell r="V272">
            <v>4.2</v>
          </cell>
        </row>
        <row r="273">
          <cell r="E273">
            <v>5964</v>
          </cell>
          <cell r="F273">
            <v>344</v>
          </cell>
          <cell r="G273">
            <v>1141</v>
          </cell>
          <cell r="H273">
            <v>513</v>
          </cell>
          <cell r="I273">
            <v>477</v>
          </cell>
          <cell r="J273">
            <v>477</v>
          </cell>
          <cell r="K273">
            <v>0.11</v>
          </cell>
          <cell r="L273">
            <v>1.75</v>
          </cell>
          <cell r="M273">
            <v>3</v>
          </cell>
          <cell r="N273">
            <v>1.18</v>
          </cell>
          <cell r="O273">
            <v>1</v>
          </cell>
          <cell r="P273">
            <v>-0.13</v>
          </cell>
          <cell r="Q273">
            <v>0.17</v>
          </cell>
          <cell r="R273">
            <v>-0.03</v>
          </cell>
          <cell r="S273">
            <v>-0.03</v>
          </cell>
          <cell r="T273">
            <v>-0.03</v>
          </cell>
          <cell r="U273">
            <v>-0.03</v>
          </cell>
          <cell r="V273">
            <v>4.2</v>
          </cell>
        </row>
        <row r="274">
          <cell r="E274">
            <v>6030</v>
          </cell>
          <cell r="F274">
            <v>1546</v>
          </cell>
          <cell r="G274">
            <v>654</v>
          </cell>
          <cell r="H274">
            <v>1939</v>
          </cell>
          <cell r="I274">
            <v>466</v>
          </cell>
          <cell r="J274">
            <v>504</v>
          </cell>
          <cell r="K274">
            <v>0.04</v>
          </cell>
          <cell r="L274">
            <v>2.2000000000000002</v>
          </cell>
          <cell r="M274">
            <v>1.65</v>
          </cell>
          <cell r="N274">
            <v>0.64</v>
          </cell>
          <cell r="O274">
            <v>3.7</v>
          </cell>
          <cell r="P274">
            <v>-2.5000000000000001E-2</v>
          </cell>
          <cell r="Q274">
            <v>-2.5000000000000001E-2</v>
          </cell>
          <cell r="R274">
            <v>-2.5000000000000001E-2</v>
          </cell>
          <cell r="S274">
            <v>-2.5000000000000001E-2</v>
          </cell>
          <cell r="T274">
            <v>0.17500000000000002</v>
          </cell>
          <cell r="U274">
            <v>-0.125</v>
          </cell>
          <cell r="V274">
            <v>5</v>
          </cell>
        </row>
        <row r="275">
          <cell r="E275">
            <v>7289</v>
          </cell>
          <cell r="F275">
            <v>1541</v>
          </cell>
          <cell r="G275">
            <v>585</v>
          </cell>
          <cell r="H275">
            <v>1300</v>
          </cell>
          <cell r="I275">
            <v>583</v>
          </cell>
          <cell r="J275">
            <v>700</v>
          </cell>
          <cell r="K275">
            <v>0.06</v>
          </cell>
          <cell r="L275">
            <v>1.4</v>
          </cell>
          <cell r="M275">
            <v>2.1</v>
          </cell>
          <cell r="N275">
            <v>0.95</v>
          </cell>
          <cell r="O275">
            <v>2.875</v>
          </cell>
          <cell r="P275">
            <v>-7.0000000000000007E-2</v>
          </cell>
          <cell r="Q275">
            <v>0.23</v>
          </cell>
          <cell r="R275">
            <v>0.03</v>
          </cell>
          <cell r="S275">
            <v>0.03</v>
          </cell>
          <cell r="T275">
            <v>0.03</v>
          </cell>
          <cell r="U275">
            <v>0.03</v>
          </cell>
          <cell r="V275">
            <v>4.8</v>
          </cell>
        </row>
        <row r="276">
          <cell r="E276">
            <v>6997</v>
          </cell>
          <cell r="F276">
            <v>1169</v>
          </cell>
          <cell r="G276">
            <v>387</v>
          </cell>
          <cell r="H276">
            <v>1386</v>
          </cell>
          <cell r="I276">
            <v>478</v>
          </cell>
          <cell r="J276">
            <v>531</v>
          </cell>
          <cell r="K276">
            <v>0.06</v>
          </cell>
          <cell r="L276">
            <v>1.6</v>
          </cell>
          <cell r="M276">
            <v>2.25</v>
          </cell>
          <cell r="N276">
            <v>0.91</v>
          </cell>
          <cell r="O276">
            <v>4.75</v>
          </cell>
          <cell r="P276">
            <v>0.18000000000000002</v>
          </cell>
          <cell r="Q276">
            <v>-0.12000000000000001</v>
          </cell>
          <cell r="R276">
            <v>-0.02</v>
          </cell>
          <cell r="S276">
            <v>-0.02</v>
          </cell>
          <cell r="T276">
            <v>-0.02</v>
          </cell>
          <cell r="U276">
            <v>-0.02</v>
          </cell>
          <cell r="V276">
            <v>6.6</v>
          </cell>
        </row>
        <row r="277">
          <cell r="E277">
            <v>7508</v>
          </cell>
          <cell r="F277">
            <v>2816</v>
          </cell>
          <cell r="G277">
            <v>424</v>
          </cell>
          <cell r="H277">
            <v>1345</v>
          </cell>
          <cell r="I277">
            <v>560</v>
          </cell>
          <cell r="J277">
            <v>688</v>
          </cell>
          <cell r="K277">
            <v>6.5000000000000002E-2</v>
          </cell>
          <cell r="L277">
            <v>1.45</v>
          </cell>
          <cell r="M277">
            <v>2.1</v>
          </cell>
          <cell r="N277">
            <v>0.9</v>
          </cell>
          <cell r="O277">
            <v>2.8</v>
          </cell>
          <cell r="P277">
            <v>0.02</v>
          </cell>
          <cell r="Q277">
            <v>0.02</v>
          </cell>
          <cell r="R277">
            <v>0.22</v>
          </cell>
          <cell r="S277">
            <v>-0.08</v>
          </cell>
          <cell r="T277">
            <v>0.02</v>
          </cell>
          <cell r="U277">
            <v>0.02</v>
          </cell>
          <cell r="V277">
            <v>4.2</v>
          </cell>
        </row>
        <row r="278">
          <cell r="E278">
            <v>6706</v>
          </cell>
          <cell r="F278">
            <v>472</v>
          </cell>
          <cell r="G278">
            <v>1398</v>
          </cell>
          <cell r="H278">
            <v>629</v>
          </cell>
          <cell r="I278">
            <v>554</v>
          </cell>
          <cell r="J278">
            <v>612</v>
          </cell>
          <cell r="K278">
            <v>0.05</v>
          </cell>
          <cell r="L278">
            <v>1.5</v>
          </cell>
          <cell r="M278">
            <v>2</v>
          </cell>
          <cell r="N278">
            <v>1.05</v>
          </cell>
          <cell r="O278">
            <v>1</v>
          </cell>
          <cell r="P278">
            <v>0.21000000000000002</v>
          </cell>
          <cell r="Q278">
            <v>-9.0000000000000011E-2</v>
          </cell>
          <cell r="R278">
            <v>0.01</v>
          </cell>
          <cell r="S278">
            <v>0.01</v>
          </cell>
          <cell r="T278">
            <v>0.01</v>
          </cell>
          <cell r="U278">
            <v>0.01</v>
          </cell>
          <cell r="V278">
            <v>4</v>
          </cell>
        </row>
        <row r="279">
          <cell r="E279">
            <v>5904</v>
          </cell>
          <cell r="F279">
            <v>368</v>
          </cell>
          <cell r="G279">
            <v>1023</v>
          </cell>
          <cell r="H279">
            <v>322</v>
          </cell>
          <cell r="I279">
            <v>437</v>
          </cell>
          <cell r="J279">
            <v>461</v>
          </cell>
          <cell r="K279">
            <v>7.0000000000000007E-2</v>
          </cell>
          <cell r="L279">
            <v>1.45</v>
          </cell>
          <cell r="M279">
            <v>3.35</v>
          </cell>
          <cell r="N279">
            <v>1.77</v>
          </cell>
          <cell r="O279">
            <v>1</v>
          </cell>
          <cell r="P279">
            <v>-0.16500000000000001</v>
          </cell>
          <cell r="Q279">
            <v>0.13500000000000001</v>
          </cell>
          <cell r="R279">
            <v>-6.5000000000000002E-2</v>
          </cell>
          <cell r="S279">
            <v>-6.5000000000000002E-2</v>
          </cell>
          <cell r="T279">
            <v>-6.5000000000000002E-2</v>
          </cell>
          <cell r="U279">
            <v>-6.5000000000000002E-2</v>
          </cell>
          <cell r="V279">
            <v>5</v>
          </cell>
        </row>
        <row r="280">
          <cell r="E280">
            <v>5977</v>
          </cell>
          <cell r="F280">
            <v>1435</v>
          </cell>
          <cell r="G280">
            <v>552</v>
          </cell>
          <cell r="H280">
            <v>2046</v>
          </cell>
          <cell r="I280">
            <v>472</v>
          </cell>
          <cell r="J280">
            <v>507</v>
          </cell>
          <cell r="K280">
            <v>0.12</v>
          </cell>
          <cell r="L280">
            <v>2.5499999999999998</v>
          </cell>
          <cell r="M280">
            <v>2.2999999999999998</v>
          </cell>
          <cell r="N280">
            <v>0.68</v>
          </cell>
          <cell r="O280">
            <v>3.55</v>
          </cell>
          <cell r="P280">
            <v>-5.5E-2</v>
          </cell>
          <cell r="Q280">
            <v>-5.5E-2</v>
          </cell>
          <cell r="R280">
            <v>-5.5E-2</v>
          </cell>
          <cell r="S280">
            <v>-5.5E-2</v>
          </cell>
          <cell r="T280">
            <v>0.14500000000000002</v>
          </cell>
          <cell r="U280">
            <v>-0.155</v>
          </cell>
          <cell r="V280">
            <v>4.8</v>
          </cell>
        </row>
        <row r="281">
          <cell r="E281">
            <v>13791</v>
          </cell>
          <cell r="F281">
            <v>1578</v>
          </cell>
          <cell r="G281">
            <v>333</v>
          </cell>
          <cell r="H281">
            <v>1138</v>
          </cell>
          <cell r="I281">
            <v>1052</v>
          </cell>
          <cell r="J281">
            <v>994</v>
          </cell>
          <cell r="K281">
            <v>3.5000000000000003E-2</v>
          </cell>
          <cell r="L281">
            <v>1.4</v>
          </cell>
          <cell r="M281">
            <v>1.5</v>
          </cell>
          <cell r="N281">
            <v>0.6</v>
          </cell>
          <cell r="O281">
            <v>3.1</v>
          </cell>
          <cell r="P281">
            <v>1.999999999999999E-2</v>
          </cell>
          <cell r="Q281">
            <v>0.32</v>
          </cell>
          <cell r="R281">
            <v>0.12</v>
          </cell>
          <cell r="S281">
            <v>0.12</v>
          </cell>
          <cell r="T281">
            <v>0.12</v>
          </cell>
          <cell r="U281">
            <v>0.12</v>
          </cell>
          <cell r="V281">
            <v>4.12</v>
          </cell>
        </row>
        <row r="282">
          <cell r="E282">
            <v>8018</v>
          </cell>
          <cell r="F282">
            <v>1403</v>
          </cell>
          <cell r="G282">
            <v>452</v>
          </cell>
          <cell r="H282">
            <v>1436</v>
          </cell>
          <cell r="I282">
            <v>616</v>
          </cell>
          <cell r="J282">
            <v>654</v>
          </cell>
          <cell r="K282">
            <v>4.4999999999999998E-2</v>
          </cell>
          <cell r="L282">
            <v>1.4</v>
          </cell>
          <cell r="M282">
            <v>2.0499999999999998</v>
          </cell>
          <cell r="N282">
            <v>0.92</v>
          </cell>
          <cell r="O282">
            <v>2.6749999999999998</v>
          </cell>
          <cell r="P282">
            <v>0.39</v>
          </cell>
          <cell r="Q282">
            <v>0.09</v>
          </cell>
          <cell r="R282">
            <v>0.19</v>
          </cell>
          <cell r="S282">
            <v>0.19</v>
          </cell>
          <cell r="T282">
            <v>0.19</v>
          </cell>
          <cell r="U282">
            <v>0.19</v>
          </cell>
          <cell r="V282">
            <v>4</v>
          </cell>
        </row>
        <row r="283">
          <cell r="E283">
            <v>7377</v>
          </cell>
          <cell r="F283">
            <v>1169</v>
          </cell>
          <cell r="G283">
            <v>667</v>
          </cell>
          <cell r="H283">
            <v>1483</v>
          </cell>
          <cell r="I283">
            <v>609</v>
          </cell>
          <cell r="J283">
            <v>674</v>
          </cell>
          <cell r="K283">
            <v>0.05</v>
          </cell>
          <cell r="L283">
            <v>1.5</v>
          </cell>
          <cell r="M283">
            <v>2</v>
          </cell>
          <cell r="N283">
            <v>1.05</v>
          </cell>
          <cell r="O283">
            <v>2.5</v>
          </cell>
          <cell r="P283">
            <v>0</v>
          </cell>
          <cell r="Q283">
            <v>0</v>
          </cell>
          <cell r="R283">
            <v>0.2</v>
          </cell>
          <cell r="S283">
            <v>-0.1</v>
          </cell>
          <cell r="T283">
            <v>0</v>
          </cell>
          <cell r="U283">
            <v>0</v>
          </cell>
          <cell r="V283">
            <v>4</v>
          </cell>
        </row>
        <row r="284">
          <cell r="E284">
            <v>6414</v>
          </cell>
          <cell r="F284">
            <v>390</v>
          </cell>
          <cell r="G284">
            <v>1773</v>
          </cell>
          <cell r="H284">
            <v>606</v>
          </cell>
          <cell r="I284">
            <v>526</v>
          </cell>
          <cell r="J284">
            <v>487</v>
          </cell>
          <cell r="K284">
            <v>0.13</v>
          </cell>
          <cell r="L284">
            <v>1.7</v>
          </cell>
          <cell r="M284">
            <v>3</v>
          </cell>
          <cell r="N284">
            <v>1.06</v>
          </cell>
          <cell r="O284">
            <v>1</v>
          </cell>
          <cell r="P284">
            <v>0.15500000000000003</v>
          </cell>
          <cell r="Q284">
            <v>-0.14500000000000002</v>
          </cell>
          <cell r="R284">
            <v>-4.4999999999999998E-2</v>
          </cell>
          <cell r="S284">
            <v>-4.4999999999999998E-2</v>
          </cell>
          <cell r="T284">
            <v>-4.4999999999999998E-2</v>
          </cell>
          <cell r="U284">
            <v>-4.4999999999999998E-2</v>
          </cell>
          <cell r="V284">
            <v>5.2</v>
          </cell>
        </row>
        <row r="285">
          <cell r="E285">
            <v>5292</v>
          </cell>
          <cell r="F285">
            <v>312</v>
          </cell>
          <cell r="G285">
            <v>1421</v>
          </cell>
          <cell r="H285">
            <v>352</v>
          </cell>
          <cell r="I285">
            <v>449</v>
          </cell>
          <cell r="J285">
            <v>455</v>
          </cell>
          <cell r="K285">
            <v>0.21</v>
          </cell>
          <cell r="L285">
            <v>1.78</v>
          </cell>
          <cell r="M285">
            <v>4.05</v>
          </cell>
          <cell r="N285">
            <v>1.56</v>
          </cell>
          <cell r="O285">
            <v>1</v>
          </cell>
          <cell r="P285">
            <v>-0.18</v>
          </cell>
          <cell r="Q285">
            <v>0.12000000000000001</v>
          </cell>
          <cell r="R285">
            <v>-0.08</v>
          </cell>
          <cell r="S285">
            <v>-0.08</v>
          </cell>
          <cell r="T285">
            <v>-0.08</v>
          </cell>
          <cell r="U285">
            <v>-0.08</v>
          </cell>
          <cell r="V285">
            <v>5</v>
          </cell>
        </row>
        <row r="286">
          <cell r="E286">
            <v>6334</v>
          </cell>
          <cell r="F286">
            <v>1052</v>
          </cell>
          <cell r="G286">
            <v>277</v>
          </cell>
          <cell r="H286">
            <v>1161</v>
          </cell>
          <cell r="I286">
            <v>545</v>
          </cell>
          <cell r="J286">
            <v>520</v>
          </cell>
          <cell r="K286">
            <v>6.5000000000000002E-2</v>
          </cell>
          <cell r="L286">
            <v>1.45</v>
          </cell>
          <cell r="M286">
            <v>4</v>
          </cell>
          <cell r="N286">
            <v>1.72</v>
          </cell>
          <cell r="O286">
            <v>1.9</v>
          </cell>
          <cell r="P286">
            <v>-7.0000000000000007E-2</v>
          </cell>
          <cell r="Q286">
            <v>-7.0000000000000007E-2</v>
          </cell>
          <cell r="R286">
            <v>-7.0000000000000007E-2</v>
          </cell>
          <cell r="S286">
            <v>-7.0000000000000007E-2</v>
          </cell>
          <cell r="T286">
            <v>0.13</v>
          </cell>
          <cell r="U286">
            <v>-0.17</v>
          </cell>
          <cell r="V286">
            <v>5.4</v>
          </cell>
        </row>
        <row r="287">
          <cell r="E287">
            <v>9878</v>
          </cell>
          <cell r="F287">
            <v>1736</v>
          </cell>
          <cell r="G287">
            <v>435</v>
          </cell>
          <cell r="H287">
            <v>1466</v>
          </cell>
          <cell r="I287">
            <v>1376</v>
          </cell>
          <cell r="J287">
            <v>508</v>
          </cell>
          <cell r="K287">
            <v>5.5E-2</v>
          </cell>
          <cell r="L287">
            <v>1.5</v>
          </cell>
          <cell r="M287">
            <v>1.85</v>
          </cell>
          <cell r="N287">
            <v>0.87</v>
          </cell>
          <cell r="O287">
            <v>2.35</v>
          </cell>
          <cell r="P287">
            <v>-3.5000000000000003E-2</v>
          </cell>
          <cell r="Q287">
            <v>0.26500000000000001</v>
          </cell>
          <cell r="R287">
            <v>6.5000000000000002E-2</v>
          </cell>
          <cell r="S287">
            <v>6.5000000000000002E-2</v>
          </cell>
          <cell r="T287">
            <v>6.5000000000000002E-2</v>
          </cell>
          <cell r="U287">
            <v>6.5000000000000002E-2</v>
          </cell>
          <cell r="V287">
            <v>4.2</v>
          </cell>
        </row>
        <row r="288">
          <cell r="E288">
            <v>7232</v>
          </cell>
          <cell r="F288">
            <v>1157</v>
          </cell>
          <cell r="G288">
            <v>888</v>
          </cell>
          <cell r="H288">
            <v>1973</v>
          </cell>
          <cell r="I288">
            <v>600</v>
          </cell>
          <cell r="J288">
            <v>706</v>
          </cell>
          <cell r="K288">
            <v>0.05</v>
          </cell>
          <cell r="L288">
            <v>1.5</v>
          </cell>
          <cell r="M288">
            <v>2</v>
          </cell>
          <cell r="N288">
            <v>1</v>
          </cell>
          <cell r="O288">
            <v>2.5</v>
          </cell>
          <cell r="P288">
            <v>0.18000000000000002</v>
          </cell>
          <cell r="Q288">
            <v>-0.12000000000000001</v>
          </cell>
          <cell r="R288">
            <v>-0.02</v>
          </cell>
          <cell r="S288">
            <v>-0.02</v>
          </cell>
          <cell r="T288">
            <v>-0.02</v>
          </cell>
          <cell r="U288">
            <v>-0.02</v>
          </cell>
          <cell r="V288">
            <v>4</v>
          </cell>
        </row>
        <row r="289">
          <cell r="E289">
            <v>9702</v>
          </cell>
          <cell r="F289">
            <v>1350</v>
          </cell>
          <cell r="G289">
            <v>617</v>
          </cell>
          <cell r="H289">
            <v>1370</v>
          </cell>
          <cell r="I289">
            <v>776</v>
          </cell>
          <cell r="J289">
            <v>776</v>
          </cell>
          <cell r="K289">
            <v>7.0000000000000007E-2</v>
          </cell>
          <cell r="L289">
            <v>1.55</v>
          </cell>
          <cell r="M289">
            <v>2.4</v>
          </cell>
          <cell r="N289">
            <v>1</v>
          </cell>
          <cell r="O289">
            <v>2.5</v>
          </cell>
          <cell r="P289">
            <v>0.02</v>
          </cell>
          <cell r="Q289">
            <v>0.02</v>
          </cell>
          <cell r="R289">
            <v>0.22</v>
          </cell>
          <cell r="S289">
            <v>-0.08</v>
          </cell>
          <cell r="T289">
            <v>0.02</v>
          </cell>
          <cell r="U289">
            <v>0.02</v>
          </cell>
          <cell r="V289">
            <v>4</v>
          </cell>
        </row>
        <row r="290">
          <cell r="E290">
            <v>8114</v>
          </cell>
          <cell r="F290">
            <v>514</v>
          </cell>
          <cell r="G290">
            <v>1948</v>
          </cell>
          <cell r="H290">
            <v>701</v>
          </cell>
          <cell r="I290">
            <v>649</v>
          </cell>
          <cell r="J290">
            <v>600</v>
          </cell>
          <cell r="K290">
            <v>7.0000000000000007E-2</v>
          </cell>
          <cell r="L290">
            <v>1.6</v>
          </cell>
          <cell r="M290">
            <v>2.4500000000000002</v>
          </cell>
          <cell r="N290">
            <v>0.94</v>
          </cell>
          <cell r="O290">
            <v>1</v>
          </cell>
          <cell r="P290">
            <v>0.16500000000000001</v>
          </cell>
          <cell r="Q290">
            <v>-0.13500000000000001</v>
          </cell>
          <cell r="R290">
            <v>-3.5000000000000003E-2</v>
          </cell>
          <cell r="S290">
            <v>-3.5000000000000003E-2</v>
          </cell>
          <cell r="T290">
            <v>-3.5000000000000003E-2</v>
          </cell>
          <cell r="U290">
            <v>-3.5000000000000003E-2</v>
          </cell>
          <cell r="V290">
            <v>5.6</v>
          </cell>
        </row>
        <row r="291">
          <cell r="E291">
            <v>10584</v>
          </cell>
          <cell r="F291">
            <v>640</v>
          </cell>
          <cell r="G291">
            <v>1211</v>
          </cell>
          <cell r="H291">
            <v>452</v>
          </cell>
          <cell r="I291">
            <v>536</v>
          </cell>
          <cell r="J291">
            <v>1482</v>
          </cell>
          <cell r="K291">
            <v>0.05</v>
          </cell>
          <cell r="L291">
            <v>1.47</v>
          </cell>
          <cell r="M291">
            <v>2.4500000000000002</v>
          </cell>
          <cell r="N291">
            <v>1</v>
          </cell>
          <cell r="O291">
            <v>1</v>
          </cell>
          <cell r="P291">
            <v>-3.5000000000000003E-2</v>
          </cell>
          <cell r="Q291">
            <v>0.26500000000000001</v>
          </cell>
          <cell r="R291">
            <v>6.5000000000000002E-2</v>
          </cell>
          <cell r="S291">
            <v>6.5000000000000002E-2</v>
          </cell>
          <cell r="T291">
            <v>6.5000000000000002E-2</v>
          </cell>
          <cell r="U291">
            <v>6.5000000000000002E-2</v>
          </cell>
          <cell r="V291">
            <v>4.2</v>
          </cell>
        </row>
        <row r="292">
          <cell r="E292">
            <v>13230</v>
          </cell>
          <cell r="F292">
            <v>1607</v>
          </cell>
          <cell r="G292">
            <v>321</v>
          </cell>
          <cell r="H292">
            <v>713</v>
          </cell>
          <cell r="I292">
            <v>1058</v>
          </cell>
          <cell r="J292">
            <v>988</v>
          </cell>
          <cell r="K292">
            <v>0.1</v>
          </cell>
          <cell r="L292">
            <v>1.75</v>
          </cell>
          <cell r="M292">
            <v>2.4</v>
          </cell>
          <cell r="N292">
            <v>1.2</v>
          </cell>
          <cell r="O292">
            <v>3</v>
          </cell>
          <cell r="P292">
            <v>0.08</v>
          </cell>
          <cell r="Q292">
            <v>0.08</v>
          </cell>
          <cell r="R292">
            <v>0.08</v>
          </cell>
          <cell r="S292">
            <v>0.08</v>
          </cell>
          <cell r="T292">
            <v>0.28000000000000003</v>
          </cell>
          <cell r="U292">
            <v>-2.0000000000000004E-2</v>
          </cell>
          <cell r="V292">
            <v>4</v>
          </cell>
        </row>
        <row r="293">
          <cell r="E293">
            <v>5336</v>
          </cell>
          <cell r="F293">
            <v>2122</v>
          </cell>
          <cell r="G293">
            <v>998</v>
          </cell>
          <cell r="H293">
            <v>2771</v>
          </cell>
          <cell r="I293">
            <v>1125</v>
          </cell>
          <cell r="J293">
            <v>1746</v>
          </cell>
          <cell r="K293">
            <v>0.04</v>
          </cell>
          <cell r="L293">
            <v>1.38</v>
          </cell>
          <cell r="M293">
            <v>2.2000000000000002</v>
          </cell>
          <cell r="N293">
            <v>0.88</v>
          </cell>
          <cell r="O293">
            <v>3.15</v>
          </cell>
          <cell r="P293">
            <v>0.03</v>
          </cell>
          <cell r="Q293">
            <v>0.33</v>
          </cell>
          <cell r="R293">
            <v>0.13</v>
          </cell>
          <cell r="S293">
            <v>0.13</v>
          </cell>
          <cell r="T293">
            <v>0.13</v>
          </cell>
          <cell r="U293">
            <v>0.13</v>
          </cell>
          <cell r="V293">
            <v>4.4800000000000004</v>
          </cell>
        </row>
        <row r="294">
          <cell r="E294">
            <v>9702</v>
          </cell>
          <cell r="F294">
            <v>2051</v>
          </cell>
          <cell r="G294">
            <v>779</v>
          </cell>
          <cell r="H294">
            <v>1730</v>
          </cell>
          <cell r="I294">
            <v>776</v>
          </cell>
          <cell r="J294">
            <v>931</v>
          </cell>
          <cell r="K294">
            <v>0.06</v>
          </cell>
          <cell r="L294">
            <v>1.4</v>
          </cell>
          <cell r="M294">
            <v>2.1</v>
          </cell>
          <cell r="N294">
            <v>0.95</v>
          </cell>
          <cell r="O294">
            <v>2.875</v>
          </cell>
          <cell r="P294">
            <v>0.23</v>
          </cell>
          <cell r="Q294">
            <v>-7.0000000000000007E-2</v>
          </cell>
          <cell r="R294">
            <v>0.03</v>
          </cell>
          <cell r="S294">
            <v>0.03</v>
          </cell>
          <cell r="T294">
            <v>0.03</v>
          </cell>
          <cell r="U294">
            <v>0.03</v>
          </cell>
          <cell r="V294">
            <v>4.8</v>
          </cell>
        </row>
        <row r="295">
          <cell r="E295">
            <v>9314</v>
          </cell>
          <cell r="F295">
            <v>1556</v>
          </cell>
          <cell r="G295">
            <v>515</v>
          </cell>
          <cell r="H295">
            <v>1845</v>
          </cell>
          <cell r="I295">
            <v>636</v>
          </cell>
          <cell r="J295">
            <v>706</v>
          </cell>
          <cell r="K295">
            <v>0.06</v>
          </cell>
          <cell r="L295">
            <v>1.6</v>
          </cell>
          <cell r="M295">
            <v>2.25</v>
          </cell>
          <cell r="N295">
            <v>0.91</v>
          </cell>
          <cell r="O295">
            <v>4.75</v>
          </cell>
          <cell r="P295">
            <v>-0.02</v>
          </cell>
          <cell r="Q295">
            <v>-0.02</v>
          </cell>
          <cell r="R295">
            <v>0.18000000000000002</v>
          </cell>
          <cell r="S295">
            <v>-0.12000000000000001</v>
          </cell>
          <cell r="T295">
            <v>-0.02</v>
          </cell>
          <cell r="U295">
            <v>-0.02</v>
          </cell>
          <cell r="V295">
            <v>6.6</v>
          </cell>
        </row>
        <row r="296">
          <cell r="E296">
            <v>8440</v>
          </cell>
          <cell r="F296">
            <v>453</v>
          </cell>
          <cell r="G296">
            <v>1718</v>
          </cell>
          <cell r="H296">
            <v>503</v>
          </cell>
          <cell r="I296">
            <v>667</v>
          </cell>
          <cell r="J296">
            <v>598</v>
          </cell>
          <cell r="K296">
            <v>0.27</v>
          </cell>
          <cell r="L296">
            <v>2.0299999999999998</v>
          </cell>
          <cell r="M296">
            <v>2.75</v>
          </cell>
          <cell r="N296">
            <v>1.04</v>
          </cell>
          <cell r="O296">
            <v>1</v>
          </cell>
          <cell r="P296">
            <v>0.14000000000000001</v>
          </cell>
          <cell r="Q296">
            <v>-0.16</v>
          </cell>
          <cell r="R296">
            <v>-0.06</v>
          </cell>
          <cell r="S296">
            <v>-0.06</v>
          </cell>
          <cell r="T296">
            <v>-0.06</v>
          </cell>
          <cell r="U296">
            <v>-0.06</v>
          </cell>
          <cell r="V296">
            <v>4.2</v>
          </cell>
        </row>
        <row r="297">
          <cell r="E297">
            <v>8926</v>
          </cell>
          <cell r="F297">
            <v>629</v>
          </cell>
          <cell r="G297">
            <v>1861</v>
          </cell>
          <cell r="H297">
            <v>837</v>
          </cell>
          <cell r="I297">
            <v>737</v>
          </cell>
          <cell r="J297">
            <v>815</v>
          </cell>
          <cell r="K297">
            <v>0.05</v>
          </cell>
          <cell r="L297">
            <v>1.5</v>
          </cell>
          <cell r="M297">
            <v>2</v>
          </cell>
          <cell r="N297">
            <v>1.05</v>
          </cell>
          <cell r="O297">
            <v>1</v>
          </cell>
          <cell r="P297">
            <v>-9.0000000000000011E-2</v>
          </cell>
          <cell r="Q297">
            <v>0.21000000000000002</v>
          </cell>
          <cell r="R297">
            <v>0.01</v>
          </cell>
          <cell r="S297">
            <v>0.01</v>
          </cell>
          <cell r="T297">
            <v>0.01</v>
          </cell>
          <cell r="U297">
            <v>0.01</v>
          </cell>
          <cell r="V297">
            <v>4</v>
          </cell>
        </row>
        <row r="298">
          <cell r="E298">
            <v>6500</v>
          </cell>
          <cell r="F298">
            <v>1556</v>
          </cell>
          <cell r="G298">
            <v>720</v>
          </cell>
          <cell r="H298">
            <v>3077</v>
          </cell>
          <cell r="I298">
            <v>504</v>
          </cell>
          <cell r="J298">
            <v>621</v>
          </cell>
          <cell r="K298">
            <v>0.18</v>
          </cell>
          <cell r="L298">
            <v>1.85</v>
          </cell>
          <cell r="M298">
            <v>2.0499999999999998</v>
          </cell>
          <cell r="N298">
            <v>0.75</v>
          </cell>
          <cell r="O298">
            <v>4.45</v>
          </cell>
          <cell r="P298">
            <v>-0.06</v>
          </cell>
          <cell r="Q298">
            <v>-0.06</v>
          </cell>
          <cell r="R298">
            <v>-0.06</v>
          </cell>
          <cell r="S298">
            <v>-0.06</v>
          </cell>
          <cell r="T298">
            <v>0.14000000000000001</v>
          </cell>
          <cell r="U298">
            <v>-0.16</v>
          </cell>
          <cell r="V298">
            <v>5.6</v>
          </cell>
        </row>
        <row r="299">
          <cell r="E299">
            <v>8324</v>
          </cell>
          <cell r="F299">
            <v>1789</v>
          </cell>
          <cell r="G299">
            <v>1015</v>
          </cell>
          <cell r="H299">
            <v>2256</v>
          </cell>
          <cell r="I299">
            <v>640</v>
          </cell>
          <cell r="J299">
            <v>683</v>
          </cell>
          <cell r="K299">
            <v>0.11</v>
          </cell>
          <cell r="L299">
            <v>1.65</v>
          </cell>
          <cell r="M299">
            <v>2.2000000000000002</v>
          </cell>
          <cell r="N299">
            <v>1.1000000000000001</v>
          </cell>
          <cell r="O299">
            <v>2.75</v>
          </cell>
          <cell r="P299">
            <v>-0.14000000000000001</v>
          </cell>
          <cell r="Q299">
            <v>0.16</v>
          </cell>
          <cell r="R299">
            <v>-0.04</v>
          </cell>
          <cell r="S299">
            <v>-0.04</v>
          </cell>
          <cell r="T299">
            <v>-0.04</v>
          </cell>
          <cell r="U299">
            <v>-0.04</v>
          </cell>
          <cell r="V299">
            <v>4.2</v>
          </cell>
        </row>
        <row r="300">
          <cell r="E300">
            <v>18356</v>
          </cell>
          <cell r="F300">
            <v>2101</v>
          </cell>
          <cell r="G300">
            <v>443</v>
          </cell>
          <cell r="H300">
            <v>1515</v>
          </cell>
          <cell r="I300">
            <v>1400</v>
          </cell>
          <cell r="J300">
            <v>1323</v>
          </cell>
          <cell r="K300">
            <v>3.5000000000000003E-2</v>
          </cell>
          <cell r="L300">
            <v>1.4</v>
          </cell>
          <cell r="M300">
            <v>1.5</v>
          </cell>
          <cell r="N300">
            <v>0.6</v>
          </cell>
          <cell r="O300">
            <v>3.1</v>
          </cell>
          <cell r="P300">
            <v>0.32</v>
          </cell>
          <cell r="Q300">
            <v>1.999999999999999E-2</v>
          </cell>
          <cell r="R300">
            <v>0.12</v>
          </cell>
          <cell r="S300">
            <v>0.12</v>
          </cell>
          <cell r="T300">
            <v>0.12</v>
          </cell>
          <cell r="U300">
            <v>0.12</v>
          </cell>
          <cell r="V300">
            <v>4.12</v>
          </cell>
        </row>
        <row r="301">
          <cell r="E301">
            <v>10672</v>
          </cell>
          <cell r="F301">
            <v>1867</v>
          </cell>
          <cell r="G301">
            <v>602</v>
          </cell>
          <cell r="H301">
            <v>1912</v>
          </cell>
          <cell r="I301">
            <v>820</v>
          </cell>
          <cell r="J301">
            <v>871</v>
          </cell>
          <cell r="K301">
            <v>4.4999999999999998E-2</v>
          </cell>
          <cell r="L301">
            <v>1.4</v>
          </cell>
          <cell r="M301">
            <v>2.0499999999999998</v>
          </cell>
          <cell r="N301">
            <v>0.92</v>
          </cell>
          <cell r="O301">
            <v>2.6749999999999998</v>
          </cell>
          <cell r="P301">
            <v>0.19</v>
          </cell>
          <cell r="Q301">
            <v>0.19</v>
          </cell>
          <cell r="R301">
            <v>0.39</v>
          </cell>
          <cell r="S301">
            <v>0.09</v>
          </cell>
          <cell r="T301">
            <v>0.19</v>
          </cell>
          <cell r="U301">
            <v>0.19</v>
          </cell>
          <cell r="V301">
            <v>4</v>
          </cell>
        </row>
        <row r="302">
          <cell r="E302">
            <v>14407</v>
          </cell>
          <cell r="F302">
            <v>622</v>
          </cell>
          <cell r="G302">
            <v>1273</v>
          </cell>
          <cell r="H302">
            <v>573</v>
          </cell>
          <cell r="I302">
            <v>1195</v>
          </cell>
          <cell r="J302">
            <v>854</v>
          </cell>
          <cell r="K302">
            <v>0.08</v>
          </cell>
          <cell r="L302">
            <v>1.6</v>
          </cell>
          <cell r="M302">
            <v>2.7</v>
          </cell>
          <cell r="N302">
            <v>1.05</v>
          </cell>
          <cell r="O302">
            <v>1</v>
          </cell>
          <cell r="P302">
            <v>0.26500000000000001</v>
          </cell>
          <cell r="Q302">
            <v>-3.5000000000000003E-2</v>
          </cell>
          <cell r="R302">
            <v>6.5000000000000002E-2</v>
          </cell>
          <cell r="S302">
            <v>6.5000000000000002E-2</v>
          </cell>
          <cell r="T302">
            <v>6.5000000000000002E-2</v>
          </cell>
          <cell r="U302">
            <v>6.5000000000000002E-2</v>
          </cell>
          <cell r="V302">
            <v>4</v>
          </cell>
        </row>
        <row r="303">
          <cell r="E303">
            <v>8538</v>
          </cell>
          <cell r="F303">
            <v>519</v>
          </cell>
          <cell r="G303">
            <v>2360</v>
          </cell>
          <cell r="H303">
            <v>807</v>
          </cell>
          <cell r="I303">
            <v>700</v>
          </cell>
          <cell r="J303">
            <v>649</v>
          </cell>
          <cell r="K303">
            <v>0.13</v>
          </cell>
          <cell r="L303">
            <v>1.7</v>
          </cell>
          <cell r="M303">
            <v>3</v>
          </cell>
          <cell r="N303">
            <v>1.06</v>
          </cell>
          <cell r="O303">
            <v>1</v>
          </cell>
          <cell r="P303">
            <v>-0.14500000000000002</v>
          </cell>
          <cell r="Q303">
            <v>0.15500000000000003</v>
          </cell>
          <cell r="R303">
            <v>-4.4999999999999998E-2</v>
          </cell>
          <cell r="S303">
            <v>-4.4999999999999998E-2</v>
          </cell>
          <cell r="T303">
            <v>-4.4999999999999998E-2</v>
          </cell>
          <cell r="U303">
            <v>-4.4999999999999998E-2</v>
          </cell>
          <cell r="V303">
            <v>5.2</v>
          </cell>
        </row>
        <row r="304">
          <cell r="E304">
            <v>7790</v>
          </cell>
          <cell r="F304">
            <v>1836</v>
          </cell>
          <cell r="G304">
            <v>601</v>
          </cell>
          <cell r="H304">
            <v>2383</v>
          </cell>
          <cell r="I304">
            <v>657</v>
          </cell>
          <cell r="J304">
            <v>726</v>
          </cell>
          <cell r="K304">
            <v>0.26</v>
          </cell>
          <cell r="L304">
            <v>1.95</v>
          </cell>
          <cell r="M304">
            <v>2.75</v>
          </cell>
          <cell r="N304">
            <v>0.95</v>
          </cell>
          <cell r="O304">
            <v>2.8</v>
          </cell>
          <cell r="P304">
            <v>-0.05</v>
          </cell>
          <cell r="Q304">
            <v>-0.05</v>
          </cell>
          <cell r="R304">
            <v>-0.05</v>
          </cell>
          <cell r="S304">
            <v>-0.05</v>
          </cell>
          <cell r="T304">
            <v>0.15000000000000002</v>
          </cell>
          <cell r="U304">
            <v>-0.15000000000000002</v>
          </cell>
          <cell r="V304">
            <v>4.4000000000000004</v>
          </cell>
        </row>
        <row r="305">
          <cell r="E305">
            <v>6809</v>
          </cell>
          <cell r="F305">
            <v>1335</v>
          </cell>
          <cell r="G305">
            <v>669</v>
          </cell>
          <cell r="H305">
            <v>3099</v>
          </cell>
          <cell r="I305">
            <v>601</v>
          </cell>
          <cell r="J305">
            <v>610</v>
          </cell>
          <cell r="K305">
            <v>0.08</v>
          </cell>
          <cell r="L305">
            <v>1.55</v>
          </cell>
          <cell r="M305">
            <v>4.2</v>
          </cell>
          <cell r="N305">
            <v>1.3</v>
          </cell>
          <cell r="O305">
            <v>2.5</v>
          </cell>
          <cell r="P305">
            <v>-0.19</v>
          </cell>
          <cell r="Q305">
            <v>0.11000000000000001</v>
          </cell>
          <cell r="R305">
            <v>-0.09</v>
          </cell>
          <cell r="S305">
            <v>-0.09</v>
          </cell>
          <cell r="T305">
            <v>-0.09</v>
          </cell>
          <cell r="U305">
            <v>-0.09</v>
          </cell>
          <cell r="V305">
            <v>4.2</v>
          </cell>
        </row>
        <row r="306">
          <cell r="E306">
            <v>13148</v>
          </cell>
          <cell r="F306">
            <v>2311</v>
          </cell>
          <cell r="G306">
            <v>579</v>
          </cell>
          <cell r="H306">
            <v>1951</v>
          </cell>
          <cell r="I306">
            <v>1831</v>
          </cell>
          <cell r="J306">
            <v>676</v>
          </cell>
          <cell r="K306">
            <v>5.5E-2</v>
          </cell>
          <cell r="L306">
            <v>1.5</v>
          </cell>
          <cell r="M306">
            <v>1.85</v>
          </cell>
          <cell r="N306">
            <v>0.87</v>
          </cell>
          <cell r="O306">
            <v>2.35</v>
          </cell>
          <cell r="P306">
            <v>0.26500000000000001</v>
          </cell>
          <cell r="Q306">
            <v>-3.5000000000000003E-2</v>
          </cell>
          <cell r="R306">
            <v>6.5000000000000002E-2</v>
          </cell>
          <cell r="S306">
            <v>6.5000000000000002E-2</v>
          </cell>
          <cell r="T306">
            <v>6.5000000000000002E-2</v>
          </cell>
          <cell r="U306">
            <v>6.5000000000000002E-2</v>
          </cell>
          <cell r="V306">
            <v>4.2</v>
          </cell>
        </row>
        <row r="307">
          <cell r="E307">
            <v>9626</v>
          </cell>
          <cell r="F307">
            <v>1540</v>
          </cell>
          <cell r="G307">
            <v>1182</v>
          </cell>
          <cell r="H307">
            <v>2626</v>
          </cell>
          <cell r="I307">
            <v>798</v>
          </cell>
          <cell r="J307">
            <v>939</v>
          </cell>
          <cell r="K307">
            <v>0.05</v>
          </cell>
          <cell r="L307">
            <v>1.5</v>
          </cell>
          <cell r="M307">
            <v>2</v>
          </cell>
          <cell r="N307">
            <v>1</v>
          </cell>
          <cell r="O307">
            <v>2.5</v>
          </cell>
          <cell r="P307">
            <v>-0.02</v>
          </cell>
          <cell r="Q307">
            <v>-0.02</v>
          </cell>
          <cell r="R307">
            <v>0.18000000000000002</v>
          </cell>
          <cell r="S307">
            <v>-0.12000000000000001</v>
          </cell>
          <cell r="T307">
            <v>-0.02</v>
          </cell>
          <cell r="U307">
            <v>-0.02</v>
          </cell>
          <cell r="V307">
            <v>4</v>
          </cell>
        </row>
        <row r="308">
          <cell r="E308">
            <v>14909</v>
          </cell>
          <cell r="F308">
            <v>532</v>
          </cell>
          <cell r="G308">
            <v>3173</v>
          </cell>
          <cell r="H308">
            <v>928</v>
          </cell>
          <cell r="I308">
            <v>986</v>
          </cell>
          <cell r="J308">
            <v>826</v>
          </cell>
          <cell r="K308">
            <v>0.06</v>
          </cell>
          <cell r="L308">
            <v>2.15</v>
          </cell>
          <cell r="M308">
            <v>1.65</v>
          </cell>
          <cell r="N308">
            <v>0.53</v>
          </cell>
          <cell r="O308">
            <v>1</v>
          </cell>
          <cell r="P308">
            <v>0.17500000000000002</v>
          </cell>
          <cell r="Q308">
            <v>-0.125</v>
          </cell>
          <cell r="R308">
            <v>-2.5000000000000001E-2</v>
          </cell>
          <cell r="S308">
            <v>-2.5000000000000001E-2</v>
          </cell>
          <cell r="T308">
            <v>-2.5000000000000001E-2</v>
          </cell>
          <cell r="U308">
            <v>-2.5000000000000001E-2</v>
          </cell>
          <cell r="V308">
            <v>4.4000000000000004</v>
          </cell>
        </row>
        <row r="309">
          <cell r="E309">
            <v>10800</v>
          </cell>
          <cell r="F309">
            <v>685</v>
          </cell>
          <cell r="G309">
            <v>2593</v>
          </cell>
          <cell r="H309">
            <v>933</v>
          </cell>
          <cell r="I309">
            <v>864</v>
          </cell>
          <cell r="J309">
            <v>798</v>
          </cell>
          <cell r="K309">
            <v>7.0000000000000007E-2</v>
          </cell>
          <cell r="L309">
            <v>1.6</v>
          </cell>
          <cell r="M309">
            <v>2.4500000000000002</v>
          </cell>
          <cell r="N309">
            <v>0.94</v>
          </cell>
          <cell r="O309">
            <v>1</v>
          </cell>
          <cell r="P309">
            <v>-0.13500000000000001</v>
          </cell>
          <cell r="Q309">
            <v>0.16500000000000001</v>
          </cell>
          <cell r="R309">
            <v>-3.5000000000000003E-2</v>
          </cell>
          <cell r="S309">
            <v>-3.5000000000000003E-2</v>
          </cell>
          <cell r="T309">
            <v>-3.5000000000000003E-2</v>
          </cell>
          <cell r="U309">
            <v>-3.5000000000000003E-2</v>
          </cell>
          <cell r="V309">
            <v>5.6</v>
          </cell>
        </row>
        <row r="310">
          <cell r="E310">
            <v>10448</v>
          </cell>
          <cell r="F310">
            <v>1626</v>
          </cell>
          <cell r="G310">
            <v>545</v>
          </cell>
          <cell r="H310">
            <v>2018</v>
          </cell>
          <cell r="I310">
            <v>864</v>
          </cell>
          <cell r="J310">
            <v>855</v>
          </cell>
          <cell r="K310">
            <v>7.4999999999999997E-2</v>
          </cell>
          <cell r="L310">
            <v>1.5</v>
          </cell>
          <cell r="M310">
            <v>3.1</v>
          </cell>
          <cell r="N310">
            <v>1.1499999999999999</v>
          </cell>
          <cell r="O310">
            <v>3.0750000000000002</v>
          </cell>
          <cell r="P310">
            <v>-0.01</v>
          </cell>
          <cell r="Q310">
            <v>-0.01</v>
          </cell>
          <cell r="R310">
            <v>-0.01</v>
          </cell>
          <cell r="S310">
            <v>-0.01</v>
          </cell>
          <cell r="T310">
            <v>0.19</v>
          </cell>
          <cell r="U310">
            <v>-0.11</v>
          </cell>
          <cell r="V310">
            <v>8.6</v>
          </cell>
        </row>
        <row r="311">
          <cell r="E311">
            <v>13688</v>
          </cell>
          <cell r="F311">
            <v>3295</v>
          </cell>
          <cell r="G311">
            <v>664</v>
          </cell>
          <cell r="H311">
            <v>2270</v>
          </cell>
          <cell r="I311">
            <v>795</v>
          </cell>
          <cell r="J311">
            <v>2118</v>
          </cell>
          <cell r="K311">
            <v>4.4999999999999998E-2</v>
          </cell>
          <cell r="L311">
            <v>1.45</v>
          </cell>
          <cell r="M311">
            <v>1.9</v>
          </cell>
          <cell r="N311">
            <v>0.84</v>
          </cell>
          <cell r="O311">
            <v>2.65</v>
          </cell>
          <cell r="P311">
            <v>-1.0000000000000009E-2</v>
          </cell>
          <cell r="Q311">
            <v>0.29000000000000004</v>
          </cell>
          <cell r="R311">
            <v>0.09</v>
          </cell>
          <cell r="S311">
            <v>0.09</v>
          </cell>
          <cell r="T311">
            <v>0.09</v>
          </cell>
          <cell r="U311">
            <v>0.09</v>
          </cell>
          <cell r="V311">
            <v>4.4000000000000004</v>
          </cell>
        </row>
        <row r="312">
          <cell r="E312">
            <v>7102</v>
          </cell>
          <cell r="F312">
            <v>2824</v>
          </cell>
          <cell r="G312">
            <v>1328</v>
          </cell>
          <cell r="H312">
            <v>3688</v>
          </cell>
          <cell r="I312">
            <v>1498</v>
          </cell>
          <cell r="J312">
            <v>2324</v>
          </cell>
          <cell r="K312">
            <v>0.04</v>
          </cell>
          <cell r="L312">
            <v>1.38</v>
          </cell>
          <cell r="M312">
            <v>2.2000000000000002</v>
          </cell>
          <cell r="N312">
            <v>0.88</v>
          </cell>
          <cell r="O312">
            <v>3.15</v>
          </cell>
          <cell r="P312">
            <v>0.33</v>
          </cell>
          <cell r="Q312">
            <v>0.03</v>
          </cell>
          <cell r="R312">
            <v>0.13</v>
          </cell>
          <cell r="S312">
            <v>0.13</v>
          </cell>
          <cell r="T312">
            <v>0.13</v>
          </cell>
          <cell r="U312">
            <v>0.13</v>
          </cell>
          <cell r="V312">
            <v>4.4800000000000004</v>
          </cell>
        </row>
        <row r="313">
          <cell r="E313">
            <v>12913</v>
          </cell>
          <cell r="F313">
            <v>2730</v>
          </cell>
          <cell r="G313">
            <v>1036</v>
          </cell>
          <cell r="H313">
            <v>2303</v>
          </cell>
          <cell r="I313">
            <v>1033</v>
          </cell>
          <cell r="J313">
            <v>1240</v>
          </cell>
          <cell r="K313">
            <v>0.06</v>
          </cell>
          <cell r="L313">
            <v>1.4</v>
          </cell>
          <cell r="M313">
            <v>2.1</v>
          </cell>
          <cell r="N313">
            <v>0.95</v>
          </cell>
          <cell r="O313">
            <v>2.875</v>
          </cell>
          <cell r="P313">
            <v>0.03</v>
          </cell>
          <cell r="Q313">
            <v>0.03</v>
          </cell>
          <cell r="R313">
            <v>0.23</v>
          </cell>
          <cell r="S313">
            <v>-7.0000000000000007E-2</v>
          </cell>
          <cell r="T313">
            <v>0.03</v>
          </cell>
          <cell r="U313">
            <v>0.03</v>
          </cell>
          <cell r="V313">
            <v>4.8</v>
          </cell>
        </row>
        <row r="314">
          <cell r="E314">
            <v>15237</v>
          </cell>
          <cell r="F314">
            <v>879</v>
          </cell>
          <cell r="G314">
            <v>2082</v>
          </cell>
          <cell r="H314">
            <v>656</v>
          </cell>
          <cell r="I314">
            <v>1178</v>
          </cell>
          <cell r="J314">
            <v>1178</v>
          </cell>
          <cell r="K314">
            <v>0.04</v>
          </cell>
          <cell r="L314">
            <v>1.43</v>
          </cell>
          <cell r="M314">
            <v>2.15</v>
          </cell>
          <cell r="N314">
            <v>0.88</v>
          </cell>
          <cell r="O314">
            <v>1</v>
          </cell>
          <cell r="P314">
            <v>0.39</v>
          </cell>
          <cell r="Q314">
            <v>0.09</v>
          </cell>
          <cell r="R314">
            <v>0.19</v>
          </cell>
          <cell r="S314">
            <v>0.19</v>
          </cell>
          <cell r="T314">
            <v>0.19</v>
          </cell>
          <cell r="U314">
            <v>0.19</v>
          </cell>
          <cell r="V314">
            <v>3.8</v>
          </cell>
        </row>
        <row r="315">
          <cell r="E315">
            <v>11234</v>
          </cell>
          <cell r="F315">
            <v>602</v>
          </cell>
          <cell r="G315">
            <v>2287</v>
          </cell>
          <cell r="H315">
            <v>669</v>
          </cell>
          <cell r="I315">
            <v>888</v>
          </cell>
          <cell r="J315">
            <v>795</v>
          </cell>
          <cell r="K315">
            <v>0.27</v>
          </cell>
          <cell r="L315">
            <v>2.0299999999999998</v>
          </cell>
          <cell r="M315">
            <v>2.75</v>
          </cell>
          <cell r="N315">
            <v>1.04</v>
          </cell>
          <cell r="O315">
            <v>1</v>
          </cell>
          <cell r="P315">
            <v>-0.16</v>
          </cell>
          <cell r="Q315">
            <v>0.14000000000000001</v>
          </cell>
          <cell r="R315">
            <v>-0.06</v>
          </cell>
          <cell r="S315">
            <v>-0.06</v>
          </cell>
          <cell r="T315">
            <v>-0.06</v>
          </cell>
          <cell r="U315">
            <v>-0.06</v>
          </cell>
          <cell r="V315">
            <v>4.2</v>
          </cell>
        </row>
        <row r="316">
          <cell r="E316">
            <v>12913</v>
          </cell>
          <cell r="F316">
            <v>2071</v>
          </cell>
          <cell r="G316">
            <v>930</v>
          </cell>
          <cell r="H316">
            <v>2066</v>
          </cell>
          <cell r="I316">
            <v>981</v>
          </cell>
          <cell r="J316">
            <v>1136</v>
          </cell>
          <cell r="K316">
            <v>7.0000000000000007E-2</v>
          </cell>
          <cell r="L316">
            <v>1.55</v>
          </cell>
          <cell r="M316">
            <v>2.2999999999999998</v>
          </cell>
          <cell r="N316">
            <v>1.1000000000000001</v>
          </cell>
          <cell r="O316">
            <v>2.7</v>
          </cell>
          <cell r="P316">
            <v>-0.03</v>
          </cell>
          <cell r="Q316">
            <v>-0.03</v>
          </cell>
          <cell r="R316">
            <v>-0.03</v>
          </cell>
          <cell r="S316">
            <v>-0.03</v>
          </cell>
          <cell r="T316">
            <v>0.17</v>
          </cell>
          <cell r="U316">
            <v>-0.13</v>
          </cell>
          <cell r="V316">
            <v>4</v>
          </cell>
        </row>
        <row r="317">
          <cell r="E317">
            <v>19886</v>
          </cell>
          <cell r="F317">
            <v>4556</v>
          </cell>
          <cell r="G317">
            <v>761</v>
          </cell>
          <cell r="H317">
            <v>2014</v>
          </cell>
          <cell r="I317">
            <v>1080</v>
          </cell>
          <cell r="J317">
            <v>1909</v>
          </cell>
          <cell r="K317">
            <v>0.115</v>
          </cell>
          <cell r="L317">
            <v>1.95</v>
          </cell>
          <cell r="M317">
            <v>1.2</v>
          </cell>
          <cell r="N317">
            <v>0.72</v>
          </cell>
          <cell r="O317">
            <v>3.3250000000000002</v>
          </cell>
          <cell r="P317">
            <v>-2.0000000000000004E-2</v>
          </cell>
          <cell r="Q317">
            <v>0.28000000000000003</v>
          </cell>
          <cell r="R317">
            <v>0.08</v>
          </cell>
          <cell r="S317">
            <v>0.08</v>
          </cell>
          <cell r="T317">
            <v>0.08</v>
          </cell>
          <cell r="U317">
            <v>0.08</v>
          </cell>
          <cell r="V317">
            <v>5</v>
          </cell>
        </row>
        <row r="318">
          <cell r="E318">
            <v>11079</v>
          </cell>
          <cell r="F318">
            <v>2382</v>
          </cell>
          <cell r="G318">
            <v>1351</v>
          </cell>
          <cell r="H318">
            <v>3003</v>
          </cell>
          <cell r="I318">
            <v>852</v>
          </cell>
          <cell r="J318">
            <v>909</v>
          </cell>
          <cell r="K318">
            <v>0.11</v>
          </cell>
          <cell r="L318">
            <v>1.65</v>
          </cell>
          <cell r="M318">
            <v>2.2000000000000002</v>
          </cell>
          <cell r="N318">
            <v>1.1000000000000001</v>
          </cell>
          <cell r="O318">
            <v>2.75</v>
          </cell>
          <cell r="P318">
            <v>0.16</v>
          </cell>
          <cell r="Q318">
            <v>-0.14000000000000001</v>
          </cell>
          <cell r="R318">
            <v>-0.04</v>
          </cell>
          <cell r="S318">
            <v>-0.04</v>
          </cell>
          <cell r="T318">
            <v>-0.04</v>
          </cell>
          <cell r="U318">
            <v>-0.04</v>
          </cell>
          <cell r="V318">
            <v>4.2</v>
          </cell>
        </row>
        <row r="319">
          <cell r="E319">
            <v>24431</v>
          </cell>
          <cell r="F319">
            <v>2796</v>
          </cell>
          <cell r="G319">
            <v>590</v>
          </cell>
          <cell r="H319">
            <v>2016</v>
          </cell>
          <cell r="I319">
            <v>1864</v>
          </cell>
          <cell r="J319">
            <v>1761</v>
          </cell>
          <cell r="K319">
            <v>3.5000000000000003E-2</v>
          </cell>
          <cell r="L319">
            <v>1.4</v>
          </cell>
          <cell r="M319">
            <v>1.5</v>
          </cell>
          <cell r="N319">
            <v>0.6</v>
          </cell>
          <cell r="O319">
            <v>3.1</v>
          </cell>
          <cell r="P319">
            <v>0.12</v>
          </cell>
          <cell r="Q319">
            <v>0.12</v>
          </cell>
          <cell r="R319">
            <v>0.32</v>
          </cell>
          <cell r="S319">
            <v>1.999999999999999E-2</v>
          </cell>
          <cell r="T319">
            <v>0.12</v>
          </cell>
          <cell r="U319">
            <v>0.12</v>
          </cell>
          <cell r="V319">
            <v>4.12</v>
          </cell>
        </row>
        <row r="320">
          <cell r="E320">
            <v>29119</v>
          </cell>
          <cell r="F320">
            <v>552</v>
          </cell>
          <cell r="G320">
            <v>2296</v>
          </cell>
          <cell r="H320">
            <v>930</v>
          </cell>
          <cell r="I320">
            <v>1727</v>
          </cell>
          <cell r="J320">
            <v>1477</v>
          </cell>
          <cell r="K320">
            <v>2.5000000000000001E-2</v>
          </cell>
          <cell r="L320">
            <v>1.35</v>
          </cell>
          <cell r="M320">
            <v>1.1499999999999999</v>
          </cell>
          <cell r="N320">
            <v>0.51</v>
          </cell>
          <cell r="O320">
            <v>1</v>
          </cell>
          <cell r="P320">
            <v>0.25</v>
          </cell>
          <cell r="Q320">
            <v>-0.05</v>
          </cell>
          <cell r="R320">
            <v>0.05</v>
          </cell>
          <cell r="S320">
            <v>0.05</v>
          </cell>
          <cell r="T320">
            <v>0.05</v>
          </cell>
          <cell r="U320">
            <v>0.05</v>
          </cell>
          <cell r="V320">
            <v>3.2</v>
          </cell>
        </row>
        <row r="321">
          <cell r="E321">
            <v>19176</v>
          </cell>
          <cell r="F321">
            <v>828</v>
          </cell>
          <cell r="G321">
            <v>1694</v>
          </cell>
          <cell r="H321">
            <v>762</v>
          </cell>
          <cell r="I321">
            <v>1591</v>
          </cell>
          <cell r="J321">
            <v>1136</v>
          </cell>
          <cell r="K321">
            <v>0.08</v>
          </cell>
          <cell r="L321">
            <v>1.6</v>
          </cell>
          <cell r="M321">
            <v>2.7</v>
          </cell>
          <cell r="N321">
            <v>1.05</v>
          </cell>
          <cell r="O321">
            <v>1</v>
          </cell>
          <cell r="P321">
            <v>-3.5000000000000003E-2</v>
          </cell>
          <cell r="Q321">
            <v>0.26500000000000001</v>
          </cell>
          <cell r="R321">
            <v>6.5000000000000002E-2</v>
          </cell>
          <cell r="S321">
            <v>6.5000000000000002E-2</v>
          </cell>
          <cell r="T321">
            <v>6.5000000000000002E-2</v>
          </cell>
          <cell r="U321">
            <v>6.5000000000000002E-2</v>
          </cell>
          <cell r="V321">
            <v>4</v>
          </cell>
        </row>
        <row r="322">
          <cell r="E322">
            <v>10511</v>
          </cell>
          <cell r="F322">
            <v>1967</v>
          </cell>
          <cell r="G322">
            <v>714</v>
          </cell>
          <cell r="H322">
            <v>2441</v>
          </cell>
          <cell r="I322">
            <v>818</v>
          </cell>
          <cell r="J322">
            <v>955</v>
          </cell>
          <cell r="K322">
            <v>0.05</v>
          </cell>
          <cell r="L322">
            <v>1.4</v>
          </cell>
          <cell r="M322">
            <v>3.35</v>
          </cell>
          <cell r="N322">
            <v>1.55</v>
          </cell>
          <cell r="O322">
            <v>2.2999999999999998</v>
          </cell>
          <cell r="P322">
            <v>-7.0000000000000007E-2</v>
          </cell>
          <cell r="Q322">
            <v>-7.0000000000000007E-2</v>
          </cell>
          <cell r="R322">
            <v>-7.0000000000000007E-2</v>
          </cell>
          <cell r="S322">
            <v>-7.0000000000000007E-2</v>
          </cell>
          <cell r="T322">
            <v>0.13</v>
          </cell>
          <cell r="U322">
            <v>-0.17</v>
          </cell>
          <cell r="V322">
            <v>4</v>
          </cell>
        </row>
        <row r="323">
          <cell r="E323">
            <v>18750</v>
          </cell>
          <cell r="F323">
            <v>2278</v>
          </cell>
          <cell r="G323">
            <v>1000</v>
          </cell>
          <cell r="H323">
            <v>2222</v>
          </cell>
          <cell r="I323">
            <v>1625</v>
          </cell>
          <cell r="J323">
            <v>1062</v>
          </cell>
          <cell r="K323">
            <v>0.08</v>
          </cell>
          <cell r="L323">
            <v>1.6</v>
          </cell>
          <cell r="M323">
            <v>2.8</v>
          </cell>
          <cell r="N323">
            <v>1</v>
          </cell>
          <cell r="O323">
            <v>2.5</v>
          </cell>
          <cell r="P323">
            <v>-8.5000000000000006E-2</v>
          </cell>
          <cell r="Q323">
            <v>0.21500000000000002</v>
          </cell>
          <cell r="R323">
            <v>1.4999999999999999E-2</v>
          </cell>
          <cell r="S323">
            <v>1.4999999999999999E-2</v>
          </cell>
          <cell r="T323">
            <v>1.4999999999999999E-2</v>
          </cell>
          <cell r="U323">
            <v>1.4999999999999999E-2</v>
          </cell>
          <cell r="V323">
            <v>4</v>
          </cell>
        </row>
        <row r="324">
          <cell r="E324">
            <v>9062</v>
          </cell>
          <cell r="F324">
            <v>1777</v>
          </cell>
          <cell r="G324">
            <v>891</v>
          </cell>
          <cell r="H324">
            <v>4125</v>
          </cell>
          <cell r="I324">
            <v>800</v>
          </cell>
          <cell r="J324">
            <v>812</v>
          </cell>
          <cell r="K324">
            <v>0.08</v>
          </cell>
          <cell r="L324">
            <v>1.55</v>
          </cell>
          <cell r="M324">
            <v>4.2</v>
          </cell>
          <cell r="N324">
            <v>1.3</v>
          </cell>
          <cell r="O324">
            <v>2.5</v>
          </cell>
          <cell r="P324">
            <v>0.11000000000000001</v>
          </cell>
          <cell r="Q324">
            <v>-0.19</v>
          </cell>
          <cell r="R324">
            <v>-0.09</v>
          </cell>
          <cell r="S324">
            <v>-0.09</v>
          </cell>
          <cell r="T324">
            <v>-0.09</v>
          </cell>
          <cell r="U324">
            <v>-0.09</v>
          </cell>
          <cell r="V324">
            <v>4.2</v>
          </cell>
        </row>
        <row r="325">
          <cell r="E325">
            <v>17500</v>
          </cell>
          <cell r="F325">
            <v>3075</v>
          </cell>
          <cell r="G325">
            <v>771</v>
          </cell>
          <cell r="H325">
            <v>2597</v>
          </cell>
          <cell r="I325">
            <v>2437</v>
          </cell>
          <cell r="J325">
            <v>900</v>
          </cell>
          <cell r="K325">
            <v>5.5E-2</v>
          </cell>
          <cell r="L325">
            <v>1.5</v>
          </cell>
          <cell r="M325">
            <v>1.85</v>
          </cell>
          <cell r="N325">
            <v>0.87</v>
          </cell>
          <cell r="O325">
            <v>2.35</v>
          </cell>
          <cell r="P325">
            <v>6.5000000000000002E-2</v>
          </cell>
          <cell r="Q325">
            <v>6.5000000000000002E-2</v>
          </cell>
          <cell r="R325">
            <v>0.26500000000000001</v>
          </cell>
          <cell r="S325">
            <v>-3.5000000000000003E-2</v>
          </cell>
          <cell r="T325">
            <v>6.5000000000000002E-2</v>
          </cell>
          <cell r="U325">
            <v>6.5000000000000002E-2</v>
          </cell>
          <cell r="V325">
            <v>4.2</v>
          </cell>
        </row>
        <row r="326">
          <cell r="E326">
            <v>18750</v>
          </cell>
          <cell r="F326">
            <v>861</v>
          </cell>
          <cell r="G326">
            <v>2294</v>
          </cell>
          <cell r="H326">
            <v>1032</v>
          </cell>
          <cell r="I326">
            <v>1625</v>
          </cell>
          <cell r="J326">
            <v>1062</v>
          </cell>
          <cell r="K326">
            <v>0.08</v>
          </cell>
          <cell r="L326">
            <v>1.6</v>
          </cell>
          <cell r="M326">
            <v>2.8</v>
          </cell>
          <cell r="N326">
            <v>1</v>
          </cell>
          <cell r="O326">
            <v>1</v>
          </cell>
          <cell r="P326">
            <v>0.23500000000000001</v>
          </cell>
          <cell r="Q326">
            <v>-6.5000000000000002E-2</v>
          </cell>
          <cell r="R326">
            <v>3.5000000000000003E-2</v>
          </cell>
          <cell r="S326">
            <v>3.5000000000000003E-2</v>
          </cell>
          <cell r="T326">
            <v>3.5000000000000003E-2</v>
          </cell>
          <cell r="U326">
            <v>3.5000000000000003E-2</v>
          </cell>
          <cell r="V326">
            <v>4</v>
          </cell>
        </row>
        <row r="327">
          <cell r="E327">
            <v>19843</v>
          </cell>
          <cell r="F327">
            <v>709</v>
          </cell>
          <cell r="G327">
            <v>4223</v>
          </cell>
          <cell r="H327">
            <v>1235</v>
          </cell>
          <cell r="I327">
            <v>1312</v>
          </cell>
          <cell r="J327">
            <v>1100</v>
          </cell>
          <cell r="K327">
            <v>0.06</v>
          </cell>
          <cell r="L327">
            <v>2.15</v>
          </cell>
          <cell r="M327">
            <v>1.65</v>
          </cell>
          <cell r="N327">
            <v>0.53</v>
          </cell>
          <cell r="O327">
            <v>1</v>
          </cell>
          <cell r="P327">
            <v>-0.125</v>
          </cell>
          <cell r="Q327">
            <v>0.17500000000000002</v>
          </cell>
          <cell r="R327">
            <v>-2.5000000000000001E-2</v>
          </cell>
          <cell r="S327">
            <v>-2.5000000000000001E-2</v>
          </cell>
          <cell r="T327">
            <v>-2.5000000000000001E-2</v>
          </cell>
          <cell r="U327">
            <v>-2.5000000000000001E-2</v>
          </cell>
          <cell r="V327">
            <v>4.4000000000000004</v>
          </cell>
        </row>
        <row r="328">
          <cell r="E328">
            <v>20000</v>
          </cell>
          <cell r="F328">
            <v>2164</v>
          </cell>
          <cell r="G328">
            <v>566</v>
          </cell>
          <cell r="H328">
            <v>1480</v>
          </cell>
          <cell r="I328">
            <v>1537</v>
          </cell>
          <cell r="J328">
            <v>1400</v>
          </cell>
          <cell r="K328">
            <v>7.0000000000000007E-2</v>
          </cell>
          <cell r="L328">
            <v>1.5</v>
          </cell>
          <cell r="M328">
            <v>2.8</v>
          </cell>
          <cell r="N328">
            <v>1.45</v>
          </cell>
          <cell r="O328">
            <v>1.55</v>
          </cell>
          <cell r="P328">
            <v>0.03</v>
          </cell>
          <cell r="Q328">
            <v>0.03</v>
          </cell>
          <cell r="R328">
            <v>0.03</v>
          </cell>
          <cell r="S328">
            <v>0.03</v>
          </cell>
          <cell r="T328">
            <v>0.23</v>
          </cell>
          <cell r="U328">
            <v>-7.0000000000000007E-2</v>
          </cell>
          <cell r="V328">
            <v>3.6</v>
          </cell>
        </row>
        <row r="329">
          <cell r="E329">
            <v>15640</v>
          </cell>
          <cell r="F329">
            <v>4009</v>
          </cell>
          <cell r="G329">
            <v>1698</v>
          </cell>
          <cell r="H329">
            <v>5030</v>
          </cell>
          <cell r="I329">
            <v>1210</v>
          </cell>
          <cell r="J329">
            <v>1306</v>
          </cell>
          <cell r="K329">
            <v>0.04</v>
          </cell>
          <cell r="L329">
            <v>2.2000000000000002</v>
          </cell>
          <cell r="M329">
            <v>1.65</v>
          </cell>
          <cell r="N329">
            <v>0.64</v>
          </cell>
          <cell r="O329">
            <v>3.7</v>
          </cell>
          <cell r="P329">
            <v>-0.125</v>
          </cell>
          <cell r="Q329">
            <v>0.17500000000000002</v>
          </cell>
          <cell r="R329">
            <v>-2.5000000000000001E-2</v>
          </cell>
          <cell r="S329">
            <v>-2.5000000000000001E-2</v>
          </cell>
          <cell r="T329">
            <v>-2.5000000000000001E-2</v>
          </cell>
          <cell r="U329">
            <v>-2.5000000000000001E-2</v>
          </cell>
          <cell r="V329">
            <v>5</v>
          </cell>
        </row>
        <row r="330">
          <cell r="E330">
            <v>18218</v>
          </cell>
          <cell r="F330">
            <v>4385</v>
          </cell>
          <cell r="G330">
            <v>884</v>
          </cell>
          <cell r="H330">
            <v>3021</v>
          </cell>
          <cell r="I330">
            <v>1059</v>
          </cell>
          <cell r="J330">
            <v>2819</v>
          </cell>
          <cell r="K330">
            <v>4.4999999999999998E-2</v>
          </cell>
          <cell r="L330">
            <v>1.45</v>
          </cell>
          <cell r="M330">
            <v>1.9</v>
          </cell>
          <cell r="N330">
            <v>0.84</v>
          </cell>
          <cell r="O330">
            <v>2.65</v>
          </cell>
          <cell r="P330">
            <v>0.29000000000000004</v>
          </cell>
          <cell r="Q330">
            <v>-1.0000000000000009E-2</v>
          </cell>
          <cell r="R330">
            <v>0.09</v>
          </cell>
          <cell r="S330">
            <v>0.09</v>
          </cell>
          <cell r="T330">
            <v>0.09</v>
          </cell>
          <cell r="U330">
            <v>0.09</v>
          </cell>
          <cell r="V330">
            <v>4.4000000000000004</v>
          </cell>
        </row>
        <row r="331">
          <cell r="E331">
            <v>9453</v>
          </cell>
          <cell r="F331">
            <v>3759</v>
          </cell>
          <cell r="G331">
            <v>1767</v>
          </cell>
          <cell r="H331">
            <v>4908</v>
          </cell>
          <cell r="I331">
            <v>1994</v>
          </cell>
          <cell r="J331">
            <v>3094</v>
          </cell>
          <cell r="K331">
            <v>0.04</v>
          </cell>
          <cell r="L331">
            <v>1.38</v>
          </cell>
          <cell r="M331">
            <v>2.2000000000000002</v>
          </cell>
          <cell r="N331">
            <v>0.88</v>
          </cell>
          <cell r="O331">
            <v>3.15</v>
          </cell>
          <cell r="P331">
            <v>0.13</v>
          </cell>
          <cell r="Q331">
            <v>0.13</v>
          </cell>
          <cell r="R331">
            <v>0.33</v>
          </cell>
          <cell r="S331">
            <v>0.03</v>
          </cell>
          <cell r="T331">
            <v>0.13</v>
          </cell>
          <cell r="U331">
            <v>0.13</v>
          </cell>
          <cell r="V331">
            <v>4.4800000000000004</v>
          </cell>
        </row>
        <row r="332">
          <cell r="E332">
            <v>11172</v>
          </cell>
          <cell r="F332">
            <v>535</v>
          </cell>
          <cell r="G332">
            <v>3519</v>
          </cell>
          <cell r="H332">
            <v>1029</v>
          </cell>
          <cell r="I332">
            <v>852</v>
          </cell>
          <cell r="J332">
            <v>935</v>
          </cell>
          <cell r="K332">
            <v>0.18</v>
          </cell>
          <cell r="L332">
            <v>2.1</v>
          </cell>
          <cell r="M332">
            <v>3.15</v>
          </cell>
          <cell r="N332">
            <v>1.35</v>
          </cell>
          <cell r="O332">
            <v>1</v>
          </cell>
          <cell r="P332">
            <v>0.12000000000000001</v>
          </cell>
          <cell r="Q332">
            <v>-0.18</v>
          </cell>
          <cell r="R332">
            <v>-0.08</v>
          </cell>
          <cell r="S332">
            <v>-0.08</v>
          </cell>
          <cell r="T332">
            <v>-0.08</v>
          </cell>
          <cell r="U332">
            <v>-0.08</v>
          </cell>
          <cell r="V332">
            <v>4.8</v>
          </cell>
        </row>
        <row r="333">
          <cell r="E333">
            <v>20281</v>
          </cell>
          <cell r="F333">
            <v>1169</v>
          </cell>
          <cell r="G333">
            <v>2772</v>
          </cell>
          <cell r="H333">
            <v>873</v>
          </cell>
          <cell r="I333">
            <v>1567</v>
          </cell>
          <cell r="J333">
            <v>1567</v>
          </cell>
          <cell r="K333">
            <v>0.04</v>
          </cell>
          <cell r="L333">
            <v>1.43</v>
          </cell>
          <cell r="M333">
            <v>2.15</v>
          </cell>
          <cell r="N333">
            <v>0.88</v>
          </cell>
          <cell r="O333">
            <v>1</v>
          </cell>
          <cell r="P333">
            <v>0.09</v>
          </cell>
          <cell r="Q333">
            <v>0.39</v>
          </cell>
          <cell r="R333">
            <v>0.19</v>
          </cell>
          <cell r="S333">
            <v>0.19</v>
          </cell>
          <cell r="T333">
            <v>0.19</v>
          </cell>
          <cell r="U333">
            <v>0.19</v>
          </cell>
          <cell r="V333">
            <v>3.8</v>
          </cell>
        </row>
        <row r="334">
          <cell r="E334">
            <v>17703</v>
          </cell>
          <cell r="F334">
            <v>6641</v>
          </cell>
          <cell r="G334">
            <v>999</v>
          </cell>
          <cell r="H334">
            <v>3172</v>
          </cell>
          <cell r="I334">
            <v>1320</v>
          </cell>
          <cell r="J334">
            <v>1622</v>
          </cell>
          <cell r="K334">
            <v>6.5000000000000002E-2</v>
          </cell>
          <cell r="L334">
            <v>1.45</v>
          </cell>
          <cell r="M334">
            <v>2.1</v>
          </cell>
          <cell r="N334">
            <v>0.9</v>
          </cell>
          <cell r="O334">
            <v>2.8</v>
          </cell>
          <cell r="P334">
            <v>0.02</v>
          </cell>
          <cell r="Q334">
            <v>0.02</v>
          </cell>
          <cell r="R334">
            <v>0.02</v>
          </cell>
          <cell r="S334">
            <v>0.02</v>
          </cell>
          <cell r="T334">
            <v>0.22</v>
          </cell>
          <cell r="U334">
            <v>-0.08</v>
          </cell>
          <cell r="V334">
            <v>4.2</v>
          </cell>
        </row>
        <row r="335">
          <cell r="E335">
            <v>15503</v>
          </cell>
          <cell r="F335">
            <v>3721</v>
          </cell>
          <cell r="G335">
            <v>1432</v>
          </cell>
          <cell r="H335">
            <v>5305</v>
          </cell>
          <cell r="I335">
            <v>1225</v>
          </cell>
          <cell r="J335">
            <v>1316</v>
          </cell>
          <cell r="K335">
            <v>0.12</v>
          </cell>
          <cell r="L335">
            <v>2.5499999999999998</v>
          </cell>
          <cell r="M335">
            <v>2.2999999999999998</v>
          </cell>
          <cell r="N335">
            <v>0.68</v>
          </cell>
          <cell r="O335">
            <v>3.55</v>
          </cell>
          <cell r="P335">
            <v>0.14500000000000002</v>
          </cell>
          <cell r="Q335">
            <v>-0.155</v>
          </cell>
          <cell r="R335">
            <v>-5.5E-2</v>
          </cell>
          <cell r="S335">
            <v>-5.5E-2</v>
          </cell>
          <cell r="T335">
            <v>-5.5E-2</v>
          </cell>
          <cell r="U335">
            <v>-5.5E-2</v>
          </cell>
          <cell r="V335">
            <v>4.8</v>
          </cell>
        </row>
        <row r="336">
          <cell r="E336">
            <v>26468</v>
          </cell>
          <cell r="F336">
            <v>6064</v>
          </cell>
          <cell r="G336">
            <v>1013</v>
          </cell>
          <cell r="H336">
            <v>2681</v>
          </cell>
          <cell r="I336">
            <v>1437</v>
          </cell>
          <cell r="J336">
            <v>2541</v>
          </cell>
          <cell r="K336">
            <v>0.115</v>
          </cell>
          <cell r="L336">
            <v>1.95</v>
          </cell>
          <cell r="M336">
            <v>1.2</v>
          </cell>
          <cell r="N336">
            <v>0.72</v>
          </cell>
          <cell r="O336">
            <v>3.3250000000000002</v>
          </cell>
          <cell r="P336">
            <v>-2.0000000000000004E-2</v>
          </cell>
          <cell r="Q336">
            <v>0.28000000000000003</v>
          </cell>
          <cell r="R336">
            <v>0.08</v>
          </cell>
          <cell r="S336">
            <v>0.08</v>
          </cell>
          <cell r="T336">
            <v>0.08</v>
          </cell>
          <cell r="U336">
            <v>0.08</v>
          </cell>
          <cell r="V336">
            <v>5</v>
          </cell>
        </row>
        <row r="337">
          <cell r="E337">
            <v>14747</v>
          </cell>
          <cell r="F337">
            <v>3170</v>
          </cell>
          <cell r="G337">
            <v>1798</v>
          </cell>
          <cell r="H337">
            <v>3996</v>
          </cell>
          <cell r="I337">
            <v>1134</v>
          </cell>
          <cell r="J337">
            <v>1210</v>
          </cell>
          <cell r="K337">
            <v>0.11</v>
          </cell>
          <cell r="L337">
            <v>1.65</v>
          </cell>
          <cell r="M337">
            <v>2.2000000000000002</v>
          </cell>
          <cell r="N337">
            <v>1.1000000000000001</v>
          </cell>
          <cell r="O337">
            <v>2.75</v>
          </cell>
          <cell r="P337">
            <v>-0.04</v>
          </cell>
          <cell r="Q337">
            <v>-0.04</v>
          </cell>
          <cell r="R337">
            <v>-0.04</v>
          </cell>
          <cell r="S337">
            <v>-0.04</v>
          </cell>
          <cell r="T337">
            <v>0.16</v>
          </cell>
          <cell r="U337">
            <v>-0.14000000000000001</v>
          </cell>
          <cell r="V337">
            <v>4.2</v>
          </cell>
        </row>
        <row r="338">
          <cell r="E338">
            <v>27792</v>
          </cell>
          <cell r="F338">
            <v>1225</v>
          </cell>
          <cell r="G338">
            <v>2602</v>
          </cell>
          <cell r="H338">
            <v>890</v>
          </cell>
          <cell r="I338">
            <v>1391</v>
          </cell>
          <cell r="J338">
            <v>3327</v>
          </cell>
          <cell r="K338">
            <v>0.05</v>
          </cell>
          <cell r="L338">
            <v>1.5</v>
          </cell>
          <cell r="M338">
            <v>2.0499999999999998</v>
          </cell>
          <cell r="N338">
            <v>0.79</v>
          </cell>
          <cell r="O338">
            <v>1</v>
          </cell>
          <cell r="P338">
            <v>-0.03</v>
          </cell>
          <cell r="Q338">
            <v>0.27</v>
          </cell>
          <cell r="R338">
            <v>7.0000000000000007E-2</v>
          </cell>
          <cell r="S338">
            <v>7.0000000000000007E-2</v>
          </cell>
          <cell r="T338">
            <v>7.0000000000000007E-2</v>
          </cell>
          <cell r="U338">
            <v>7.0000000000000007E-2</v>
          </cell>
          <cell r="V338">
            <v>4</v>
          </cell>
        </row>
        <row r="339">
          <cell r="E339">
            <v>38757</v>
          </cell>
          <cell r="F339">
            <v>735</v>
          </cell>
          <cell r="G339">
            <v>3056</v>
          </cell>
          <cell r="H339">
            <v>1238</v>
          </cell>
          <cell r="I339">
            <v>2299</v>
          </cell>
          <cell r="J339">
            <v>1966</v>
          </cell>
          <cell r="K339">
            <v>2.5000000000000001E-2</v>
          </cell>
          <cell r="L339">
            <v>1.35</v>
          </cell>
          <cell r="M339">
            <v>1.1499999999999999</v>
          </cell>
          <cell r="N339">
            <v>0.51</v>
          </cell>
          <cell r="O339">
            <v>1</v>
          </cell>
          <cell r="P339">
            <v>0.25</v>
          </cell>
          <cell r="Q339">
            <v>-0.05</v>
          </cell>
          <cell r="R339">
            <v>0.05</v>
          </cell>
          <cell r="S339">
            <v>0.05</v>
          </cell>
          <cell r="T339">
            <v>0.05</v>
          </cell>
          <cell r="U339">
            <v>0.05</v>
          </cell>
          <cell r="V339">
            <v>3.2</v>
          </cell>
        </row>
        <row r="340">
          <cell r="E340">
            <v>17393</v>
          </cell>
          <cell r="F340">
            <v>2756</v>
          </cell>
          <cell r="G340">
            <v>1574</v>
          </cell>
          <cell r="H340">
            <v>3497</v>
          </cell>
          <cell r="I340">
            <v>1437</v>
          </cell>
          <cell r="J340">
            <v>1588</v>
          </cell>
          <cell r="K340">
            <v>0.05</v>
          </cell>
          <cell r="L340">
            <v>1.5</v>
          </cell>
          <cell r="M340">
            <v>2</v>
          </cell>
          <cell r="N340">
            <v>1.05</v>
          </cell>
          <cell r="O340">
            <v>2.5</v>
          </cell>
          <cell r="P340">
            <v>0</v>
          </cell>
          <cell r="Q340">
            <v>0</v>
          </cell>
          <cell r="R340">
            <v>0.2</v>
          </cell>
          <cell r="S340">
            <v>-0.1</v>
          </cell>
          <cell r="T340">
            <v>0</v>
          </cell>
          <cell r="U340">
            <v>0</v>
          </cell>
          <cell r="V340">
            <v>4</v>
          </cell>
        </row>
        <row r="341">
          <cell r="E341">
            <v>16429</v>
          </cell>
          <cell r="F341">
            <v>2729</v>
          </cell>
          <cell r="G341">
            <v>719</v>
          </cell>
          <cell r="H341">
            <v>3013</v>
          </cell>
          <cell r="I341">
            <v>1414</v>
          </cell>
          <cell r="J341">
            <v>1348</v>
          </cell>
          <cell r="K341">
            <v>6.5000000000000002E-2</v>
          </cell>
          <cell r="L341">
            <v>1.45</v>
          </cell>
          <cell r="M341">
            <v>4</v>
          </cell>
          <cell r="N341">
            <v>1.72</v>
          </cell>
          <cell r="O341">
            <v>1.9</v>
          </cell>
          <cell r="P341">
            <v>0.13</v>
          </cell>
          <cell r="Q341">
            <v>-0.17</v>
          </cell>
          <cell r="R341">
            <v>-7.0000000000000007E-2</v>
          </cell>
          <cell r="S341">
            <v>-7.0000000000000007E-2</v>
          </cell>
          <cell r="T341">
            <v>-7.0000000000000007E-2</v>
          </cell>
          <cell r="U341">
            <v>-7.0000000000000007E-2</v>
          </cell>
          <cell r="V341">
            <v>5.4</v>
          </cell>
        </row>
        <row r="342">
          <cell r="E342">
            <v>24956</v>
          </cell>
          <cell r="F342">
            <v>3032</v>
          </cell>
          <cell r="G342">
            <v>1331</v>
          </cell>
          <cell r="H342">
            <v>2957</v>
          </cell>
          <cell r="I342">
            <v>2163</v>
          </cell>
          <cell r="J342">
            <v>1414</v>
          </cell>
          <cell r="K342">
            <v>0.08</v>
          </cell>
          <cell r="L342">
            <v>1.6</v>
          </cell>
          <cell r="M342">
            <v>2.8</v>
          </cell>
          <cell r="N342">
            <v>1</v>
          </cell>
          <cell r="O342">
            <v>2.5</v>
          </cell>
          <cell r="P342">
            <v>-8.5000000000000006E-2</v>
          </cell>
          <cell r="Q342">
            <v>0.21500000000000002</v>
          </cell>
          <cell r="R342">
            <v>1.4999999999999999E-2</v>
          </cell>
          <cell r="S342">
            <v>1.4999999999999999E-2</v>
          </cell>
          <cell r="T342">
            <v>1.4999999999999999E-2</v>
          </cell>
          <cell r="U342">
            <v>1.4999999999999999E-2</v>
          </cell>
          <cell r="V342">
            <v>4</v>
          </cell>
        </row>
        <row r="343">
          <cell r="E343">
            <v>12062</v>
          </cell>
          <cell r="F343">
            <v>2365</v>
          </cell>
          <cell r="G343">
            <v>1186</v>
          </cell>
          <cell r="H343">
            <v>5491</v>
          </cell>
          <cell r="I343">
            <v>1065</v>
          </cell>
          <cell r="J343">
            <v>1081</v>
          </cell>
          <cell r="K343">
            <v>0.08</v>
          </cell>
          <cell r="L343">
            <v>1.55</v>
          </cell>
          <cell r="M343">
            <v>4.2</v>
          </cell>
          <cell r="N343">
            <v>1.3</v>
          </cell>
          <cell r="O343">
            <v>2.5</v>
          </cell>
          <cell r="P343">
            <v>-0.09</v>
          </cell>
          <cell r="Q343">
            <v>-0.09</v>
          </cell>
          <cell r="R343">
            <v>-0.09</v>
          </cell>
          <cell r="S343">
            <v>-0.09</v>
          </cell>
          <cell r="T343">
            <v>0.11000000000000001</v>
          </cell>
          <cell r="U343">
            <v>-0.19</v>
          </cell>
          <cell r="V343">
            <v>4.2</v>
          </cell>
        </row>
        <row r="344">
          <cell r="E344">
            <v>16429</v>
          </cell>
          <cell r="F344">
            <v>1145</v>
          </cell>
          <cell r="G344">
            <v>3562</v>
          </cell>
          <cell r="H344">
            <v>1122</v>
          </cell>
          <cell r="I344">
            <v>1314</v>
          </cell>
          <cell r="J344">
            <v>1215</v>
          </cell>
          <cell r="K344">
            <v>0.1</v>
          </cell>
          <cell r="L344">
            <v>1.85</v>
          </cell>
          <cell r="M344">
            <v>4</v>
          </cell>
          <cell r="N344">
            <v>1.41</v>
          </cell>
          <cell r="O344">
            <v>1</v>
          </cell>
          <cell r="P344">
            <v>-0.155</v>
          </cell>
          <cell r="Q344">
            <v>0.14500000000000002</v>
          </cell>
          <cell r="R344">
            <v>-5.5E-2</v>
          </cell>
          <cell r="S344">
            <v>-5.5E-2</v>
          </cell>
          <cell r="T344">
            <v>-5.5E-2</v>
          </cell>
          <cell r="U344">
            <v>-5.5E-2</v>
          </cell>
          <cell r="V344">
            <v>6.4</v>
          </cell>
        </row>
        <row r="345">
          <cell r="E345">
            <v>24956</v>
          </cell>
          <cell r="F345">
            <v>1145</v>
          </cell>
          <cell r="G345">
            <v>3053</v>
          </cell>
          <cell r="H345">
            <v>1374</v>
          </cell>
          <cell r="I345">
            <v>2163</v>
          </cell>
          <cell r="J345">
            <v>1414</v>
          </cell>
          <cell r="K345">
            <v>0.08</v>
          </cell>
          <cell r="L345">
            <v>1.6</v>
          </cell>
          <cell r="M345">
            <v>2.8</v>
          </cell>
          <cell r="N345">
            <v>1</v>
          </cell>
          <cell r="O345">
            <v>1</v>
          </cell>
          <cell r="P345">
            <v>0.23500000000000001</v>
          </cell>
          <cell r="Q345">
            <v>-6.5000000000000002E-2</v>
          </cell>
          <cell r="R345">
            <v>3.5000000000000003E-2</v>
          </cell>
          <cell r="S345">
            <v>3.5000000000000003E-2</v>
          </cell>
          <cell r="T345">
            <v>3.5000000000000003E-2</v>
          </cell>
          <cell r="U345">
            <v>3.5000000000000003E-2</v>
          </cell>
          <cell r="V345">
            <v>4</v>
          </cell>
        </row>
        <row r="346">
          <cell r="E346">
            <v>22876</v>
          </cell>
          <cell r="F346">
            <v>3184</v>
          </cell>
          <cell r="G346">
            <v>1454</v>
          </cell>
          <cell r="H346">
            <v>3230</v>
          </cell>
          <cell r="I346">
            <v>1830</v>
          </cell>
          <cell r="J346">
            <v>1830</v>
          </cell>
          <cell r="K346">
            <v>7.0000000000000007E-2</v>
          </cell>
          <cell r="L346">
            <v>1.55</v>
          </cell>
          <cell r="M346">
            <v>2.4</v>
          </cell>
          <cell r="N346">
            <v>1</v>
          </cell>
          <cell r="O346">
            <v>2.5</v>
          </cell>
          <cell r="P346">
            <v>0.02</v>
          </cell>
          <cell r="Q346">
            <v>0.02</v>
          </cell>
          <cell r="R346">
            <v>0.22</v>
          </cell>
          <cell r="S346">
            <v>-0.08</v>
          </cell>
          <cell r="T346">
            <v>0.02</v>
          </cell>
          <cell r="U346">
            <v>0.02</v>
          </cell>
          <cell r="V346">
            <v>4</v>
          </cell>
        </row>
        <row r="347">
          <cell r="E347">
            <v>34314</v>
          </cell>
          <cell r="F347">
            <v>4169</v>
          </cell>
          <cell r="G347">
            <v>832</v>
          </cell>
          <cell r="H347">
            <v>1849</v>
          </cell>
          <cell r="I347">
            <v>2745</v>
          </cell>
          <cell r="J347">
            <v>2562</v>
          </cell>
          <cell r="K347">
            <v>0.1</v>
          </cell>
          <cell r="L347">
            <v>1.75</v>
          </cell>
          <cell r="M347">
            <v>2.4</v>
          </cell>
          <cell r="N347">
            <v>1.2</v>
          </cell>
          <cell r="O347">
            <v>3</v>
          </cell>
          <cell r="P347">
            <v>0.28000000000000003</v>
          </cell>
          <cell r="Q347">
            <v>-2.0000000000000004E-2</v>
          </cell>
          <cell r="R347">
            <v>0.08</v>
          </cell>
          <cell r="S347">
            <v>0.08</v>
          </cell>
          <cell r="T347">
            <v>0.08</v>
          </cell>
          <cell r="U347">
            <v>0.08</v>
          </cell>
          <cell r="V347">
            <v>4</v>
          </cell>
        </row>
        <row r="348">
          <cell r="E348">
            <v>20817</v>
          </cell>
          <cell r="F348">
            <v>5337</v>
          </cell>
          <cell r="G348">
            <v>2260</v>
          </cell>
          <cell r="H348">
            <v>6695</v>
          </cell>
          <cell r="I348">
            <v>1610</v>
          </cell>
          <cell r="J348">
            <v>1739</v>
          </cell>
          <cell r="K348">
            <v>0.04</v>
          </cell>
          <cell r="L348">
            <v>2.2000000000000002</v>
          </cell>
          <cell r="M348">
            <v>1.65</v>
          </cell>
          <cell r="N348">
            <v>0.64</v>
          </cell>
          <cell r="O348">
            <v>3.7</v>
          </cell>
          <cell r="P348">
            <v>-0.125</v>
          </cell>
          <cell r="Q348">
            <v>0.17500000000000002</v>
          </cell>
          <cell r="R348">
            <v>-2.5000000000000001E-2</v>
          </cell>
          <cell r="S348">
            <v>-2.5000000000000001E-2</v>
          </cell>
          <cell r="T348">
            <v>-2.5000000000000001E-2</v>
          </cell>
          <cell r="U348">
            <v>-2.5000000000000001E-2</v>
          </cell>
          <cell r="V348">
            <v>5</v>
          </cell>
        </row>
        <row r="349">
          <cell r="E349">
            <v>24249</v>
          </cell>
          <cell r="F349">
            <v>5837</v>
          </cell>
          <cell r="G349">
            <v>1176</v>
          </cell>
          <cell r="H349">
            <v>4021</v>
          </cell>
          <cell r="I349">
            <v>1409</v>
          </cell>
          <cell r="J349">
            <v>3752</v>
          </cell>
          <cell r="K349">
            <v>4.4999999999999998E-2</v>
          </cell>
          <cell r="L349">
            <v>1.45</v>
          </cell>
          <cell r="M349">
            <v>1.9</v>
          </cell>
          <cell r="N349">
            <v>0.84</v>
          </cell>
          <cell r="O349">
            <v>2.65</v>
          </cell>
          <cell r="P349">
            <v>0.09</v>
          </cell>
          <cell r="Q349">
            <v>0.09</v>
          </cell>
          <cell r="R349">
            <v>0.09</v>
          </cell>
          <cell r="S349">
            <v>0.09</v>
          </cell>
          <cell r="T349">
            <v>0.29000000000000004</v>
          </cell>
          <cell r="U349">
            <v>-1.0000000000000009E-2</v>
          </cell>
          <cell r="V349">
            <v>4.4000000000000004</v>
          </cell>
        </row>
        <row r="350">
          <cell r="E350">
            <v>17386</v>
          </cell>
          <cell r="F350">
            <v>919</v>
          </cell>
          <cell r="G350">
            <v>6487</v>
          </cell>
          <cell r="H350">
            <v>1810</v>
          </cell>
          <cell r="I350">
            <v>1391</v>
          </cell>
          <cell r="J350">
            <v>1281</v>
          </cell>
          <cell r="K350">
            <v>9.5000000000000001E-2</v>
          </cell>
          <cell r="L350">
            <v>2.4</v>
          </cell>
          <cell r="M350">
            <v>3.35</v>
          </cell>
          <cell r="N350">
            <v>0.86</v>
          </cell>
          <cell r="O350">
            <v>1</v>
          </cell>
          <cell r="P350">
            <v>-0.17</v>
          </cell>
          <cell r="Q350">
            <v>0.13</v>
          </cell>
          <cell r="R350">
            <v>-7.0000000000000007E-2</v>
          </cell>
          <cell r="S350">
            <v>-7.0000000000000007E-2</v>
          </cell>
          <cell r="T350">
            <v>-7.0000000000000007E-2</v>
          </cell>
          <cell r="U350">
            <v>-7.0000000000000007E-2</v>
          </cell>
          <cell r="V350">
            <v>4.5999999999999996</v>
          </cell>
        </row>
        <row r="351">
          <cell r="E351">
            <v>14870</v>
          </cell>
          <cell r="F351">
            <v>712</v>
          </cell>
          <cell r="G351">
            <v>4683</v>
          </cell>
          <cell r="H351">
            <v>1370</v>
          </cell>
          <cell r="I351">
            <v>1135</v>
          </cell>
          <cell r="J351">
            <v>1244</v>
          </cell>
          <cell r="K351">
            <v>0.18</v>
          </cell>
          <cell r="L351">
            <v>2.1</v>
          </cell>
          <cell r="M351">
            <v>3.15</v>
          </cell>
          <cell r="N351">
            <v>1.35</v>
          </cell>
          <cell r="O351">
            <v>1</v>
          </cell>
          <cell r="P351">
            <v>0.12000000000000001</v>
          </cell>
          <cell r="Q351">
            <v>-0.18</v>
          </cell>
          <cell r="R351">
            <v>-0.08</v>
          </cell>
          <cell r="S351">
            <v>-0.08</v>
          </cell>
          <cell r="T351">
            <v>-0.08</v>
          </cell>
          <cell r="U351">
            <v>-0.08</v>
          </cell>
          <cell r="V351">
            <v>4.8</v>
          </cell>
        </row>
        <row r="352">
          <cell r="E352">
            <v>21961</v>
          </cell>
          <cell r="F352">
            <v>3669</v>
          </cell>
          <cell r="G352">
            <v>1214</v>
          </cell>
          <cell r="H352">
            <v>4351</v>
          </cell>
          <cell r="I352">
            <v>1501</v>
          </cell>
          <cell r="J352">
            <v>1665</v>
          </cell>
          <cell r="K352">
            <v>0.06</v>
          </cell>
          <cell r="L352">
            <v>1.6</v>
          </cell>
          <cell r="M352">
            <v>2.25</v>
          </cell>
          <cell r="N352">
            <v>0.91</v>
          </cell>
          <cell r="O352">
            <v>4.75</v>
          </cell>
          <cell r="P352">
            <v>-0.02</v>
          </cell>
          <cell r="Q352">
            <v>-0.02</v>
          </cell>
          <cell r="R352">
            <v>0.18000000000000002</v>
          </cell>
          <cell r="S352">
            <v>-0.12000000000000001</v>
          </cell>
          <cell r="T352">
            <v>-0.02</v>
          </cell>
          <cell r="U352">
            <v>-0.02</v>
          </cell>
          <cell r="V352">
            <v>6.6</v>
          </cell>
        </row>
        <row r="353">
          <cell r="E353">
            <v>16860</v>
          </cell>
          <cell r="F353">
            <v>4036</v>
          </cell>
          <cell r="G353">
            <v>1867</v>
          </cell>
          <cell r="H353">
            <v>7979</v>
          </cell>
          <cell r="I353">
            <v>1309</v>
          </cell>
          <cell r="J353">
            <v>1610</v>
          </cell>
          <cell r="K353">
            <v>0.18</v>
          </cell>
          <cell r="L353">
            <v>1.85</v>
          </cell>
          <cell r="M353">
            <v>2.0499999999999998</v>
          </cell>
          <cell r="N353">
            <v>0.75</v>
          </cell>
          <cell r="O353">
            <v>4.45</v>
          </cell>
          <cell r="P353">
            <v>0.14000000000000001</v>
          </cell>
          <cell r="Q353">
            <v>-0.16</v>
          </cell>
          <cell r="R353">
            <v>-0.06</v>
          </cell>
          <cell r="S353">
            <v>-0.06</v>
          </cell>
          <cell r="T353">
            <v>-0.06</v>
          </cell>
          <cell r="U353">
            <v>-0.06</v>
          </cell>
          <cell r="V353">
            <v>5.6</v>
          </cell>
        </row>
        <row r="354">
          <cell r="E354">
            <v>20634</v>
          </cell>
          <cell r="F354">
            <v>4953</v>
          </cell>
          <cell r="G354">
            <v>1907</v>
          </cell>
          <cell r="H354">
            <v>7062</v>
          </cell>
          <cell r="I354">
            <v>1631</v>
          </cell>
          <cell r="J354">
            <v>1751</v>
          </cell>
          <cell r="K354">
            <v>0.12</v>
          </cell>
          <cell r="L354">
            <v>2.5499999999999998</v>
          </cell>
          <cell r="M354">
            <v>2.2999999999999998</v>
          </cell>
          <cell r="N354">
            <v>0.68</v>
          </cell>
          <cell r="O354">
            <v>3.55</v>
          </cell>
          <cell r="P354">
            <v>-0.155</v>
          </cell>
          <cell r="Q354">
            <v>0.14500000000000002</v>
          </cell>
          <cell r="R354">
            <v>-5.5E-2</v>
          </cell>
          <cell r="S354">
            <v>-5.5E-2</v>
          </cell>
          <cell r="T354">
            <v>-5.5E-2</v>
          </cell>
          <cell r="U354">
            <v>-5.5E-2</v>
          </cell>
          <cell r="V354">
            <v>4.8</v>
          </cell>
        </row>
        <row r="355">
          <cell r="E355">
            <v>35229</v>
          </cell>
          <cell r="F355">
            <v>8072</v>
          </cell>
          <cell r="G355">
            <v>1349</v>
          </cell>
          <cell r="H355">
            <v>3568</v>
          </cell>
          <cell r="I355">
            <v>1912</v>
          </cell>
          <cell r="J355">
            <v>3382</v>
          </cell>
          <cell r="K355">
            <v>0.115</v>
          </cell>
          <cell r="L355">
            <v>1.95</v>
          </cell>
          <cell r="M355">
            <v>1.2</v>
          </cell>
          <cell r="N355">
            <v>0.72</v>
          </cell>
          <cell r="O355">
            <v>3.3250000000000002</v>
          </cell>
          <cell r="P355">
            <v>0.08</v>
          </cell>
          <cell r="Q355">
            <v>0.08</v>
          </cell>
          <cell r="R355">
            <v>0.08</v>
          </cell>
          <cell r="S355">
            <v>0.08</v>
          </cell>
          <cell r="T355">
            <v>0.28000000000000003</v>
          </cell>
          <cell r="U355">
            <v>-2.0000000000000004E-2</v>
          </cell>
          <cell r="V355">
            <v>5</v>
          </cell>
        </row>
        <row r="356">
          <cell r="E356">
            <v>40262</v>
          </cell>
          <cell r="F356">
            <v>1386</v>
          </cell>
          <cell r="G356">
            <v>3107</v>
          </cell>
          <cell r="H356">
            <v>1398</v>
          </cell>
          <cell r="I356">
            <v>3120</v>
          </cell>
          <cell r="J356">
            <v>2818</v>
          </cell>
          <cell r="K356">
            <v>0.04</v>
          </cell>
          <cell r="L356">
            <v>1.4</v>
          </cell>
          <cell r="M356">
            <v>2.2000000000000002</v>
          </cell>
          <cell r="N356">
            <v>0.82</v>
          </cell>
          <cell r="O356">
            <v>1</v>
          </cell>
          <cell r="P356">
            <v>0</v>
          </cell>
          <cell r="Q356">
            <v>0.30000000000000004</v>
          </cell>
          <cell r="R356">
            <v>0.1</v>
          </cell>
          <cell r="S356">
            <v>0.1</v>
          </cell>
          <cell r="T356">
            <v>0.1</v>
          </cell>
          <cell r="U356">
            <v>0.1</v>
          </cell>
          <cell r="V356">
            <v>4</v>
          </cell>
        </row>
        <row r="357">
          <cell r="E357">
            <v>36991</v>
          </cell>
          <cell r="F357">
            <v>1631</v>
          </cell>
          <cell r="G357">
            <v>3463</v>
          </cell>
          <cell r="H357">
            <v>1184</v>
          </cell>
          <cell r="I357">
            <v>1852</v>
          </cell>
          <cell r="J357">
            <v>4429</v>
          </cell>
          <cell r="K357">
            <v>0.05</v>
          </cell>
          <cell r="L357">
            <v>1.5</v>
          </cell>
          <cell r="M357">
            <v>2.0499999999999998</v>
          </cell>
          <cell r="N357">
            <v>0.79</v>
          </cell>
          <cell r="O357">
            <v>1</v>
          </cell>
          <cell r="P357">
            <v>0.27</v>
          </cell>
          <cell r="Q357">
            <v>-0.03</v>
          </cell>
          <cell r="R357">
            <v>7.0000000000000007E-2</v>
          </cell>
          <cell r="S357">
            <v>7.0000000000000007E-2</v>
          </cell>
          <cell r="T357">
            <v>7.0000000000000007E-2</v>
          </cell>
          <cell r="U357">
            <v>7.0000000000000007E-2</v>
          </cell>
          <cell r="V357">
            <v>4</v>
          </cell>
        </row>
        <row r="358">
          <cell r="E358">
            <v>25164</v>
          </cell>
          <cell r="F358">
            <v>4403</v>
          </cell>
          <cell r="G358">
            <v>1420</v>
          </cell>
          <cell r="H358">
            <v>4508</v>
          </cell>
          <cell r="I358">
            <v>1933</v>
          </cell>
          <cell r="J358">
            <v>2053</v>
          </cell>
          <cell r="K358">
            <v>4.4999999999999998E-2</v>
          </cell>
          <cell r="L358">
            <v>1.4</v>
          </cell>
          <cell r="M358">
            <v>2.0499999999999998</v>
          </cell>
          <cell r="N358">
            <v>0.92</v>
          </cell>
          <cell r="O358">
            <v>2.6749999999999998</v>
          </cell>
          <cell r="P358">
            <v>0.19</v>
          </cell>
          <cell r="Q358">
            <v>0.19</v>
          </cell>
          <cell r="R358">
            <v>0.39</v>
          </cell>
          <cell r="S358">
            <v>0.09</v>
          </cell>
          <cell r="T358">
            <v>0.19</v>
          </cell>
          <cell r="U358">
            <v>0.19</v>
          </cell>
          <cell r="V358">
            <v>4</v>
          </cell>
        </row>
        <row r="359">
          <cell r="E359">
            <v>20207</v>
          </cell>
          <cell r="F359">
            <v>4762</v>
          </cell>
          <cell r="G359">
            <v>1558</v>
          </cell>
          <cell r="H359">
            <v>6181</v>
          </cell>
          <cell r="I359">
            <v>1705</v>
          </cell>
          <cell r="J359">
            <v>1882</v>
          </cell>
          <cell r="K359">
            <v>0.26</v>
          </cell>
          <cell r="L359">
            <v>1.95</v>
          </cell>
          <cell r="M359">
            <v>2.75</v>
          </cell>
          <cell r="N359">
            <v>0.95</v>
          </cell>
          <cell r="O359">
            <v>2.8</v>
          </cell>
          <cell r="P359">
            <v>0.15000000000000002</v>
          </cell>
          <cell r="Q359">
            <v>-0.15000000000000002</v>
          </cell>
          <cell r="R359">
            <v>-0.05</v>
          </cell>
          <cell r="S359">
            <v>-0.05</v>
          </cell>
          <cell r="T359">
            <v>-0.05</v>
          </cell>
          <cell r="U359">
            <v>-0.05</v>
          </cell>
          <cell r="V359">
            <v>4.4000000000000004</v>
          </cell>
        </row>
        <row r="360">
          <cell r="E360">
            <v>21867</v>
          </cell>
          <cell r="F360">
            <v>3632</v>
          </cell>
          <cell r="G360">
            <v>956</v>
          </cell>
          <cell r="H360">
            <v>4010</v>
          </cell>
          <cell r="I360">
            <v>1882</v>
          </cell>
          <cell r="J360">
            <v>1794</v>
          </cell>
          <cell r="K360">
            <v>6.5000000000000002E-2</v>
          </cell>
          <cell r="L360">
            <v>1.45</v>
          </cell>
          <cell r="M360">
            <v>4</v>
          </cell>
          <cell r="N360">
            <v>1.72</v>
          </cell>
          <cell r="O360">
            <v>1.9</v>
          </cell>
          <cell r="P360">
            <v>-0.17</v>
          </cell>
          <cell r="Q360">
            <v>0.13</v>
          </cell>
          <cell r="R360">
            <v>-7.0000000000000007E-2</v>
          </cell>
          <cell r="S360">
            <v>-7.0000000000000007E-2</v>
          </cell>
          <cell r="T360">
            <v>-7.0000000000000007E-2</v>
          </cell>
          <cell r="U360">
            <v>-7.0000000000000007E-2</v>
          </cell>
          <cell r="V360">
            <v>5.4</v>
          </cell>
        </row>
        <row r="361">
          <cell r="E361">
            <v>33216</v>
          </cell>
          <cell r="F361">
            <v>4036</v>
          </cell>
          <cell r="G361">
            <v>1771</v>
          </cell>
          <cell r="H361">
            <v>3936</v>
          </cell>
          <cell r="I361">
            <v>2879</v>
          </cell>
          <cell r="J361">
            <v>1882</v>
          </cell>
          <cell r="K361">
            <v>0.08</v>
          </cell>
          <cell r="L361">
            <v>1.6</v>
          </cell>
          <cell r="M361">
            <v>2.8</v>
          </cell>
          <cell r="N361">
            <v>1</v>
          </cell>
          <cell r="O361">
            <v>2.5</v>
          </cell>
          <cell r="P361">
            <v>1.4999999999999999E-2</v>
          </cell>
          <cell r="Q361">
            <v>1.4999999999999999E-2</v>
          </cell>
          <cell r="R361">
            <v>1.4999999999999999E-2</v>
          </cell>
          <cell r="S361">
            <v>1.4999999999999999E-2</v>
          </cell>
          <cell r="T361">
            <v>0.21500000000000002</v>
          </cell>
          <cell r="U361">
            <v>-8.5000000000000006E-2</v>
          </cell>
          <cell r="V361">
            <v>4</v>
          </cell>
        </row>
        <row r="362">
          <cell r="E362">
            <v>50378</v>
          </cell>
          <cell r="F362">
            <v>1291</v>
          </cell>
          <cell r="G362">
            <v>3710</v>
          </cell>
          <cell r="H362">
            <v>1402</v>
          </cell>
          <cell r="I362">
            <v>4761</v>
          </cell>
          <cell r="J362">
            <v>2347</v>
          </cell>
          <cell r="K362">
            <v>0.03</v>
          </cell>
          <cell r="L362">
            <v>1.35</v>
          </cell>
          <cell r="M362">
            <v>1.5</v>
          </cell>
          <cell r="N362">
            <v>0.65</v>
          </cell>
          <cell r="O362">
            <v>1</v>
          </cell>
          <cell r="P362">
            <v>0</v>
          </cell>
          <cell r="Q362">
            <v>0.30000000000000004</v>
          </cell>
          <cell r="R362">
            <v>0.1</v>
          </cell>
          <cell r="S362">
            <v>0.1</v>
          </cell>
          <cell r="T362">
            <v>0.1</v>
          </cell>
          <cell r="U362">
            <v>0.1</v>
          </cell>
          <cell r="V362">
            <v>3.4</v>
          </cell>
        </row>
        <row r="363">
          <cell r="E363">
            <v>21867</v>
          </cell>
          <cell r="F363">
            <v>1525</v>
          </cell>
          <cell r="G363">
            <v>4742</v>
          </cell>
          <cell r="H363">
            <v>1494</v>
          </cell>
          <cell r="I363">
            <v>1749</v>
          </cell>
          <cell r="J363">
            <v>1617</v>
          </cell>
          <cell r="K363">
            <v>0.1</v>
          </cell>
          <cell r="L363">
            <v>1.85</v>
          </cell>
          <cell r="M363">
            <v>4</v>
          </cell>
          <cell r="N363">
            <v>1.41</v>
          </cell>
          <cell r="O363">
            <v>1</v>
          </cell>
          <cell r="P363">
            <v>0.14500000000000002</v>
          </cell>
          <cell r="Q363">
            <v>-0.155</v>
          </cell>
          <cell r="R363">
            <v>-5.5E-2</v>
          </cell>
          <cell r="S363">
            <v>-5.5E-2</v>
          </cell>
          <cell r="T363">
            <v>-5.5E-2</v>
          </cell>
          <cell r="U363">
            <v>-5.5E-2</v>
          </cell>
          <cell r="V363">
            <v>6.4</v>
          </cell>
        </row>
        <row r="364">
          <cell r="E364">
            <v>22698</v>
          </cell>
          <cell r="F364">
            <v>3632</v>
          </cell>
          <cell r="G364">
            <v>2787</v>
          </cell>
          <cell r="H364">
            <v>6193</v>
          </cell>
          <cell r="I364">
            <v>1882</v>
          </cell>
          <cell r="J364">
            <v>2214</v>
          </cell>
          <cell r="K364">
            <v>0.05</v>
          </cell>
          <cell r="L364">
            <v>1.5</v>
          </cell>
          <cell r="M364">
            <v>2</v>
          </cell>
          <cell r="N364">
            <v>1</v>
          </cell>
          <cell r="O364">
            <v>2.5</v>
          </cell>
          <cell r="P364">
            <v>-0.02</v>
          </cell>
          <cell r="Q364">
            <v>-0.02</v>
          </cell>
          <cell r="R364">
            <v>0.18000000000000002</v>
          </cell>
          <cell r="S364">
            <v>-0.12000000000000001</v>
          </cell>
          <cell r="T364">
            <v>-0.02</v>
          </cell>
          <cell r="U364">
            <v>-0.02</v>
          </cell>
          <cell r="V364">
            <v>4</v>
          </cell>
        </row>
        <row r="365">
          <cell r="E365">
            <v>36538</v>
          </cell>
          <cell r="F365">
            <v>2210</v>
          </cell>
          <cell r="G365">
            <v>4181</v>
          </cell>
          <cell r="H365">
            <v>1562</v>
          </cell>
          <cell r="I365">
            <v>1851</v>
          </cell>
          <cell r="J365">
            <v>5115</v>
          </cell>
          <cell r="K365">
            <v>0.05</v>
          </cell>
          <cell r="L365">
            <v>1.47</v>
          </cell>
          <cell r="M365">
            <v>2.4500000000000002</v>
          </cell>
          <cell r="N365">
            <v>1</v>
          </cell>
          <cell r="O365">
            <v>1</v>
          </cell>
          <cell r="P365">
            <v>0.26500000000000001</v>
          </cell>
          <cell r="Q365">
            <v>-3.5000000000000003E-2</v>
          </cell>
          <cell r="R365">
            <v>6.5000000000000002E-2</v>
          </cell>
          <cell r="S365">
            <v>6.5000000000000002E-2</v>
          </cell>
          <cell r="T365">
            <v>6.5000000000000002E-2</v>
          </cell>
          <cell r="U365">
            <v>6.5000000000000002E-2</v>
          </cell>
          <cell r="V365">
            <v>4.2</v>
          </cell>
        </row>
        <row r="366">
          <cell r="E366">
            <v>27403</v>
          </cell>
          <cell r="F366">
            <v>1578</v>
          </cell>
          <cell r="G366">
            <v>5242</v>
          </cell>
          <cell r="H366">
            <v>2359</v>
          </cell>
          <cell r="I366">
            <v>2192</v>
          </cell>
          <cell r="J366">
            <v>2192</v>
          </cell>
          <cell r="K366">
            <v>0.11</v>
          </cell>
          <cell r="L366">
            <v>1.75</v>
          </cell>
          <cell r="M366">
            <v>3</v>
          </cell>
          <cell r="N366">
            <v>1.18</v>
          </cell>
          <cell r="O366">
            <v>1</v>
          </cell>
          <cell r="P366">
            <v>-0.13</v>
          </cell>
          <cell r="Q366">
            <v>0.17</v>
          </cell>
          <cell r="R366">
            <v>-0.03</v>
          </cell>
          <cell r="S366">
            <v>-0.03</v>
          </cell>
          <cell r="T366">
            <v>-0.03</v>
          </cell>
          <cell r="U366">
            <v>-0.03</v>
          </cell>
          <cell r="V366">
            <v>4.2</v>
          </cell>
        </row>
        <row r="367">
          <cell r="E367">
            <v>21314</v>
          </cell>
          <cell r="F367">
            <v>1677</v>
          </cell>
          <cell r="G367">
            <v>6511</v>
          </cell>
          <cell r="H367">
            <v>2197</v>
          </cell>
          <cell r="I367">
            <v>1851</v>
          </cell>
          <cell r="J367">
            <v>1900</v>
          </cell>
          <cell r="K367">
            <v>0.11</v>
          </cell>
          <cell r="L367">
            <v>1.58</v>
          </cell>
          <cell r="M367">
            <v>4.45</v>
          </cell>
          <cell r="N367">
            <v>1.3</v>
          </cell>
          <cell r="O367">
            <v>1</v>
          </cell>
          <cell r="P367">
            <v>-0.06</v>
          </cell>
          <cell r="Q367">
            <v>-0.06</v>
          </cell>
          <cell r="R367">
            <v>-0.06</v>
          </cell>
          <cell r="S367">
            <v>-0.06</v>
          </cell>
          <cell r="T367">
            <v>0.14000000000000001</v>
          </cell>
          <cell r="U367">
            <v>-0.16</v>
          </cell>
          <cell r="V367">
            <v>5.6</v>
          </cell>
        </row>
        <row r="368">
          <cell r="E368">
            <v>32275</v>
          </cell>
          <cell r="F368">
            <v>7769</v>
          </cell>
          <cell r="G368">
            <v>1565</v>
          </cell>
          <cell r="H368">
            <v>5352</v>
          </cell>
          <cell r="I368">
            <v>1876</v>
          </cell>
          <cell r="J368">
            <v>4993</v>
          </cell>
          <cell r="K368">
            <v>4.4999999999999998E-2</v>
          </cell>
          <cell r="L368">
            <v>1.45</v>
          </cell>
          <cell r="M368">
            <v>1.9</v>
          </cell>
          <cell r="N368">
            <v>0.84</v>
          </cell>
          <cell r="O368">
            <v>2.65</v>
          </cell>
          <cell r="P368">
            <v>-1.0000000000000009E-2</v>
          </cell>
          <cell r="Q368">
            <v>0.29000000000000004</v>
          </cell>
          <cell r="R368">
            <v>0.09</v>
          </cell>
          <cell r="S368">
            <v>0.09</v>
          </cell>
          <cell r="T368">
            <v>0.09</v>
          </cell>
          <cell r="U368">
            <v>0.09</v>
          </cell>
          <cell r="V368">
            <v>4.4000000000000004</v>
          </cell>
        </row>
        <row r="369">
          <cell r="E369">
            <v>23141</v>
          </cell>
          <cell r="F369">
            <v>1223</v>
          </cell>
          <cell r="G369">
            <v>8634</v>
          </cell>
          <cell r="H369">
            <v>2409</v>
          </cell>
          <cell r="I369">
            <v>1851</v>
          </cell>
          <cell r="J369">
            <v>1705</v>
          </cell>
          <cell r="K369">
            <v>9.5000000000000001E-2</v>
          </cell>
          <cell r="L369">
            <v>2.4</v>
          </cell>
          <cell r="M369">
            <v>3.35</v>
          </cell>
          <cell r="N369">
            <v>0.86</v>
          </cell>
          <cell r="O369">
            <v>1</v>
          </cell>
          <cell r="P369">
            <v>0.13</v>
          </cell>
          <cell r="Q369">
            <v>-0.17</v>
          </cell>
          <cell r="R369">
            <v>-7.0000000000000007E-2</v>
          </cell>
          <cell r="S369">
            <v>-7.0000000000000007E-2</v>
          </cell>
          <cell r="T369">
            <v>-7.0000000000000007E-2</v>
          </cell>
          <cell r="U369">
            <v>-7.0000000000000007E-2</v>
          </cell>
          <cell r="V369">
            <v>4.5999999999999996</v>
          </cell>
        </row>
        <row r="370">
          <cell r="E370">
            <v>30448</v>
          </cell>
          <cell r="F370">
            <v>6437</v>
          </cell>
          <cell r="G370">
            <v>2444</v>
          </cell>
          <cell r="H370">
            <v>5431</v>
          </cell>
          <cell r="I370">
            <v>2436</v>
          </cell>
          <cell r="J370">
            <v>2923</v>
          </cell>
          <cell r="K370">
            <v>0.06</v>
          </cell>
          <cell r="L370">
            <v>1.4</v>
          </cell>
          <cell r="M370">
            <v>2.1</v>
          </cell>
          <cell r="N370">
            <v>0.95</v>
          </cell>
          <cell r="O370">
            <v>2.875</v>
          </cell>
          <cell r="P370">
            <v>0.03</v>
          </cell>
          <cell r="Q370">
            <v>0.03</v>
          </cell>
          <cell r="R370">
            <v>0.23</v>
          </cell>
          <cell r="S370">
            <v>-7.0000000000000007E-2</v>
          </cell>
          <cell r="T370">
            <v>0.03</v>
          </cell>
          <cell r="U370">
            <v>0.03</v>
          </cell>
          <cell r="V370">
            <v>4.8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い方と設定"/>
      <sheetName val="称号計算"/>
      <sheetName val="個性タイプマスタ"/>
      <sheetName val="属性耐性マスタ"/>
    </sheetNames>
    <sheetDataSet>
      <sheetData sheetId="0"/>
      <sheetData sheetId="1">
        <row r="7">
          <cell r="I7">
            <v>0.1416</v>
          </cell>
          <cell r="J7">
            <v>0.15540000000000001</v>
          </cell>
          <cell r="K7">
            <v>3.9199999999999999E-2</v>
          </cell>
          <cell r="L7">
            <v>0.39250000000000002</v>
          </cell>
          <cell r="M7">
            <v>0.1134</v>
          </cell>
          <cell r="N7">
            <v>0.13339999999999999</v>
          </cell>
          <cell r="O7">
            <v>8.6300000000000002E-2</v>
          </cell>
          <cell r="P7">
            <v>0.10199999999999999</v>
          </cell>
          <cell r="Q7">
            <v>6.9099999999999995E-2</v>
          </cell>
          <cell r="R7">
            <v>0.157</v>
          </cell>
          <cell r="S7">
            <v>0.1099</v>
          </cell>
          <cell r="T7">
            <v>1.0999999999999999E-2</v>
          </cell>
          <cell r="U7">
            <v>5.5199999999999999E-2</v>
          </cell>
          <cell r="V7">
            <v>3.7000000000000002E-3</v>
          </cell>
          <cell r="W7">
            <v>3.7000000000000002E-3</v>
          </cell>
          <cell r="X7">
            <v>2.8E-3</v>
          </cell>
          <cell r="Y7">
            <v>2.8E-3</v>
          </cell>
          <cell r="Z7">
            <v>0.4667</v>
          </cell>
        </row>
        <row r="8">
          <cell r="I8">
            <v>0.17899999999999999</v>
          </cell>
          <cell r="J8">
            <v>0.2157</v>
          </cell>
          <cell r="K8">
            <v>2.4E-2</v>
          </cell>
          <cell r="L8">
            <v>0.36320000000000002</v>
          </cell>
          <cell r="M8">
            <v>0.24079999999999999</v>
          </cell>
          <cell r="N8">
            <v>8.8900000000000007E-2</v>
          </cell>
          <cell r="O8">
            <v>8.7900000000000006E-2</v>
          </cell>
          <cell r="P8">
            <v>9.4399999999999998E-2</v>
          </cell>
          <cell r="Q8">
            <v>5.91E-2</v>
          </cell>
          <cell r="R8">
            <v>0.12640000000000001</v>
          </cell>
          <cell r="S8">
            <v>9.5600000000000004E-2</v>
          </cell>
          <cell r="T8">
            <v>7.9399999999999998E-2</v>
          </cell>
          <cell r="U8">
            <v>1.5900000000000001E-2</v>
          </cell>
          <cell r="V8">
            <v>5.3E-3</v>
          </cell>
          <cell r="W8">
            <v>5.3E-3</v>
          </cell>
          <cell r="X8">
            <v>4.0000000000000001E-3</v>
          </cell>
          <cell r="Y8">
            <v>4.0000000000000001E-3</v>
          </cell>
          <cell r="Z8">
            <v>0.47689999999999999</v>
          </cell>
        </row>
        <row r="9">
          <cell r="I9">
            <v>0.1678</v>
          </cell>
          <cell r="J9">
            <v>0.18240000000000001</v>
          </cell>
          <cell r="K9">
            <v>4.1399999999999999E-2</v>
          </cell>
          <cell r="L9">
            <v>0.41449999999999998</v>
          </cell>
          <cell r="M9">
            <v>0.13389999999999999</v>
          </cell>
          <cell r="N9">
            <v>0.14799999999999999</v>
          </cell>
          <cell r="O9">
            <v>9.1200000000000003E-2</v>
          </cell>
          <cell r="P9">
            <v>0.10780000000000001</v>
          </cell>
          <cell r="Q9">
            <v>7.2999999999999995E-2</v>
          </cell>
          <cell r="R9">
            <v>0.1741</v>
          </cell>
          <cell r="S9">
            <v>0.11609999999999999</v>
          </cell>
          <cell r="T9">
            <v>4.4000000000000003E-3</v>
          </cell>
          <cell r="U9">
            <v>4.4000000000000003E-3</v>
          </cell>
          <cell r="V9">
            <v>6.6000000000000003E-2</v>
          </cell>
          <cell r="W9">
            <v>1.6500000000000001E-2</v>
          </cell>
          <cell r="X9">
            <v>3.3E-3</v>
          </cell>
          <cell r="Y9">
            <v>3.3E-3</v>
          </cell>
          <cell r="Z9">
            <v>0.51329999999999998</v>
          </cell>
        </row>
        <row r="10">
          <cell r="I10">
            <v>0.25530000000000003</v>
          </cell>
          <cell r="J10">
            <v>7.0400000000000004E-2</v>
          </cell>
          <cell r="K10">
            <v>0.45689999999999997</v>
          </cell>
          <cell r="L10">
            <v>2.9700000000000001E-2</v>
          </cell>
          <cell r="M10">
            <v>0.16309999999999999</v>
          </cell>
          <cell r="N10">
            <v>0.13669999999999999</v>
          </cell>
          <cell r="O10">
            <v>0.1206</v>
          </cell>
          <cell r="P10">
            <v>0.17030000000000001</v>
          </cell>
          <cell r="Q10">
            <v>6.6299999999999998E-2</v>
          </cell>
          <cell r="R10">
            <v>9.69E-2</v>
          </cell>
          <cell r="S10">
            <v>0.15870000000000001</v>
          </cell>
          <cell r="T10">
            <v>6.2100000000000002E-2</v>
          </cell>
          <cell r="U10">
            <v>1.24E-2</v>
          </cell>
          <cell r="V10">
            <v>4.1000000000000003E-3</v>
          </cell>
          <cell r="W10">
            <v>4.1000000000000003E-3</v>
          </cell>
          <cell r="X10">
            <v>3.0999999999999999E-3</v>
          </cell>
          <cell r="Y10">
            <v>3.0999999999999999E-3</v>
          </cell>
          <cell r="Z10">
            <v>0.50309999999999999</v>
          </cell>
        </row>
        <row r="11">
          <cell r="I11">
            <v>0.1835</v>
          </cell>
          <cell r="J11">
            <v>8.9700000000000002E-2</v>
          </cell>
          <cell r="K11">
            <v>0.45329999999999998</v>
          </cell>
          <cell r="L11">
            <v>3.6299999999999999E-2</v>
          </cell>
          <cell r="M11">
            <v>0.14180000000000001</v>
          </cell>
          <cell r="N11">
            <v>0.13100000000000001</v>
          </cell>
          <cell r="O11">
            <v>0.1396</v>
          </cell>
          <cell r="P11">
            <v>0.12570000000000001</v>
          </cell>
          <cell r="Q11">
            <v>9.7699999999999995E-2</v>
          </cell>
          <cell r="R11">
            <v>0.1704</v>
          </cell>
          <cell r="S11">
            <v>0.23100000000000001</v>
          </cell>
          <cell r="T11">
            <v>1.24E-2</v>
          </cell>
          <cell r="U11">
            <v>6.1899999999999997E-2</v>
          </cell>
          <cell r="V11">
            <v>4.1000000000000003E-3</v>
          </cell>
          <cell r="W11">
            <v>4.1000000000000003E-3</v>
          </cell>
          <cell r="X11">
            <v>3.0999999999999999E-3</v>
          </cell>
          <cell r="Y11">
            <v>3.0999999999999999E-3</v>
          </cell>
          <cell r="Z11">
            <v>0.60499999999999998</v>
          </cell>
        </row>
        <row r="12">
          <cell r="I12">
            <v>0.30740000000000001</v>
          </cell>
          <cell r="J12">
            <v>0.24129999999999999</v>
          </cell>
          <cell r="K12">
            <v>2.64E-2</v>
          </cell>
          <cell r="L12">
            <v>0.40620000000000001</v>
          </cell>
          <cell r="M12">
            <v>0.22650000000000001</v>
          </cell>
          <cell r="N12">
            <v>0.21410000000000001</v>
          </cell>
          <cell r="O12">
            <v>6.2600000000000003E-2</v>
          </cell>
          <cell r="P12">
            <v>9.8599999999999993E-2</v>
          </cell>
          <cell r="Q12">
            <v>5.3600000000000002E-2</v>
          </cell>
          <cell r="R12">
            <v>9.7500000000000003E-2</v>
          </cell>
          <cell r="S12">
            <v>0.14099999999999999</v>
          </cell>
          <cell r="T12">
            <v>5.5999999999999999E-3</v>
          </cell>
          <cell r="U12">
            <v>5.5999999999999999E-3</v>
          </cell>
          <cell r="V12">
            <v>5.5999999999999999E-3</v>
          </cell>
          <cell r="W12">
            <v>5.5999999999999999E-3</v>
          </cell>
          <cell r="X12">
            <v>0.111</v>
          </cell>
          <cell r="Y12">
            <v>1.4800000000000001E-2</v>
          </cell>
          <cell r="Z12">
            <v>0.53129999999999999</v>
          </cell>
        </row>
        <row r="13">
          <cell r="I13">
            <v>0.1613</v>
          </cell>
          <cell r="J13">
            <v>0.26640000000000003</v>
          </cell>
          <cell r="K13">
            <v>2.2499999999999999E-2</v>
          </cell>
          <cell r="L13">
            <v>0.34589999999999999</v>
          </cell>
          <cell r="M13">
            <v>9.06E-2</v>
          </cell>
          <cell r="N13">
            <v>0.24110000000000001</v>
          </cell>
          <cell r="O13">
            <v>6.8500000000000005E-2</v>
          </cell>
          <cell r="P13">
            <v>8.6900000000000005E-2</v>
          </cell>
          <cell r="Q13">
            <v>5.7799999999999997E-2</v>
          </cell>
          <cell r="R13">
            <v>0.1162</v>
          </cell>
          <cell r="S13">
            <v>0.1027</v>
          </cell>
          <cell r="T13">
            <v>5.7000000000000002E-3</v>
          </cell>
          <cell r="U13">
            <v>5.7000000000000002E-3</v>
          </cell>
          <cell r="V13">
            <v>8.4900000000000003E-2</v>
          </cell>
          <cell r="W13">
            <v>2.12E-2</v>
          </cell>
          <cell r="X13">
            <v>4.1999999999999997E-3</v>
          </cell>
          <cell r="Y13">
            <v>4.1999999999999997E-3</v>
          </cell>
          <cell r="Z13">
            <v>0.47670000000000001</v>
          </cell>
        </row>
        <row r="14">
          <cell r="I14">
            <v>8.7099999999999997E-2</v>
          </cell>
          <cell r="J14">
            <v>0.2374</v>
          </cell>
          <cell r="K14">
            <v>2.8799999999999999E-2</v>
          </cell>
          <cell r="L14">
            <v>0.35970000000000002</v>
          </cell>
          <cell r="M14">
            <v>0.17730000000000001</v>
          </cell>
          <cell r="N14">
            <v>0.2752</v>
          </cell>
          <cell r="O14">
            <v>6.3299999999999995E-2</v>
          </cell>
          <cell r="P14">
            <v>8.5999999999999993E-2</v>
          </cell>
          <cell r="Q14">
            <v>6.9599999999999995E-2</v>
          </cell>
          <cell r="R14">
            <v>0.12659999999999999</v>
          </cell>
          <cell r="S14">
            <v>0.12690000000000001</v>
          </cell>
          <cell r="T14">
            <v>9.8299999999999998E-2</v>
          </cell>
          <cell r="U14">
            <v>1.9699999999999999E-2</v>
          </cell>
          <cell r="V14">
            <v>6.6E-3</v>
          </cell>
          <cell r="W14">
            <v>6.6E-3</v>
          </cell>
          <cell r="X14">
            <v>4.8999999999999998E-3</v>
          </cell>
          <cell r="Y14">
            <v>4.8999999999999998E-3</v>
          </cell>
          <cell r="Z14">
            <v>0.52780000000000005</v>
          </cell>
        </row>
        <row r="15">
          <cell r="I15">
            <v>0.17480000000000001</v>
          </cell>
          <cell r="J15">
            <v>0.2535</v>
          </cell>
          <cell r="K15">
            <v>3.9699999999999999E-2</v>
          </cell>
          <cell r="L15">
            <v>0.39729999999999999</v>
          </cell>
          <cell r="M15">
            <v>0.1351</v>
          </cell>
          <cell r="N15">
            <v>0.16209999999999999</v>
          </cell>
          <cell r="O15">
            <v>0.10489999999999999</v>
          </cell>
          <cell r="P15">
            <v>9.64E-2</v>
          </cell>
          <cell r="Q15">
            <v>7.3400000000000007E-2</v>
          </cell>
          <cell r="R15">
            <v>0.151</v>
          </cell>
          <cell r="S15">
            <v>0.12790000000000001</v>
          </cell>
          <cell r="T15">
            <v>5.1000000000000004E-3</v>
          </cell>
          <cell r="U15">
            <v>5.1000000000000004E-3</v>
          </cell>
          <cell r="V15">
            <v>1.9199999999999998E-2</v>
          </cell>
          <cell r="W15">
            <v>7.6899999999999996E-2</v>
          </cell>
          <cell r="X15">
            <v>3.8E-3</v>
          </cell>
          <cell r="Y15">
            <v>3.8E-3</v>
          </cell>
          <cell r="Z15">
            <v>0.54339999999999999</v>
          </cell>
        </row>
        <row r="16">
          <cell r="I16">
            <v>0.24340000000000001</v>
          </cell>
          <cell r="J16">
            <v>0.10829999999999999</v>
          </cell>
          <cell r="K16">
            <v>0.46879999999999999</v>
          </cell>
          <cell r="L16">
            <v>3.2800000000000003E-2</v>
          </cell>
          <cell r="M16">
            <v>0.1817</v>
          </cell>
          <cell r="N16">
            <v>0.1817</v>
          </cell>
          <cell r="O16">
            <v>8.2500000000000004E-2</v>
          </cell>
          <cell r="P16">
            <v>0.1162</v>
          </cell>
          <cell r="Q16">
            <v>8.8700000000000001E-2</v>
          </cell>
          <cell r="R16">
            <v>0.16500000000000001</v>
          </cell>
          <cell r="S16">
            <v>0.12470000000000001</v>
          </cell>
          <cell r="T16">
            <v>7.1999999999999998E-3</v>
          </cell>
          <cell r="U16">
            <v>7.1999999999999998E-3</v>
          </cell>
          <cell r="V16">
            <v>2.69E-2</v>
          </cell>
          <cell r="W16">
            <v>0.1076</v>
          </cell>
          <cell r="X16">
            <v>5.4000000000000003E-3</v>
          </cell>
          <cell r="Y16">
            <v>5.4000000000000003E-3</v>
          </cell>
          <cell r="Z16">
            <v>0.57310000000000005</v>
          </cell>
        </row>
        <row r="17">
          <cell r="I17">
            <v>0.15429999999999999</v>
          </cell>
          <cell r="J17">
            <v>6.3899999999999998E-2</v>
          </cell>
          <cell r="K17">
            <v>0.40310000000000001</v>
          </cell>
          <cell r="L17">
            <v>2.6200000000000001E-2</v>
          </cell>
          <cell r="M17">
            <v>0.1179</v>
          </cell>
          <cell r="N17">
            <v>0.1055</v>
          </cell>
          <cell r="O17">
            <v>0.47889999999999999</v>
          </cell>
          <cell r="P17">
            <v>0.14180000000000001</v>
          </cell>
          <cell r="Q17">
            <v>9.7600000000000006E-2</v>
          </cell>
          <cell r="R17">
            <v>0.16769999999999999</v>
          </cell>
          <cell r="S17">
            <v>0.11509999999999999</v>
          </cell>
          <cell r="T17">
            <v>3.8E-3</v>
          </cell>
          <cell r="U17">
            <v>3.8E-3</v>
          </cell>
          <cell r="V17">
            <v>1.4200000000000001E-2</v>
          </cell>
          <cell r="W17">
            <v>5.6899999999999999E-2</v>
          </cell>
          <cell r="X17">
            <v>2.8E-3</v>
          </cell>
          <cell r="Y17">
            <v>2.8E-3</v>
          </cell>
          <cell r="Z17">
            <v>0.66039999999999999</v>
          </cell>
        </row>
        <row r="18">
          <cell r="I18">
            <v>0.20219999999999999</v>
          </cell>
          <cell r="J18">
            <v>0.2225</v>
          </cell>
          <cell r="K18">
            <v>4.5999999999999999E-2</v>
          </cell>
          <cell r="L18">
            <v>0.45960000000000001</v>
          </cell>
          <cell r="M18">
            <v>0.14849999999999999</v>
          </cell>
          <cell r="N18">
            <v>0.1719</v>
          </cell>
          <cell r="O18">
            <v>0.1416</v>
          </cell>
          <cell r="P18">
            <v>0.1235</v>
          </cell>
          <cell r="Q18">
            <v>9.2999999999999999E-2</v>
          </cell>
          <cell r="R18">
            <v>0.20219999999999999</v>
          </cell>
          <cell r="S18">
            <v>0.13900000000000001</v>
          </cell>
          <cell r="T18">
            <v>3.3999999999999998E-3</v>
          </cell>
          <cell r="U18">
            <v>3.3999999999999998E-3</v>
          </cell>
          <cell r="V18">
            <v>3.3999999999999998E-3</v>
          </cell>
          <cell r="W18">
            <v>3.3999999999999998E-3</v>
          </cell>
          <cell r="X18">
            <v>9.1999999999999998E-3</v>
          </cell>
          <cell r="Y18">
            <v>6.8599999999999994E-2</v>
          </cell>
          <cell r="Z18">
            <v>0.63919999999999999</v>
          </cell>
        </row>
        <row r="19">
          <cell r="I19">
            <v>0.19320000000000001</v>
          </cell>
          <cell r="J19">
            <v>0.30359999999999998</v>
          </cell>
          <cell r="K19">
            <v>2.63E-2</v>
          </cell>
          <cell r="L19">
            <v>0.31369999999999998</v>
          </cell>
          <cell r="M19">
            <v>0.1013</v>
          </cell>
          <cell r="N19">
            <v>0.1792</v>
          </cell>
          <cell r="O19">
            <v>0.15870000000000001</v>
          </cell>
          <cell r="P19">
            <v>0.106</v>
          </cell>
          <cell r="Q19">
            <v>3.3099999999999997E-2</v>
          </cell>
          <cell r="R19">
            <v>9.0300000000000005E-2</v>
          </cell>
          <cell r="S19">
            <v>0.1168</v>
          </cell>
          <cell r="T19">
            <v>4.3E-3</v>
          </cell>
          <cell r="U19">
            <v>4.3E-3</v>
          </cell>
          <cell r="V19">
            <v>4.3E-3</v>
          </cell>
          <cell r="W19">
            <v>4.3E-3</v>
          </cell>
          <cell r="X19">
            <v>1.14E-2</v>
          </cell>
          <cell r="Y19">
            <v>8.5699999999999998E-2</v>
          </cell>
          <cell r="Z19">
            <v>0.43259999999999998</v>
          </cell>
        </row>
        <row r="20">
          <cell r="I20">
            <v>0.1396</v>
          </cell>
          <cell r="J20">
            <v>0.20580000000000001</v>
          </cell>
          <cell r="K20">
            <v>4.07E-2</v>
          </cell>
          <cell r="L20">
            <v>0.40679999999999999</v>
          </cell>
          <cell r="M20">
            <v>0.1037</v>
          </cell>
          <cell r="N20">
            <v>0.1106</v>
          </cell>
          <cell r="O20">
            <v>0.19689999999999999</v>
          </cell>
          <cell r="P20">
            <v>0.1163</v>
          </cell>
          <cell r="Q20">
            <v>7.8799999999999995E-2</v>
          </cell>
          <cell r="R20">
            <v>0.17899999999999999</v>
          </cell>
          <cell r="S20">
            <v>0.12529999999999999</v>
          </cell>
          <cell r="T20">
            <v>3.8E-3</v>
          </cell>
          <cell r="U20">
            <v>3.8E-3</v>
          </cell>
          <cell r="V20">
            <v>1.43E-2</v>
          </cell>
          <cell r="W20">
            <v>5.7200000000000001E-2</v>
          </cell>
          <cell r="X20">
            <v>2.8999999999999998E-3</v>
          </cell>
          <cell r="Y20">
            <v>2.8999999999999998E-3</v>
          </cell>
          <cell r="Z20">
            <v>0.54890000000000005</v>
          </cell>
        </row>
        <row r="21">
          <cell r="I21">
            <v>0.29260000000000003</v>
          </cell>
          <cell r="J21">
            <v>0.2296</v>
          </cell>
          <cell r="K21">
            <v>2.5100000000000001E-2</v>
          </cell>
          <cell r="L21">
            <v>0.3866</v>
          </cell>
          <cell r="M21">
            <v>0.21560000000000001</v>
          </cell>
          <cell r="N21">
            <v>0.20369999999999999</v>
          </cell>
          <cell r="O21">
            <v>5.9499999999999997E-2</v>
          </cell>
          <cell r="P21">
            <v>9.3799999999999994E-2</v>
          </cell>
          <cell r="Q21">
            <v>5.0999999999999997E-2</v>
          </cell>
          <cell r="R21">
            <v>9.2799999999999994E-2</v>
          </cell>
          <cell r="S21">
            <v>0.13420000000000001</v>
          </cell>
          <cell r="T21">
            <v>5.3E-3</v>
          </cell>
          <cell r="U21">
            <v>5.3E-3</v>
          </cell>
          <cell r="V21">
            <v>5.3E-3</v>
          </cell>
          <cell r="W21">
            <v>5.3E-3</v>
          </cell>
          <cell r="X21">
            <v>1.41E-2</v>
          </cell>
          <cell r="Y21">
            <v>0.1057</v>
          </cell>
          <cell r="Z21">
            <v>0.50560000000000005</v>
          </cell>
        </row>
        <row r="22">
          <cell r="I22">
            <v>0.4239</v>
          </cell>
          <cell r="J22">
            <v>6.2E-2</v>
          </cell>
          <cell r="K22">
            <v>0.47</v>
          </cell>
          <cell r="L22">
            <v>4.2299999999999997E-2</v>
          </cell>
          <cell r="M22">
            <v>0.2429</v>
          </cell>
          <cell r="N22">
            <v>0.2077</v>
          </cell>
          <cell r="O22">
            <v>5.1700000000000003E-2</v>
          </cell>
          <cell r="P22">
            <v>0.11</v>
          </cell>
          <cell r="Q22">
            <v>4.7600000000000003E-2</v>
          </cell>
          <cell r="R22">
            <v>9.5899999999999999E-2</v>
          </cell>
          <cell r="S22">
            <v>0.1119</v>
          </cell>
          <cell r="T22">
            <v>4.4999999999999997E-3</v>
          </cell>
          <cell r="U22">
            <v>4.4999999999999997E-3</v>
          </cell>
          <cell r="V22">
            <v>4.4999999999999997E-3</v>
          </cell>
          <cell r="W22">
            <v>4.4999999999999997E-3</v>
          </cell>
          <cell r="X22">
            <v>1.1900000000000001E-2</v>
          </cell>
          <cell r="Y22">
            <v>8.9599999999999999E-2</v>
          </cell>
          <cell r="Z22">
            <v>0.4924</v>
          </cell>
        </row>
        <row r="23">
          <cell r="I23">
            <v>0.27410000000000001</v>
          </cell>
          <cell r="J23">
            <v>9.1399999999999995E-2</v>
          </cell>
          <cell r="K23">
            <v>0.46150000000000002</v>
          </cell>
          <cell r="L23">
            <v>4.6100000000000002E-2</v>
          </cell>
          <cell r="M23">
            <v>0.21970000000000001</v>
          </cell>
          <cell r="N23">
            <v>0.15690000000000001</v>
          </cell>
          <cell r="O23">
            <v>0.16239999999999999</v>
          </cell>
          <cell r="P23">
            <v>0.128</v>
          </cell>
          <cell r="Q23">
            <v>0.1096</v>
          </cell>
          <cell r="R23">
            <v>0.1938</v>
          </cell>
          <cell r="S23">
            <v>0.10340000000000001</v>
          </cell>
          <cell r="T23">
            <v>4.8999999999999998E-3</v>
          </cell>
          <cell r="U23">
            <v>4.8999999999999998E-3</v>
          </cell>
          <cell r="V23">
            <v>4.8999999999999998E-3</v>
          </cell>
          <cell r="W23">
            <v>4.8999999999999998E-3</v>
          </cell>
          <cell r="X23">
            <v>1.3100000000000001E-2</v>
          </cell>
          <cell r="Y23">
            <v>9.8100000000000007E-2</v>
          </cell>
          <cell r="Z23">
            <v>0.68140000000000001</v>
          </cell>
        </row>
        <row r="24">
          <cell r="I24">
            <v>0.16619999999999999</v>
          </cell>
          <cell r="J24">
            <v>0.21329999999999999</v>
          </cell>
          <cell r="K24">
            <v>3.32E-2</v>
          </cell>
          <cell r="L24">
            <v>0.51029999999999998</v>
          </cell>
          <cell r="M24">
            <v>0.1249</v>
          </cell>
          <cell r="N24">
            <v>0.1457</v>
          </cell>
          <cell r="O24">
            <v>0.1123</v>
          </cell>
          <cell r="P24">
            <v>0.12379999999999999</v>
          </cell>
          <cell r="Q24">
            <v>0.15040000000000001</v>
          </cell>
          <cell r="R24">
            <v>0.31640000000000001</v>
          </cell>
          <cell r="S24">
            <v>0.13150000000000001</v>
          </cell>
          <cell r="T24">
            <v>2.8999999999999998E-3</v>
          </cell>
          <cell r="U24">
            <v>2.8999999999999998E-3</v>
          </cell>
          <cell r="V24">
            <v>2.8999999999999998E-3</v>
          </cell>
          <cell r="W24">
            <v>2.8999999999999998E-3</v>
          </cell>
          <cell r="X24">
            <v>7.7999999999999996E-3</v>
          </cell>
          <cell r="Y24">
            <v>5.8400000000000001E-2</v>
          </cell>
          <cell r="Z24">
            <v>0.78300000000000003</v>
          </cell>
        </row>
        <row r="25">
          <cell r="I25">
            <v>0.2046</v>
          </cell>
          <cell r="J25">
            <v>0.17050000000000001</v>
          </cell>
          <cell r="K25">
            <v>3.8699999999999998E-2</v>
          </cell>
          <cell r="L25">
            <v>0.38750000000000001</v>
          </cell>
          <cell r="M25">
            <v>0.17130000000000001</v>
          </cell>
          <cell r="N25">
            <v>0.112</v>
          </cell>
          <cell r="O25">
            <v>0.13639999999999999</v>
          </cell>
          <cell r="P25">
            <v>0.1075</v>
          </cell>
          <cell r="Q25">
            <v>9.5500000000000002E-2</v>
          </cell>
          <cell r="R25">
            <v>0.155</v>
          </cell>
          <cell r="S25">
            <v>0.1085</v>
          </cell>
          <cell r="T25">
            <v>4.7999999999999996E-3</v>
          </cell>
          <cell r="U25">
            <v>4.7999999999999996E-3</v>
          </cell>
          <cell r="V25">
            <v>7.1499999999999994E-2</v>
          </cell>
          <cell r="W25">
            <v>1.7899999999999999E-2</v>
          </cell>
          <cell r="X25">
            <v>3.5999999999999999E-3</v>
          </cell>
          <cell r="Y25">
            <v>3.5999999999999999E-3</v>
          </cell>
          <cell r="Z25">
            <v>0.59989999999999999</v>
          </cell>
        </row>
        <row r="26">
          <cell r="I26">
            <v>0.1166</v>
          </cell>
          <cell r="J26">
            <v>0.15679999999999999</v>
          </cell>
          <cell r="K26">
            <v>2.2800000000000001E-2</v>
          </cell>
          <cell r="L26">
            <v>0.45689999999999997</v>
          </cell>
          <cell r="M26">
            <v>9.9400000000000002E-2</v>
          </cell>
          <cell r="N26">
            <v>0.10100000000000001</v>
          </cell>
          <cell r="O26">
            <v>0.1608</v>
          </cell>
          <cell r="P26">
            <v>0.12280000000000001</v>
          </cell>
          <cell r="Q26">
            <v>0.16889999999999999</v>
          </cell>
          <cell r="R26">
            <v>0.23760000000000001</v>
          </cell>
          <cell r="S26">
            <v>0.12790000000000001</v>
          </cell>
          <cell r="T26">
            <v>3.0000000000000001E-3</v>
          </cell>
          <cell r="U26">
            <v>3.0000000000000001E-3</v>
          </cell>
          <cell r="V26">
            <v>4.5400000000000003E-2</v>
          </cell>
          <cell r="W26">
            <v>1.1299999999999999E-2</v>
          </cell>
          <cell r="X26">
            <v>2.3E-3</v>
          </cell>
          <cell r="Y26">
            <v>2.3E-3</v>
          </cell>
          <cell r="Z26">
            <v>0.76770000000000005</v>
          </cell>
        </row>
        <row r="27">
          <cell r="I27">
            <v>0.2109</v>
          </cell>
          <cell r="J27">
            <v>0.25419999999999998</v>
          </cell>
          <cell r="K27">
            <v>2.8199999999999999E-2</v>
          </cell>
          <cell r="L27">
            <v>0.42799999999999999</v>
          </cell>
          <cell r="M27">
            <v>0.2838</v>
          </cell>
          <cell r="N27">
            <v>0.1048</v>
          </cell>
          <cell r="O27">
            <v>0.1036</v>
          </cell>
          <cell r="P27">
            <v>0.1113</v>
          </cell>
          <cell r="Q27">
            <v>6.9699999999999998E-2</v>
          </cell>
          <cell r="R27">
            <v>0.1489</v>
          </cell>
          <cell r="S27">
            <v>0.11260000000000001</v>
          </cell>
          <cell r="T27">
            <v>4.7000000000000002E-3</v>
          </cell>
          <cell r="U27">
            <v>4.7000000000000002E-3</v>
          </cell>
          <cell r="V27">
            <v>4.7000000000000002E-3</v>
          </cell>
          <cell r="W27">
            <v>4.7000000000000002E-3</v>
          </cell>
          <cell r="X27">
            <v>1.2500000000000001E-2</v>
          </cell>
          <cell r="Y27">
            <v>9.35E-2</v>
          </cell>
          <cell r="Z27">
            <v>0.56200000000000006</v>
          </cell>
        </row>
        <row r="28">
          <cell r="I28">
            <v>0.25319999999999998</v>
          </cell>
          <cell r="J28">
            <v>8.9700000000000002E-2</v>
          </cell>
          <cell r="K28">
            <v>0.47960000000000003</v>
          </cell>
          <cell r="L28">
            <v>4.8000000000000001E-2</v>
          </cell>
          <cell r="M28">
            <v>0.21199999999999999</v>
          </cell>
          <cell r="N28">
            <v>0.1386</v>
          </cell>
          <cell r="O28">
            <v>0.16880000000000001</v>
          </cell>
          <cell r="P28">
            <v>0.13300000000000001</v>
          </cell>
          <cell r="Q28">
            <v>0.1182</v>
          </cell>
          <cell r="R28">
            <v>0.1918</v>
          </cell>
          <cell r="S28">
            <v>0.1074</v>
          </cell>
          <cell r="T28">
            <v>4.4000000000000003E-3</v>
          </cell>
          <cell r="U28">
            <v>4.4000000000000003E-3</v>
          </cell>
          <cell r="V28">
            <v>4.4000000000000003E-3</v>
          </cell>
          <cell r="W28">
            <v>4.4000000000000003E-3</v>
          </cell>
          <cell r="X28">
            <v>1.18E-2</v>
          </cell>
          <cell r="Y28">
            <v>8.8499999999999995E-2</v>
          </cell>
          <cell r="Z28">
            <v>0.68989999999999996</v>
          </cell>
        </row>
        <row r="29">
          <cell r="I29">
            <v>0.29970000000000002</v>
          </cell>
          <cell r="J29">
            <v>8.2600000000000007E-2</v>
          </cell>
          <cell r="K29">
            <v>0.5363</v>
          </cell>
          <cell r="L29">
            <v>3.49E-2</v>
          </cell>
          <cell r="M29">
            <v>0.1915</v>
          </cell>
          <cell r="N29">
            <v>0.1605</v>
          </cell>
          <cell r="O29">
            <v>0.1416</v>
          </cell>
          <cell r="P29">
            <v>0.19989999999999999</v>
          </cell>
          <cell r="Q29">
            <v>7.7899999999999997E-2</v>
          </cell>
          <cell r="R29">
            <v>0.1137</v>
          </cell>
          <cell r="S29">
            <v>0.1862</v>
          </cell>
          <cell r="T29">
            <v>7.2900000000000006E-2</v>
          </cell>
          <cell r="U29">
            <v>1.46E-2</v>
          </cell>
          <cell r="V29">
            <v>4.8999999999999998E-3</v>
          </cell>
          <cell r="W29">
            <v>4.8999999999999998E-3</v>
          </cell>
          <cell r="X29">
            <v>3.5999999999999999E-3</v>
          </cell>
          <cell r="Y29">
            <v>3.5999999999999999E-3</v>
          </cell>
          <cell r="Z29">
            <v>0.59060000000000001</v>
          </cell>
        </row>
        <row r="30">
          <cell r="I30">
            <v>0.26790000000000003</v>
          </cell>
          <cell r="J30">
            <v>0.19889999999999999</v>
          </cell>
          <cell r="K30">
            <v>4.0399999999999998E-2</v>
          </cell>
          <cell r="L30">
            <v>0.4758</v>
          </cell>
          <cell r="M30">
            <v>0.19900000000000001</v>
          </cell>
          <cell r="N30">
            <v>0.1812</v>
          </cell>
          <cell r="O30">
            <v>0.14649999999999999</v>
          </cell>
          <cell r="P30">
            <v>0.1237</v>
          </cell>
          <cell r="Q30">
            <v>0.1172</v>
          </cell>
          <cell r="R30">
            <v>0.27589999999999998</v>
          </cell>
          <cell r="S30">
            <v>8.2600000000000007E-2</v>
          </cell>
          <cell r="T30">
            <v>4.7000000000000002E-3</v>
          </cell>
          <cell r="U30">
            <v>4.7000000000000002E-3</v>
          </cell>
          <cell r="V30">
            <v>4.7000000000000002E-3</v>
          </cell>
          <cell r="W30">
            <v>4.7000000000000002E-3</v>
          </cell>
          <cell r="X30">
            <v>1.26E-2</v>
          </cell>
          <cell r="Y30">
            <v>9.4500000000000001E-2</v>
          </cell>
          <cell r="Z30">
            <v>0.74990000000000001</v>
          </cell>
        </row>
        <row r="31">
          <cell r="I31">
            <v>0.16830000000000001</v>
          </cell>
          <cell r="J31">
            <v>0.2959</v>
          </cell>
          <cell r="K31">
            <v>3.15E-2</v>
          </cell>
          <cell r="L31">
            <v>0.4204</v>
          </cell>
          <cell r="M31">
            <v>0.1258</v>
          </cell>
          <cell r="N31">
            <v>0.1358</v>
          </cell>
          <cell r="O31">
            <v>7.3999999999999996E-2</v>
          </cell>
          <cell r="P31">
            <v>0.1603</v>
          </cell>
          <cell r="Q31">
            <v>6.0999999999999999E-2</v>
          </cell>
          <cell r="R31">
            <v>0.1076</v>
          </cell>
          <cell r="S31">
            <v>0.17419999999999999</v>
          </cell>
          <cell r="T31">
            <v>3.2000000000000002E-3</v>
          </cell>
          <cell r="U31">
            <v>3.2000000000000002E-3</v>
          </cell>
          <cell r="V31">
            <v>3.2000000000000002E-3</v>
          </cell>
          <cell r="W31">
            <v>3.2000000000000002E-3</v>
          </cell>
          <cell r="X31">
            <v>8.3999999999999995E-3</v>
          </cell>
          <cell r="Y31">
            <v>6.3200000000000006E-2</v>
          </cell>
          <cell r="Z31">
            <v>0.51180000000000003</v>
          </cell>
        </row>
        <row r="32">
          <cell r="I32">
            <v>0.19059999999999999</v>
          </cell>
          <cell r="J32">
            <v>0.31459999999999999</v>
          </cell>
          <cell r="K32">
            <v>2.6599999999999999E-2</v>
          </cell>
          <cell r="L32">
            <v>0.40860000000000002</v>
          </cell>
          <cell r="M32">
            <v>0.107</v>
          </cell>
          <cell r="N32">
            <v>0.2848</v>
          </cell>
          <cell r="O32">
            <v>8.09E-2</v>
          </cell>
          <cell r="P32">
            <v>0.1027</v>
          </cell>
          <cell r="Q32">
            <v>6.83E-2</v>
          </cell>
          <cell r="R32">
            <v>0.13730000000000001</v>
          </cell>
          <cell r="S32">
            <v>0.12130000000000001</v>
          </cell>
          <cell r="T32">
            <v>0.02</v>
          </cell>
          <cell r="U32">
            <v>0.1002</v>
          </cell>
          <cell r="V32">
            <v>6.7000000000000002E-3</v>
          </cell>
          <cell r="W32">
            <v>6.7000000000000002E-3</v>
          </cell>
          <cell r="X32">
            <v>5.0000000000000001E-3</v>
          </cell>
          <cell r="Y32">
            <v>5.0000000000000001E-3</v>
          </cell>
          <cell r="Z32">
            <v>0.56299999999999994</v>
          </cell>
        </row>
        <row r="33">
          <cell r="I33">
            <v>0.1026</v>
          </cell>
          <cell r="J33">
            <v>0.27979999999999999</v>
          </cell>
          <cell r="K33">
            <v>3.39E-2</v>
          </cell>
          <cell r="L33">
            <v>0.4239</v>
          </cell>
          <cell r="M33">
            <v>0.20899999999999999</v>
          </cell>
          <cell r="N33">
            <v>0.32429999999999998</v>
          </cell>
          <cell r="O33">
            <v>7.46E-2</v>
          </cell>
          <cell r="P33">
            <v>0.1014</v>
          </cell>
          <cell r="Q33">
            <v>8.2100000000000006E-2</v>
          </cell>
          <cell r="R33">
            <v>0.1492</v>
          </cell>
          <cell r="S33">
            <v>0.14960000000000001</v>
          </cell>
          <cell r="T33">
            <v>7.7000000000000002E-3</v>
          </cell>
          <cell r="U33">
            <v>7.7000000000000002E-3</v>
          </cell>
          <cell r="V33">
            <v>2.9000000000000001E-2</v>
          </cell>
          <cell r="W33">
            <v>0.1158</v>
          </cell>
          <cell r="X33">
            <v>5.7999999999999996E-3</v>
          </cell>
          <cell r="Y33">
            <v>5.7999999999999996E-3</v>
          </cell>
          <cell r="Z33">
            <v>0.622</v>
          </cell>
        </row>
        <row r="34">
          <cell r="I34">
            <v>0.14030000000000001</v>
          </cell>
          <cell r="J34">
            <v>5.1799999999999999E-2</v>
          </cell>
          <cell r="K34">
            <v>0.49070000000000003</v>
          </cell>
          <cell r="L34">
            <v>3.1899999999999998E-2</v>
          </cell>
          <cell r="M34">
            <v>0.10340000000000001</v>
          </cell>
          <cell r="N34">
            <v>0.1134</v>
          </cell>
          <cell r="O34">
            <v>0.3886</v>
          </cell>
          <cell r="P34">
            <v>0.17860000000000001</v>
          </cell>
          <cell r="Q34">
            <v>0.13600000000000001</v>
          </cell>
          <cell r="R34">
            <v>0.26500000000000001</v>
          </cell>
          <cell r="S34">
            <v>0.1182</v>
          </cell>
          <cell r="T34">
            <v>2.7000000000000001E-3</v>
          </cell>
          <cell r="U34">
            <v>2.7000000000000001E-3</v>
          </cell>
          <cell r="V34">
            <v>2.7000000000000001E-3</v>
          </cell>
          <cell r="W34">
            <v>2.7000000000000001E-3</v>
          </cell>
          <cell r="X34">
            <v>7.3000000000000001E-3</v>
          </cell>
          <cell r="Y34">
            <v>5.4899999999999997E-2</v>
          </cell>
          <cell r="Z34">
            <v>0.75680000000000003</v>
          </cell>
        </row>
        <row r="35">
          <cell r="I35">
            <v>0.28570000000000001</v>
          </cell>
          <cell r="J35">
            <v>0.12709999999999999</v>
          </cell>
          <cell r="K35">
            <v>0.55030000000000001</v>
          </cell>
          <cell r="L35">
            <v>3.85E-2</v>
          </cell>
          <cell r="M35">
            <v>0.21329999999999999</v>
          </cell>
          <cell r="N35">
            <v>0.21329999999999999</v>
          </cell>
          <cell r="O35">
            <v>9.69E-2</v>
          </cell>
          <cell r="P35">
            <v>0.13639999999999999</v>
          </cell>
          <cell r="Q35">
            <v>0.1041</v>
          </cell>
          <cell r="R35">
            <v>0.19370000000000001</v>
          </cell>
          <cell r="S35">
            <v>0.1464</v>
          </cell>
          <cell r="T35">
            <v>6.3E-3</v>
          </cell>
          <cell r="U35">
            <v>6.3E-3</v>
          </cell>
          <cell r="V35">
            <v>6.3E-3</v>
          </cell>
          <cell r="W35">
            <v>6.3E-3</v>
          </cell>
          <cell r="X35">
            <v>1.6799999999999999E-2</v>
          </cell>
          <cell r="Y35">
            <v>0.1263</v>
          </cell>
          <cell r="Z35">
            <v>0.67269999999999996</v>
          </cell>
        </row>
        <row r="36">
          <cell r="I36">
            <v>0.20660000000000001</v>
          </cell>
          <cell r="J36">
            <v>0.53139999999999998</v>
          </cell>
          <cell r="K36">
            <v>3.1899999999999998E-2</v>
          </cell>
          <cell r="L36">
            <v>0.45579999999999998</v>
          </cell>
          <cell r="M36">
            <v>0.14879999999999999</v>
          </cell>
          <cell r="N36">
            <v>0.18290000000000001</v>
          </cell>
          <cell r="O36">
            <v>0.13039999999999999</v>
          </cell>
          <cell r="P36">
            <v>0.11459999999999999</v>
          </cell>
          <cell r="Q36">
            <v>8.4199999999999997E-2</v>
          </cell>
          <cell r="R36">
            <v>0.1641</v>
          </cell>
          <cell r="S36">
            <v>0.1429</v>
          </cell>
          <cell r="T36">
            <v>4.7000000000000002E-3</v>
          </cell>
          <cell r="U36">
            <v>4.7000000000000002E-3</v>
          </cell>
          <cell r="V36">
            <v>4.7000000000000002E-3</v>
          </cell>
          <cell r="W36">
            <v>4.7000000000000002E-3</v>
          </cell>
          <cell r="X36">
            <v>1.26E-2</v>
          </cell>
          <cell r="Y36">
            <v>9.4799999999999995E-2</v>
          </cell>
          <cell r="Z36">
            <v>0.6946</v>
          </cell>
        </row>
        <row r="37">
          <cell r="I37">
            <v>0.1487</v>
          </cell>
          <cell r="J37">
            <v>0.24479999999999999</v>
          </cell>
          <cell r="K37">
            <v>2.47E-2</v>
          </cell>
          <cell r="L37">
            <v>0.41210000000000002</v>
          </cell>
          <cell r="M37">
            <v>0.1135</v>
          </cell>
          <cell r="N37">
            <v>0.12189999999999999</v>
          </cell>
          <cell r="O37">
            <v>0.21759999999999999</v>
          </cell>
          <cell r="P37">
            <v>0.1822</v>
          </cell>
          <cell r="Q37">
            <v>8.3400000000000002E-2</v>
          </cell>
          <cell r="R37">
            <v>0.11210000000000001</v>
          </cell>
          <cell r="S37">
            <v>0.16389999999999999</v>
          </cell>
          <cell r="T37">
            <v>2.8E-3</v>
          </cell>
          <cell r="U37">
            <v>2.8E-3</v>
          </cell>
          <cell r="V37">
            <v>2.8E-3</v>
          </cell>
          <cell r="W37">
            <v>2.8E-3</v>
          </cell>
          <cell r="X37">
            <v>7.6E-3</v>
          </cell>
          <cell r="Y37">
            <v>5.6899999999999999E-2</v>
          </cell>
          <cell r="Z37">
            <v>0.59819999999999995</v>
          </cell>
        </row>
        <row r="38">
          <cell r="I38">
            <v>0.22819999999999999</v>
          </cell>
          <cell r="J38">
            <v>0.35859999999999997</v>
          </cell>
          <cell r="K38">
            <v>3.1099999999999999E-2</v>
          </cell>
          <cell r="L38">
            <v>0.3705</v>
          </cell>
          <cell r="M38">
            <v>0.1197</v>
          </cell>
          <cell r="N38">
            <v>0.21160000000000001</v>
          </cell>
          <cell r="O38">
            <v>0.1875</v>
          </cell>
          <cell r="P38">
            <v>0.12520000000000001</v>
          </cell>
          <cell r="Q38">
            <v>3.9100000000000003E-2</v>
          </cell>
          <cell r="R38">
            <v>0.1067</v>
          </cell>
          <cell r="S38">
            <v>0.13800000000000001</v>
          </cell>
          <cell r="T38">
            <v>6.7000000000000002E-3</v>
          </cell>
          <cell r="U38">
            <v>6.7000000000000002E-3</v>
          </cell>
          <cell r="V38">
            <v>0.1012</v>
          </cell>
          <cell r="W38">
            <v>2.53E-2</v>
          </cell>
          <cell r="X38">
            <v>5.1000000000000004E-3</v>
          </cell>
          <cell r="Y38">
            <v>5.1000000000000004E-3</v>
          </cell>
          <cell r="Z38">
            <v>0.51100000000000001</v>
          </cell>
        </row>
        <row r="39">
          <cell r="I39">
            <v>0.16450000000000001</v>
          </cell>
          <cell r="J39">
            <v>0.24260000000000001</v>
          </cell>
          <cell r="K39">
            <v>4.7899999999999998E-2</v>
          </cell>
          <cell r="L39">
            <v>0.47939999999999999</v>
          </cell>
          <cell r="M39">
            <v>0.1222</v>
          </cell>
          <cell r="N39">
            <v>0.13039999999999999</v>
          </cell>
          <cell r="O39">
            <v>0.23200000000000001</v>
          </cell>
          <cell r="P39">
            <v>0.1371</v>
          </cell>
          <cell r="Q39">
            <v>9.2799999999999994E-2</v>
          </cell>
          <cell r="R39">
            <v>0.2109</v>
          </cell>
          <cell r="S39">
            <v>0.14760000000000001</v>
          </cell>
          <cell r="T39">
            <v>3.3999999999999998E-3</v>
          </cell>
          <cell r="U39">
            <v>3.3999999999999998E-3</v>
          </cell>
          <cell r="V39">
            <v>3.3999999999999998E-3</v>
          </cell>
          <cell r="W39">
            <v>3.3999999999999998E-3</v>
          </cell>
          <cell r="X39">
            <v>8.9999999999999993E-3</v>
          </cell>
          <cell r="Y39">
            <v>6.7500000000000004E-2</v>
          </cell>
          <cell r="Z39">
            <v>0.64690000000000003</v>
          </cell>
        </row>
        <row r="40">
          <cell r="I40">
            <v>0.32200000000000001</v>
          </cell>
          <cell r="J40">
            <v>0.1095</v>
          </cell>
          <cell r="K40">
            <v>0.49790000000000001</v>
          </cell>
          <cell r="L40">
            <v>3.78E-2</v>
          </cell>
          <cell r="M40">
            <v>0.15570000000000001</v>
          </cell>
          <cell r="N40">
            <v>0.37240000000000001</v>
          </cell>
          <cell r="O40">
            <v>0.1095</v>
          </cell>
          <cell r="P40">
            <v>0.1295</v>
          </cell>
          <cell r="Q40">
            <v>8.9800000000000005E-2</v>
          </cell>
          <cell r="R40">
            <v>0.1573</v>
          </cell>
          <cell r="S40">
            <v>0.1171</v>
          </cell>
          <cell r="T40">
            <v>5.4000000000000003E-3</v>
          </cell>
          <cell r="U40">
            <v>5.4000000000000003E-3</v>
          </cell>
          <cell r="V40">
            <v>5.4000000000000003E-3</v>
          </cell>
          <cell r="W40">
            <v>5.4000000000000003E-3</v>
          </cell>
          <cell r="X40">
            <v>1.43E-2</v>
          </cell>
          <cell r="Y40">
            <v>0.1075</v>
          </cell>
          <cell r="Z40">
            <v>0.65880000000000005</v>
          </cell>
        </row>
        <row r="41">
          <cell r="I41">
            <v>0.49759999999999999</v>
          </cell>
          <cell r="J41">
            <v>7.2800000000000004E-2</v>
          </cell>
          <cell r="K41">
            <v>0.55159999999999998</v>
          </cell>
          <cell r="L41">
            <v>4.9599999999999998E-2</v>
          </cell>
          <cell r="M41">
            <v>0.28510000000000002</v>
          </cell>
          <cell r="N41">
            <v>0.24379999999999999</v>
          </cell>
          <cell r="O41">
            <v>6.0699999999999997E-2</v>
          </cell>
          <cell r="P41">
            <v>0.12909999999999999</v>
          </cell>
          <cell r="Q41">
            <v>5.5800000000000002E-2</v>
          </cell>
          <cell r="R41">
            <v>0.1125</v>
          </cell>
          <cell r="S41">
            <v>0.1313</v>
          </cell>
          <cell r="T41">
            <v>7.0000000000000001E-3</v>
          </cell>
          <cell r="U41">
            <v>7.0000000000000001E-3</v>
          </cell>
          <cell r="V41">
            <v>2.63E-2</v>
          </cell>
          <cell r="W41">
            <v>0.1051</v>
          </cell>
          <cell r="X41">
            <v>5.3E-3</v>
          </cell>
          <cell r="Y41">
            <v>5.3E-3</v>
          </cell>
          <cell r="Z41">
            <v>0.57789999999999997</v>
          </cell>
        </row>
        <row r="42">
          <cell r="I42">
            <v>0.23200000000000001</v>
          </cell>
          <cell r="J42">
            <v>0.25209999999999999</v>
          </cell>
          <cell r="K42">
            <v>5.7299999999999997E-2</v>
          </cell>
          <cell r="L42">
            <v>0.57310000000000005</v>
          </cell>
          <cell r="M42">
            <v>0.18509999999999999</v>
          </cell>
          <cell r="N42">
            <v>0.2046</v>
          </cell>
          <cell r="O42">
            <v>0.12609999999999999</v>
          </cell>
          <cell r="P42">
            <v>0.14899999999999999</v>
          </cell>
          <cell r="Q42">
            <v>0.1009</v>
          </cell>
          <cell r="R42">
            <v>0.2407</v>
          </cell>
          <cell r="S42">
            <v>0.1605</v>
          </cell>
          <cell r="T42">
            <v>9.1200000000000003E-2</v>
          </cell>
          <cell r="U42">
            <v>1.8200000000000001E-2</v>
          </cell>
          <cell r="V42">
            <v>6.1000000000000004E-3</v>
          </cell>
          <cell r="W42">
            <v>6.1000000000000004E-3</v>
          </cell>
          <cell r="X42">
            <v>4.5999999999999999E-3</v>
          </cell>
          <cell r="Y42">
            <v>4.5999999999999999E-3</v>
          </cell>
          <cell r="Z42">
            <v>0.7097</v>
          </cell>
        </row>
        <row r="43">
          <cell r="I43">
            <v>0.15890000000000001</v>
          </cell>
          <cell r="J43">
            <v>0.18110000000000001</v>
          </cell>
          <cell r="K43">
            <v>2.4199999999999999E-2</v>
          </cell>
          <cell r="L43">
            <v>0.4572</v>
          </cell>
          <cell r="M43">
            <v>0.1321</v>
          </cell>
          <cell r="N43">
            <v>0.12590000000000001</v>
          </cell>
          <cell r="O43">
            <v>0.1308</v>
          </cell>
          <cell r="P43">
            <v>0.1149</v>
          </cell>
          <cell r="Q43">
            <v>0.16089999999999999</v>
          </cell>
          <cell r="R43">
            <v>0.31459999999999999</v>
          </cell>
          <cell r="S43">
            <v>9.7299999999999998E-2</v>
          </cell>
          <cell r="T43">
            <v>3.5999999999999999E-3</v>
          </cell>
          <cell r="U43">
            <v>3.5999999999999999E-3</v>
          </cell>
          <cell r="V43">
            <v>1.37E-2</v>
          </cell>
          <cell r="W43">
            <v>5.4699999999999999E-2</v>
          </cell>
          <cell r="X43">
            <v>2.7000000000000001E-3</v>
          </cell>
          <cell r="Y43">
            <v>2.7000000000000001E-3</v>
          </cell>
          <cell r="Z43">
            <v>0.8014</v>
          </cell>
        </row>
        <row r="44">
          <cell r="I44">
            <v>0.24160000000000001</v>
          </cell>
          <cell r="J44">
            <v>0.2014</v>
          </cell>
          <cell r="K44">
            <v>4.58E-2</v>
          </cell>
          <cell r="L44">
            <v>0.45760000000000001</v>
          </cell>
          <cell r="M44">
            <v>0.20230000000000001</v>
          </cell>
          <cell r="N44">
            <v>0.1323</v>
          </cell>
          <cell r="O44">
            <v>0.16109999999999999</v>
          </cell>
          <cell r="P44">
            <v>0.12690000000000001</v>
          </cell>
          <cell r="Q44">
            <v>0.1128</v>
          </cell>
          <cell r="R44">
            <v>0.18310000000000001</v>
          </cell>
          <cell r="S44">
            <v>0.12809999999999999</v>
          </cell>
          <cell r="T44">
            <v>4.1999999999999997E-3</v>
          </cell>
          <cell r="U44">
            <v>4.1999999999999997E-3</v>
          </cell>
          <cell r="V44">
            <v>4.1999999999999997E-3</v>
          </cell>
          <cell r="W44">
            <v>4.1999999999999997E-3</v>
          </cell>
          <cell r="X44">
            <v>1.1299999999999999E-2</v>
          </cell>
          <cell r="Y44">
            <v>8.4500000000000006E-2</v>
          </cell>
          <cell r="Z44">
            <v>0.70860000000000001</v>
          </cell>
        </row>
        <row r="45">
          <cell r="I45">
            <v>0.13739999999999999</v>
          </cell>
          <cell r="J45">
            <v>0.18479999999999999</v>
          </cell>
          <cell r="K45">
            <v>2.69E-2</v>
          </cell>
          <cell r="L45">
            <v>0.53849999999999998</v>
          </cell>
          <cell r="M45">
            <v>0.1172</v>
          </cell>
          <cell r="N45">
            <v>0.11899999999999999</v>
          </cell>
          <cell r="O45">
            <v>0.1895</v>
          </cell>
          <cell r="P45">
            <v>0.1447</v>
          </cell>
          <cell r="Q45">
            <v>0.19900000000000001</v>
          </cell>
          <cell r="R45">
            <v>0.28000000000000003</v>
          </cell>
          <cell r="S45">
            <v>0.15079999999999999</v>
          </cell>
          <cell r="T45">
            <v>2.7000000000000001E-3</v>
          </cell>
          <cell r="U45">
            <v>2.7000000000000001E-3</v>
          </cell>
          <cell r="V45">
            <v>2.7000000000000001E-3</v>
          </cell>
          <cell r="W45">
            <v>2.7000000000000001E-3</v>
          </cell>
          <cell r="X45">
            <v>5.3400000000000003E-2</v>
          </cell>
          <cell r="Y45">
            <v>7.1000000000000004E-3</v>
          </cell>
          <cell r="Z45">
            <v>0.90469999999999995</v>
          </cell>
        </row>
        <row r="46">
          <cell r="I46">
            <v>0.1835</v>
          </cell>
          <cell r="J46">
            <v>9.8699999999999996E-2</v>
          </cell>
          <cell r="K46">
            <v>0.52800000000000002</v>
          </cell>
          <cell r="L46">
            <v>3.6999999999999998E-2</v>
          </cell>
          <cell r="M46">
            <v>0.14180000000000001</v>
          </cell>
          <cell r="N46">
            <v>0.13100000000000001</v>
          </cell>
          <cell r="O46">
            <v>0.23230000000000001</v>
          </cell>
          <cell r="P46">
            <v>0.16930000000000001</v>
          </cell>
          <cell r="Q46">
            <v>0.18579999999999999</v>
          </cell>
          <cell r="R46">
            <v>0.29780000000000001</v>
          </cell>
          <cell r="S46">
            <v>0.1774</v>
          </cell>
          <cell r="T46">
            <v>3.3999999999999998E-3</v>
          </cell>
          <cell r="U46">
            <v>3.3999999999999998E-3</v>
          </cell>
          <cell r="V46">
            <v>3.3999999999999998E-3</v>
          </cell>
          <cell r="W46">
            <v>3.3999999999999998E-3</v>
          </cell>
          <cell r="X46">
            <v>6.8099999999999994E-2</v>
          </cell>
          <cell r="Y46">
            <v>9.1000000000000004E-3</v>
          </cell>
          <cell r="Z46">
            <v>0.92159999999999997</v>
          </cell>
        </row>
        <row r="47">
          <cell r="I47">
            <v>0.29720000000000002</v>
          </cell>
          <cell r="J47">
            <v>0.1053</v>
          </cell>
          <cell r="K47">
            <v>0.56299999999999994</v>
          </cell>
          <cell r="L47">
            <v>5.6300000000000003E-2</v>
          </cell>
          <cell r="M47">
            <v>0.24879999999999999</v>
          </cell>
          <cell r="N47">
            <v>0.16270000000000001</v>
          </cell>
          <cell r="O47">
            <v>0.19819999999999999</v>
          </cell>
          <cell r="P47">
            <v>0.15609999999999999</v>
          </cell>
          <cell r="Q47">
            <v>0.13869999999999999</v>
          </cell>
          <cell r="R47">
            <v>0.22520000000000001</v>
          </cell>
          <cell r="S47">
            <v>0.12609999999999999</v>
          </cell>
          <cell r="T47">
            <v>0.10390000000000001</v>
          </cell>
          <cell r="U47">
            <v>2.0799999999999999E-2</v>
          </cell>
          <cell r="V47">
            <v>6.8999999999999999E-3</v>
          </cell>
          <cell r="W47">
            <v>6.8999999999999999E-3</v>
          </cell>
          <cell r="X47">
            <v>5.1999999999999998E-3</v>
          </cell>
          <cell r="Y47">
            <v>5.1999999999999998E-3</v>
          </cell>
          <cell r="Z47">
            <v>0.80979999999999996</v>
          </cell>
        </row>
        <row r="48">
          <cell r="I48">
            <v>0.26939999999999997</v>
          </cell>
          <cell r="J48">
            <v>0.25719999999999998</v>
          </cell>
          <cell r="K48">
            <v>5.57E-2</v>
          </cell>
          <cell r="L48">
            <v>0.55669999999999997</v>
          </cell>
          <cell r="M48">
            <v>0.2082</v>
          </cell>
          <cell r="N48">
            <v>0.2082</v>
          </cell>
          <cell r="O48">
            <v>0.17150000000000001</v>
          </cell>
          <cell r="P48">
            <v>0.14960000000000001</v>
          </cell>
          <cell r="Q48">
            <v>0.1176</v>
          </cell>
          <cell r="R48">
            <v>0.22270000000000001</v>
          </cell>
          <cell r="S48">
            <v>0.15590000000000001</v>
          </cell>
          <cell r="T48">
            <v>5.1000000000000004E-3</v>
          </cell>
          <cell r="U48">
            <v>5.1000000000000004E-3</v>
          </cell>
          <cell r="V48">
            <v>5.1000000000000004E-3</v>
          </cell>
          <cell r="W48">
            <v>5.1000000000000004E-3</v>
          </cell>
          <cell r="X48">
            <v>0.10249999999999999</v>
          </cell>
          <cell r="Y48">
            <v>1.37E-2</v>
          </cell>
          <cell r="Z48">
            <v>0.79079999999999995</v>
          </cell>
        </row>
        <row r="49">
          <cell r="I49">
            <v>0.2571</v>
          </cell>
          <cell r="J49">
            <v>0.21429999999999999</v>
          </cell>
          <cell r="K49">
            <v>3.9E-2</v>
          </cell>
          <cell r="L49">
            <v>0.3896</v>
          </cell>
          <cell r="M49">
            <v>0.19869999999999999</v>
          </cell>
          <cell r="N49">
            <v>0.18540000000000001</v>
          </cell>
          <cell r="O49">
            <v>0.1714</v>
          </cell>
          <cell r="P49">
            <v>0.1182</v>
          </cell>
          <cell r="Q49">
            <v>8.2299999999999998E-2</v>
          </cell>
          <cell r="R49">
            <v>0.187</v>
          </cell>
          <cell r="S49">
            <v>0.13089999999999999</v>
          </cell>
          <cell r="T49">
            <v>6.8999999999999999E-3</v>
          </cell>
          <cell r="U49">
            <v>6.8999999999999999E-3</v>
          </cell>
          <cell r="V49">
            <v>2.6100000000000002E-2</v>
          </cell>
          <cell r="W49">
            <v>0.1042</v>
          </cell>
          <cell r="X49">
            <v>5.1999999999999998E-3</v>
          </cell>
          <cell r="Y49">
            <v>5.1999999999999998E-3</v>
          </cell>
          <cell r="Z49">
            <v>0.65800000000000003</v>
          </cell>
        </row>
        <row r="50">
          <cell r="I50">
            <v>0.1988</v>
          </cell>
          <cell r="J50">
            <v>0.34949999999999998</v>
          </cell>
          <cell r="K50">
            <v>3.7199999999999997E-2</v>
          </cell>
          <cell r="L50">
            <v>0.4965</v>
          </cell>
          <cell r="M50">
            <v>0.14849999999999999</v>
          </cell>
          <cell r="N50">
            <v>0.16039999999999999</v>
          </cell>
          <cell r="O50">
            <v>8.7400000000000005E-2</v>
          </cell>
          <cell r="P50">
            <v>0.1893</v>
          </cell>
          <cell r="Q50">
            <v>7.2099999999999997E-2</v>
          </cell>
          <cell r="R50">
            <v>0.12709999999999999</v>
          </cell>
          <cell r="S50">
            <v>0.20569999999999999</v>
          </cell>
          <cell r="T50">
            <v>7.46E-2</v>
          </cell>
          <cell r="U50">
            <v>1.49E-2</v>
          </cell>
          <cell r="V50">
            <v>5.0000000000000001E-3</v>
          </cell>
          <cell r="W50">
            <v>5.0000000000000001E-3</v>
          </cell>
          <cell r="X50">
            <v>3.7000000000000002E-3</v>
          </cell>
          <cell r="Y50">
            <v>3.7000000000000002E-3</v>
          </cell>
          <cell r="Z50">
            <v>0.60450000000000004</v>
          </cell>
        </row>
        <row r="51">
          <cell r="I51">
            <v>0.22459999999999999</v>
          </cell>
          <cell r="J51">
            <v>0.37069999999999997</v>
          </cell>
          <cell r="K51">
            <v>3.1300000000000001E-2</v>
          </cell>
          <cell r="L51">
            <v>0.48149999999999998</v>
          </cell>
          <cell r="M51">
            <v>0.12609999999999999</v>
          </cell>
          <cell r="N51">
            <v>0.33560000000000001</v>
          </cell>
          <cell r="O51">
            <v>9.5299999999999996E-2</v>
          </cell>
          <cell r="P51">
            <v>0.121</v>
          </cell>
          <cell r="Q51">
            <v>8.0500000000000002E-2</v>
          </cell>
          <cell r="R51">
            <v>0.1618</v>
          </cell>
          <cell r="S51">
            <v>0.1429</v>
          </cell>
          <cell r="T51">
            <v>0.1181</v>
          </cell>
          <cell r="U51">
            <v>2.3599999999999999E-2</v>
          </cell>
          <cell r="V51">
            <v>7.9000000000000008E-3</v>
          </cell>
          <cell r="W51">
            <v>7.9000000000000008E-3</v>
          </cell>
          <cell r="X51">
            <v>5.8999999999999999E-3</v>
          </cell>
          <cell r="Y51">
            <v>5.8999999999999999E-3</v>
          </cell>
          <cell r="Z51">
            <v>0.66339999999999999</v>
          </cell>
        </row>
        <row r="52">
          <cell r="I52">
            <v>0.19589999999999999</v>
          </cell>
          <cell r="J52">
            <v>7.9899999999999999E-2</v>
          </cell>
          <cell r="K52">
            <v>0.58589999999999998</v>
          </cell>
          <cell r="L52">
            <v>3.6299999999999999E-2</v>
          </cell>
          <cell r="M52">
            <v>0.15140000000000001</v>
          </cell>
          <cell r="N52">
            <v>0.1394</v>
          </cell>
          <cell r="O52">
            <v>0.24490000000000001</v>
          </cell>
          <cell r="P52">
            <v>0.2437</v>
          </cell>
          <cell r="Q52">
            <v>0.17269999999999999</v>
          </cell>
          <cell r="R52">
            <v>0.20150000000000001</v>
          </cell>
          <cell r="S52">
            <v>0.21820000000000001</v>
          </cell>
          <cell r="T52">
            <v>4.4000000000000003E-3</v>
          </cell>
          <cell r="U52">
            <v>4.4000000000000003E-3</v>
          </cell>
          <cell r="V52">
            <v>1.6299999999999999E-2</v>
          </cell>
          <cell r="W52">
            <v>6.54E-2</v>
          </cell>
          <cell r="X52">
            <v>3.3E-3</v>
          </cell>
          <cell r="Y52">
            <v>3.3E-3</v>
          </cell>
          <cell r="Z52">
            <v>0.87649999999999995</v>
          </cell>
        </row>
        <row r="53">
          <cell r="I53">
            <v>0.16470000000000001</v>
          </cell>
          <cell r="J53">
            <v>6.08E-2</v>
          </cell>
          <cell r="K53">
            <v>0.57599999999999996</v>
          </cell>
          <cell r="L53">
            <v>3.7400000000000003E-2</v>
          </cell>
          <cell r="M53">
            <v>0.12139999999999999</v>
          </cell>
          <cell r="N53">
            <v>0.13320000000000001</v>
          </cell>
          <cell r="O53">
            <v>0.45619999999999999</v>
          </cell>
          <cell r="P53">
            <v>0.20960000000000001</v>
          </cell>
          <cell r="Q53">
            <v>0.15970000000000001</v>
          </cell>
          <cell r="R53">
            <v>0.311</v>
          </cell>
          <cell r="S53">
            <v>0.13869999999999999</v>
          </cell>
          <cell r="T53">
            <v>1.29E-2</v>
          </cell>
          <cell r="U53">
            <v>6.4399999999999999E-2</v>
          </cell>
          <cell r="V53">
            <v>4.3E-3</v>
          </cell>
          <cell r="W53">
            <v>4.3E-3</v>
          </cell>
          <cell r="X53">
            <v>3.2000000000000002E-3</v>
          </cell>
          <cell r="Y53">
            <v>3.2000000000000002E-3</v>
          </cell>
          <cell r="Z53">
            <v>0.88829999999999998</v>
          </cell>
        </row>
        <row r="54">
          <cell r="I54">
            <v>0.24859999999999999</v>
          </cell>
          <cell r="J54">
            <v>0.28489999999999999</v>
          </cell>
          <cell r="K54">
            <v>3.6499999999999998E-2</v>
          </cell>
          <cell r="L54">
            <v>0.58860000000000001</v>
          </cell>
          <cell r="M54">
            <v>0.1641</v>
          </cell>
          <cell r="N54">
            <v>0.18210000000000001</v>
          </cell>
          <cell r="O54">
            <v>0.15540000000000001</v>
          </cell>
          <cell r="P54">
            <v>0.16320000000000001</v>
          </cell>
          <cell r="Q54">
            <v>0.11650000000000001</v>
          </cell>
          <cell r="R54">
            <v>0.21429999999999999</v>
          </cell>
          <cell r="S54">
            <v>0.31309999999999999</v>
          </cell>
          <cell r="T54">
            <v>9.0800000000000006E-2</v>
          </cell>
          <cell r="U54">
            <v>1.8200000000000001E-2</v>
          </cell>
          <cell r="V54">
            <v>6.1000000000000004E-3</v>
          </cell>
          <cell r="W54">
            <v>6.1000000000000004E-3</v>
          </cell>
          <cell r="X54">
            <v>4.4999999999999997E-3</v>
          </cell>
          <cell r="Y54">
            <v>4.4999999999999997E-3</v>
          </cell>
          <cell r="Z54">
            <v>0.80189999999999995</v>
          </cell>
        </row>
        <row r="55">
          <cell r="I55">
            <v>0.1371</v>
          </cell>
          <cell r="J55">
            <v>0.22500000000000001</v>
          </cell>
          <cell r="K55">
            <v>2.4199999999999999E-2</v>
          </cell>
          <cell r="L55">
            <v>0.46489999999999998</v>
          </cell>
          <cell r="M55">
            <v>0.1028</v>
          </cell>
          <cell r="N55">
            <v>0.1265</v>
          </cell>
          <cell r="O55">
            <v>0.36820000000000003</v>
          </cell>
          <cell r="P55">
            <v>0.14910000000000001</v>
          </cell>
          <cell r="Q55">
            <v>8.3900000000000002E-2</v>
          </cell>
          <cell r="R55">
            <v>0.13950000000000001</v>
          </cell>
          <cell r="S55">
            <v>0.23169999999999999</v>
          </cell>
          <cell r="T55">
            <v>4.1999999999999997E-3</v>
          </cell>
          <cell r="U55">
            <v>4.1999999999999997E-3</v>
          </cell>
          <cell r="V55">
            <v>1.5599999999999999E-2</v>
          </cell>
          <cell r="W55">
            <v>6.2399999999999997E-2</v>
          </cell>
          <cell r="X55">
            <v>3.0999999999999999E-3</v>
          </cell>
          <cell r="Y55">
            <v>3.0999999999999999E-3</v>
          </cell>
          <cell r="Z55">
            <v>0.64439999999999997</v>
          </cell>
        </row>
        <row r="56">
          <cell r="I56">
            <v>0.17560000000000001</v>
          </cell>
          <cell r="J56">
            <v>0.28920000000000001</v>
          </cell>
          <cell r="K56">
            <v>2.92E-2</v>
          </cell>
          <cell r="L56">
            <v>0.48680000000000001</v>
          </cell>
          <cell r="M56">
            <v>0.1341</v>
          </cell>
          <cell r="N56">
            <v>0.14399999999999999</v>
          </cell>
          <cell r="O56">
            <v>0.25700000000000001</v>
          </cell>
          <cell r="P56">
            <v>0.2152</v>
          </cell>
          <cell r="Q56">
            <v>9.8500000000000004E-2</v>
          </cell>
          <cell r="R56">
            <v>0.13239999999999999</v>
          </cell>
          <cell r="S56">
            <v>0.19350000000000001</v>
          </cell>
          <cell r="T56">
            <v>4.4999999999999997E-3</v>
          </cell>
          <cell r="U56">
            <v>4.4999999999999997E-3</v>
          </cell>
          <cell r="V56">
            <v>1.6799999999999999E-2</v>
          </cell>
          <cell r="W56">
            <v>6.7299999999999999E-2</v>
          </cell>
          <cell r="X56">
            <v>3.3999999999999998E-3</v>
          </cell>
          <cell r="Y56">
            <v>3.3999999999999998E-3</v>
          </cell>
          <cell r="Z56">
            <v>0.70650000000000002</v>
          </cell>
        </row>
        <row r="57">
          <cell r="I57">
            <v>0.26889999999999997</v>
          </cell>
          <cell r="J57">
            <v>0.42259999999999998</v>
          </cell>
          <cell r="K57">
            <v>3.6700000000000003E-2</v>
          </cell>
          <cell r="L57">
            <v>0.43659999999999999</v>
          </cell>
          <cell r="M57">
            <v>0.14099999999999999</v>
          </cell>
          <cell r="N57">
            <v>0.24940000000000001</v>
          </cell>
          <cell r="O57">
            <v>0.22090000000000001</v>
          </cell>
          <cell r="P57">
            <v>0.14760000000000001</v>
          </cell>
          <cell r="Q57">
            <v>4.6100000000000002E-2</v>
          </cell>
          <cell r="R57">
            <v>0.12570000000000001</v>
          </cell>
          <cell r="S57">
            <v>0.16259999999999999</v>
          </cell>
          <cell r="T57">
            <v>6.0000000000000001E-3</v>
          </cell>
          <cell r="U57">
            <v>6.0000000000000001E-3</v>
          </cell>
          <cell r="V57">
            <v>6.0000000000000001E-3</v>
          </cell>
          <cell r="W57">
            <v>6.0000000000000001E-3</v>
          </cell>
          <cell r="X57">
            <v>0.1192</v>
          </cell>
          <cell r="Y57">
            <v>1.5900000000000001E-2</v>
          </cell>
          <cell r="Z57">
            <v>0.60219999999999996</v>
          </cell>
        </row>
        <row r="58">
          <cell r="I58">
            <v>0.3997</v>
          </cell>
          <cell r="J58">
            <v>0.1062</v>
          </cell>
          <cell r="K58">
            <v>0.56769999999999998</v>
          </cell>
          <cell r="L58">
            <v>5.6800000000000003E-2</v>
          </cell>
          <cell r="M58">
            <v>0.29920000000000002</v>
          </cell>
          <cell r="N58">
            <v>0.2702</v>
          </cell>
          <cell r="O58">
            <v>9.9900000000000003E-2</v>
          </cell>
          <cell r="P58">
            <v>0.13780000000000001</v>
          </cell>
          <cell r="Q58">
            <v>0.1099</v>
          </cell>
          <cell r="R58">
            <v>0.1862</v>
          </cell>
          <cell r="S58">
            <v>0.12720000000000001</v>
          </cell>
          <cell r="T58">
            <v>6.6E-3</v>
          </cell>
          <cell r="U58">
            <v>6.6E-3</v>
          </cell>
          <cell r="V58">
            <v>6.6E-3</v>
          </cell>
          <cell r="W58">
            <v>6.6E-3</v>
          </cell>
          <cell r="X58">
            <v>0.13220000000000001</v>
          </cell>
          <cell r="Y58">
            <v>1.7600000000000001E-2</v>
          </cell>
          <cell r="Z58">
            <v>0.76070000000000004</v>
          </cell>
        </row>
        <row r="59">
          <cell r="I59">
            <v>0.378</v>
          </cell>
          <cell r="J59">
            <v>0.12859999999999999</v>
          </cell>
          <cell r="K59">
            <v>0.58440000000000003</v>
          </cell>
          <cell r="L59">
            <v>4.4400000000000002E-2</v>
          </cell>
          <cell r="M59">
            <v>0.18279999999999999</v>
          </cell>
          <cell r="N59">
            <v>0.43709999999999999</v>
          </cell>
          <cell r="O59">
            <v>0.12859999999999999</v>
          </cell>
          <cell r="P59">
            <v>0.15190000000000001</v>
          </cell>
          <cell r="Q59">
            <v>0.10539999999999999</v>
          </cell>
          <cell r="R59">
            <v>0.1847</v>
          </cell>
          <cell r="S59">
            <v>0.13750000000000001</v>
          </cell>
          <cell r="T59">
            <v>6.3E-3</v>
          </cell>
          <cell r="U59">
            <v>6.3E-3</v>
          </cell>
          <cell r="V59">
            <v>6.3E-3</v>
          </cell>
          <cell r="W59">
            <v>6.3E-3</v>
          </cell>
          <cell r="X59">
            <v>0.12609999999999999</v>
          </cell>
          <cell r="Y59">
            <v>1.6799999999999999E-2</v>
          </cell>
          <cell r="Z59">
            <v>0.7732</v>
          </cell>
        </row>
        <row r="60">
          <cell r="I60">
            <v>0.2823</v>
          </cell>
          <cell r="J60">
            <v>0.3387</v>
          </cell>
          <cell r="K60">
            <v>4.4900000000000002E-2</v>
          </cell>
          <cell r="L60">
            <v>0.64149999999999996</v>
          </cell>
          <cell r="M60">
            <v>0.2094</v>
          </cell>
          <cell r="N60">
            <v>0.2225</v>
          </cell>
          <cell r="O60">
            <v>0.127</v>
          </cell>
          <cell r="P60">
            <v>0.15570000000000001</v>
          </cell>
          <cell r="Q60">
            <v>0.1157</v>
          </cell>
          <cell r="R60">
            <v>0.2361</v>
          </cell>
          <cell r="S60">
            <v>0.19220000000000001</v>
          </cell>
          <cell r="T60">
            <v>1.03E-2</v>
          </cell>
          <cell r="U60">
            <v>1.03E-2</v>
          </cell>
          <cell r="V60">
            <v>3.85E-2</v>
          </cell>
          <cell r="W60">
            <v>0.154</v>
          </cell>
          <cell r="X60">
            <v>7.7000000000000002E-3</v>
          </cell>
          <cell r="Y60">
            <v>7.7000000000000002E-3</v>
          </cell>
          <cell r="Z60">
            <v>0.80549999999999999</v>
          </cell>
        </row>
        <row r="61">
          <cell r="I61">
            <v>0.14099999999999999</v>
          </cell>
          <cell r="J61">
            <v>0.22789999999999999</v>
          </cell>
          <cell r="K61">
            <v>2.46E-2</v>
          </cell>
          <cell r="L61">
            <v>0.43890000000000001</v>
          </cell>
          <cell r="M61">
            <v>0.1149</v>
          </cell>
          <cell r="N61">
            <v>0.1268</v>
          </cell>
          <cell r="O61">
            <v>0.50209999999999999</v>
          </cell>
          <cell r="P61">
            <v>0.14829999999999999</v>
          </cell>
          <cell r="Q61">
            <v>0.1062</v>
          </cell>
          <cell r="R61">
            <v>0.1668</v>
          </cell>
          <cell r="S61">
            <v>0.1376</v>
          </cell>
          <cell r="T61">
            <v>6.83E-2</v>
          </cell>
          <cell r="U61">
            <v>1.37E-2</v>
          </cell>
          <cell r="V61">
            <v>4.5999999999999999E-3</v>
          </cell>
          <cell r="W61">
            <v>4.5999999999999999E-3</v>
          </cell>
          <cell r="X61">
            <v>3.3999999999999998E-3</v>
          </cell>
          <cell r="Y61">
            <v>3.3999999999999998E-3</v>
          </cell>
          <cell r="Z61">
            <v>0.75319999999999998</v>
          </cell>
        </row>
        <row r="62">
          <cell r="I62">
            <v>0.18770000000000001</v>
          </cell>
          <cell r="J62">
            <v>0.21379999999999999</v>
          </cell>
          <cell r="K62">
            <v>2.86E-2</v>
          </cell>
          <cell r="L62">
            <v>0.54</v>
          </cell>
          <cell r="M62">
            <v>0.15609999999999999</v>
          </cell>
          <cell r="N62">
            <v>0.1487</v>
          </cell>
          <cell r="O62">
            <v>0.15440000000000001</v>
          </cell>
          <cell r="P62">
            <v>0.13569999999999999</v>
          </cell>
          <cell r="Q62">
            <v>0.19009999999999999</v>
          </cell>
          <cell r="R62">
            <v>0.3715</v>
          </cell>
          <cell r="S62">
            <v>0.1149</v>
          </cell>
          <cell r="T62">
            <v>4.3E-3</v>
          </cell>
          <cell r="U62">
            <v>4.3E-3</v>
          </cell>
          <cell r="V62">
            <v>1.61E-2</v>
          </cell>
          <cell r="W62">
            <v>6.4600000000000005E-2</v>
          </cell>
          <cell r="X62">
            <v>3.2000000000000002E-3</v>
          </cell>
          <cell r="Y62">
            <v>3.2000000000000002E-3</v>
          </cell>
          <cell r="Z62">
            <v>0.94650000000000001</v>
          </cell>
        </row>
        <row r="63">
          <cell r="I63">
            <v>0.28470000000000001</v>
          </cell>
          <cell r="J63">
            <v>0.23730000000000001</v>
          </cell>
          <cell r="K63">
            <v>5.3900000000000003E-2</v>
          </cell>
          <cell r="L63">
            <v>0.5393</v>
          </cell>
          <cell r="M63">
            <v>0.2384</v>
          </cell>
          <cell r="N63">
            <v>0.15590000000000001</v>
          </cell>
          <cell r="O63">
            <v>0.1898</v>
          </cell>
          <cell r="P63">
            <v>0.14960000000000001</v>
          </cell>
          <cell r="Q63">
            <v>0.13289999999999999</v>
          </cell>
          <cell r="R63">
            <v>0.2157</v>
          </cell>
          <cell r="S63">
            <v>0.151</v>
          </cell>
          <cell r="T63">
            <v>6.6E-3</v>
          </cell>
          <cell r="U63">
            <v>6.6E-3</v>
          </cell>
          <cell r="V63">
            <v>2.4899999999999999E-2</v>
          </cell>
          <cell r="W63">
            <v>9.9599999999999994E-2</v>
          </cell>
          <cell r="X63">
            <v>5.0000000000000001E-3</v>
          </cell>
          <cell r="Y63">
            <v>5.0000000000000001E-3</v>
          </cell>
          <cell r="Z63">
            <v>0.83499999999999996</v>
          </cell>
        </row>
        <row r="64">
          <cell r="I64">
            <v>0.48149999999999998</v>
          </cell>
          <cell r="J64">
            <v>9.5200000000000007E-2</v>
          </cell>
          <cell r="K64">
            <v>0.60129999999999995</v>
          </cell>
          <cell r="L64">
            <v>5.0500000000000003E-2</v>
          </cell>
          <cell r="M64">
            <v>0.43959999999999999</v>
          </cell>
          <cell r="N64">
            <v>0.2167</v>
          </cell>
          <cell r="O64">
            <v>7.9399999999999998E-2</v>
          </cell>
          <cell r="P64">
            <v>0.14069999999999999</v>
          </cell>
          <cell r="Q64">
            <v>7.9399999999999998E-2</v>
          </cell>
          <cell r="R64">
            <v>0.15629999999999999</v>
          </cell>
          <cell r="S64">
            <v>0.1145</v>
          </cell>
          <cell r="T64">
            <v>0.13750000000000001</v>
          </cell>
          <cell r="U64">
            <v>2.75E-2</v>
          </cell>
          <cell r="V64">
            <v>9.1999999999999998E-3</v>
          </cell>
          <cell r="W64">
            <v>9.1999999999999998E-3</v>
          </cell>
          <cell r="X64">
            <v>6.8999999999999999E-3</v>
          </cell>
          <cell r="Y64">
            <v>6.8999999999999999E-3</v>
          </cell>
          <cell r="Z64">
            <v>0.6956</v>
          </cell>
        </row>
        <row r="65">
          <cell r="I65">
            <v>0.21540000000000001</v>
          </cell>
          <cell r="J65">
            <v>0.1159</v>
          </cell>
          <cell r="K65">
            <v>0.61970000000000003</v>
          </cell>
          <cell r="L65">
            <v>4.3400000000000001E-2</v>
          </cell>
          <cell r="M65">
            <v>0.16650000000000001</v>
          </cell>
          <cell r="N65">
            <v>0.15379999999999999</v>
          </cell>
          <cell r="O65">
            <v>0.2727</v>
          </cell>
          <cell r="P65">
            <v>0.19869999999999999</v>
          </cell>
          <cell r="Q65">
            <v>0.21809999999999999</v>
          </cell>
          <cell r="R65">
            <v>0.34949999999999998</v>
          </cell>
          <cell r="S65">
            <v>0.2082</v>
          </cell>
          <cell r="T65">
            <v>5.3E-3</v>
          </cell>
          <cell r="U65">
            <v>5.3E-3</v>
          </cell>
          <cell r="V65">
            <v>0.02</v>
          </cell>
          <cell r="W65">
            <v>7.9899999999999999E-2</v>
          </cell>
          <cell r="X65">
            <v>4.0000000000000001E-3</v>
          </cell>
          <cell r="Y65">
            <v>4.0000000000000001E-3</v>
          </cell>
          <cell r="Z65">
            <v>1.0817000000000001</v>
          </cell>
        </row>
        <row r="66">
          <cell r="I66">
            <v>0.25190000000000001</v>
          </cell>
          <cell r="J66">
            <v>0.27650000000000002</v>
          </cell>
          <cell r="K66">
            <v>6.9800000000000001E-2</v>
          </cell>
          <cell r="L66">
            <v>0.69830000000000003</v>
          </cell>
          <cell r="M66">
            <v>0.20180000000000001</v>
          </cell>
          <cell r="N66">
            <v>0.2374</v>
          </cell>
          <cell r="O66">
            <v>0.15359999999999999</v>
          </cell>
          <cell r="P66">
            <v>0.18160000000000001</v>
          </cell>
          <cell r="Q66">
            <v>0.1229</v>
          </cell>
          <cell r="R66">
            <v>0.27929999999999999</v>
          </cell>
          <cell r="S66">
            <v>0.19550000000000001</v>
          </cell>
          <cell r="T66">
            <v>9.8199999999999996E-2</v>
          </cell>
          <cell r="U66">
            <v>1.9599999999999999E-2</v>
          </cell>
          <cell r="V66">
            <v>6.4999999999999997E-3</v>
          </cell>
          <cell r="W66">
            <v>6.4999999999999997E-3</v>
          </cell>
          <cell r="X66">
            <v>4.8999999999999998E-3</v>
          </cell>
          <cell r="Y66">
            <v>4.8999999999999998E-3</v>
          </cell>
          <cell r="Z66">
            <v>0.83030000000000004</v>
          </cell>
        </row>
        <row r="67">
          <cell r="I67">
            <v>0.20910000000000001</v>
          </cell>
          <cell r="J67">
            <v>0.22320000000000001</v>
          </cell>
          <cell r="K67">
            <v>3.2000000000000001E-2</v>
          </cell>
          <cell r="L67">
            <v>0.53390000000000004</v>
          </cell>
          <cell r="M67">
            <v>0.16700000000000001</v>
          </cell>
          <cell r="N67">
            <v>0.16520000000000001</v>
          </cell>
          <cell r="O67">
            <v>0.1762</v>
          </cell>
          <cell r="P67">
            <v>0.13880000000000001</v>
          </cell>
          <cell r="Q67">
            <v>0.14560000000000001</v>
          </cell>
          <cell r="R67">
            <v>0.24560000000000001</v>
          </cell>
          <cell r="S67">
            <v>0.18390000000000001</v>
          </cell>
          <cell r="T67">
            <v>5.7000000000000002E-3</v>
          </cell>
          <cell r="U67">
            <v>5.7000000000000002E-3</v>
          </cell>
          <cell r="V67">
            <v>2.1299999999999999E-2</v>
          </cell>
          <cell r="W67">
            <v>8.5300000000000001E-2</v>
          </cell>
          <cell r="X67">
            <v>4.3E-3</v>
          </cell>
          <cell r="Y67">
            <v>4.3E-3</v>
          </cell>
          <cell r="Z67">
            <v>1.3815999999999999</v>
          </cell>
        </row>
        <row r="68">
          <cell r="I68">
            <v>0.30370000000000003</v>
          </cell>
          <cell r="J68">
            <v>0.25309999999999999</v>
          </cell>
          <cell r="K68">
            <v>4.5999999999999999E-2</v>
          </cell>
          <cell r="L68">
            <v>0.4602</v>
          </cell>
          <cell r="M68">
            <v>0.23469999999999999</v>
          </cell>
          <cell r="N68">
            <v>0.219</v>
          </cell>
          <cell r="O68">
            <v>0.20250000000000001</v>
          </cell>
          <cell r="P68">
            <v>0.1396</v>
          </cell>
          <cell r="Q68">
            <v>9.7199999999999995E-2</v>
          </cell>
          <cell r="R68">
            <v>0.22090000000000001</v>
          </cell>
          <cell r="S68">
            <v>0.15459999999999999</v>
          </cell>
          <cell r="T68">
            <v>6.1999999999999998E-3</v>
          </cell>
          <cell r="U68">
            <v>6.1999999999999998E-3</v>
          </cell>
          <cell r="V68">
            <v>6.1999999999999998E-3</v>
          </cell>
          <cell r="W68">
            <v>6.1999999999999998E-3</v>
          </cell>
          <cell r="X68">
            <v>0.1231</v>
          </cell>
          <cell r="Y68">
            <v>1.6400000000000001E-2</v>
          </cell>
          <cell r="Z68">
            <v>0.77710000000000001</v>
          </cell>
        </row>
        <row r="69">
          <cell r="I69">
            <v>0.23430000000000001</v>
          </cell>
          <cell r="J69">
            <v>0.41189999999999999</v>
          </cell>
          <cell r="K69">
            <v>4.3900000000000002E-2</v>
          </cell>
          <cell r="L69">
            <v>0.58509999999999995</v>
          </cell>
          <cell r="M69">
            <v>0.17510000000000001</v>
          </cell>
          <cell r="N69">
            <v>0.189</v>
          </cell>
          <cell r="O69">
            <v>0.10299999999999999</v>
          </cell>
          <cell r="P69">
            <v>0.22309999999999999</v>
          </cell>
          <cell r="Q69">
            <v>8.5000000000000006E-2</v>
          </cell>
          <cell r="R69">
            <v>0.14979999999999999</v>
          </cell>
          <cell r="S69">
            <v>0.24249999999999999</v>
          </cell>
          <cell r="T69">
            <v>1.7600000000000001E-2</v>
          </cell>
          <cell r="U69">
            <v>8.7900000000000006E-2</v>
          </cell>
          <cell r="V69">
            <v>5.8999999999999999E-3</v>
          </cell>
          <cell r="W69">
            <v>5.8999999999999999E-3</v>
          </cell>
          <cell r="X69">
            <v>4.4000000000000003E-3</v>
          </cell>
          <cell r="Y69">
            <v>4.4000000000000003E-3</v>
          </cell>
          <cell r="Z69">
            <v>0.71240000000000003</v>
          </cell>
        </row>
        <row r="70">
          <cell r="I70">
            <v>0.31850000000000001</v>
          </cell>
          <cell r="J70">
            <v>0.1351</v>
          </cell>
          <cell r="K70">
            <v>0.64639999999999997</v>
          </cell>
          <cell r="L70">
            <v>5.04E-2</v>
          </cell>
          <cell r="M70">
            <v>0.27689999999999998</v>
          </cell>
          <cell r="N70">
            <v>0.27250000000000002</v>
          </cell>
          <cell r="O70">
            <v>0.1138</v>
          </cell>
          <cell r="P70">
            <v>0.15679999999999999</v>
          </cell>
          <cell r="Q70">
            <v>0.1394</v>
          </cell>
          <cell r="R70">
            <v>0.26629999999999998</v>
          </cell>
          <cell r="S70">
            <v>0.1774</v>
          </cell>
          <cell r="T70">
            <v>7.9000000000000008E-3</v>
          </cell>
          <cell r="U70">
            <v>7.9000000000000008E-3</v>
          </cell>
          <cell r="V70">
            <v>0.11849999999999999</v>
          </cell>
          <cell r="W70">
            <v>2.9600000000000001E-2</v>
          </cell>
          <cell r="X70">
            <v>5.8999999999999999E-3</v>
          </cell>
          <cell r="Y70">
            <v>5.8999999999999999E-3</v>
          </cell>
          <cell r="Z70">
            <v>0.85819999999999996</v>
          </cell>
        </row>
        <row r="71">
          <cell r="I71">
            <v>0.23</v>
          </cell>
          <cell r="J71">
            <v>9.3799999999999994E-2</v>
          </cell>
          <cell r="K71">
            <v>0.68769999999999998</v>
          </cell>
          <cell r="L71">
            <v>4.2599999999999999E-2</v>
          </cell>
          <cell r="M71">
            <v>0.1777</v>
          </cell>
          <cell r="N71">
            <v>0.16370000000000001</v>
          </cell>
          <cell r="O71">
            <v>0.28749999999999998</v>
          </cell>
          <cell r="P71">
            <v>0.28610000000000002</v>
          </cell>
          <cell r="Q71">
            <v>0.20269999999999999</v>
          </cell>
          <cell r="R71">
            <v>0.2366</v>
          </cell>
          <cell r="S71">
            <v>0.25609999999999999</v>
          </cell>
          <cell r="T71">
            <v>5.1000000000000004E-3</v>
          </cell>
          <cell r="U71">
            <v>5.1000000000000004E-3</v>
          </cell>
          <cell r="V71">
            <v>1.9199999999999998E-2</v>
          </cell>
          <cell r="W71">
            <v>7.6700000000000004E-2</v>
          </cell>
          <cell r="X71">
            <v>3.8E-3</v>
          </cell>
          <cell r="Y71">
            <v>3.8E-3</v>
          </cell>
          <cell r="Z71">
            <v>1.0287999999999999</v>
          </cell>
        </row>
        <row r="72">
          <cell r="I72">
            <v>0.28270000000000001</v>
          </cell>
          <cell r="J72">
            <v>0.40989999999999999</v>
          </cell>
          <cell r="K72">
            <v>6.4299999999999996E-2</v>
          </cell>
          <cell r="L72">
            <v>0.64249999999999996</v>
          </cell>
          <cell r="M72">
            <v>0.2185</v>
          </cell>
          <cell r="N72">
            <v>0.26219999999999999</v>
          </cell>
          <cell r="O72">
            <v>0.1696</v>
          </cell>
          <cell r="P72">
            <v>0.15590000000000001</v>
          </cell>
          <cell r="Q72">
            <v>0.1187</v>
          </cell>
          <cell r="R72">
            <v>0.2442</v>
          </cell>
          <cell r="S72">
            <v>0.2069</v>
          </cell>
          <cell r="T72">
            <v>0.12429999999999999</v>
          </cell>
          <cell r="U72">
            <v>2.4899999999999999E-2</v>
          </cell>
          <cell r="V72">
            <v>8.3000000000000001E-3</v>
          </cell>
          <cell r="W72">
            <v>8.3000000000000001E-3</v>
          </cell>
          <cell r="X72">
            <v>6.1999999999999998E-3</v>
          </cell>
          <cell r="Y72">
            <v>6.1999999999999998E-3</v>
          </cell>
          <cell r="Z72">
            <v>0.87890000000000001</v>
          </cell>
        </row>
        <row r="73">
          <cell r="I73">
            <v>0.23949999999999999</v>
          </cell>
          <cell r="J73">
            <v>0.26340000000000002</v>
          </cell>
          <cell r="K73">
            <v>5.4399999999999997E-2</v>
          </cell>
          <cell r="L73">
            <v>0.54430000000000001</v>
          </cell>
          <cell r="M73">
            <v>0.17580000000000001</v>
          </cell>
          <cell r="N73">
            <v>0.2036</v>
          </cell>
          <cell r="O73">
            <v>0.1676</v>
          </cell>
          <cell r="P73">
            <v>0.1462</v>
          </cell>
          <cell r="Q73">
            <v>0.11020000000000001</v>
          </cell>
          <cell r="R73">
            <v>0.23949999999999999</v>
          </cell>
          <cell r="S73">
            <v>0.1646</v>
          </cell>
          <cell r="T73">
            <v>8.1299999999999997E-2</v>
          </cell>
          <cell r="U73">
            <v>1.6299999999999999E-2</v>
          </cell>
          <cell r="V73">
            <v>5.4000000000000003E-3</v>
          </cell>
          <cell r="W73">
            <v>5.4000000000000003E-3</v>
          </cell>
          <cell r="X73">
            <v>4.1000000000000003E-3</v>
          </cell>
          <cell r="Y73">
            <v>4.1000000000000003E-3</v>
          </cell>
          <cell r="Z73">
            <v>0.75690000000000002</v>
          </cell>
        </row>
        <row r="74">
          <cell r="I74">
            <v>0.16189999999999999</v>
          </cell>
          <cell r="J74">
            <v>0.26579999999999998</v>
          </cell>
          <cell r="K74">
            <v>2.86E-2</v>
          </cell>
          <cell r="L74">
            <v>0.54910000000000003</v>
          </cell>
          <cell r="M74">
            <v>0.12139999999999999</v>
          </cell>
          <cell r="N74">
            <v>0.14940000000000001</v>
          </cell>
          <cell r="O74">
            <v>0.43490000000000001</v>
          </cell>
          <cell r="P74">
            <v>0.17610000000000001</v>
          </cell>
          <cell r="Q74">
            <v>9.9099999999999994E-2</v>
          </cell>
          <cell r="R74">
            <v>0.16470000000000001</v>
          </cell>
          <cell r="S74">
            <v>0.2737</v>
          </cell>
          <cell r="T74">
            <v>7.3700000000000002E-2</v>
          </cell>
          <cell r="U74">
            <v>1.47E-2</v>
          </cell>
          <cell r="V74">
            <v>4.8999999999999998E-3</v>
          </cell>
          <cell r="W74">
            <v>4.8999999999999998E-3</v>
          </cell>
          <cell r="X74">
            <v>3.7000000000000002E-3</v>
          </cell>
          <cell r="Y74">
            <v>3.7000000000000002E-3</v>
          </cell>
          <cell r="Z74">
            <v>0.7611</v>
          </cell>
        </row>
        <row r="75">
          <cell r="I75">
            <v>0.20699999999999999</v>
          </cell>
          <cell r="J75">
            <v>0.3407</v>
          </cell>
          <cell r="K75">
            <v>3.44E-2</v>
          </cell>
          <cell r="L75">
            <v>0.5736</v>
          </cell>
          <cell r="M75">
            <v>0.158</v>
          </cell>
          <cell r="N75">
            <v>0.16969999999999999</v>
          </cell>
          <cell r="O75">
            <v>0.3029</v>
          </cell>
          <cell r="P75">
            <v>0.25359999999999999</v>
          </cell>
          <cell r="Q75">
            <v>0.11609999999999999</v>
          </cell>
          <cell r="R75">
            <v>0.156</v>
          </cell>
          <cell r="S75">
            <v>0.2281</v>
          </cell>
          <cell r="T75">
            <v>7.9299999999999995E-2</v>
          </cell>
          <cell r="U75">
            <v>1.5900000000000001E-2</v>
          </cell>
          <cell r="V75">
            <v>5.3E-3</v>
          </cell>
          <cell r="W75">
            <v>5.3E-3</v>
          </cell>
          <cell r="X75">
            <v>4.0000000000000001E-3</v>
          </cell>
          <cell r="Y75">
            <v>4.0000000000000001E-3</v>
          </cell>
          <cell r="Z75">
            <v>0.83260000000000001</v>
          </cell>
        </row>
        <row r="76">
          <cell r="I76">
            <v>0.43</v>
          </cell>
          <cell r="J76">
            <v>0.1196</v>
          </cell>
          <cell r="K76">
            <v>0.6472</v>
          </cell>
          <cell r="L76">
            <v>5.0500000000000003E-2</v>
          </cell>
          <cell r="M76">
            <v>0.37190000000000001</v>
          </cell>
          <cell r="N76">
            <v>0.20680000000000001</v>
          </cell>
          <cell r="O76">
            <v>9.9699999999999997E-2</v>
          </cell>
          <cell r="P76">
            <v>0.16039999999999999</v>
          </cell>
          <cell r="Q76">
            <v>9.9699999999999997E-2</v>
          </cell>
          <cell r="R76">
            <v>0.189</v>
          </cell>
          <cell r="S76">
            <v>0.28089999999999998</v>
          </cell>
          <cell r="T76">
            <v>0.14449999999999999</v>
          </cell>
          <cell r="U76">
            <v>2.8899999999999999E-2</v>
          </cell>
          <cell r="V76">
            <v>9.5999999999999992E-3</v>
          </cell>
          <cell r="W76">
            <v>9.5999999999999992E-3</v>
          </cell>
          <cell r="X76">
            <v>7.1999999999999998E-3</v>
          </cell>
          <cell r="Y76">
            <v>7.1999999999999998E-3</v>
          </cell>
          <cell r="Z76">
            <v>0.7893</v>
          </cell>
        </row>
        <row r="77">
          <cell r="I77">
            <v>0.46910000000000002</v>
          </cell>
          <cell r="J77">
            <v>0.1246</v>
          </cell>
          <cell r="K77">
            <v>0.66639999999999999</v>
          </cell>
          <cell r="L77">
            <v>6.6600000000000006E-2</v>
          </cell>
          <cell r="M77">
            <v>0.35120000000000001</v>
          </cell>
          <cell r="N77">
            <v>0.31719999999999998</v>
          </cell>
          <cell r="O77">
            <v>0.1173</v>
          </cell>
          <cell r="P77">
            <v>0.16170000000000001</v>
          </cell>
          <cell r="Q77">
            <v>0.129</v>
          </cell>
          <cell r="R77">
            <v>0.21859999999999999</v>
          </cell>
          <cell r="S77">
            <v>0.14929999999999999</v>
          </cell>
          <cell r="T77">
            <v>0.1552</v>
          </cell>
          <cell r="U77">
            <v>3.1E-2</v>
          </cell>
          <cell r="V77">
            <v>1.03E-2</v>
          </cell>
          <cell r="W77">
            <v>1.03E-2</v>
          </cell>
          <cell r="X77">
            <v>7.7999999999999996E-3</v>
          </cell>
          <cell r="Y77">
            <v>7.7999999999999996E-3</v>
          </cell>
          <cell r="Z77">
            <v>0.89290000000000003</v>
          </cell>
        </row>
        <row r="78">
          <cell r="I78">
            <v>0.47320000000000001</v>
          </cell>
          <cell r="J78">
            <v>0.37140000000000001</v>
          </cell>
          <cell r="K78">
            <v>4.0599999999999997E-2</v>
          </cell>
          <cell r="L78">
            <v>0.62529999999999997</v>
          </cell>
          <cell r="M78">
            <v>0.34870000000000001</v>
          </cell>
          <cell r="N78">
            <v>0.32950000000000002</v>
          </cell>
          <cell r="O78">
            <v>9.6299999999999997E-2</v>
          </cell>
          <cell r="P78">
            <v>0.1517</v>
          </cell>
          <cell r="Q78">
            <v>8.2500000000000004E-2</v>
          </cell>
          <cell r="R78">
            <v>0.15010000000000001</v>
          </cell>
          <cell r="S78">
            <v>0.21709999999999999</v>
          </cell>
          <cell r="T78">
            <v>8.5000000000000006E-3</v>
          </cell>
          <cell r="U78">
            <v>8.5000000000000006E-3</v>
          </cell>
          <cell r="V78">
            <v>8.5000000000000006E-3</v>
          </cell>
          <cell r="W78">
            <v>8.5000000000000006E-3</v>
          </cell>
          <cell r="X78">
            <v>0.1709</v>
          </cell>
          <cell r="Y78">
            <v>2.2800000000000001E-2</v>
          </cell>
          <cell r="Z78">
            <v>0.81779999999999997</v>
          </cell>
        </row>
        <row r="79">
          <cell r="I79">
            <v>0.1968</v>
          </cell>
          <cell r="J79">
            <v>0.25259999999999999</v>
          </cell>
          <cell r="K79">
            <v>3.9300000000000002E-2</v>
          </cell>
          <cell r="L79">
            <v>0.60429999999999995</v>
          </cell>
          <cell r="M79">
            <v>0.1479</v>
          </cell>
          <cell r="N79">
            <v>0.1726</v>
          </cell>
          <cell r="O79">
            <v>0.13289999999999999</v>
          </cell>
          <cell r="P79">
            <v>0.14660000000000001</v>
          </cell>
          <cell r="Q79">
            <v>0.17810000000000001</v>
          </cell>
          <cell r="R79">
            <v>0.37469999999999998</v>
          </cell>
          <cell r="S79">
            <v>0.15570000000000001</v>
          </cell>
          <cell r="T79">
            <v>1.38E-2</v>
          </cell>
          <cell r="U79">
            <v>6.9199999999999998E-2</v>
          </cell>
          <cell r="V79">
            <v>4.5999999999999999E-3</v>
          </cell>
          <cell r="W79">
            <v>4.5999999999999999E-3</v>
          </cell>
          <cell r="X79">
            <v>3.5000000000000001E-3</v>
          </cell>
          <cell r="Y79">
            <v>3.5000000000000001E-3</v>
          </cell>
          <cell r="Z79">
            <v>0.92730000000000001</v>
          </cell>
        </row>
        <row r="80">
          <cell r="I80">
            <v>0.16650000000000001</v>
          </cell>
          <cell r="J80">
            <v>0.26910000000000001</v>
          </cell>
          <cell r="K80">
            <v>2.9000000000000001E-2</v>
          </cell>
          <cell r="L80">
            <v>0.51829999999999998</v>
          </cell>
          <cell r="M80">
            <v>0.13569999999999999</v>
          </cell>
          <cell r="N80">
            <v>0.14979999999999999</v>
          </cell>
          <cell r="O80">
            <v>0.59299999999999997</v>
          </cell>
          <cell r="P80">
            <v>0.17519999999999999</v>
          </cell>
          <cell r="Q80">
            <v>0.12540000000000001</v>
          </cell>
          <cell r="R80">
            <v>0.19700000000000001</v>
          </cell>
          <cell r="S80">
            <v>0.16259999999999999</v>
          </cell>
          <cell r="T80">
            <v>1.61E-2</v>
          </cell>
          <cell r="U80">
            <v>8.0699999999999994E-2</v>
          </cell>
          <cell r="V80">
            <v>5.4000000000000003E-3</v>
          </cell>
          <cell r="W80">
            <v>5.4000000000000003E-3</v>
          </cell>
          <cell r="X80">
            <v>4.0000000000000001E-3</v>
          </cell>
          <cell r="Y80">
            <v>4.0000000000000001E-3</v>
          </cell>
          <cell r="Z80">
            <v>0.88959999999999995</v>
          </cell>
        </row>
        <row r="81">
          <cell r="I81">
            <v>0.22120000000000001</v>
          </cell>
          <cell r="J81">
            <v>0.252</v>
          </cell>
          <cell r="K81">
            <v>3.3700000000000001E-2</v>
          </cell>
          <cell r="L81">
            <v>0.63639999999999997</v>
          </cell>
          <cell r="M81">
            <v>0.18390000000000001</v>
          </cell>
          <cell r="N81">
            <v>0.17530000000000001</v>
          </cell>
          <cell r="O81">
            <v>0.182</v>
          </cell>
          <cell r="P81">
            <v>0.15989999999999999</v>
          </cell>
          <cell r="Q81">
            <v>0.224</v>
          </cell>
          <cell r="R81">
            <v>0.43780000000000002</v>
          </cell>
          <cell r="S81">
            <v>0.13539999999999999</v>
          </cell>
          <cell r="T81">
            <v>1.52E-2</v>
          </cell>
          <cell r="U81">
            <v>7.6100000000000001E-2</v>
          </cell>
          <cell r="V81">
            <v>5.1000000000000004E-3</v>
          </cell>
          <cell r="W81">
            <v>5.1000000000000004E-3</v>
          </cell>
          <cell r="X81">
            <v>3.8E-3</v>
          </cell>
          <cell r="Y81">
            <v>3.8E-3</v>
          </cell>
          <cell r="Z81">
            <v>1.1153999999999999</v>
          </cell>
        </row>
        <row r="82">
          <cell r="I82">
            <v>0.24909999999999999</v>
          </cell>
          <cell r="J82">
            <v>0.13239999999999999</v>
          </cell>
          <cell r="K82">
            <v>0.70779999999999998</v>
          </cell>
          <cell r="L82">
            <v>7.0800000000000002E-2</v>
          </cell>
          <cell r="M82">
            <v>0.1925</v>
          </cell>
          <cell r="N82">
            <v>0.1925</v>
          </cell>
          <cell r="O82">
            <v>0.24909999999999999</v>
          </cell>
          <cell r="P82">
            <v>0.19020000000000001</v>
          </cell>
          <cell r="Q82">
            <v>0.20549999999999999</v>
          </cell>
          <cell r="R82">
            <v>0.37369999999999998</v>
          </cell>
          <cell r="S82">
            <v>0.19819999999999999</v>
          </cell>
          <cell r="T82">
            <v>1.8599999999999998E-2</v>
          </cell>
          <cell r="U82">
            <v>9.2799999999999994E-2</v>
          </cell>
          <cell r="V82">
            <v>6.1999999999999998E-3</v>
          </cell>
          <cell r="W82">
            <v>6.1999999999999998E-3</v>
          </cell>
          <cell r="X82">
            <v>4.5999999999999999E-3</v>
          </cell>
          <cell r="Y82">
            <v>4.5999999999999999E-3</v>
          </cell>
          <cell r="Z82">
            <v>1.0587</v>
          </cell>
        </row>
        <row r="83">
          <cell r="I83">
            <v>0.56520000000000004</v>
          </cell>
          <cell r="J83">
            <v>0.1118</v>
          </cell>
          <cell r="K83">
            <v>0.70579999999999998</v>
          </cell>
          <cell r="L83">
            <v>5.9299999999999999E-2</v>
          </cell>
          <cell r="M83">
            <v>0.51600000000000001</v>
          </cell>
          <cell r="N83">
            <v>0.25440000000000002</v>
          </cell>
          <cell r="O83">
            <v>9.3200000000000005E-2</v>
          </cell>
          <cell r="P83">
            <v>0.16520000000000001</v>
          </cell>
          <cell r="Q83">
            <v>9.3200000000000005E-2</v>
          </cell>
          <cell r="R83">
            <v>0.1835</v>
          </cell>
          <cell r="S83">
            <v>0.13439999999999999</v>
          </cell>
          <cell r="T83">
            <v>3.2300000000000002E-2</v>
          </cell>
          <cell r="U83">
            <v>0.16139999999999999</v>
          </cell>
          <cell r="V83">
            <v>1.0800000000000001E-2</v>
          </cell>
          <cell r="W83">
            <v>1.0800000000000001E-2</v>
          </cell>
          <cell r="X83">
            <v>8.0999999999999996E-3</v>
          </cell>
          <cell r="Y83">
            <v>8.0999999999999996E-3</v>
          </cell>
          <cell r="Z83">
            <v>0.8165</v>
          </cell>
        </row>
        <row r="84">
          <cell r="I84">
            <v>0.34110000000000001</v>
          </cell>
          <cell r="J84">
            <v>0.41120000000000001</v>
          </cell>
          <cell r="K84">
            <v>4.5699999999999998E-2</v>
          </cell>
          <cell r="L84">
            <v>0.69220000000000004</v>
          </cell>
          <cell r="M84">
            <v>0.45900000000000002</v>
          </cell>
          <cell r="N84">
            <v>0.16950000000000001</v>
          </cell>
          <cell r="O84">
            <v>0.16750000000000001</v>
          </cell>
          <cell r="P84">
            <v>0.18</v>
          </cell>
          <cell r="Q84">
            <v>0.11269999999999999</v>
          </cell>
          <cell r="R84">
            <v>0.2409</v>
          </cell>
          <cell r="S84">
            <v>0.1822</v>
          </cell>
          <cell r="T84">
            <v>7.6E-3</v>
          </cell>
          <cell r="U84">
            <v>7.6E-3</v>
          </cell>
          <cell r="V84">
            <v>7.6E-3</v>
          </cell>
          <cell r="W84">
            <v>7.6E-3</v>
          </cell>
          <cell r="X84">
            <v>2.0199999999999999E-2</v>
          </cell>
          <cell r="Y84">
            <v>0.15129999999999999</v>
          </cell>
          <cell r="Z84">
            <v>0.90890000000000004</v>
          </cell>
        </row>
        <row r="85">
          <cell r="I85">
            <v>0.31730000000000003</v>
          </cell>
          <cell r="J85">
            <v>0.23549999999999999</v>
          </cell>
          <cell r="K85">
            <v>4.7899999999999998E-2</v>
          </cell>
          <cell r="L85">
            <v>0.56340000000000001</v>
          </cell>
          <cell r="M85">
            <v>0.2356</v>
          </cell>
          <cell r="N85">
            <v>0.2145</v>
          </cell>
          <cell r="O85">
            <v>0.17349999999999999</v>
          </cell>
          <cell r="P85">
            <v>0.14649999999999999</v>
          </cell>
          <cell r="Q85">
            <v>0.13880000000000001</v>
          </cell>
          <cell r="R85">
            <v>0.32679999999999998</v>
          </cell>
          <cell r="S85">
            <v>9.7799999999999998E-2</v>
          </cell>
          <cell r="T85">
            <v>7.4999999999999997E-3</v>
          </cell>
          <cell r="U85">
            <v>7.4999999999999997E-3</v>
          </cell>
          <cell r="V85">
            <v>0.1119</v>
          </cell>
          <cell r="W85">
            <v>2.8000000000000001E-2</v>
          </cell>
          <cell r="X85">
            <v>5.5999999999999999E-3</v>
          </cell>
          <cell r="Y85">
            <v>5.5999999999999999E-3</v>
          </cell>
          <cell r="Z85">
            <v>0.88800000000000001</v>
          </cell>
        </row>
        <row r="86">
          <cell r="I86">
            <v>0.24690000000000001</v>
          </cell>
          <cell r="J86">
            <v>0.2636</v>
          </cell>
          <cell r="K86">
            <v>3.78E-2</v>
          </cell>
          <cell r="L86">
            <v>0.63060000000000005</v>
          </cell>
          <cell r="M86">
            <v>0.19719999999999999</v>
          </cell>
          <cell r="N86">
            <v>0.1951</v>
          </cell>
          <cell r="O86">
            <v>0.20810000000000001</v>
          </cell>
          <cell r="P86">
            <v>0.16389999999999999</v>
          </cell>
          <cell r="Q86">
            <v>0.17199999999999999</v>
          </cell>
          <cell r="R86">
            <v>0.29010000000000002</v>
          </cell>
          <cell r="S86">
            <v>0.2172</v>
          </cell>
          <cell r="T86">
            <v>5.0000000000000001E-3</v>
          </cell>
          <cell r="U86">
            <v>5.0000000000000001E-3</v>
          </cell>
          <cell r="V86">
            <v>5.0000000000000001E-3</v>
          </cell>
          <cell r="W86">
            <v>5.0000000000000001E-3</v>
          </cell>
          <cell r="X86">
            <v>0.1007</v>
          </cell>
          <cell r="Y86">
            <v>1.34E-2</v>
          </cell>
          <cell r="Z86">
            <v>1.6317999999999999</v>
          </cell>
        </row>
        <row r="87">
          <cell r="I87">
            <v>0.3579</v>
          </cell>
          <cell r="J87">
            <v>0.29820000000000002</v>
          </cell>
          <cell r="K87">
            <v>5.4199999999999998E-2</v>
          </cell>
          <cell r="L87">
            <v>0.5423</v>
          </cell>
          <cell r="M87">
            <v>0.27660000000000001</v>
          </cell>
          <cell r="N87">
            <v>0.2581</v>
          </cell>
          <cell r="O87">
            <v>0.23860000000000001</v>
          </cell>
          <cell r="P87">
            <v>0.16450000000000001</v>
          </cell>
          <cell r="Q87">
            <v>0.1145</v>
          </cell>
          <cell r="R87">
            <v>0.26029999999999998</v>
          </cell>
          <cell r="S87">
            <v>0.1822</v>
          </cell>
          <cell r="T87">
            <v>9.7000000000000003E-3</v>
          </cell>
          <cell r="U87">
            <v>9.7000000000000003E-3</v>
          </cell>
          <cell r="V87">
            <v>0.14510000000000001</v>
          </cell>
          <cell r="W87">
            <v>3.6299999999999999E-2</v>
          </cell>
          <cell r="X87">
            <v>7.3000000000000001E-3</v>
          </cell>
          <cell r="Y87">
            <v>7.3000000000000001E-3</v>
          </cell>
          <cell r="Z87">
            <v>0.91579999999999995</v>
          </cell>
        </row>
        <row r="88">
          <cell r="I88">
            <v>0.22059999999999999</v>
          </cell>
          <cell r="J88">
            <v>0.13400000000000001</v>
          </cell>
          <cell r="K88">
            <v>0.71640000000000004</v>
          </cell>
          <cell r="L88">
            <v>5.3699999999999998E-2</v>
          </cell>
          <cell r="M88">
            <v>0.18509999999999999</v>
          </cell>
          <cell r="N88">
            <v>0.19</v>
          </cell>
          <cell r="O88">
            <v>0.34670000000000001</v>
          </cell>
          <cell r="P88">
            <v>0.19620000000000001</v>
          </cell>
          <cell r="Q88">
            <v>0.28050000000000003</v>
          </cell>
          <cell r="R88">
            <v>0.3725</v>
          </cell>
          <cell r="S88">
            <v>0.17649999999999999</v>
          </cell>
          <cell r="T88">
            <v>8.7300000000000003E-2</v>
          </cell>
          <cell r="U88">
            <v>1.7500000000000002E-2</v>
          </cell>
          <cell r="V88">
            <v>5.7999999999999996E-3</v>
          </cell>
          <cell r="W88">
            <v>5.7999999999999996E-3</v>
          </cell>
          <cell r="X88">
            <v>4.4000000000000003E-3</v>
          </cell>
          <cell r="Y88">
            <v>4.4000000000000003E-3</v>
          </cell>
          <cell r="Z88">
            <v>1.2845</v>
          </cell>
        </row>
        <row r="89">
          <cell r="I89">
            <v>0.37390000000000001</v>
          </cell>
          <cell r="J89">
            <v>0.15859999999999999</v>
          </cell>
          <cell r="K89">
            <v>0.75870000000000004</v>
          </cell>
          <cell r="L89">
            <v>5.9200000000000003E-2</v>
          </cell>
          <cell r="M89">
            <v>0.32500000000000001</v>
          </cell>
          <cell r="N89">
            <v>0.31990000000000002</v>
          </cell>
          <cell r="O89">
            <v>0.13350000000000001</v>
          </cell>
          <cell r="P89">
            <v>0.18410000000000001</v>
          </cell>
          <cell r="Q89">
            <v>0.1636</v>
          </cell>
          <cell r="R89">
            <v>0.31259999999999999</v>
          </cell>
          <cell r="S89">
            <v>0.2082</v>
          </cell>
          <cell r="T89">
            <v>9.2999999999999992E-3</v>
          </cell>
          <cell r="U89">
            <v>9.2999999999999992E-3</v>
          </cell>
          <cell r="V89">
            <v>3.4799999999999998E-2</v>
          </cell>
          <cell r="W89">
            <v>0.1391</v>
          </cell>
          <cell r="X89">
            <v>7.0000000000000001E-3</v>
          </cell>
          <cell r="Y89">
            <v>7.0000000000000001E-3</v>
          </cell>
          <cell r="Z89">
            <v>1.0074000000000001</v>
          </cell>
        </row>
        <row r="90">
          <cell r="I90">
            <v>0.16589999999999999</v>
          </cell>
          <cell r="J90">
            <v>0.45250000000000001</v>
          </cell>
          <cell r="K90">
            <v>5.4800000000000001E-2</v>
          </cell>
          <cell r="L90">
            <v>0.68559999999999999</v>
          </cell>
          <cell r="M90">
            <v>0.33800000000000002</v>
          </cell>
          <cell r="N90">
            <v>0.52449999999999997</v>
          </cell>
          <cell r="O90">
            <v>0.1207</v>
          </cell>
          <cell r="P90">
            <v>0.16400000000000001</v>
          </cell>
          <cell r="Q90">
            <v>0.13270000000000001</v>
          </cell>
          <cell r="R90">
            <v>0.24129999999999999</v>
          </cell>
          <cell r="S90">
            <v>0.2419</v>
          </cell>
          <cell r="T90">
            <v>1.2500000000000001E-2</v>
          </cell>
          <cell r="U90">
            <v>1.2500000000000001E-2</v>
          </cell>
          <cell r="V90">
            <v>0.18729999999999999</v>
          </cell>
          <cell r="W90">
            <v>4.6800000000000001E-2</v>
          </cell>
          <cell r="X90">
            <v>9.4000000000000004E-3</v>
          </cell>
          <cell r="Y90">
            <v>9.4000000000000004E-3</v>
          </cell>
          <cell r="Z90">
            <v>1.006</v>
          </cell>
        </row>
        <row r="91">
          <cell r="I91">
            <v>0.24460000000000001</v>
          </cell>
          <cell r="J91">
            <v>0.62929999999999997</v>
          </cell>
          <cell r="K91">
            <v>3.78E-2</v>
          </cell>
          <cell r="L91">
            <v>0.53969999999999996</v>
          </cell>
          <cell r="M91">
            <v>0.1762</v>
          </cell>
          <cell r="N91">
            <v>0.2165</v>
          </cell>
          <cell r="O91">
            <v>0.15440000000000001</v>
          </cell>
          <cell r="P91">
            <v>0.13569999999999999</v>
          </cell>
          <cell r="Q91">
            <v>9.9699999999999997E-2</v>
          </cell>
          <cell r="R91">
            <v>0.1943</v>
          </cell>
          <cell r="S91">
            <v>0.16930000000000001</v>
          </cell>
          <cell r="T91">
            <v>7.4999999999999997E-3</v>
          </cell>
          <cell r="U91">
            <v>7.4999999999999997E-3</v>
          </cell>
          <cell r="V91">
            <v>0.11219999999999999</v>
          </cell>
          <cell r="W91">
            <v>2.81E-2</v>
          </cell>
          <cell r="X91">
            <v>5.5999999999999999E-3</v>
          </cell>
          <cell r="Y91">
            <v>5.5999999999999999E-3</v>
          </cell>
          <cell r="Z91">
            <v>0.82250000000000001</v>
          </cell>
        </row>
        <row r="92">
          <cell r="I92">
            <v>0.28289999999999998</v>
          </cell>
          <cell r="J92">
            <v>0.31119999999999998</v>
          </cell>
          <cell r="K92">
            <v>6.4299999999999996E-2</v>
          </cell>
          <cell r="L92">
            <v>0.64290000000000003</v>
          </cell>
          <cell r="M92">
            <v>0.20760000000000001</v>
          </cell>
          <cell r="N92">
            <v>0.2404</v>
          </cell>
          <cell r="O92">
            <v>0.19800000000000001</v>
          </cell>
          <cell r="P92">
            <v>0.17269999999999999</v>
          </cell>
          <cell r="Q92">
            <v>0.13009999999999999</v>
          </cell>
          <cell r="R92">
            <v>0.28289999999999998</v>
          </cell>
          <cell r="S92">
            <v>0.19439999999999999</v>
          </cell>
          <cell r="T92">
            <v>4.7999999999999996E-3</v>
          </cell>
          <cell r="U92">
            <v>4.7999999999999996E-3</v>
          </cell>
          <cell r="V92">
            <v>4.7999999999999996E-3</v>
          </cell>
          <cell r="W92">
            <v>4.7999999999999996E-3</v>
          </cell>
          <cell r="X92">
            <v>9.6000000000000002E-2</v>
          </cell>
          <cell r="Y92">
            <v>1.2800000000000001E-2</v>
          </cell>
          <cell r="Z92">
            <v>0.89400000000000002</v>
          </cell>
        </row>
        <row r="93">
          <cell r="I93">
            <v>0.1908</v>
          </cell>
          <cell r="J93">
            <v>0.31319999999999998</v>
          </cell>
          <cell r="K93">
            <v>3.3700000000000001E-2</v>
          </cell>
          <cell r="L93">
            <v>0.64710000000000001</v>
          </cell>
          <cell r="M93">
            <v>0.14299999999999999</v>
          </cell>
          <cell r="N93">
            <v>0.17599999999999999</v>
          </cell>
          <cell r="O93">
            <v>0.51249999999999996</v>
          </cell>
          <cell r="P93">
            <v>0.20749999999999999</v>
          </cell>
          <cell r="Q93">
            <v>0.1167</v>
          </cell>
          <cell r="R93">
            <v>0.19409999999999999</v>
          </cell>
          <cell r="S93">
            <v>0.32250000000000001</v>
          </cell>
          <cell r="T93">
            <v>1.7399999999999999E-2</v>
          </cell>
          <cell r="U93">
            <v>8.6900000000000005E-2</v>
          </cell>
          <cell r="V93">
            <v>5.7999999999999996E-3</v>
          </cell>
          <cell r="W93">
            <v>5.7999999999999996E-3</v>
          </cell>
          <cell r="X93">
            <v>4.3E-3</v>
          </cell>
          <cell r="Y93">
            <v>4.3E-3</v>
          </cell>
          <cell r="Z93">
            <v>0.89690000000000003</v>
          </cell>
        </row>
        <row r="94">
          <cell r="I94">
            <v>0.22170000000000001</v>
          </cell>
          <cell r="J94">
            <v>9.5600000000000004E-2</v>
          </cell>
          <cell r="K94">
            <v>0.86880000000000002</v>
          </cell>
          <cell r="L94">
            <v>4.3400000000000001E-2</v>
          </cell>
          <cell r="M94">
            <v>0.16250000000000001</v>
          </cell>
          <cell r="N94">
            <v>0.16539999999999999</v>
          </cell>
          <cell r="O94">
            <v>0.30580000000000002</v>
          </cell>
          <cell r="P94">
            <v>0.29370000000000002</v>
          </cell>
          <cell r="Q94">
            <v>0.21790000000000001</v>
          </cell>
          <cell r="R94">
            <v>0.37880000000000003</v>
          </cell>
          <cell r="S94">
            <v>0.23350000000000001</v>
          </cell>
          <cell r="T94">
            <v>6.4500000000000002E-2</v>
          </cell>
          <cell r="U94">
            <v>1.29E-2</v>
          </cell>
          <cell r="V94">
            <v>4.3E-3</v>
          </cell>
          <cell r="W94">
            <v>4.3E-3</v>
          </cell>
          <cell r="X94">
            <v>3.2000000000000002E-3</v>
          </cell>
          <cell r="Y94">
            <v>3.2000000000000002E-3</v>
          </cell>
          <cell r="Z94">
            <v>1.0704</v>
          </cell>
        </row>
        <row r="95">
          <cell r="I95">
            <v>0.50470000000000004</v>
          </cell>
          <cell r="J95">
            <v>0.1404</v>
          </cell>
          <cell r="K95">
            <v>0.75960000000000005</v>
          </cell>
          <cell r="L95">
            <v>5.9299999999999999E-2</v>
          </cell>
          <cell r="M95">
            <v>0.4365</v>
          </cell>
          <cell r="N95">
            <v>0.24279999999999999</v>
          </cell>
          <cell r="O95">
            <v>0.11700000000000001</v>
          </cell>
          <cell r="P95">
            <v>0.1883</v>
          </cell>
          <cell r="Q95">
            <v>0.11700000000000001</v>
          </cell>
          <cell r="R95">
            <v>0.2218</v>
          </cell>
          <cell r="S95">
            <v>0.32969999999999999</v>
          </cell>
          <cell r="T95">
            <v>1.1299999999999999E-2</v>
          </cell>
          <cell r="U95">
            <v>1.1299999999999999E-2</v>
          </cell>
          <cell r="V95">
            <v>4.24E-2</v>
          </cell>
          <cell r="W95">
            <v>0.1696</v>
          </cell>
          <cell r="X95">
            <v>8.5000000000000006E-3</v>
          </cell>
          <cell r="Y95">
            <v>8.5000000000000006E-3</v>
          </cell>
          <cell r="Z95">
            <v>0.9264</v>
          </cell>
        </row>
        <row r="96">
          <cell r="I96">
            <v>0.2661</v>
          </cell>
          <cell r="J96">
            <v>0.39229999999999998</v>
          </cell>
          <cell r="K96">
            <v>7.7499999999999999E-2</v>
          </cell>
          <cell r="L96">
            <v>0.77529999999999999</v>
          </cell>
          <cell r="M96">
            <v>0.19769999999999999</v>
          </cell>
          <cell r="N96">
            <v>0.2109</v>
          </cell>
          <cell r="O96">
            <v>0.37530000000000002</v>
          </cell>
          <cell r="P96">
            <v>0.22170000000000001</v>
          </cell>
          <cell r="Q96">
            <v>0.15010000000000001</v>
          </cell>
          <cell r="R96">
            <v>0.34110000000000001</v>
          </cell>
          <cell r="S96">
            <v>0.23880000000000001</v>
          </cell>
          <cell r="T96">
            <v>5.4999999999999997E-3</v>
          </cell>
          <cell r="U96">
            <v>5.4999999999999997E-3</v>
          </cell>
          <cell r="V96">
            <v>5.4999999999999997E-3</v>
          </cell>
          <cell r="W96">
            <v>5.4999999999999997E-3</v>
          </cell>
          <cell r="X96">
            <v>0.1091</v>
          </cell>
          <cell r="Y96">
            <v>1.4500000000000001E-2</v>
          </cell>
          <cell r="Z96">
            <v>1.0462</v>
          </cell>
        </row>
        <row r="97">
          <cell r="I97">
            <v>0.2747</v>
          </cell>
          <cell r="J97">
            <v>0.29859999999999998</v>
          </cell>
          <cell r="K97">
            <v>6.7900000000000002E-2</v>
          </cell>
          <cell r="L97">
            <v>0.67859999999999998</v>
          </cell>
          <cell r="M97">
            <v>0.21920000000000001</v>
          </cell>
          <cell r="N97">
            <v>0.24229999999999999</v>
          </cell>
          <cell r="O97">
            <v>0.14929999999999999</v>
          </cell>
          <cell r="P97">
            <v>0.1764</v>
          </cell>
          <cell r="Q97">
            <v>0.11940000000000001</v>
          </cell>
          <cell r="R97">
            <v>0.28499999999999998</v>
          </cell>
          <cell r="S97">
            <v>0.19</v>
          </cell>
          <cell r="T97">
            <v>7.1999999999999998E-3</v>
          </cell>
          <cell r="U97">
            <v>7.1999999999999998E-3</v>
          </cell>
          <cell r="V97">
            <v>0.1081</v>
          </cell>
          <cell r="W97">
            <v>2.7E-2</v>
          </cell>
          <cell r="X97">
            <v>5.4000000000000003E-3</v>
          </cell>
          <cell r="Y97">
            <v>5.4000000000000003E-3</v>
          </cell>
          <cell r="Z97">
            <v>0.84040000000000004</v>
          </cell>
        </row>
        <row r="98">
          <cell r="I98">
            <v>0.2324</v>
          </cell>
          <cell r="J98">
            <v>0.29830000000000001</v>
          </cell>
          <cell r="K98">
            <v>4.6399999999999997E-2</v>
          </cell>
          <cell r="L98">
            <v>0.7137</v>
          </cell>
          <cell r="M98">
            <v>0.17469999999999999</v>
          </cell>
          <cell r="N98">
            <v>0.20380000000000001</v>
          </cell>
          <cell r="O98">
            <v>0.157</v>
          </cell>
          <cell r="P98">
            <v>0.17319999999999999</v>
          </cell>
          <cell r="Q98">
            <v>0.2104</v>
          </cell>
          <cell r="R98">
            <v>0.4425</v>
          </cell>
          <cell r="S98">
            <v>0.18390000000000001</v>
          </cell>
          <cell r="T98">
            <v>5.4000000000000003E-3</v>
          </cell>
          <cell r="U98">
            <v>5.4000000000000003E-3</v>
          </cell>
          <cell r="V98">
            <v>2.0400000000000001E-2</v>
          </cell>
          <cell r="W98">
            <v>8.1699999999999995E-2</v>
          </cell>
          <cell r="X98">
            <v>4.1000000000000003E-3</v>
          </cell>
          <cell r="Y98">
            <v>4.1000000000000003E-3</v>
          </cell>
          <cell r="Z98">
            <v>1.0952</v>
          </cell>
        </row>
        <row r="99">
          <cell r="I99">
            <v>0.19620000000000001</v>
          </cell>
          <cell r="J99">
            <v>0.31709999999999999</v>
          </cell>
          <cell r="K99">
            <v>3.4200000000000001E-2</v>
          </cell>
          <cell r="L99">
            <v>0.61080000000000001</v>
          </cell>
          <cell r="M99">
            <v>0.15989999999999999</v>
          </cell>
          <cell r="N99">
            <v>0.17649999999999999</v>
          </cell>
          <cell r="O99">
            <v>0.69879999999999998</v>
          </cell>
          <cell r="P99">
            <v>0.20649999999999999</v>
          </cell>
          <cell r="Q99">
            <v>0.14779999999999999</v>
          </cell>
          <cell r="R99">
            <v>0.2321</v>
          </cell>
          <cell r="S99">
            <v>0.19159999999999999</v>
          </cell>
          <cell r="T99">
            <v>4.7999999999999996E-3</v>
          </cell>
          <cell r="U99">
            <v>4.7999999999999996E-3</v>
          </cell>
          <cell r="V99">
            <v>4.7999999999999996E-3</v>
          </cell>
          <cell r="W99">
            <v>4.7999999999999996E-3</v>
          </cell>
          <cell r="X99">
            <v>1.2699999999999999E-2</v>
          </cell>
          <cell r="Y99">
            <v>9.5100000000000004E-2</v>
          </cell>
          <cell r="Z99">
            <v>1.0483</v>
          </cell>
        </row>
        <row r="100">
          <cell r="I100">
            <v>0.28170000000000001</v>
          </cell>
          <cell r="J100">
            <v>0.18490000000000001</v>
          </cell>
          <cell r="K100">
            <v>0.80030000000000001</v>
          </cell>
          <cell r="L100">
            <v>5.6000000000000001E-2</v>
          </cell>
          <cell r="M100">
            <v>0.20949999999999999</v>
          </cell>
          <cell r="N100">
            <v>0.2258</v>
          </cell>
          <cell r="O100">
            <v>0.22889999999999999</v>
          </cell>
          <cell r="P100">
            <v>0.20250000000000001</v>
          </cell>
          <cell r="Q100">
            <v>0.2732</v>
          </cell>
          <cell r="R100">
            <v>0.41289999999999999</v>
          </cell>
          <cell r="S100">
            <v>0.23080000000000001</v>
          </cell>
          <cell r="T100">
            <v>7.0000000000000001E-3</v>
          </cell>
          <cell r="U100">
            <v>7.0000000000000001E-3</v>
          </cell>
          <cell r="V100">
            <v>2.6100000000000002E-2</v>
          </cell>
          <cell r="W100">
            <v>0.10440000000000001</v>
          </cell>
          <cell r="X100">
            <v>5.1999999999999998E-3</v>
          </cell>
          <cell r="Y100">
            <v>5.1999999999999998E-3</v>
          </cell>
          <cell r="Z100">
            <v>1.2909999999999999</v>
          </cell>
        </row>
        <row r="101">
          <cell r="I101">
            <v>0.29239999999999999</v>
          </cell>
          <cell r="J101">
            <v>0.15540000000000001</v>
          </cell>
          <cell r="K101">
            <v>0.83079999999999998</v>
          </cell>
          <cell r="L101">
            <v>8.3099999999999993E-2</v>
          </cell>
          <cell r="M101">
            <v>0.22600000000000001</v>
          </cell>
          <cell r="N101">
            <v>0.22600000000000001</v>
          </cell>
          <cell r="O101">
            <v>0.29239999999999999</v>
          </cell>
          <cell r="P101">
            <v>0.22320000000000001</v>
          </cell>
          <cell r="Q101">
            <v>0.24129999999999999</v>
          </cell>
          <cell r="R101">
            <v>0.43859999999999999</v>
          </cell>
          <cell r="S101">
            <v>0.2326</v>
          </cell>
          <cell r="T101">
            <v>0.1089</v>
          </cell>
          <cell r="U101">
            <v>2.18E-2</v>
          </cell>
          <cell r="V101">
            <v>7.3000000000000001E-3</v>
          </cell>
          <cell r="W101">
            <v>7.3000000000000001E-3</v>
          </cell>
          <cell r="X101">
            <v>5.4000000000000003E-3</v>
          </cell>
          <cell r="Y101">
            <v>5.4000000000000003E-3</v>
          </cell>
          <cell r="Z101">
            <v>1.2426999999999999</v>
          </cell>
        </row>
        <row r="102">
          <cell r="I102">
            <v>0.2223</v>
          </cell>
          <cell r="J102">
            <v>0.2989</v>
          </cell>
          <cell r="K102">
            <v>4.3499999999999997E-2</v>
          </cell>
          <cell r="L102">
            <v>0.87090000000000001</v>
          </cell>
          <cell r="M102">
            <v>0.1895</v>
          </cell>
          <cell r="N102">
            <v>0.1925</v>
          </cell>
          <cell r="O102">
            <v>0.30659999999999998</v>
          </cell>
          <cell r="P102">
            <v>0.23400000000000001</v>
          </cell>
          <cell r="Q102">
            <v>0.32190000000000002</v>
          </cell>
          <cell r="R102">
            <v>0.45290000000000002</v>
          </cell>
          <cell r="S102">
            <v>0.24390000000000001</v>
          </cell>
          <cell r="T102">
            <v>4.3E-3</v>
          </cell>
          <cell r="U102">
            <v>4.3E-3</v>
          </cell>
          <cell r="V102">
            <v>4.3E-3</v>
          </cell>
          <cell r="W102">
            <v>4.3E-3</v>
          </cell>
          <cell r="X102">
            <v>8.6400000000000005E-2</v>
          </cell>
          <cell r="Y102">
            <v>1.15E-2</v>
          </cell>
          <cell r="Z102">
            <v>1.4633</v>
          </cell>
        </row>
        <row r="103">
          <cell r="I103">
            <v>0.31909999999999999</v>
          </cell>
          <cell r="J103">
            <v>0.30459999999999998</v>
          </cell>
          <cell r="K103">
            <v>6.59E-2</v>
          </cell>
          <cell r="L103">
            <v>0.65920000000000001</v>
          </cell>
          <cell r="M103">
            <v>0.2465</v>
          </cell>
          <cell r="N103">
            <v>0.2465</v>
          </cell>
          <cell r="O103">
            <v>0.20300000000000001</v>
          </cell>
          <cell r="P103">
            <v>0.17710000000000001</v>
          </cell>
          <cell r="Q103">
            <v>0.13919999999999999</v>
          </cell>
          <cell r="R103">
            <v>0.26369999999999999</v>
          </cell>
          <cell r="S103">
            <v>0.18459999999999999</v>
          </cell>
          <cell r="T103">
            <v>8.0999999999999996E-3</v>
          </cell>
          <cell r="U103">
            <v>8.0999999999999996E-3</v>
          </cell>
          <cell r="V103">
            <v>3.0300000000000001E-2</v>
          </cell>
          <cell r="W103">
            <v>0.12139999999999999</v>
          </cell>
          <cell r="X103">
            <v>6.1000000000000004E-3</v>
          </cell>
          <cell r="Y103">
            <v>6.1000000000000004E-3</v>
          </cell>
          <cell r="Z103">
            <v>0.9365</v>
          </cell>
        </row>
        <row r="104">
          <cell r="I104">
            <v>0.37480000000000002</v>
          </cell>
          <cell r="J104">
            <v>0.27810000000000001</v>
          </cell>
          <cell r="K104">
            <v>5.6599999999999998E-2</v>
          </cell>
          <cell r="L104">
            <v>0.66539999999999999</v>
          </cell>
          <cell r="M104">
            <v>0.27829999999999999</v>
          </cell>
          <cell r="N104">
            <v>0.25340000000000001</v>
          </cell>
          <cell r="O104">
            <v>0.2049</v>
          </cell>
          <cell r="P104">
            <v>0.17299999999999999</v>
          </cell>
          <cell r="Q104">
            <v>0.16400000000000001</v>
          </cell>
          <cell r="R104">
            <v>0.38590000000000002</v>
          </cell>
          <cell r="S104">
            <v>0.11550000000000001</v>
          </cell>
          <cell r="T104">
            <v>8.8000000000000005E-3</v>
          </cell>
          <cell r="U104">
            <v>8.8000000000000005E-3</v>
          </cell>
          <cell r="V104">
            <v>3.3000000000000002E-2</v>
          </cell>
          <cell r="W104">
            <v>0.13220000000000001</v>
          </cell>
          <cell r="X104">
            <v>6.6E-3</v>
          </cell>
          <cell r="Y104">
            <v>6.6E-3</v>
          </cell>
          <cell r="Z104">
            <v>1.0488999999999999</v>
          </cell>
        </row>
        <row r="105">
          <cell r="I105">
            <v>0.29099999999999998</v>
          </cell>
          <cell r="J105">
            <v>0.31059999999999999</v>
          </cell>
          <cell r="K105">
            <v>4.4600000000000001E-2</v>
          </cell>
          <cell r="L105">
            <v>0.74309999999999998</v>
          </cell>
          <cell r="M105">
            <v>0.2324</v>
          </cell>
          <cell r="N105">
            <v>0.22989999999999999</v>
          </cell>
          <cell r="O105">
            <v>0.2452</v>
          </cell>
          <cell r="P105">
            <v>0.19320000000000001</v>
          </cell>
          <cell r="Q105">
            <v>0.20269999999999999</v>
          </cell>
          <cell r="R105">
            <v>0.34179999999999999</v>
          </cell>
          <cell r="S105">
            <v>0.25590000000000002</v>
          </cell>
          <cell r="T105">
            <v>0.1187</v>
          </cell>
          <cell r="U105">
            <v>2.3699999999999999E-2</v>
          </cell>
          <cell r="V105">
            <v>7.9000000000000008E-3</v>
          </cell>
          <cell r="W105">
            <v>7.9000000000000008E-3</v>
          </cell>
          <cell r="X105">
            <v>5.8999999999999999E-3</v>
          </cell>
          <cell r="Y105">
            <v>5.8999999999999999E-3</v>
          </cell>
          <cell r="Z105">
            <v>1.9229000000000001</v>
          </cell>
        </row>
        <row r="106">
          <cell r="I106">
            <v>0.31519999999999998</v>
          </cell>
          <cell r="J106">
            <v>0.1401</v>
          </cell>
          <cell r="K106">
            <v>0.79590000000000005</v>
          </cell>
          <cell r="L106">
            <v>7.9600000000000004E-2</v>
          </cell>
          <cell r="M106">
            <v>0.24360000000000001</v>
          </cell>
          <cell r="N106">
            <v>0.24360000000000001</v>
          </cell>
          <cell r="O106">
            <v>0.38519999999999999</v>
          </cell>
          <cell r="P106">
            <v>0.2414</v>
          </cell>
          <cell r="Q106">
            <v>0.21010000000000001</v>
          </cell>
          <cell r="R106">
            <v>0.37569999999999998</v>
          </cell>
          <cell r="S106">
            <v>0.2006</v>
          </cell>
          <cell r="T106">
            <v>2.2700000000000001E-2</v>
          </cell>
          <cell r="U106">
            <v>0.1137</v>
          </cell>
          <cell r="V106">
            <v>7.6E-3</v>
          </cell>
          <cell r="W106">
            <v>7.6E-3</v>
          </cell>
          <cell r="X106">
            <v>5.7000000000000002E-3</v>
          </cell>
          <cell r="Y106">
            <v>5.7000000000000002E-3</v>
          </cell>
          <cell r="Z106">
            <v>1.1847000000000001</v>
          </cell>
        </row>
        <row r="107">
          <cell r="I107">
            <v>0.25900000000000001</v>
          </cell>
          <cell r="J107">
            <v>0.15720000000000001</v>
          </cell>
          <cell r="K107">
            <v>0.84089999999999998</v>
          </cell>
          <cell r="L107">
            <v>6.3100000000000003E-2</v>
          </cell>
          <cell r="M107">
            <v>0.21729999999999999</v>
          </cell>
          <cell r="N107">
            <v>0.223</v>
          </cell>
          <cell r="O107">
            <v>0.40699999999999997</v>
          </cell>
          <cell r="P107">
            <v>0.2303</v>
          </cell>
          <cell r="Q107">
            <v>0.32929999999999998</v>
          </cell>
          <cell r="R107">
            <v>0.43719999999999998</v>
          </cell>
          <cell r="S107">
            <v>0.2072</v>
          </cell>
          <cell r="T107">
            <v>6.7999999999999996E-3</v>
          </cell>
          <cell r="U107">
            <v>6.7999999999999996E-3</v>
          </cell>
          <cell r="V107">
            <v>2.5600000000000001E-2</v>
          </cell>
          <cell r="W107">
            <v>0.10249999999999999</v>
          </cell>
          <cell r="X107">
            <v>5.1000000000000004E-3</v>
          </cell>
          <cell r="Y107">
            <v>5.1000000000000004E-3</v>
          </cell>
          <cell r="Z107">
            <v>1.5077</v>
          </cell>
        </row>
        <row r="108">
          <cell r="I108">
            <v>0.36320000000000002</v>
          </cell>
          <cell r="J108">
            <v>0.59960000000000002</v>
          </cell>
          <cell r="K108">
            <v>5.0599999999999999E-2</v>
          </cell>
          <cell r="L108">
            <v>0.77880000000000005</v>
          </cell>
          <cell r="M108">
            <v>0.2039</v>
          </cell>
          <cell r="N108">
            <v>0.54279999999999995</v>
          </cell>
          <cell r="O108">
            <v>0.1542</v>
          </cell>
          <cell r="P108">
            <v>0.19570000000000001</v>
          </cell>
          <cell r="Q108">
            <v>0.13020000000000001</v>
          </cell>
          <cell r="R108">
            <v>0.26169999999999999</v>
          </cell>
          <cell r="S108">
            <v>0.2311</v>
          </cell>
          <cell r="T108">
            <v>9.5999999999999992E-3</v>
          </cell>
          <cell r="U108">
            <v>9.5999999999999992E-3</v>
          </cell>
          <cell r="V108">
            <v>9.5999999999999992E-3</v>
          </cell>
          <cell r="W108">
            <v>9.5999999999999992E-3</v>
          </cell>
          <cell r="X108">
            <v>0.191</v>
          </cell>
          <cell r="Y108">
            <v>2.5499999999999998E-2</v>
          </cell>
          <cell r="Z108">
            <v>1.0730999999999999</v>
          </cell>
        </row>
        <row r="109">
          <cell r="I109">
            <v>0.2944</v>
          </cell>
          <cell r="J109">
            <v>0.33739999999999998</v>
          </cell>
          <cell r="K109">
            <v>4.3200000000000002E-2</v>
          </cell>
          <cell r="L109">
            <v>0.69699999999999995</v>
          </cell>
          <cell r="M109">
            <v>0.1943</v>
          </cell>
          <cell r="N109">
            <v>0.2157</v>
          </cell>
          <cell r="O109">
            <v>0.184</v>
          </cell>
          <cell r="P109">
            <v>0.1933</v>
          </cell>
          <cell r="Q109">
            <v>0.13800000000000001</v>
          </cell>
          <cell r="R109">
            <v>0.25369999999999998</v>
          </cell>
          <cell r="S109">
            <v>0.37080000000000002</v>
          </cell>
          <cell r="T109">
            <v>2.1499999999999998E-2</v>
          </cell>
          <cell r="U109">
            <v>0.1075</v>
          </cell>
          <cell r="V109">
            <v>7.1999999999999998E-3</v>
          </cell>
          <cell r="W109">
            <v>7.1999999999999998E-3</v>
          </cell>
          <cell r="X109">
            <v>5.4000000000000003E-3</v>
          </cell>
          <cell r="Y109">
            <v>5.4000000000000003E-3</v>
          </cell>
          <cell r="Z109">
            <v>0.9496</v>
          </cell>
        </row>
        <row r="110">
          <cell r="I110">
            <v>0.28889999999999999</v>
          </cell>
          <cell r="J110">
            <v>0.74329999999999996</v>
          </cell>
          <cell r="K110">
            <v>4.4600000000000001E-2</v>
          </cell>
          <cell r="L110">
            <v>0.63749999999999996</v>
          </cell>
          <cell r="M110">
            <v>0.20810000000000001</v>
          </cell>
          <cell r="N110">
            <v>0.25580000000000003</v>
          </cell>
          <cell r="O110">
            <v>0.18229999999999999</v>
          </cell>
          <cell r="P110">
            <v>0.16020000000000001</v>
          </cell>
          <cell r="Q110">
            <v>0.1178</v>
          </cell>
          <cell r="R110">
            <v>0.22950000000000001</v>
          </cell>
          <cell r="S110">
            <v>0.19989999999999999</v>
          </cell>
          <cell r="T110">
            <v>8.8000000000000005E-3</v>
          </cell>
          <cell r="U110">
            <v>8.8000000000000005E-3</v>
          </cell>
          <cell r="V110">
            <v>3.3099999999999997E-2</v>
          </cell>
          <cell r="W110">
            <v>0.13250000000000001</v>
          </cell>
          <cell r="X110">
            <v>6.6E-3</v>
          </cell>
          <cell r="Y110">
            <v>6.6E-3</v>
          </cell>
          <cell r="Z110">
            <v>0.97150000000000003</v>
          </cell>
        </row>
        <row r="111">
          <cell r="I111">
            <v>0.33329999999999999</v>
          </cell>
          <cell r="J111">
            <v>0.36670000000000003</v>
          </cell>
          <cell r="K111">
            <v>7.5800000000000006E-2</v>
          </cell>
          <cell r="L111">
            <v>0.75760000000000005</v>
          </cell>
          <cell r="M111">
            <v>0.2447</v>
          </cell>
          <cell r="N111">
            <v>0.2833</v>
          </cell>
          <cell r="O111">
            <v>0.23330000000000001</v>
          </cell>
          <cell r="P111">
            <v>0.20349999999999999</v>
          </cell>
          <cell r="Q111">
            <v>0.15329999999999999</v>
          </cell>
          <cell r="R111">
            <v>0.33329999999999999</v>
          </cell>
          <cell r="S111">
            <v>0.2291</v>
          </cell>
          <cell r="T111">
            <v>0.11310000000000001</v>
          </cell>
          <cell r="U111">
            <v>2.2599999999999999E-2</v>
          </cell>
          <cell r="V111">
            <v>7.4999999999999997E-3</v>
          </cell>
          <cell r="W111">
            <v>7.4999999999999997E-3</v>
          </cell>
          <cell r="X111">
            <v>5.7000000000000002E-3</v>
          </cell>
          <cell r="Y111">
            <v>5.7000000000000002E-3</v>
          </cell>
          <cell r="Z111">
            <v>1.0535000000000001</v>
          </cell>
        </row>
        <row r="112">
          <cell r="I112">
            <v>0.30730000000000002</v>
          </cell>
          <cell r="J112">
            <v>0.14799999999999999</v>
          </cell>
          <cell r="K112">
            <v>0.86229999999999996</v>
          </cell>
          <cell r="L112">
            <v>6.0400000000000002E-2</v>
          </cell>
          <cell r="M112">
            <v>0.21990000000000001</v>
          </cell>
          <cell r="N112">
            <v>0.2316</v>
          </cell>
          <cell r="O112">
            <v>0.2656</v>
          </cell>
          <cell r="P112">
            <v>0.2167</v>
          </cell>
          <cell r="Q112">
            <v>0.25419999999999998</v>
          </cell>
          <cell r="R112">
            <v>0.61050000000000004</v>
          </cell>
          <cell r="S112">
            <v>0.1835</v>
          </cell>
          <cell r="T112">
            <v>5.0000000000000001E-3</v>
          </cell>
          <cell r="U112">
            <v>5.0000000000000001E-3</v>
          </cell>
          <cell r="V112">
            <v>5.0000000000000001E-3</v>
          </cell>
          <cell r="W112">
            <v>5.0000000000000001E-3</v>
          </cell>
          <cell r="X112">
            <v>9.9500000000000005E-2</v>
          </cell>
          <cell r="Y112">
            <v>1.3299999999999999E-2</v>
          </cell>
          <cell r="Z112">
            <v>1.2974000000000001</v>
          </cell>
        </row>
        <row r="113">
          <cell r="I113">
            <v>0.26019999999999999</v>
          </cell>
          <cell r="J113">
            <v>0.11219999999999999</v>
          </cell>
          <cell r="K113">
            <v>1.0198</v>
          </cell>
          <cell r="L113">
            <v>5.0999999999999997E-2</v>
          </cell>
          <cell r="M113">
            <v>0.19070000000000001</v>
          </cell>
          <cell r="N113">
            <v>0.19420000000000001</v>
          </cell>
          <cell r="O113">
            <v>0.35899999999999999</v>
          </cell>
          <cell r="P113">
            <v>0.34470000000000001</v>
          </cell>
          <cell r="Q113">
            <v>0.25580000000000003</v>
          </cell>
          <cell r="R113">
            <v>0.4446</v>
          </cell>
          <cell r="S113">
            <v>0.27410000000000001</v>
          </cell>
          <cell r="T113">
            <v>3.8E-3</v>
          </cell>
          <cell r="U113">
            <v>3.8E-3</v>
          </cell>
          <cell r="V113">
            <v>3.8E-3</v>
          </cell>
          <cell r="W113">
            <v>3.8E-3</v>
          </cell>
          <cell r="X113">
            <v>1.01E-2</v>
          </cell>
          <cell r="Y113">
            <v>7.5700000000000003E-2</v>
          </cell>
          <cell r="Z113">
            <v>1.2564</v>
          </cell>
        </row>
        <row r="114">
          <cell r="I114">
            <v>0.435</v>
          </cell>
          <cell r="J114">
            <v>0.6835</v>
          </cell>
          <cell r="K114">
            <v>5.9299999999999999E-2</v>
          </cell>
          <cell r="L114">
            <v>0.70609999999999995</v>
          </cell>
          <cell r="M114">
            <v>0.2281</v>
          </cell>
          <cell r="N114">
            <v>0.40329999999999999</v>
          </cell>
          <cell r="O114">
            <v>0.35730000000000001</v>
          </cell>
          <cell r="P114">
            <v>0.2387</v>
          </cell>
          <cell r="Q114">
            <v>7.46E-2</v>
          </cell>
          <cell r="R114">
            <v>0.2034</v>
          </cell>
          <cell r="S114">
            <v>0.26300000000000001</v>
          </cell>
          <cell r="T114">
            <v>9.5999999999999992E-3</v>
          </cell>
          <cell r="U114">
            <v>9.5999999999999992E-3</v>
          </cell>
          <cell r="V114">
            <v>9.5999999999999992E-3</v>
          </cell>
          <cell r="W114">
            <v>9.5999999999999992E-3</v>
          </cell>
          <cell r="X114">
            <v>2.5700000000000001E-2</v>
          </cell>
          <cell r="Y114">
            <v>0.1928</v>
          </cell>
          <cell r="Z114">
            <v>0.97399999999999998</v>
          </cell>
        </row>
        <row r="115">
          <cell r="I115">
            <v>0.33429999999999999</v>
          </cell>
          <cell r="J115">
            <v>0.40110000000000001</v>
          </cell>
          <cell r="K115">
            <v>5.3199999999999997E-2</v>
          </cell>
          <cell r="L115">
            <v>0.75970000000000004</v>
          </cell>
          <cell r="M115">
            <v>0.248</v>
          </cell>
          <cell r="N115">
            <v>0.26350000000000001</v>
          </cell>
          <cell r="O115">
            <v>0.15040000000000001</v>
          </cell>
          <cell r="P115">
            <v>0.18440000000000001</v>
          </cell>
          <cell r="Q115">
            <v>0.1371</v>
          </cell>
          <cell r="R115">
            <v>0.27960000000000002</v>
          </cell>
          <cell r="S115">
            <v>0.2276</v>
          </cell>
          <cell r="T115">
            <v>9.1000000000000004E-3</v>
          </cell>
          <cell r="U115">
            <v>9.1000000000000004E-3</v>
          </cell>
          <cell r="V115">
            <v>9.1000000000000004E-3</v>
          </cell>
          <cell r="W115">
            <v>9.1000000000000004E-3</v>
          </cell>
          <cell r="X115">
            <v>0.18229999999999999</v>
          </cell>
          <cell r="Y115">
            <v>2.4299999999999999E-2</v>
          </cell>
          <cell r="Z115">
            <v>0.95379999999999998</v>
          </cell>
        </row>
        <row r="116">
          <cell r="I116">
            <v>0.32450000000000001</v>
          </cell>
          <cell r="J116">
            <v>0.35270000000000001</v>
          </cell>
          <cell r="K116">
            <v>8.0199999999999994E-2</v>
          </cell>
          <cell r="L116">
            <v>0.80149999999999999</v>
          </cell>
          <cell r="M116">
            <v>0.25890000000000002</v>
          </cell>
          <cell r="N116">
            <v>0.28610000000000002</v>
          </cell>
          <cell r="O116">
            <v>0.17630000000000001</v>
          </cell>
          <cell r="P116">
            <v>0.2084</v>
          </cell>
          <cell r="Q116">
            <v>0.1411</v>
          </cell>
          <cell r="R116">
            <v>0.33660000000000001</v>
          </cell>
          <cell r="S116">
            <v>0.22439999999999999</v>
          </cell>
          <cell r="T116">
            <v>6.4000000000000003E-3</v>
          </cell>
          <cell r="U116">
            <v>6.4000000000000003E-3</v>
          </cell>
          <cell r="V116">
            <v>6.4000000000000003E-3</v>
          </cell>
          <cell r="W116">
            <v>6.4000000000000003E-3</v>
          </cell>
          <cell r="X116">
            <v>1.7000000000000001E-2</v>
          </cell>
          <cell r="Y116">
            <v>0.12759999999999999</v>
          </cell>
          <cell r="Z116">
            <v>0.99270000000000003</v>
          </cell>
        </row>
        <row r="117">
          <cell r="I117">
            <v>0.27389999999999998</v>
          </cell>
          <cell r="J117">
            <v>0.35160000000000002</v>
          </cell>
          <cell r="K117">
            <v>5.4699999999999999E-2</v>
          </cell>
          <cell r="L117">
            <v>0.84109999999999996</v>
          </cell>
          <cell r="M117">
            <v>0.2059</v>
          </cell>
          <cell r="N117">
            <v>0.2402</v>
          </cell>
          <cell r="O117">
            <v>0.185</v>
          </cell>
          <cell r="P117">
            <v>0.2041</v>
          </cell>
          <cell r="Q117">
            <v>0.248</v>
          </cell>
          <cell r="R117">
            <v>0.52149999999999996</v>
          </cell>
          <cell r="S117">
            <v>0.2167</v>
          </cell>
          <cell r="T117">
            <v>4.7999999999999996E-3</v>
          </cell>
          <cell r="U117">
            <v>4.7999999999999996E-3</v>
          </cell>
          <cell r="V117">
            <v>4.7999999999999996E-3</v>
          </cell>
          <cell r="W117">
            <v>4.7999999999999996E-3</v>
          </cell>
          <cell r="X117">
            <v>1.2800000000000001E-2</v>
          </cell>
          <cell r="Y117">
            <v>9.6299999999999997E-2</v>
          </cell>
          <cell r="Z117">
            <v>1.2906</v>
          </cell>
        </row>
        <row r="118">
          <cell r="I118">
            <v>0.2339</v>
          </cell>
          <cell r="J118">
            <v>0.10630000000000001</v>
          </cell>
          <cell r="K118">
            <v>0.80559999999999998</v>
          </cell>
          <cell r="L118">
            <v>4.4299999999999999E-2</v>
          </cell>
          <cell r="M118">
            <v>0.19170000000000001</v>
          </cell>
          <cell r="N118">
            <v>0.19450000000000001</v>
          </cell>
          <cell r="O118">
            <v>0.74439999999999995</v>
          </cell>
          <cell r="P118">
            <v>0.24859999999999999</v>
          </cell>
          <cell r="Q118">
            <v>0.28710000000000002</v>
          </cell>
          <cell r="R118">
            <v>0.50270000000000004</v>
          </cell>
          <cell r="S118">
            <v>0.1353</v>
          </cell>
          <cell r="T118">
            <v>6.3E-3</v>
          </cell>
          <cell r="U118">
            <v>6.3E-3</v>
          </cell>
          <cell r="V118">
            <v>9.5100000000000004E-2</v>
          </cell>
          <cell r="W118">
            <v>2.3800000000000002E-2</v>
          </cell>
          <cell r="X118">
            <v>4.7999999999999996E-3</v>
          </cell>
          <cell r="Y118">
            <v>4.7999999999999996E-3</v>
          </cell>
          <cell r="Z118">
            <v>1.4852000000000001</v>
          </cell>
        </row>
        <row r="119">
          <cell r="I119">
            <v>0.33069999999999999</v>
          </cell>
          <cell r="J119">
            <v>0.217</v>
          </cell>
          <cell r="K119">
            <v>0.93940000000000001</v>
          </cell>
          <cell r="L119">
            <v>6.5799999999999997E-2</v>
          </cell>
          <cell r="M119">
            <v>0.24590000000000001</v>
          </cell>
          <cell r="N119">
            <v>0.2651</v>
          </cell>
          <cell r="O119">
            <v>0.26869999999999999</v>
          </cell>
          <cell r="P119">
            <v>0.23769999999999999</v>
          </cell>
          <cell r="Q119">
            <v>0.32069999999999999</v>
          </cell>
          <cell r="R119">
            <v>0.48470000000000002</v>
          </cell>
          <cell r="S119">
            <v>0.27089999999999997</v>
          </cell>
          <cell r="T119">
            <v>8.2000000000000007E-3</v>
          </cell>
          <cell r="U119">
            <v>8.2000000000000007E-3</v>
          </cell>
          <cell r="V119">
            <v>3.0599999999999999E-2</v>
          </cell>
          <cell r="W119">
            <v>0.1225</v>
          </cell>
          <cell r="X119">
            <v>6.1000000000000004E-3</v>
          </cell>
          <cell r="Y119">
            <v>6.1000000000000004E-3</v>
          </cell>
          <cell r="Z119">
            <v>1.5153000000000001</v>
          </cell>
        </row>
        <row r="120">
          <cell r="I120">
            <v>0.46050000000000002</v>
          </cell>
          <cell r="J120">
            <v>0.38379999999999997</v>
          </cell>
          <cell r="K120">
            <v>8.72E-2</v>
          </cell>
          <cell r="L120">
            <v>0.87219999999999998</v>
          </cell>
          <cell r="M120">
            <v>0.38550000000000001</v>
          </cell>
          <cell r="N120">
            <v>0.25209999999999999</v>
          </cell>
          <cell r="O120">
            <v>0.307</v>
          </cell>
          <cell r="P120">
            <v>0.2419</v>
          </cell>
          <cell r="Q120">
            <v>0.21490000000000001</v>
          </cell>
          <cell r="R120">
            <v>0.34889999999999999</v>
          </cell>
          <cell r="S120">
            <v>0.2442</v>
          </cell>
          <cell r="T120">
            <v>8.0999999999999996E-3</v>
          </cell>
          <cell r="U120">
            <v>8.0999999999999996E-3</v>
          </cell>
          <cell r="V120">
            <v>8.0999999999999996E-3</v>
          </cell>
          <cell r="W120">
            <v>8.0999999999999996E-3</v>
          </cell>
          <cell r="X120">
            <v>2.1499999999999998E-2</v>
          </cell>
          <cell r="Y120">
            <v>0.16109999999999999</v>
          </cell>
          <cell r="Z120">
            <v>1.3505</v>
          </cell>
        </row>
        <row r="121">
          <cell r="I121">
            <v>0.29830000000000001</v>
          </cell>
          <cell r="J121">
            <v>0.32750000000000001</v>
          </cell>
          <cell r="K121">
            <v>8.2699999999999996E-2</v>
          </cell>
          <cell r="L121">
            <v>0.82689999999999997</v>
          </cell>
          <cell r="M121">
            <v>0.23899999999999999</v>
          </cell>
          <cell r="N121">
            <v>0.28110000000000002</v>
          </cell>
          <cell r="O121">
            <v>0.18190000000000001</v>
          </cell>
          <cell r="P121">
            <v>0.215</v>
          </cell>
          <cell r="Q121">
            <v>0.14549999999999999</v>
          </cell>
          <cell r="R121">
            <v>0.33079999999999998</v>
          </cell>
          <cell r="S121">
            <v>0.23150000000000001</v>
          </cell>
          <cell r="T121">
            <v>7.7999999999999996E-3</v>
          </cell>
          <cell r="U121">
            <v>7.7999999999999996E-3</v>
          </cell>
          <cell r="V121">
            <v>0.1163</v>
          </cell>
          <cell r="W121">
            <v>2.9100000000000001E-2</v>
          </cell>
          <cell r="X121">
            <v>5.7999999999999996E-3</v>
          </cell>
          <cell r="Y121">
            <v>5.7999999999999996E-3</v>
          </cell>
          <cell r="Z121">
            <v>0.98319999999999996</v>
          </cell>
        </row>
        <row r="122">
          <cell r="I122">
            <v>0.37680000000000002</v>
          </cell>
          <cell r="J122">
            <v>0.35970000000000002</v>
          </cell>
          <cell r="K122">
            <v>7.7899999999999997E-2</v>
          </cell>
          <cell r="L122">
            <v>0.77859999999999996</v>
          </cell>
          <cell r="M122">
            <v>0.29120000000000001</v>
          </cell>
          <cell r="N122">
            <v>0.29120000000000001</v>
          </cell>
          <cell r="O122">
            <v>0.23980000000000001</v>
          </cell>
          <cell r="P122">
            <v>0.2092</v>
          </cell>
          <cell r="Q122">
            <v>0.16439999999999999</v>
          </cell>
          <cell r="R122">
            <v>0.31140000000000001</v>
          </cell>
          <cell r="S122">
            <v>0.218</v>
          </cell>
          <cell r="T122">
            <v>2.87E-2</v>
          </cell>
          <cell r="U122">
            <v>0.1434</v>
          </cell>
          <cell r="V122">
            <v>9.5999999999999992E-3</v>
          </cell>
          <cell r="W122">
            <v>9.5999999999999992E-3</v>
          </cell>
          <cell r="X122">
            <v>7.1999999999999998E-3</v>
          </cell>
          <cell r="Y122">
            <v>7.1999999999999998E-3</v>
          </cell>
          <cell r="Z122">
            <v>1.1061000000000001</v>
          </cell>
        </row>
        <row r="123">
          <cell r="I123">
            <v>0.44159999999999999</v>
          </cell>
          <cell r="J123">
            <v>0.32779999999999998</v>
          </cell>
          <cell r="K123">
            <v>6.6699999999999995E-2</v>
          </cell>
          <cell r="L123">
            <v>0.78420000000000001</v>
          </cell>
          <cell r="M123">
            <v>0.32790000000000002</v>
          </cell>
          <cell r="N123">
            <v>0.29859999999999998</v>
          </cell>
          <cell r="O123">
            <v>0.24149999999999999</v>
          </cell>
          <cell r="P123">
            <v>0.2039</v>
          </cell>
          <cell r="Q123">
            <v>0.19320000000000001</v>
          </cell>
          <cell r="R123">
            <v>0.45479999999999998</v>
          </cell>
          <cell r="S123">
            <v>0.1361</v>
          </cell>
          <cell r="T123">
            <v>7.7999999999999996E-3</v>
          </cell>
          <cell r="U123">
            <v>7.7999999999999996E-3</v>
          </cell>
          <cell r="V123">
            <v>7.7999999999999996E-3</v>
          </cell>
          <cell r="W123">
            <v>7.7999999999999996E-3</v>
          </cell>
          <cell r="X123">
            <v>2.0799999999999999E-2</v>
          </cell>
          <cell r="Y123">
            <v>0.15570000000000001</v>
          </cell>
          <cell r="Z123">
            <v>1.236</v>
          </cell>
        </row>
        <row r="124">
          <cell r="I124">
            <v>0.45900000000000002</v>
          </cell>
          <cell r="J124">
            <v>0.2142</v>
          </cell>
          <cell r="K124">
            <v>0.86929999999999996</v>
          </cell>
          <cell r="L124">
            <v>7.22E-2</v>
          </cell>
          <cell r="M124">
            <v>0.22459999999999999</v>
          </cell>
          <cell r="N124">
            <v>0.62070000000000003</v>
          </cell>
          <cell r="O124">
            <v>0.1913</v>
          </cell>
          <cell r="P124">
            <v>0.2215</v>
          </cell>
          <cell r="Q124">
            <v>0.18740000000000001</v>
          </cell>
          <cell r="R124">
            <v>0.34770000000000001</v>
          </cell>
          <cell r="S124">
            <v>0.22639999999999999</v>
          </cell>
          <cell r="T124">
            <v>1.2200000000000001E-2</v>
          </cell>
          <cell r="U124">
            <v>1.2200000000000001E-2</v>
          </cell>
          <cell r="V124">
            <v>4.58E-2</v>
          </cell>
          <cell r="W124">
            <v>0.1832</v>
          </cell>
          <cell r="X124">
            <v>9.1999999999999998E-3</v>
          </cell>
          <cell r="Y124">
            <v>9.1999999999999998E-3</v>
          </cell>
          <cell r="Z124">
            <v>1.2215</v>
          </cell>
        </row>
        <row r="125">
          <cell r="I125">
            <v>0.37</v>
          </cell>
          <cell r="J125">
            <v>0.16439999999999999</v>
          </cell>
          <cell r="K125">
            <v>0.93420000000000003</v>
          </cell>
          <cell r="L125">
            <v>9.3399999999999997E-2</v>
          </cell>
          <cell r="M125">
            <v>0.28589999999999999</v>
          </cell>
          <cell r="N125">
            <v>0.28589999999999999</v>
          </cell>
          <cell r="O125">
            <v>0.45219999999999999</v>
          </cell>
          <cell r="P125">
            <v>0.28339999999999999</v>
          </cell>
          <cell r="Q125">
            <v>0.24660000000000001</v>
          </cell>
          <cell r="R125">
            <v>0.441</v>
          </cell>
          <cell r="S125">
            <v>0.2354</v>
          </cell>
          <cell r="T125">
            <v>8.8999999999999999E-3</v>
          </cell>
          <cell r="U125">
            <v>8.8999999999999999E-3</v>
          </cell>
          <cell r="V125">
            <v>0.13350000000000001</v>
          </cell>
          <cell r="W125">
            <v>3.3399999999999999E-2</v>
          </cell>
          <cell r="X125">
            <v>6.7000000000000002E-3</v>
          </cell>
          <cell r="Y125">
            <v>6.7000000000000002E-3</v>
          </cell>
          <cell r="Z125">
            <v>1.3905000000000001</v>
          </cell>
        </row>
        <row r="126">
          <cell r="I126">
            <v>0.37890000000000001</v>
          </cell>
          <cell r="J126">
            <v>0.66620000000000001</v>
          </cell>
          <cell r="K126">
            <v>7.0999999999999994E-2</v>
          </cell>
          <cell r="L126">
            <v>0.94630000000000003</v>
          </cell>
          <cell r="M126">
            <v>0.28310000000000002</v>
          </cell>
          <cell r="N126">
            <v>0.30570000000000003</v>
          </cell>
          <cell r="O126">
            <v>0.16650000000000001</v>
          </cell>
          <cell r="P126">
            <v>0.3609</v>
          </cell>
          <cell r="Q126">
            <v>0.13739999999999999</v>
          </cell>
          <cell r="R126">
            <v>0.24229999999999999</v>
          </cell>
          <cell r="S126">
            <v>0.3921</v>
          </cell>
          <cell r="T126">
            <v>7.1000000000000004E-3</v>
          </cell>
          <cell r="U126">
            <v>7.1000000000000004E-3</v>
          </cell>
          <cell r="V126">
            <v>7.1000000000000004E-3</v>
          </cell>
          <cell r="W126">
            <v>7.1000000000000004E-3</v>
          </cell>
          <cell r="X126">
            <v>1.9E-2</v>
          </cell>
          <cell r="Y126">
            <v>0.14219999999999999</v>
          </cell>
          <cell r="Z126">
            <v>1.1521999999999999</v>
          </cell>
        </row>
        <row r="127">
          <cell r="I127">
            <v>0.33479999999999999</v>
          </cell>
          <cell r="J127">
            <v>0.48549999999999999</v>
          </cell>
          <cell r="K127">
            <v>7.6100000000000001E-2</v>
          </cell>
          <cell r="L127">
            <v>0.76090000000000002</v>
          </cell>
          <cell r="M127">
            <v>0.25869999999999999</v>
          </cell>
          <cell r="N127">
            <v>0.31040000000000001</v>
          </cell>
          <cell r="O127">
            <v>0.2009</v>
          </cell>
          <cell r="P127">
            <v>0.18459999999999999</v>
          </cell>
          <cell r="Q127">
            <v>0.1406</v>
          </cell>
          <cell r="R127">
            <v>0.28910000000000002</v>
          </cell>
          <cell r="S127">
            <v>0.245</v>
          </cell>
          <cell r="T127">
            <v>9.7999999999999997E-3</v>
          </cell>
          <cell r="U127">
            <v>9.7999999999999997E-3</v>
          </cell>
          <cell r="V127">
            <v>0.1472</v>
          </cell>
          <cell r="W127">
            <v>3.6799999999999999E-2</v>
          </cell>
          <cell r="X127">
            <v>7.4000000000000003E-3</v>
          </cell>
          <cell r="Y127">
            <v>7.4000000000000003E-3</v>
          </cell>
          <cell r="Z127">
            <v>1.0407999999999999</v>
          </cell>
        </row>
        <row r="128">
          <cell r="I128">
            <v>0.34770000000000001</v>
          </cell>
          <cell r="J128">
            <v>0.39850000000000002</v>
          </cell>
          <cell r="K128">
            <v>5.0999999999999997E-2</v>
          </cell>
          <cell r="L128">
            <v>0.82330000000000003</v>
          </cell>
          <cell r="M128">
            <v>0.22950000000000001</v>
          </cell>
          <cell r="N128">
            <v>0.25469999999999998</v>
          </cell>
          <cell r="O128">
            <v>0.21729999999999999</v>
          </cell>
          <cell r="P128">
            <v>0.2283</v>
          </cell>
          <cell r="Q128">
            <v>0.16300000000000001</v>
          </cell>
          <cell r="R128">
            <v>0.29970000000000002</v>
          </cell>
          <cell r="S128">
            <v>0.438</v>
          </cell>
          <cell r="T128">
            <v>8.5000000000000006E-3</v>
          </cell>
          <cell r="U128">
            <v>8.5000000000000006E-3</v>
          </cell>
          <cell r="V128">
            <v>0.127</v>
          </cell>
          <cell r="W128">
            <v>3.1699999999999999E-2</v>
          </cell>
          <cell r="X128">
            <v>6.3E-3</v>
          </cell>
          <cell r="Y128">
            <v>6.3E-3</v>
          </cell>
          <cell r="Z128">
            <v>1.1215999999999999</v>
          </cell>
        </row>
        <row r="129">
          <cell r="I129">
            <v>0.34050000000000002</v>
          </cell>
          <cell r="J129">
            <v>0.87590000000000001</v>
          </cell>
          <cell r="K129">
            <v>5.2600000000000001E-2</v>
          </cell>
          <cell r="L129">
            <v>0.75119999999999998</v>
          </cell>
          <cell r="M129">
            <v>0.2452</v>
          </cell>
          <cell r="N129">
            <v>0.3014</v>
          </cell>
          <cell r="O129">
            <v>0.21490000000000001</v>
          </cell>
          <cell r="P129">
            <v>0.1888</v>
          </cell>
          <cell r="Q129">
            <v>0.13880000000000001</v>
          </cell>
          <cell r="R129">
            <v>0.27039999999999997</v>
          </cell>
          <cell r="S129">
            <v>0.2356</v>
          </cell>
          <cell r="T129">
            <v>1.04E-2</v>
          </cell>
          <cell r="U129">
            <v>1.04E-2</v>
          </cell>
          <cell r="V129">
            <v>0.15620000000000001</v>
          </cell>
          <cell r="W129">
            <v>3.9E-2</v>
          </cell>
          <cell r="X129">
            <v>7.7999999999999996E-3</v>
          </cell>
          <cell r="Y129">
            <v>7.7999999999999996E-3</v>
          </cell>
          <cell r="Z129">
            <v>1.1449</v>
          </cell>
        </row>
        <row r="130">
          <cell r="I130">
            <v>0.41299999999999998</v>
          </cell>
          <cell r="J130">
            <v>0.22439999999999999</v>
          </cell>
          <cell r="K130">
            <v>1.0202</v>
          </cell>
          <cell r="L130">
            <v>0.10199999999999999</v>
          </cell>
          <cell r="M130">
            <v>0.32950000000000002</v>
          </cell>
          <cell r="N130">
            <v>0.36420000000000002</v>
          </cell>
          <cell r="O130">
            <v>0.22439999999999999</v>
          </cell>
          <cell r="P130">
            <v>0.26529999999999998</v>
          </cell>
          <cell r="Q130">
            <v>0.17960000000000001</v>
          </cell>
          <cell r="R130">
            <v>0.42849999999999999</v>
          </cell>
          <cell r="S130">
            <v>0.22850000000000001</v>
          </cell>
          <cell r="T130">
            <v>1.0500000000000001E-2</v>
          </cell>
          <cell r="U130">
            <v>1.0500000000000001E-2</v>
          </cell>
          <cell r="V130">
            <v>0.15720000000000001</v>
          </cell>
          <cell r="W130">
            <v>3.9300000000000002E-2</v>
          </cell>
          <cell r="X130">
            <v>7.9000000000000008E-3</v>
          </cell>
          <cell r="Y130">
            <v>7.9000000000000008E-3</v>
          </cell>
          <cell r="Z130">
            <v>1.1758999999999999</v>
          </cell>
        </row>
        <row r="131">
          <cell r="I131">
            <v>0.36070000000000002</v>
          </cell>
          <cell r="J131">
            <v>0.17369999999999999</v>
          </cell>
          <cell r="K131">
            <v>1.0122</v>
          </cell>
          <cell r="L131">
            <v>7.0900000000000005E-2</v>
          </cell>
          <cell r="M131">
            <v>0.2581</v>
          </cell>
          <cell r="N131">
            <v>0.27189999999999998</v>
          </cell>
          <cell r="O131">
            <v>0.31180000000000002</v>
          </cell>
          <cell r="P131">
            <v>0.25440000000000002</v>
          </cell>
          <cell r="Q131">
            <v>0.2984</v>
          </cell>
          <cell r="R131">
            <v>0.71660000000000001</v>
          </cell>
          <cell r="S131">
            <v>0.21540000000000001</v>
          </cell>
          <cell r="T131">
            <v>7.7999999999999996E-3</v>
          </cell>
          <cell r="U131">
            <v>7.7999999999999996E-3</v>
          </cell>
          <cell r="V131">
            <v>2.92E-2</v>
          </cell>
          <cell r="W131">
            <v>0.1167</v>
          </cell>
          <cell r="X131">
            <v>5.7999999999999996E-3</v>
          </cell>
          <cell r="Y131">
            <v>5.7999999999999996E-3</v>
          </cell>
          <cell r="Z131">
            <v>1.5227999999999999</v>
          </cell>
        </row>
        <row r="132">
          <cell r="I132">
            <v>0.33479999999999999</v>
          </cell>
          <cell r="J132">
            <v>0.55110000000000003</v>
          </cell>
          <cell r="K132">
            <v>5.57E-2</v>
          </cell>
          <cell r="L132">
            <v>0.92779999999999996</v>
          </cell>
          <cell r="M132">
            <v>0.2555</v>
          </cell>
          <cell r="N132">
            <v>0.27439999999999998</v>
          </cell>
          <cell r="O132">
            <v>0.4899</v>
          </cell>
          <cell r="P132">
            <v>0.41010000000000002</v>
          </cell>
          <cell r="Q132">
            <v>0.18779999999999999</v>
          </cell>
          <cell r="R132">
            <v>0.25240000000000001</v>
          </cell>
          <cell r="S132">
            <v>0.36890000000000001</v>
          </cell>
          <cell r="T132">
            <v>6.4000000000000003E-3</v>
          </cell>
          <cell r="U132">
            <v>6.4000000000000003E-3</v>
          </cell>
          <cell r="V132">
            <v>6.4000000000000003E-3</v>
          </cell>
          <cell r="W132">
            <v>6.4000000000000003E-3</v>
          </cell>
          <cell r="X132">
            <v>0.12820000000000001</v>
          </cell>
          <cell r="Y132">
            <v>1.7100000000000001E-2</v>
          </cell>
          <cell r="Z132">
            <v>1.3466</v>
          </cell>
        </row>
        <row r="133">
          <cell r="I133">
            <v>0.56040000000000001</v>
          </cell>
          <cell r="J133">
            <v>0.43980000000000002</v>
          </cell>
          <cell r="K133">
            <v>4.8099999999999997E-2</v>
          </cell>
          <cell r="L133">
            <v>0.74050000000000005</v>
          </cell>
          <cell r="M133">
            <v>0.41289999999999999</v>
          </cell>
          <cell r="N133">
            <v>0.39019999999999999</v>
          </cell>
          <cell r="O133">
            <v>0.114</v>
          </cell>
          <cell r="P133">
            <v>0.1797</v>
          </cell>
          <cell r="Q133">
            <v>9.7699999999999995E-2</v>
          </cell>
          <cell r="R133">
            <v>0.1777</v>
          </cell>
          <cell r="S133">
            <v>0.2571</v>
          </cell>
          <cell r="T133">
            <v>1.01E-2</v>
          </cell>
          <cell r="U133">
            <v>1.01E-2</v>
          </cell>
          <cell r="V133">
            <v>1.01E-2</v>
          </cell>
          <cell r="W133">
            <v>1.01E-2</v>
          </cell>
          <cell r="X133">
            <v>2.7E-2</v>
          </cell>
          <cell r="Y133">
            <v>0.2024</v>
          </cell>
          <cell r="Z133">
            <v>0.96850000000000003</v>
          </cell>
        </row>
        <row r="134">
          <cell r="I134">
            <v>0.39479999999999998</v>
          </cell>
          <cell r="J134">
            <v>0.4738</v>
          </cell>
          <cell r="K134">
            <v>6.2799999999999995E-2</v>
          </cell>
          <cell r="L134">
            <v>0.89729999999999999</v>
          </cell>
          <cell r="M134">
            <v>0.29289999999999999</v>
          </cell>
          <cell r="N134">
            <v>0.31119999999999998</v>
          </cell>
          <cell r="O134">
            <v>0.1777</v>
          </cell>
          <cell r="P134">
            <v>0.2177</v>
          </cell>
          <cell r="Q134">
            <v>0.16189999999999999</v>
          </cell>
          <cell r="R134">
            <v>0.33019999999999999</v>
          </cell>
          <cell r="S134">
            <v>0.26879999999999998</v>
          </cell>
          <cell r="T134">
            <v>1.44E-2</v>
          </cell>
          <cell r="U134">
            <v>1.44E-2</v>
          </cell>
          <cell r="V134">
            <v>5.3800000000000001E-2</v>
          </cell>
          <cell r="W134">
            <v>0.21529999999999999</v>
          </cell>
          <cell r="X134">
            <v>1.0800000000000001E-2</v>
          </cell>
          <cell r="Y134">
            <v>1.0800000000000001E-2</v>
          </cell>
          <cell r="Z134">
            <v>1.1266</v>
          </cell>
        </row>
        <row r="135">
          <cell r="I135">
            <v>0.38229999999999997</v>
          </cell>
          <cell r="J135">
            <v>0.41560000000000002</v>
          </cell>
          <cell r="K135">
            <v>9.4500000000000001E-2</v>
          </cell>
          <cell r="L135">
            <v>0.94450000000000001</v>
          </cell>
          <cell r="M135">
            <v>0.30509999999999998</v>
          </cell>
          <cell r="N135">
            <v>0.3372</v>
          </cell>
          <cell r="O135">
            <v>0.20780000000000001</v>
          </cell>
          <cell r="P135">
            <v>0.24560000000000001</v>
          </cell>
          <cell r="Q135">
            <v>0.16619999999999999</v>
          </cell>
          <cell r="R135">
            <v>0.3967</v>
          </cell>
          <cell r="S135">
            <v>0.26450000000000001</v>
          </cell>
          <cell r="T135">
            <v>7.4999999999999997E-3</v>
          </cell>
          <cell r="U135">
            <v>7.4999999999999997E-3</v>
          </cell>
          <cell r="V135">
            <v>7.4999999999999997E-3</v>
          </cell>
          <cell r="W135">
            <v>7.4999999999999997E-3</v>
          </cell>
          <cell r="X135">
            <v>2.01E-2</v>
          </cell>
          <cell r="Y135">
            <v>0.15040000000000001</v>
          </cell>
          <cell r="Z135">
            <v>1.1698</v>
          </cell>
        </row>
        <row r="136">
          <cell r="I136">
            <v>0.33429999999999999</v>
          </cell>
          <cell r="J136">
            <v>0.15670000000000001</v>
          </cell>
          <cell r="K136">
            <v>0.94979999999999998</v>
          </cell>
          <cell r="L136">
            <v>7.22E-2</v>
          </cell>
          <cell r="M136">
            <v>0.26479999999999998</v>
          </cell>
          <cell r="N136">
            <v>0.24540000000000001</v>
          </cell>
          <cell r="O136">
            <v>0.54330000000000001</v>
          </cell>
          <cell r="P136">
            <v>0.27989999999999998</v>
          </cell>
          <cell r="Q136">
            <v>0.25080000000000002</v>
          </cell>
          <cell r="R136">
            <v>0.4027</v>
          </cell>
          <cell r="S136">
            <v>0.43080000000000002</v>
          </cell>
          <cell r="T136">
            <v>0.12889999999999999</v>
          </cell>
          <cell r="U136">
            <v>2.58E-2</v>
          </cell>
          <cell r="V136">
            <v>8.6E-3</v>
          </cell>
          <cell r="W136">
            <v>8.6E-3</v>
          </cell>
          <cell r="X136">
            <v>6.4000000000000003E-3</v>
          </cell>
          <cell r="Y136">
            <v>6.4000000000000003E-3</v>
          </cell>
          <cell r="Z136">
            <v>1.4413</v>
          </cell>
        </row>
        <row r="137">
          <cell r="I137">
            <v>0.27460000000000001</v>
          </cell>
          <cell r="J137">
            <v>0.12479999999999999</v>
          </cell>
          <cell r="K137">
            <v>0.9456</v>
          </cell>
          <cell r="L137">
            <v>5.1999999999999998E-2</v>
          </cell>
          <cell r="M137">
            <v>0.22509999999999999</v>
          </cell>
          <cell r="N137">
            <v>0.2283</v>
          </cell>
          <cell r="O137">
            <v>0.87370000000000003</v>
          </cell>
          <cell r="P137">
            <v>0.2918</v>
          </cell>
          <cell r="Q137">
            <v>0.33700000000000002</v>
          </cell>
          <cell r="R137">
            <v>0.59009999999999996</v>
          </cell>
          <cell r="S137">
            <v>0.15890000000000001</v>
          </cell>
          <cell r="T137">
            <v>0.1116</v>
          </cell>
          <cell r="U137">
            <v>2.23E-2</v>
          </cell>
          <cell r="V137">
            <v>7.4000000000000003E-3</v>
          </cell>
          <cell r="W137">
            <v>7.4000000000000003E-3</v>
          </cell>
          <cell r="X137">
            <v>5.5999999999999999E-3</v>
          </cell>
          <cell r="Y137">
            <v>5.5999999999999999E-3</v>
          </cell>
          <cell r="Z137">
            <v>1.7433000000000001</v>
          </cell>
        </row>
        <row r="138">
          <cell r="I138">
            <v>0.35780000000000001</v>
          </cell>
          <cell r="J138">
            <v>0.40760000000000002</v>
          </cell>
          <cell r="K138">
            <v>5.4600000000000003E-2</v>
          </cell>
          <cell r="L138">
            <v>1.0293000000000001</v>
          </cell>
          <cell r="M138">
            <v>0.29749999999999999</v>
          </cell>
          <cell r="N138">
            <v>0.28349999999999997</v>
          </cell>
          <cell r="O138">
            <v>0.2944</v>
          </cell>
          <cell r="P138">
            <v>0.25869999999999999</v>
          </cell>
          <cell r="Q138">
            <v>0.36230000000000001</v>
          </cell>
          <cell r="R138">
            <v>0.70809999999999995</v>
          </cell>
          <cell r="S138">
            <v>0.219</v>
          </cell>
          <cell r="T138">
            <v>8.2000000000000007E-3</v>
          </cell>
          <cell r="U138">
            <v>8.2000000000000007E-3</v>
          </cell>
          <cell r="V138">
            <v>3.0800000000000001E-2</v>
          </cell>
          <cell r="W138">
            <v>0.1231</v>
          </cell>
          <cell r="X138">
            <v>6.1999999999999998E-3</v>
          </cell>
          <cell r="Y138">
            <v>6.1999999999999998E-3</v>
          </cell>
          <cell r="Z138">
            <v>1.804</v>
          </cell>
        </row>
        <row r="139">
          <cell r="I139">
            <v>0.40400000000000003</v>
          </cell>
          <cell r="J139">
            <v>0.4869</v>
          </cell>
          <cell r="K139">
            <v>5.4100000000000002E-2</v>
          </cell>
          <cell r="L139">
            <v>0.81969999999999998</v>
          </cell>
          <cell r="M139">
            <v>0.54349999999999998</v>
          </cell>
          <cell r="N139">
            <v>0.20069999999999999</v>
          </cell>
          <cell r="O139">
            <v>0.19839999999999999</v>
          </cell>
          <cell r="P139">
            <v>0.21310000000000001</v>
          </cell>
          <cell r="Q139">
            <v>0.13350000000000001</v>
          </cell>
          <cell r="R139">
            <v>0.2853</v>
          </cell>
          <cell r="S139">
            <v>0.21579999999999999</v>
          </cell>
          <cell r="T139">
            <v>8.9999999999999993E-3</v>
          </cell>
          <cell r="U139">
            <v>8.9999999999999993E-3</v>
          </cell>
          <cell r="V139">
            <v>8.9999999999999993E-3</v>
          </cell>
          <cell r="W139">
            <v>8.9999999999999993E-3</v>
          </cell>
          <cell r="X139">
            <v>2.3900000000000001E-2</v>
          </cell>
          <cell r="Y139">
            <v>0.1792</v>
          </cell>
          <cell r="Z139">
            <v>1.0763</v>
          </cell>
        </row>
        <row r="140">
          <cell r="I140">
            <v>0.35239999999999999</v>
          </cell>
          <cell r="J140">
            <v>0.38679999999999998</v>
          </cell>
          <cell r="K140">
            <v>9.7699999999999995E-2</v>
          </cell>
          <cell r="L140">
            <v>0.97670000000000001</v>
          </cell>
          <cell r="M140">
            <v>0.2823</v>
          </cell>
          <cell r="N140">
            <v>0.33210000000000001</v>
          </cell>
          <cell r="O140">
            <v>0.21490000000000001</v>
          </cell>
          <cell r="P140">
            <v>0.25390000000000001</v>
          </cell>
          <cell r="Q140">
            <v>0.1719</v>
          </cell>
          <cell r="R140">
            <v>0.39069999999999999</v>
          </cell>
          <cell r="S140">
            <v>0.27350000000000002</v>
          </cell>
          <cell r="T140">
            <v>6.8999999999999999E-3</v>
          </cell>
          <cell r="U140">
            <v>6.8999999999999999E-3</v>
          </cell>
          <cell r="V140">
            <v>6.8999999999999999E-3</v>
          </cell>
          <cell r="W140">
            <v>6.8999999999999999E-3</v>
          </cell>
          <cell r="X140">
            <v>1.83E-2</v>
          </cell>
          <cell r="Y140">
            <v>0.13739999999999999</v>
          </cell>
          <cell r="Z140">
            <v>1.1613</v>
          </cell>
        </row>
        <row r="141">
          <cell r="I141">
            <v>0.44409999999999999</v>
          </cell>
          <cell r="J141">
            <v>0.4239</v>
          </cell>
          <cell r="K141">
            <v>9.1800000000000007E-2</v>
          </cell>
          <cell r="L141">
            <v>0.91749999999999998</v>
          </cell>
          <cell r="M141">
            <v>0.34320000000000001</v>
          </cell>
          <cell r="N141">
            <v>0.34320000000000001</v>
          </cell>
          <cell r="O141">
            <v>0.28260000000000002</v>
          </cell>
          <cell r="P141">
            <v>0.2465</v>
          </cell>
          <cell r="Q141">
            <v>0.1938</v>
          </cell>
          <cell r="R141">
            <v>0.36699999999999999</v>
          </cell>
          <cell r="S141">
            <v>0.25690000000000002</v>
          </cell>
          <cell r="T141">
            <v>8.3999999999999995E-3</v>
          </cell>
          <cell r="U141">
            <v>8.3999999999999995E-3</v>
          </cell>
          <cell r="V141">
            <v>8.3999999999999995E-3</v>
          </cell>
          <cell r="W141">
            <v>8.3999999999999995E-3</v>
          </cell>
          <cell r="X141">
            <v>2.2499999999999999E-2</v>
          </cell>
          <cell r="Y141">
            <v>0.16889999999999999</v>
          </cell>
          <cell r="Z141">
            <v>1.3035000000000001</v>
          </cell>
        </row>
        <row r="142">
          <cell r="I142">
            <v>0.41670000000000001</v>
          </cell>
          <cell r="J142">
            <v>0.20380000000000001</v>
          </cell>
          <cell r="K142">
            <v>1.0295000000000001</v>
          </cell>
          <cell r="L142">
            <v>8.2400000000000001E-2</v>
          </cell>
          <cell r="M142">
            <v>0.32200000000000001</v>
          </cell>
          <cell r="N142">
            <v>0.29749999999999999</v>
          </cell>
          <cell r="O142">
            <v>0.31709999999999999</v>
          </cell>
          <cell r="P142">
            <v>0.28549999999999998</v>
          </cell>
          <cell r="Q142">
            <v>0.222</v>
          </cell>
          <cell r="R142">
            <v>0.3871</v>
          </cell>
          <cell r="S142">
            <v>0.52459999999999996</v>
          </cell>
          <cell r="T142">
            <v>7.0000000000000001E-3</v>
          </cell>
          <cell r="U142">
            <v>7.0000000000000001E-3</v>
          </cell>
          <cell r="V142">
            <v>7.0000000000000001E-3</v>
          </cell>
          <cell r="W142">
            <v>7.0000000000000001E-3</v>
          </cell>
          <cell r="X142">
            <v>1.8800000000000001E-2</v>
          </cell>
          <cell r="Y142">
            <v>0.1406</v>
          </cell>
          <cell r="Z142">
            <v>1.3741000000000001</v>
          </cell>
        </row>
        <row r="143">
          <cell r="I143">
            <v>0.53879999999999995</v>
          </cell>
          <cell r="J143">
            <v>0.25140000000000001</v>
          </cell>
          <cell r="K143">
            <v>1.0204</v>
          </cell>
          <cell r="L143">
            <v>8.4699999999999998E-2</v>
          </cell>
          <cell r="M143">
            <v>0.26369999999999999</v>
          </cell>
          <cell r="N143">
            <v>0.72860000000000003</v>
          </cell>
          <cell r="O143">
            <v>0.22450000000000001</v>
          </cell>
          <cell r="P143">
            <v>0.26</v>
          </cell>
          <cell r="Q143">
            <v>0.22</v>
          </cell>
          <cell r="R143">
            <v>0.40820000000000001</v>
          </cell>
          <cell r="S143">
            <v>0.26569999999999999</v>
          </cell>
          <cell r="T143">
            <v>1.0699999999999999E-2</v>
          </cell>
          <cell r="U143">
            <v>1.0699999999999999E-2</v>
          </cell>
          <cell r="V143">
            <v>1.0699999999999999E-2</v>
          </cell>
          <cell r="W143">
            <v>1.0699999999999999E-2</v>
          </cell>
          <cell r="X143">
            <v>2.87E-2</v>
          </cell>
          <cell r="Y143">
            <v>0.215</v>
          </cell>
          <cell r="Z143">
            <v>1.4338</v>
          </cell>
        </row>
        <row r="144">
          <cell r="I144">
            <v>0.57889999999999997</v>
          </cell>
          <cell r="J144">
            <v>0.4824</v>
          </cell>
          <cell r="K144">
            <v>8.77E-2</v>
          </cell>
          <cell r="L144">
            <v>0.877</v>
          </cell>
          <cell r="M144">
            <v>0.44729999999999998</v>
          </cell>
          <cell r="N144">
            <v>0.41749999999999998</v>
          </cell>
          <cell r="O144">
            <v>0.38590000000000002</v>
          </cell>
          <cell r="P144">
            <v>0.26600000000000001</v>
          </cell>
          <cell r="Q144">
            <v>0.1852</v>
          </cell>
          <cell r="R144">
            <v>0.42099999999999999</v>
          </cell>
          <cell r="S144">
            <v>0.29470000000000002</v>
          </cell>
          <cell r="T144">
            <v>4.6899999999999997E-2</v>
          </cell>
          <cell r="U144">
            <v>0.2346</v>
          </cell>
          <cell r="V144">
            <v>1.5599999999999999E-2</v>
          </cell>
          <cell r="W144">
            <v>1.5599999999999999E-2</v>
          </cell>
          <cell r="X144">
            <v>1.17E-2</v>
          </cell>
          <cell r="Y144">
            <v>1.17E-2</v>
          </cell>
          <cell r="Z144">
            <v>1.4812000000000001</v>
          </cell>
        </row>
        <row r="145">
          <cell r="I145">
            <v>0.19650000000000001</v>
          </cell>
          <cell r="J145">
            <v>0.53590000000000004</v>
          </cell>
          <cell r="K145">
            <v>6.5000000000000002E-2</v>
          </cell>
          <cell r="L145">
            <v>0.81189999999999996</v>
          </cell>
          <cell r="M145">
            <v>0.40029999999999999</v>
          </cell>
          <cell r="N145">
            <v>0.62109999999999999</v>
          </cell>
          <cell r="O145">
            <v>0.1429</v>
          </cell>
          <cell r="P145">
            <v>0.19420000000000001</v>
          </cell>
          <cell r="Q145">
            <v>0.15720000000000001</v>
          </cell>
          <cell r="R145">
            <v>0.2858</v>
          </cell>
          <cell r="S145">
            <v>0.28639999999999999</v>
          </cell>
          <cell r="T145">
            <v>0.2218</v>
          </cell>
          <cell r="U145">
            <v>4.4400000000000002E-2</v>
          </cell>
          <cell r="V145">
            <v>1.4800000000000001E-2</v>
          </cell>
          <cell r="W145">
            <v>1.4800000000000001E-2</v>
          </cell>
          <cell r="X145">
            <v>1.11E-2</v>
          </cell>
          <cell r="Y145">
            <v>1.11E-2</v>
          </cell>
          <cell r="Z145">
            <v>1.1913</v>
          </cell>
        </row>
        <row r="146">
          <cell r="I146">
            <v>0.39539999999999997</v>
          </cell>
          <cell r="J146">
            <v>0.57340000000000002</v>
          </cell>
          <cell r="K146">
            <v>8.9899999999999994E-2</v>
          </cell>
          <cell r="L146">
            <v>0.89870000000000005</v>
          </cell>
          <cell r="M146">
            <v>0.30559999999999998</v>
          </cell>
          <cell r="N146">
            <v>0.36670000000000003</v>
          </cell>
          <cell r="O146">
            <v>0.23730000000000001</v>
          </cell>
          <cell r="P146">
            <v>0.21809999999999999</v>
          </cell>
          <cell r="Q146">
            <v>0.1661</v>
          </cell>
          <cell r="R146">
            <v>0.34150000000000003</v>
          </cell>
          <cell r="S146">
            <v>0.28939999999999999</v>
          </cell>
          <cell r="T146">
            <v>3.4799999999999998E-2</v>
          </cell>
          <cell r="U146">
            <v>0.1739</v>
          </cell>
          <cell r="V146">
            <v>1.1599999999999999E-2</v>
          </cell>
          <cell r="W146">
            <v>1.1599999999999999E-2</v>
          </cell>
          <cell r="X146">
            <v>8.6999999999999994E-3</v>
          </cell>
          <cell r="Y146">
            <v>8.6999999999999994E-3</v>
          </cell>
          <cell r="Z146">
            <v>1.2293000000000001</v>
          </cell>
        </row>
        <row r="147">
          <cell r="I147">
            <v>0.4098</v>
          </cell>
          <cell r="J147">
            <v>0.46949999999999997</v>
          </cell>
          <cell r="K147">
            <v>6.0100000000000001E-2</v>
          </cell>
          <cell r="L147">
            <v>0.97009999999999996</v>
          </cell>
          <cell r="M147">
            <v>0.27050000000000002</v>
          </cell>
          <cell r="N147">
            <v>0.30020000000000002</v>
          </cell>
          <cell r="O147">
            <v>0.25609999999999999</v>
          </cell>
          <cell r="P147">
            <v>0.26910000000000001</v>
          </cell>
          <cell r="Q147">
            <v>0.19209999999999999</v>
          </cell>
          <cell r="R147">
            <v>0.35310000000000002</v>
          </cell>
          <cell r="S147">
            <v>0.5161</v>
          </cell>
          <cell r="T147">
            <v>0.1497</v>
          </cell>
          <cell r="U147">
            <v>2.9899999999999999E-2</v>
          </cell>
          <cell r="V147">
            <v>0.01</v>
          </cell>
          <cell r="W147">
            <v>0.01</v>
          </cell>
          <cell r="X147">
            <v>7.4999999999999997E-3</v>
          </cell>
          <cell r="Y147">
            <v>7.4999999999999997E-3</v>
          </cell>
          <cell r="Z147">
            <v>1.3217000000000001</v>
          </cell>
        </row>
        <row r="148">
          <cell r="I148">
            <v>0.35049999999999998</v>
          </cell>
          <cell r="J148">
            <v>0.14499999999999999</v>
          </cell>
          <cell r="K148">
            <v>0.91549999999999998</v>
          </cell>
          <cell r="L148">
            <v>5.9499999999999997E-2</v>
          </cell>
          <cell r="M148">
            <v>0.26769999999999999</v>
          </cell>
          <cell r="N148">
            <v>0.2397</v>
          </cell>
          <cell r="O148">
            <v>1.0876999999999999</v>
          </cell>
          <cell r="P148">
            <v>0.3221</v>
          </cell>
          <cell r="Q148">
            <v>0.22159999999999999</v>
          </cell>
          <cell r="R148">
            <v>0.38090000000000002</v>
          </cell>
          <cell r="S148">
            <v>0.26150000000000001</v>
          </cell>
          <cell r="T148">
            <v>6.4999999999999997E-3</v>
          </cell>
          <cell r="U148">
            <v>6.4999999999999997E-3</v>
          </cell>
          <cell r="V148">
            <v>6.4999999999999997E-3</v>
          </cell>
          <cell r="W148">
            <v>6.4999999999999997E-3</v>
          </cell>
          <cell r="X148">
            <v>1.72E-2</v>
          </cell>
          <cell r="Y148">
            <v>0.12920000000000001</v>
          </cell>
          <cell r="Z148">
            <v>1.4999</v>
          </cell>
        </row>
        <row r="149">
          <cell r="I149">
            <v>0.48470000000000002</v>
          </cell>
          <cell r="J149">
            <v>0.26340000000000002</v>
          </cell>
          <cell r="K149">
            <v>1.1975</v>
          </cell>
          <cell r="L149">
            <v>0.1197</v>
          </cell>
          <cell r="M149">
            <v>0.38679999999999998</v>
          </cell>
          <cell r="N149">
            <v>0.42749999999999999</v>
          </cell>
          <cell r="O149">
            <v>0.26340000000000002</v>
          </cell>
          <cell r="P149">
            <v>0.31130000000000002</v>
          </cell>
          <cell r="Q149">
            <v>0.21079999999999999</v>
          </cell>
          <cell r="R149">
            <v>0.50290000000000001</v>
          </cell>
          <cell r="S149">
            <v>0.26819999999999999</v>
          </cell>
          <cell r="T149">
            <v>9.1999999999999998E-3</v>
          </cell>
          <cell r="U149">
            <v>9.1999999999999998E-3</v>
          </cell>
          <cell r="V149">
            <v>9.1999999999999998E-3</v>
          </cell>
          <cell r="W149">
            <v>9.1999999999999998E-3</v>
          </cell>
          <cell r="X149">
            <v>2.46E-2</v>
          </cell>
          <cell r="Y149">
            <v>0.18459999999999999</v>
          </cell>
          <cell r="Z149">
            <v>1.3802000000000001</v>
          </cell>
        </row>
        <row r="150">
          <cell r="I150">
            <v>0.30859999999999999</v>
          </cell>
          <cell r="J150">
            <v>0.50660000000000005</v>
          </cell>
          <cell r="K150">
            <v>5.4399999999999997E-2</v>
          </cell>
          <cell r="L150">
            <v>1.0467</v>
          </cell>
          <cell r="M150">
            <v>0.23130000000000001</v>
          </cell>
          <cell r="N150">
            <v>0.28470000000000001</v>
          </cell>
          <cell r="O150">
            <v>0.82899999999999996</v>
          </cell>
          <cell r="P150">
            <v>0.33560000000000001</v>
          </cell>
          <cell r="Q150">
            <v>0.1888</v>
          </cell>
          <cell r="R150">
            <v>0.314</v>
          </cell>
          <cell r="S150">
            <v>0.52170000000000005</v>
          </cell>
          <cell r="T150">
            <v>7.0000000000000001E-3</v>
          </cell>
          <cell r="U150">
            <v>7.0000000000000001E-3</v>
          </cell>
          <cell r="V150">
            <v>7.0000000000000001E-3</v>
          </cell>
          <cell r="W150">
            <v>7.0000000000000001E-3</v>
          </cell>
          <cell r="X150">
            <v>1.8700000000000001E-2</v>
          </cell>
          <cell r="Y150">
            <v>0.14050000000000001</v>
          </cell>
          <cell r="Z150">
            <v>1.4505999999999999</v>
          </cell>
        </row>
        <row r="151">
          <cell r="I151">
            <v>0.31509999999999999</v>
          </cell>
          <cell r="J151">
            <v>0.46460000000000001</v>
          </cell>
          <cell r="K151">
            <v>9.1800000000000007E-2</v>
          </cell>
          <cell r="L151">
            <v>0.91810000000000003</v>
          </cell>
          <cell r="M151">
            <v>0.2341</v>
          </cell>
          <cell r="N151">
            <v>0.24970000000000001</v>
          </cell>
          <cell r="O151">
            <v>0.44440000000000002</v>
          </cell>
          <cell r="P151">
            <v>0.2626</v>
          </cell>
          <cell r="Q151">
            <v>0.17780000000000001</v>
          </cell>
          <cell r="R151">
            <v>0.40400000000000003</v>
          </cell>
          <cell r="S151">
            <v>0.2828</v>
          </cell>
          <cell r="T151">
            <v>8.6E-3</v>
          </cell>
          <cell r="U151">
            <v>8.6E-3</v>
          </cell>
          <cell r="V151">
            <v>0.12920000000000001</v>
          </cell>
          <cell r="W151">
            <v>3.2300000000000002E-2</v>
          </cell>
          <cell r="X151">
            <v>6.4999999999999997E-3</v>
          </cell>
          <cell r="Y151">
            <v>6.4999999999999997E-3</v>
          </cell>
          <cell r="Z151">
            <v>1.2388999999999999</v>
          </cell>
        </row>
        <row r="152">
          <cell r="I152">
            <v>0.66190000000000004</v>
          </cell>
          <cell r="J152">
            <v>0.51949999999999996</v>
          </cell>
          <cell r="K152">
            <v>5.6800000000000003E-2</v>
          </cell>
          <cell r="L152">
            <v>0.87460000000000004</v>
          </cell>
          <cell r="M152">
            <v>0.48770000000000002</v>
          </cell>
          <cell r="N152">
            <v>0.46089999999999998</v>
          </cell>
          <cell r="O152">
            <v>0.13469999999999999</v>
          </cell>
          <cell r="P152">
            <v>0.2122</v>
          </cell>
          <cell r="Q152">
            <v>0.1154</v>
          </cell>
          <cell r="R152">
            <v>0.2099</v>
          </cell>
          <cell r="S152">
            <v>0.30359999999999998</v>
          </cell>
          <cell r="T152">
            <v>4.7800000000000002E-2</v>
          </cell>
          <cell r="U152">
            <v>0.23899999999999999</v>
          </cell>
          <cell r="V152">
            <v>1.5900000000000001E-2</v>
          </cell>
          <cell r="W152">
            <v>1.5900000000000001E-2</v>
          </cell>
          <cell r="X152">
            <v>1.2E-2</v>
          </cell>
          <cell r="Y152">
            <v>1.2E-2</v>
          </cell>
          <cell r="Z152">
            <v>1.1438999999999999</v>
          </cell>
        </row>
        <row r="153">
          <cell r="I153">
            <v>0.46529999999999999</v>
          </cell>
          <cell r="J153">
            <v>0.55830000000000002</v>
          </cell>
          <cell r="K153">
            <v>7.3999999999999996E-2</v>
          </cell>
          <cell r="L153">
            <v>1.0573999999999999</v>
          </cell>
          <cell r="M153">
            <v>0.34510000000000002</v>
          </cell>
          <cell r="N153">
            <v>0.36670000000000003</v>
          </cell>
          <cell r="O153">
            <v>0.2094</v>
          </cell>
          <cell r="P153">
            <v>0.25659999999999999</v>
          </cell>
          <cell r="Q153">
            <v>0.1908</v>
          </cell>
          <cell r="R153">
            <v>0.3891</v>
          </cell>
          <cell r="S153">
            <v>0.31680000000000003</v>
          </cell>
          <cell r="T153">
            <v>1.2699999999999999E-2</v>
          </cell>
          <cell r="U153">
            <v>1.2699999999999999E-2</v>
          </cell>
          <cell r="V153">
            <v>1.2699999999999999E-2</v>
          </cell>
          <cell r="W153">
            <v>1.2699999999999999E-2</v>
          </cell>
          <cell r="X153">
            <v>3.3799999999999997E-2</v>
          </cell>
          <cell r="Y153">
            <v>0.25380000000000003</v>
          </cell>
          <cell r="Z153">
            <v>1.3275999999999999</v>
          </cell>
        </row>
        <row r="154">
          <cell r="I154">
            <v>0.62250000000000005</v>
          </cell>
          <cell r="J154">
            <v>0.20749999999999999</v>
          </cell>
          <cell r="K154">
            <v>1.0481</v>
          </cell>
          <cell r="L154">
            <v>0.1048</v>
          </cell>
          <cell r="M154">
            <v>0.49890000000000001</v>
          </cell>
          <cell r="N154">
            <v>0.35630000000000001</v>
          </cell>
          <cell r="O154">
            <v>0.36890000000000001</v>
          </cell>
          <cell r="P154">
            <v>0.29070000000000001</v>
          </cell>
          <cell r="Q154">
            <v>0.249</v>
          </cell>
          <cell r="R154">
            <v>0.44019999999999998</v>
          </cell>
          <cell r="S154">
            <v>0.23480000000000001</v>
          </cell>
          <cell r="T154">
            <v>1.11E-2</v>
          </cell>
          <cell r="U154">
            <v>1.11E-2</v>
          </cell>
          <cell r="V154">
            <v>1.11E-2</v>
          </cell>
          <cell r="W154">
            <v>1.11E-2</v>
          </cell>
          <cell r="X154">
            <v>2.9700000000000001E-2</v>
          </cell>
          <cell r="Y154">
            <v>0.22289999999999999</v>
          </cell>
          <cell r="Z154">
            <v>1.5476000000000001</v>
          </cell>
        </row>
        <row r="155">
          <cell r="I155">
            <v>0.39240000000000003</v>
          </cell>
          <cell r="J155">
            <v>0.184</v>
          </cell>
          <cell r="K155">
            <v>1.1149</v>
          </cell>
          <cell r="L155">
            <v>8.4699999999999998E-2</v>
          </cell>
          <cell r="M155">
            <v>0.31080000000000002</v>
          </cell>
          <cell r="N155">
            <v>0.28810000000000002</v>
          </cell>
          <cell r="O155">
            <v>0.63770000000000004</v>
          </cell>
          <cell r="P155">
            <v>0.32850000000000001</v>
          </cell>
          <cell r="Q155">
            <v>0.29430000000000001</v>
          </cell>
          <cell r="R155">
            <v>0.47270000000000001</v>
          </cell>
          <cell r="S155">
            <v>0.50570000000000004</v>
          </cell>
          <cell r="T155">
            <v>7.6E-3</v>
          </cell>
          <cell r="U155">
            <v>7.6E-3</v>
          </cell>
          <cell r="V155">
            <v>7.6E-3</v>
          </cell>
          <cell r="W155">
            <v>7.6E-3</v>
          </cell>
          <cell r="X155">
            <v>2.0199999999999999E-2</v>
          </cell>
          <cell r="Y155">
            <v>0.15129999999999999</v>
          </cell>
          <cell r="Z155">
            <v>1.6918</v>
          </cell>
        </row>
        <row r="156">
          <cell r="I156">
            <v>0.31730000000000003</v>
          </cell>
          <cell r="J156">
            <v>0.51290000000000002</v>
          </cell>
          <cell r="K156">
            <v>5.5300000000000002E-2</v>
          </cell>
          <cell r="L156">
            <v>0.98799999999999999</v>
          </cell>
          <cell r="M156">
            <v>0.2586</v>
          </cell>
          <cell r="N156">
            <v>0.28549999999999998</v>
          </cell>
          <cell r="O156">
            <v>1.1302000000000001</v>
          </cell>
          <cell r="P156">
            <v>0.33389999999999997</v>
          </cell>
          <cell r="Q156">
            <v>0.23910000000000001</v>
          </cell>
          <cell r="R156">
            <v>0.37540000000000001</v>
          </cell>
          <cell r="S156">
            <v>0.30980000000000002</v>
          </cell>
          <cell r="T156">
            <v>7.7000000000000002E-3</v>
          </cell>
          <cell r="U156">
            <v>7.7000000000000002E-3</v>
          </cell>
          <cell r="V156">
            <v>7.7000000000000002E-3</v>
          </cell>
          <cell r="W156">
            <v>7.7000000000000002E-3</v>
          </cell>
          <cell r="X156">
            <v>2.0500000000000001E-2</v>
          </cell>
          <cell r="Y156">
            <v>0.15379999999999999</v>
          </cell>
          <cell r="Z156">
            <v>1.6955</v>
          </cell>
        </row>
        <row r="157">
          <cell r="I157">
            <v>0.26319999999999999</v>
          </cell>
          <cell r="J157">
            <v>0.35399999999999998</v>
          </cell>
          <cell r="K157">
            <v>5.16E-2</v>
          </cell>
          <cell r="L157">
            <v>1.0313000000000001</v>
          </cell>
          <cell r="M157">
            <v>0.22439999999999999</v>
          </cell>
          <cell r="N157">
            <v>0.22789999999999999</v>
          </cell>
          <cell r="O157">
            <v>0.36299999999999999</v>
          </cell>
          <cell r="P157">
            <v>0.27710000000000001</v>
          </cell>
          <cell r="Q157">
            <v>0.38119999999999998</v>
          </cell>
          <cell r="R157">
            <v>0.5363</v>
          </cell>
          <cell r="S157">
            <v>0.2888</v>
          </cell>
          <cell r="T157">
            <v>5.1000000000000004E-3</v>
          </cell>
          <cell r="U157">
            <v>5.1000000000000004E-3</v>
          </cell>
          <cell r="V157">
            <v>5.1000000000000004E-3</v>
          </cell>
          <cell r="W157">
            <v>5.1000000000000004E-3</v>
          </cell>
          <cell r="X157">
            <v>1.3599999999999999E-2</v>
          </cell>
          <cell r="Y157">
            <v>0.1024</v>
          </cell>
          <cell r="Z157">
            <v>1.7327999999999999</v>
          </cell>
        </row>
        <row r="158">
          <cell r="I158">
            <v>0.47710000000000002</v>
          </cell>
          <cell r="J158">
            <v>0.57509999999999994</v>
          </cell>
          <cell r="K158">
            <v>6.3899999999999998E-2</v>
          </cell>
          <cell r="L158">
            <v>0.96819999999999995</v>
          </cell>
          <cell r="M158">
            <v>0.64190000000000003</v>
          </cell>
          <cell r="N158">
            <v>0.23699999999999999</v>
          </cell>
          <cell r="O158">
            <v>0.23430000000000001</v>
          </cell>
          <cell r="P158">
            <v>0.25169999999999998</v>
          </cell>
          <cell r="Q158">
            <v>0.15759999999999999</v>
          </cell>
          <cell r="R158">
            <v>0.33689999999999998</v>
          </cell>
          <cell r="S158">
            <v>0.25480000000000003</v>
          </cell>
          <cell r="T158">
            <v>1.41E-2</v>
          </cell>
          <cell r="U158">
            <v>1.41E-2</v>
          </cell>
          <cell r="V158">
            <v>5.2900000000000003E-2</v>
          </cell>
          <cell r="W158">
            <v>0.21160000000000001</v>
          </cell>
          <cell r="X158">
            <v>1.06E-2</v>
          </cell>
          <cell r="Y158">
            <v>1.06E-2</v>
          </cell>
          <cell r="Z158">
            <v>1.2713000000000001</v>
          </cell>
        </row>
        <row r="159">
          <cell r="I159">
            <v>0.4153</v>
          </cell>
          <cell r="J159">
            <v>0.45579999999999998</v>
          </cell>
          <cell r="K159">
            <v>0.11509999999999999</v>
          </cell>
          <cell r="L159">
            <v>1.1509</v>
          </cell>
          <cell r="M159">
            <v>0.33260000000000001</v>
          </cell>
          <cell r="N159">
            <v>0.39129999999999998</v>
          </cell>
          <cell r="O159">
            <v>0.25319999999999998</v>
          </cell>
          <cell r="P159">
            <v>0.29920000000000002</v>
          </cell>
          <cell r="Q159">
            <v>0.2026</v>
          </cell>
          <cell r="R159">
            <v>0.46039999999999998</v>
          </cell>
          <cell r="S159">
            <v>0.32229999999999998</v>
          </cell>
          <cell r="T159">
            <v>1.0800000000000001E-2</v>
          </cell>
          <cell r="U159">
            <v>1.0800000000000001E-2</v>
          </cell>
          <cell r="V159">
            <v>4.0500000000000001E-2</v>
          </cell>
          <cell r="W159">
            <v>0.16189999999999999</v>
          </cell>
          <cell r="X159">
            <v>8.0999999999999996E-3</v>
          </cell>
          <cell r="Y159">
            <v>8.0999999999999996E-3</v>
          </cell>
          <cell r="Z159">
            <v>1.3685</v>
          </cell>
        </row>
        <row r="160">
          <cell r="I160">
            <v>0.68069999999999997</v>
          </cell>
          <cell r="J160">
            <v>0.18759999999999999</v>
          </cell>
          <cell r="K160">
            <v>1.2181</v>
          </cell>
          <cell r="L160">
            <v>7.9200000000000007E-2</v>
          </cell>
          <cell r="M160">
            <v>0.43490000000000001</v>
          </cell>
          <cell r="N160">
            <v>0.36449999999999999</v>
          </cell>
          <cell r="O160">
            <v>0.3216</v>
          </cell>
          <cell r="P160">
            <v>0.45400000000000001</v>
          </cell>
          <cell r="Q160">
            <v>0.1769</v>
          </cell>
          <cell r="R160">
            <v>0.25819999999999999</v>
          </cell>
          <cell r="S160">
            <v>0.4229</v>
          </cell>
          <cell r="T160">
            <v>1.0999999999999999E-2</v>
          </cell>
          <cell r="U160">
            <v>1.0999999999999999E-2</v>
          </cell>
          <cell r="V160">
            <v>4.1399999999999999E-2</v>
          </cell>
          <cell r="W160">
            <v>0.16550000000000001</v>
          </cell>
          <cell r="X160">
            <v>8.3000000000000001E-3</v>
          </cell>
          <cell r="Y160">
            <v>8.3000000000000001E-3</v>
          </cell>
          <cell r="Z160">
            <v>1.3411999999999999</v>
          </cell>
        </row>
        <row r="161">
          <cell r="I161">
            <v>0.48909999999999998</v>
          </cell>
          <cell r="J161">
            <v>0.23930000000000001</v>
          </cell>
          <cell r="K161">
            <v>1.2082999999999999</v>
          </cell>
          <cell r="L161">
            <v>9.6699999999999994E-2</v>
          </cell>
          <cell r="M161">
            <v>0.378</v>
          </cell>
          <cell r="N161">
            <v>0.34920000000000001</v>
          </cell>
          <cell r="O161">
            <v>0.37219999999999998</v>
          </cell>
          <cell r="P161">
            <v>0.33510000000000001</v>
          </cell>
          <cell r="Q161">
            <v>0.26050000000000001</v>
          </cell>
          <cell r="R161">
            <v>0.45429999999999998</v>
          </cell>
          <cell r="S161">
            <v>0.61580000000000001</v>
          </cell>
          <cell r="T161">
            <v>8.3000000000000001E-3</v>
          </cell>
          <cell r="U161">
            <v>8.3000000000000001E-3</v>
          </cell>
          <cell r="V161">
            <v>8.3000000000000001E-3</v>
          </cell>
          <cell r="W161">
            <v>8.3000000000000001E-3</v>
          </cell>
          <cell r="X161">
            <v>2.1999999999999999E-2</v>
          </cell>
          <cell r="Y161">
            <v>0.1651</v>
          </cell>
          <cell r="Z161">
            <v>1.6128</v>
          </cell>
        </row>
        <row r="162">
          <cell r="I162">
            <v>0.47060000000000002</v>
          </cell>
          <cell r="J162">
            <v>0.50239999999999996</v>
          </cell>
          <cell r="K162">
            <v>7.2099999999999997E-2</v>
          </cell>
          <cell r="L162">
            <v>1.2018</v>
          </cell>
          <cell r="M162">
            <v>0.37590000000000001</v>
          </cell>
          <cell r="N162">
            <v>0.37180000000000002</v>
          </cell>
          <cell r="O162">
            <v>0.39660000000000001</v>
          </cell>
          <cell r="P162">
            <v>0.3125</v>
          </cell>
          <cell r="Q162">
            <v>0.32790000000000002</v>
          </cell>
          <cell r="R162">
            <v>0.55279999999999996</v>
          </cell>
          <cell r="S162">
            <v>0.41389999999999999</v>
          </cell>
          <cell r="T162">
            <v>1.2800000000000001E-2</v>
          </cell>
          <cell r="U162">
            <v>1.2800000000000001E-2</v>
          </cell>
          <cell r="V162">
            <v>4.8000000000000001E-2</v>
          </cell>
          <cell r="W162">
            <v>0.19189999999999999</v>
          </cell>
          <cell r="X162">
            <v>9.5999999999999992E-3</v>
          </cell>
          <cell r="Y162">
            <v>9.5999999999999992E-3</v>
          </cell>
          <cell r="Z162">
            <v>3.1101000000000001</v>
          </cell>
        </row>
        <row r="163">
          <cell r="I163">
            <v>0.43009999999999998</v>
          </cell>
          <cell r="J163">
            <v>0.71009999999999995</v>
          </cell>
          <cell r="K163">
            <v>5.9900000000000002E-2</v>
          </cell>
          <cell r="L163">
            <v>0.92220000000000002</v>
          </cell>
          <cell r="M163">
            <v>0.2414</v>
          </cell>
          <cell r="N163">
            <v>0.64280000000000004</v>
          </cell>
          <cell r="O163">
            <v>0.18260000000000001</v>
          </cell>
          <cell r="P163">
            <v>0.23180000000000001</v>
          </cell>
          <cell r="Q163">
            <v>0.1542</v>
          </cell>
          <cell r="R163">
            <v>0.30990000000000001</v>
          </cell>
          <cell r="S163">
            <v>0.2737</v>
          </cell>
          <cell r="T163">
            <v>4.5199999999999997E-2</v>
          </cell>
          <cell r="U163">
            <v>0.22620000000000001</v>
          </cell>
          <cell r="V163">
            <v>1.5100000000000001E-2</v>
          </cell>
          <cell r="W163">
            <v>1.5100000000000001E-2</v>
          </cell>
          <cell r="X163">
            <v>1.1299999999999999E-2</v>
          </cell>
          <cell r="Y163">
            <v>1.1299999999999999E-2</v>
          </cell>
          <cell r="Z163">
            <v>1.2706999999999999</v>
          </cell>
        </row>
        <row r="164">
          <cell r="I164">
            <v>0.2321</v>
          </cell>
          <cell r="J164">
            <v>0.63290000000000002</v>
          </cell>
          <cell r="K164">
            <v>7.6700000000000004E-2</v>
          </cell>
          <cell r="L164">
            <v>0.95889999999999997</v>
          </cell>
          <cell r="M164">
            <v>0.4728</v>
          </cell>
          <cell r="N164">
            <v>0.73360000000000003</v>
          </cell>
          <cell r="O164">
            <v>0.16880000000000001</v>
          </cell>
          <cell r="P164">
            <v>0.22939999999999999</v>
          </cell>
          <cell r="Q164">
            <v>0.1857</v>
          </cell>
          <cell r="R164">
            <v>0.33750000000000002</v>
          </cell>
          <cell r="S164">
            <v>0.33829999999999999</v>
          </cell>
          <cell r="T164">
            <v>5.2400000000000002E-2</v>
          </cell>
          <cell r="U164">
            <v>0.26200000000000001</v>
          </cell>
          <cell r="V164">
            <v>1.7500000000000002E-2</v>
          </cell>
          <cell r="W164">
            <v>1.7500000000000002E-2</v>
          </cell>
          <cell r="X164">
            <v>1.3100000000000001E-2</v>
          </cell>
          <cell r="Y164">
            <v>1.3100000000000001E-2</v>
          </cell>
          <cell r="Z164">
            <v>1.407</v>
          </cell>
        </row>
        <row r="165">
          <cell r="I165">
            <v>0.46600000000000003</v>
          </cell>
          <cell r="J165">
            <v>0.67569999999999997</v>
          </cell>
          <cell r="K165">
            <v>0.10589999999999999</v>
          </cell>
          <cell r="L165">
            <v>1.0590999999999999</v>
          </cell>
          <cell r="M165">
            <v>0.36009999999999998</v>
          </cell>
          <cell r="N165">
            <v>0.43209999999999998</v>
          </cell>
          <cell r="O165">
            <v>0.27960000000000002</v>
          </cell>
          <cell r="P165">
            <v>0.25700000000000001</v>
          </cell>
          <cell r="Q165">
            <v>0.19570000000000001</v>
          </cell>
          <cell r="R165">
            <v>0.40239999999999998</v>
          </cell>
          <cell r="S165">
            <v>0.34100000000000003</v>
          </cell>
          <cell r="T165">
            <v>4.1000000000000002E-2</v>
          </cell>
          <cell r="U165">
            <v>0.2049</v>
          </cell>
          <cell r="V165">
            <v>1.37E-2</v>
          </cell>
          <cell r="W165">
            <v>1.37E-2</v>
          </cell>
          <cell r="X165">
            <v>1.0200000000000001E-2</v>
          </cell>
          <cell r="Y165">
            <v>1.0200000000000001E-2</v>
          </cell>
          <cell r="Z165">
            <v>1.4486000000000001</v>
          </cell>
        </row>
        <row r="166">
          <cell r="I166">
            <v>0.64890000000000003</v>
          </cell>
          <cell r="J166">
            <v>0.28870000000000001</v>
          </cell>
          <cell r="K166">
            <v>1.2499</v>
          </cell>
          <cell r="L166">
            <v>8.7499999999999994E-2</v>
          </cell>
          <cell r="M166">
            <v>0.4844</v>
          </cell>
          <cell r="N166">
            <v>0.4844</v>
          </cell>
          <cell r="O166">
            <v>0.22</v>
          </cell>
          <cell r="P166">
            <v>0.30980000000000002</v>
          </cell>
          <cell r="Q166">
            <v>0.23649999999999999</v>
          </cell>
          <cell r="R166">
            <v>0.43990000000000001</v>
          </cell>
          <cell r="S166">
            <v>0.33250000000000002</v>
          </cell>
          <cell r="T166">
            <v>5.74E-2</v>
          </cell>
          <cell r="U166">
            <v>0.28699999999999998</v>
          </cell>
          <cell r="V166">
            <v>1.9099999999999999E-2</v>
          </cell>
          <cell r="W166">
            <v>1.9099999999999999E-2</v>
          </cell>
          <cell r="X166">
            <v>1.43E-2</v>
          </cell>
          <cell r="Y166">
            <v>1.43E-2</v>
          </cell>
          <cell r="Z166">
            <v>1.5277000000000001</v>
          </cell>
        </row>
        <row r="167">
          <cell r="I167">
            <v>0.41139999999999999</v>
          </cell>
          <cell r="J167">
            <v>0.17019999999999999</v>
          </cell>
          <cell r="K167">
            <v>1.0746</v>
          </cell>
          <cell r="L167">
            <v>6.9900000000000004E-2</v>
          </cell>
          <cell r="M167">
            <v>0.31419999999999998</v>
          </cell>
          <cell r="N167">
            <v>0.28129999999999999</v>
          </cell>
          <cell r="O167">
            <v>1.2766999999999999</v>
          </cell>
          <cell r="P167">
            <v>0.37809999999999999</v>
          </cell>
          <cell r="Q167">
            <v>0.2601</v>
          </cell>
          <cell r="R167">
            <v>0.44700000000000001</v>
          </cell>
          <cell r="S167">
            <v>0.30690000000000001</v>
          </cell>
          <cell r="T167">
            <v>3.0300000000000001E-2</v>
          </cell>
          <cell r="U167">
            <v>0.1517</v>
          </cell>
          <cell r="V167">
            <v>1.01E-2</v>
          </cell>
          <cell r="W167">
            <v>1.01E-2</v>
          </cell>
          <cell r="X167">
            <v>7.6E-3</v>
          </cell>
          <cell r="Y167">
            <v>7.6E-3</v>
          </cell>
          <cell r="Z167">
            <v>1.7605</v>
          </cell>
        </row>
        <row r="168">
          <cell r="I168">
            <v>0.53910000000000002</v>
          </cell>
          <cell r="J168">
            <v>0.59309999999999996</v>
          </cell>
          <cell r="K168">
            <v>0.1225</v>
          </cell>
          <cell r="L168">
            <v>1.2253000000000001</v>
          </cell>
          <cell r="M168">
            <v>0.39579999999999999</v>
          </cell>
          <cell r="N168">
            <v>0.45829999999999999</v>
          </cell>
          <cell r="O168">
            <v>0.37740000000000001</v>
          </cell>
          <cell r="P168">
            <v>0.32919999999999999</v>
          </cell>
          <cell r="Q168">
            <v>0.248</v>
          </cell>
          <cell r="R168">
            <v>0.53910000000000002</v>
          </cell>
          <cell r="S168">
            <v>0.3705</v>
          </cell>
          <cell r="T168">
            <v>1.2200000000000001E-2</v>
          </cell>
          <cell r="U168">
            <v>1.2200000000000001E-2</v>
          </cell>
          <cell r="V168">
            <v>0.183</v>
          </cell>
          <cell r="W168">
            <v>4.5699999999999998E-2</v>
          </cell>
          <cell r="X168">
            <v>9.1000000000000004E-3</v>
          </cell>
          <cell r="Y168">
            <v>9.1000000000000004E-3</v>
          </cell>
          <cell r="Z168">
            <v>1.7039</v>
          </cell>
        </row>
        <row r="169">
          <cell r="I169">
            <v>0.5151</v>
          </cell>
          <cell r="J169">
            <v>0.8095</v>
          </cell>
          <cell r="K169">
            <v>7.0199999999999999E-2</v>
          </cell>
          <cell r="L169">
            <v>0.83620000000000005</v>
          </cell>
          <cell r="M169">
            <v>0.27010000000000001</v>
          </cell>
          <cell r="N169">
            <v>0.47760000000000002</v>
          </cell>
          <cell r="O169">
            <v>0.42309999999999998</v>
          </cell>
          <cell r="P169">
            <v>0.28260000000000002</v>
          </cell>
          <cell r="Q169">
            <v>8.8300000000000003E-2</v>
          </cell>
          <cell r="R169">
            <v>0.24079999999999999</v>
          </cell>
          <cell r="S169">
            <v>0.31140000000000001</v>
          </cell>
          <cell r="T169">
            <v>1.14E-2</v>
          </cell>
          <cell r="U169">
            <v>1.14E-2</v>
          </cell>
          <cell r="V169">
            <v>1.14E-2</v>
          </cell>
          <cell r="W169">
            <v>1.14E-2</v>
          </cell>
          <cell r="X169">
            <v>3.04E-2</v>
          </cell>
          <cell r="Y169">
            <v>0.22839999999999999</v>
          </cell>
          <cell r="Z169">
            <v>1.1533</v>
          </cell>
        </row>
        <row r="170">
          <cell r="I170">
            <v>0.37219999999999998</v>
          </cell>
          <cell r="J170">
            <v>0.54869999999999997</v>
          </cell>
          <cell r="K170">
            <v>0.1084</v>
          </cell>
          <cell r="L170">
            <v>1.0844</v>
          </cell>
          <cell r="M170">
            <v>0.27650000000000002</v>
          </cell>
          <cell r="N170">
            <v>0.29499999999999998</v>
          </cell>
          <cell r="O170">
            <v>0.52490000000000003</v>
          </cell>
          <cell r="P170">
            <v>0.31009999999999999</v>
          </cell>
          <cell r="Q170">
            <v>0.2099</v>
          </cell>
          <cell r="R170">
            <v>0.47710000000000002</v>
          </cell>
          <cell r="S170">
            <v>0.33400000000000002</v>
          </cell>
          <cell r="T170">
            <v>7.6E-3</v>
          </cell>
          <cell r="U170">
            <v>7.6E-3</v>
          </cell>
          <cell r="V170">
            <v>7.6E-3</v>
          </cell>
          <cell r="W170">
            <v>7.6E-3</v>
          </cell>
          <cell r="X170">
            <v>2.0299999999999999E-2</v>
          </cell>
          <cell r="Y170">
            <v>0.15260000000000001</v>
          </cell>
          <cell r="Z170">
            <v>1.4633</v>
          </cell>
        </row>
        <row r="171">
          <cell r="I171">
            <v>0.78</v>
          </cell>
          <cell r="J171">
            <v>0.61219999999999997</v>
          </cell>
          <cell r="K171">
            <v>6.7000000000000004E-2</v>
          </cell>
          <cell r="L171">
            <v>1.0306</v>
          </cell>
          <cell r="M171">
            <v>0.57469999999999999</v>
          </cell>
          <cell r="N171">
            <v>0.54310000000000003</v>
          </cell>
          <cell r="O171">
            <v>0.15870000000000001</v>
          </cell>
          <cell r="P171">
            <v>0.25009999999999999</v>
          </cell>
          <cell r="Q171">
            <v>0.13600000000000001</v>
          </cell>
          <cell r="R171">
            <v>0.24729999999999999</v>
          </cell>
          <cell r="S171">
            <v>0.35780000000000001</v>
          </cell>
          <cell r="T171">
            <v>0.28160000000000002</v>
          </cell>
          <cell r="U171">
            <v>5.6300000000000003E-2</v>
          </cell>
          <cell r="V171">
            <v>1.8800000000000001E-2</v>
          </cell>
          <cell r="W171">
            <v>1.8800000000000001E-2</v>
          </cell>
          <cell r="X171">
            <v>1.41E-2</v>
          </cell>
          <cell r="Y171">
            <v>1.41E-2</v>
          </cell>
          <cell r="Z171">
            <v>1.3480000000000001</v>
          </cell>
        </row>
        <row r="172">
          <cell r="I172">
            <v>1.1301000000000001</v>
          </cell>
          <cell r="J172">
            <v>0.16539999999999999</v>
          </cell>
          <cell r="K172">
            <v>1.2527999999999999</v>
          </cell>
          <cell r="L172">
            <v>0.1128</v>
          </cell>
          <cell r="M172">
            <v>0.64749999999999996</v>
          </cell>
          <cell r="N172">
            <v>0.55379999999999996</v>
          </cell>
          <cell r="O172">
            <v>0.13780000000000001</v>
          </cell>
          <cell r="P172">
            <v>0.29320000000000002</v>
          </cell>
          <cell r="Q172">
            <v>0.1268</v>
          </cell>
          <cell r="R172">
            <v>0.25559999999999999</v>
          </cell>
          <cell r="S172">
            <v>0.29820000000000002</v>
          </cell>
          <cell r="T172">
            <v>1.1900000000000001E-2</v>
          </cell>
          <cell r="U172">
            <v>1.1900000000000001E-2</v>
          </cell>
          <cell r="V172">
            <v>1.1900000000000001E-2</v>
          </cell>
          <cell r="W172">
            <v>1.1900000000000001E-2</v>
          </cell>
          <cell r="X172">
            <v>3.1800000000000002E-2</v>
          </cell>
          <cell r="Y172">
            <v>0.2387</v>
          </cell>
          <cell r="Z172">
            <v>1.3125</v>
          </cell>
        </row>
        <row r="173">
          <cell r="I173">
            <v>0.73070000000000002</v>
          </cell>
          <cell r="J173">
            <v>0.24360000000000001</v>
          </cell>
          <cell r="K173">
            <v>1.2302</v>
          </cell>
          <cell r="L173">
            <v>0.123</v>
          </cell>
          <cell r="M173">
            <v>0.58560000000000001</v>
          </cell>
          <cell r="N173">
            <v>0.41830000000000001</v>
          </cell>
          <cell r="O173">
            <v>0.433</v>
          </cell>
          <cell r="P173">
            <v>0.3412</v>
          </cell>
          <cell r="Q173">
            <v>0.2923</v>
          </cell>
          <cell r="R173">
            <v>0.51670000000000005</v>
          </cell>
          <cell r="S173">
            <v>0.27560000000000001</v>
          </cell>
          <cell r="T173">
            <v>1.3100000000000001E-2</v>
          </cell>
          <cell r="U173">
            <v>1.3100000000000001E-2</v>
          </cell>
          <cell r="V173">
            <v>1.3100000000000001E-2</v>
          </cell>
          <cell r="W173">
            <v>1.3100000000000001E-2</v>
          </cell>
          <cell r="X173">
            <v>3.49E-2</v>
          </cell>
          <cell r="Y173">
            <v>0.2616</v>
          </cell>
          <cell r="Z173">
            <v>1.8165</v>
          </cell>
        </row>
        <row r="174">
          <cell r="I174">
            <v>0.44290000000000002</v>
          </cell>
          <cell r="J174">
            <v>0.56859999999999999</v>
          </cell>
          <cell r="K174">
            <v>8.8400000000000006E-2</v>
          </cell>
          <cell r="L174">
            <v>1.3604000000000001</v>
          </cell>
          <cell r="M174">
            <v>0.33300000000000002</v>
          </cell>
          <cell r="N174">
            <v>0.38850000000000001</v>
          </cell>
          <cell r="O174">
            <v>0.29930000000000001</v>
          </cell>
          <cell r="P174">
            <v>0.3301</v>
          </cell>
          <cell r="Q174">
            <v>0.40100000000000002</v>
          </cell>
          <cell r="R174">
            <v>0.84340000000000004</v>
          </cell>
          <cell r="S174">
            <v>0.35039999999999999</v>
          </cell>
          <cell r="T174">
            <v>7.7999999999999996E-3</v>
          </cell>
          <cell r="U174">
            <v>7.7999999999999996E-3</v>
          </cell>
          <cell r="V174">
            <v>7.7999999999999996E-3</v>
          </cell>
          <cell r="W174">
            <v>7.7999999999999996E-3</v>
          </cell>
          <cell r="X174">
            <v>2.0799999999999999E-2</v>
          </cell>
          <cell r="Y174">
            <v>0.15570000000000001</v>
          </cell>
          <cell r="Z174">
            <v>2.0874000000000001</v>
          </cell>
        </row>
        <row r="175">
          <cell r="I175">
            <v>0.5454</v>
          </cell>
          <cell r="J175">
            <v>0.45450000000000002</v>
          </cell>
          <cell r="K175">
            <v>0.1033</v>
          </cell>
          <cell r="L175">
            <v>1.0328999999999999</v>
          </cell>
          <cell r="M175">
            <v>0.45650000000000002</v>
          </cell>
          <cell r="N175">
            <v>0.29849999999999999</v>
          </cell>
          <cell r="O175">
            <v>0.36359999999999998</v>
          </cell>
          <cell r="P175">
            <v>0.28649999999999998</v>
          </cell>
          <cell r="Q175">
            <v>0.2545</v>
          </cell>
          <cell r="R175">
            <v>0.41320000000000001</v>
          </cell>
          <cell r="S175">
            <v>0.28920000000000001</v>
          </cell>
          <cell r="T175">
            <v>1.2699999999999999E-2</v>
          </cell>
          <cell r="U175">
            <v>1.2699999999999999E-2</v>
          </cell>
          <cell r="V175">
            <v>4.7699999999999999E-2</v>
          </cell>
          <cell r="W175">
            <v>0.19070000000000001</v>
          </cell>
          <cell r="X175">
            <v>9.4999999999999998E-3</v>
          </cell>
          <cell r="Y175">
            <v>9.4999999999999998E-3</v>
          </cell>
          <cell r="Z175">
            <v>1.5992999999999999</v>
          </cell>
        </row>
        <row r="176">
          <cell r="I176">
            <v>0.31090000000000001</v>
          </cell>
          <cell r="J176">
            <v>0.41810000000000003</v>
          </cell>
          <cell r="K176">
            <v>6.0900000000000003E-2</v>
          </cell>
          <cell r="L176">
            <v>1.2181</v>
          </cell>
          <cell r="M176">
            <v>0.2651</v>
          </cell>
          <cell r="N176">
            <v>0.26919999999999999</v>
          </cell>
          <cell r="O176">
            <v>0.42880000000000001</v>
          </cell>
          <cell r="P176">
            <v>0.32729999999999998</v>
          </cell>
          <cell r="Q176">
            <v>0.45019999999999999</v>
          </cell>
          <cell r="R176">
            <v>0.63339999999999996</v>
          </cell>
          <cell r="S176">
            <v>0.34110000000000001</v>
          </cell>
          <cell r="T176">
            <v>6.0000000000000001E-3</v>
          </cell>
          <cell r="U176">
            <v>6.0000000000000001E-3</v>
          </cell>
          <cell r="V176">
            <v>6.0000000000000001E-3</v>
          </cell>
          <cell r="W176">
            <v>6.0000000000000001E-3</v>
          </cell>
          <cell r="X176">
            <v>1.61E-2</v>
          </cell>
          <cell r="Y176">
            <v>0.12089999999999999</v>
          </cell>
          <cell r="Z176">
            <v>2.0466000000000002</v>
          </cell>
        </row>
        <row r="177">
          <cell r="I177">
            <v>0.56230000000000002</v>
          </cell>
          <cell r="J177">
            <v>0.67769999999999997</v>
          </cell>
          <cell r="K177">
            <v>7.5300000000000006E-2</v>
          </cell>
          <cell r="L177">
            <v>1.141</v>
          </cell>
          <cell r="M177">
            <v>0.75649999999999995</v>
          </cell>
          <cell r="N177">
            <v>0.27929999999999999</v>
          </cell>
          <cell r="O177">
            <v>0.27610000000000001</v>
          </cell>
          <cell r="P177">
            <v>0.29659999999999997</v>
          </cell>
          <cell r="Q177">
            <v>0.1857</v>
          </cell>
          <cell r="R177">
            <v>0.39710000000000001</v>
          </cell>
          <cell r="S177">
            <v>0.30030000000000001</v>
          </cell>
          <cell r="T177">
            <v>1.66E-2</v>
          </cell>
          <cell r="U177">
            <v>1.66E-2</v>
          </cell>
          <cell r="V177">
            <v>6.2300000000000001E-2</v>
          </cell>
          <cell r="W177">
            <v>0.24940000000000001</v>
          </cell>
          <cell r="X177">
            <v>1.2500000000000001E-2</v>
          </cell>
          <cell r="Y177">
            <v>1.2500000000000001E-2</v>
          </cell>
          <cell r="Z177">
            <v>1.4981</v>
          </cell>
        </row>
        <row r="178">
          <cell r="I178">
            <v>0.67510000000000003</v>
          </cell>
          <cell r="J178">
            <v>0.23910000000000001</v>
          </cell>
          <cell r="K178">
            <v>1.2786</v>
          </cell>
          <cell r="L178">
            <v>0.12790000000000001</v>
          </cell>
          <cell r="M178">
            <v>0.56510000000000005</v>
          </cell>
          <cell r="N178">
            <v>0.3695</v>
          </cell>
          <cell r="O178">
            <v>0.4501</v>
          </cell>
          <cell r="P178">
            <v>0.35460000000000003</v>
          </cell>
          <cell r="Q178">
            <v>0.315</v>
          </cell>
          <cell r="R178">
            <v>0.51139999999999997</v>
          </cell>
          <cell r="S178">
            <v>0.28639999999999999</v>
          </cell>
          <cell r="T178">
            <v>1.5699999999999999E-2</v>
          </cell>
          <cell r="U178">
            <v>1.5699999999999999E-2</v>
          </cell>
          <cell r="V178">
            <v>5.8999999999999997E-2</v>
          </cell>
          <cell r="W178">
            <v>0.2359</v>
          </cell>
          <cell r="X178">
            <v>1.18E-2</v>
          </cell>
          <cell r="Y178">
            <v>1.18E-2</v>
          </cell>
          <cell r="Z178">
            <v>1.8391999999999999</v>
          </cell>
        </row>
        <row r="179">
          <cell r="I179">
            <v>0.79900000000000004</v>
          </cell>
          <cell r="J179">
            <v>0.22020000000000001</v>
          </cell>
          <cell r="K179">
            <v>1.4298</v>
          </cell>
          <cell r="L179">
            <v>9.2899999999999996E-2</v>
          </cell>
          <cell r="M179">
            <v>0.51039999999999996</v>
          </cell>
          <cell r="N179">
            <v>0.42780000000000001</v>
          </cell>
          <cell r="O179">
            <v>0.3775</v>
          </cell>
          <cell r="P179">
            <v>0.53280000000000005</v>
          </cell>
          <cell r="Q179">
            <v>0.20760000000000001</v>
          </cell>
          <cell r="R179">
            <v>0.30309999999999998</v>
          </cell>
          <cell r="S179">
            <v>0.49640000000000001</v>
          </cell>
          <cell r="T179">
            <v>1.2999999999999999E-2</v>
          </cell>
          <cell r="U179">
            <v>1.2999999999999999E-2</v>
          </cell>
          <cell r="V179">
            <v>4.8599999999999997E-2</v>
          </cell>
          <cell r="W179">
            <v>0.1943</v>
          </cell>
          <cell r="X179">
            <v>9.7000000000000003E-3</v>
          </cell>
          <cell r="Y179">
            <v>9.7000000000000003E-3</v>
          </cell>
          <cell r="Z179">
            <v>1.5743</v>
          </cell>
        </row>
        <row r="180">
          <cell r="I180">
            <v>0.71430000000000005</v>
          </cell>
          <cell r="J180">
            <v>0.53010000000000002</v>
          </cell>
          <cell r="K180">
            <v>0.10780000000000001</v>
          </cell>
          <cell r="L180">
            <v>1.2683</v>
          </cell>
          <cell r="M180">
            <v>0.53039999999999998</v>
          </cell>
          <cell r="N180">
            <v>0.48299999999999998</v>
          </cell>
          <cell r="O180">
            <v>0.3906</v>
          </cell>
          <cell r="P180">
            <v>0.32979999999999998</v>
          </cell>
          <cell r="Q180">
            <v>0.3125</v>
          </cell>
          <cell r="R180">
            <v>0.73560000000000003</v>
          </cell>
          <cell r="S180">
            <v>0.22020000000000001</v>
          </cell>
          <cell r="T180">
            <v>1.6799999999999999E-2</v>
          </cell>
          <cell r="U180">
            <v>1.6799999999999999E-2</v>
          </cell>
          <cell r="V180">
            <v>6.3E-2</v>
          </cell>
          <cell r="W180">
            <v>0.25190000000000001</v>
          </cell>
          <cell r="X180">
            <v>1.26E-2</v>
          </cell>
          <cell r="Y180">
            <v>1.26E-2</v>
          </cell>
          <cell r="Z180">
            <v>1.9991000000000001</v>
          </cell>
        </row>
        <row r="181">
          <cell r="I181">
            <v>0.44869999999999999</v>
          </cell>
          <cell r="J181">
            <v>0.78890000000000005</v>
          </cell>
          <cell r="K181">
            <v>8.4000000000000005E-2</v>
          </cell>
          <cell r="L181">
            <v>1.1206</v>
          </cell>
          <cell r="M181">
            <v>0.33529999999999999</v>
          </cell>
          <cell r="N181">
            <v>0.36199999999999999</v>
          </cell>
          <cell r="O181">
            <v>0.19719999999999999</v>
          </cell>
          <cell r="P181">
            <v>0.42730000000000001</v>
          </cell>
          <cell r="Q181">
            <v>0.16270000000000001</v>
          </cell>
          <cell r="R181">
            <v>0.28689999999999999</v>
          </cell>
          <cell r="S181">
            <v>0.46439999999999998</v>
          </cell>
          <cell r="T181">
            <v>0.16839999999999999</v>
          </cell>
          <cell r="U181">
            <v>3.3700000000000001E-2</v>
          </cell>
          <cell r="V181">
            <v>1.12E-2</v>
          </cell>
          <cell r="W181">
            <v>1.12E-2</v>
          </cell>
          <cell r="X181">
            <v>8.3999999999999995E-3</v>
          </cell>
          <cell r="Y181">
            <v>8.3999999999999995E-3</v>
          </cell>
          <cell r="Z181">
            <v>1.3644000000000001</v>
          </cell>
        </row>
        <row r="182">
          <cell r="I182">
            <v>0.50800000000000001</v>
          </cell>
          <cell r="J182">
            <v>0.8387</v>
          </cell>
          <cell r="K182">
            <v>7.0800000000000002E-2</v>
          </cell>
          <cell r="L182">
            <v>1.0891999999999999</v>
          </cell>
          <cell r="M182">
            <v>0.28520000000000001</v>
          </cell>
          <cell r="N182">
            <v>0.75919999999999999</v>
          </cell>
          <cell r="O182">
            <v>0.2157</v>
          </cell>
          <cell r="P182">
            <v>0.27379999999999999</v>
          </cell>
          <cell r="Q182">
            <v>0.18210000000000001</v>
          </cell>
          <cell r="R182">
            <v>0.36599999999999999</v>
          </cell>
          <cell r="S182">
            <v>0.32329999999999998</v>
          </cell>
          <cell r="T182">
            <v>0.26719999999999999</v>
          </cell>
          <cell r="U182">
            <v>5.3400000000000003E-2</v>
          </cell>
          <cell r="V182">
            <v>1.78E-2</v>
          </cell>
          <cell r="W182">
            <v>1.78E-2</v>
          </cell>
          <cell r="X182">
            <v>1.34E-2</v>
          </cell>
          <cell r="Y182">
            <v>1.34E-2</v>
          </cell>
          <cell r="Z182">
            <v>1.5008999999999999</v>
          </cell>
        </row>
        <row r="183">
          <cell r="I183">
            <v>0.27350000000000002</v>
          </cell>
          <cell r="J183">
            <v>0.74580000000000002</v>
          </cell>
          <cell r="K183">
            <v>9.0399999999999994E-2</v>
          </cell>
          <cell r="L183">
            <v>1.1299999999999999</v>
          </cell>
          <cell r="M183">
            <v>0.55710000000000004</v>
          </cell>
          <cell r="N183">
            <v>0.86450000000000005</v>
          </cell>
          <cell r="O183">
            <v>0.19889999999999999</v>
          </cell>
          <cell r="P183">
            <v>0.27029999999999998</v>
          </cell>
          <cell r="Q183">
            <v>0.21879999999999999</v>
          </cell>
          <cell r="R183">
            <v>0.39779999999999999</v>
          </cell>
          <cell r="S183">
            <v>0.3987</v>
          </cell>
          <cell r="T183">
            <v>0.30869999999999997</v>
          </cell>
          <cell r="U183">
            <v>6.1699999999999998E-2</v>
          </cell>
          <cell r="V183">
            <v>2.06E-2</v>
          </cell>
          <cell r="W183">
            <v>2.06E-2</v>
          </cell>
          <cell r="X183">
            <v>1.54E-2</v>
          </cell>
          <cell r="Y183">
            <v>1.54E-2</v>
          </cell>
          <cell r="Z183">
            <v>1.6580999999999999</v>
          </cell>
        </row>
        <row r="184">
          <cell r="I184">
            <v>0.37409999999999999</v>
          </cell>
          <cell r="J184">
            <v>0.1381</v>
          </cell>
          <cell r="K184">
            <v>1.3081</v>
          </cell>
          <cell r="L184">
            <v>8.5000000000000006E-2</v>
          </cell>
          <cell r="M184">
            <v>0.2757</v>
          </cell>
          <cell r="N184">
            <v>0.3024</v>
          </cell>
          <cell r="O184">
            <v>1.036</v>
          </cell>
          <cell r="P184">
            <v>0.47610000000000002</v>
          </cell>
          <cell r="Q184">
            <v>0.36259999999999998</v>
          </cell>
          <cell r="R184">
            <v>0.70640000000000003</v>
          </cell>
          <cell r="S184">
            <v>0.315</v>
          </cell>
          <cell r="T184">
            <v>0.14630000000000001</v>
          </cell>
          <cell r="U184">
            <v>2.93E-2</v>
          </cell>
          <cell r="V184">
            <v>9.7999999999999997E-3</v>
          </cell>
          <cell r="W184">
            <v>9.7999999999999997E-3</v>
          </cell>
          <cell r="X184">
            <v>7.3000000000000001E-3</v>
          </cell>
          <cell r="Y184">
            <v>7.3000000000000001E-3</v>
          </cell>
          <cell r="Z184">
            <v>2.0173999999999999</v>
          </cell>
        </row>
        <row r="185">
          <cell r="I185">
            <v>0.76170000000000004</v>
          </cell>
          <cell r="J185">
            <v>0.33889999999999998</v>
          </cell>
          <cell r="K185">
            <v>1.4670000000000001</v>
          </cell>
          <cell r="L185">
            <v>0.1027</v>
          </cell>
          <cell r="M185">
            <v>0.56859999999999999</v>
          </cell>
          <cell r="N185">
            <v>0.56859999999999999</v>
          </cell>
          <cell r="O185">
            <v>0.25819999999999999</v>
          </cell>
          <cell r="P185">
            <v>0.36359999999999998</v>
          </cell>
          <cell r="Q185">
            <v>0.27760000000000001</v>
          </cell>
          <cell r="R185">
            <v>0.51639999999999997</v>
          </cell>
          <cell r="S185">
            <v>0.39019999999999999</v>
          </cell>
          <cell r="T185">
            <v>0.33679999999999999</v>
          </cell>
          <cell r="U185">
            <v>6.7400000000000002E-2</v>
          </cell>
          <cell r="V185">
            <v>2.2499999999999999E-2</v>
          </cell>
          <cell r="W185">
            <v>2.2499999999999999E-2</v>
          </cell>
          <cell r="X185">
            <v>1.6799999999999999E-2</v>
          </cell>
          <cell r="Y185">
            <v>1.6799999999999999E-2</v>
          </cell>
          <cell r="Z185">
            <v>1.7931999999999999</v>
          </cell>
        </row>
        <row r="186">
          <cell r="I186">
            <v>0.55069999999999997</v>
          </cell>
          <cell r="J186">
            <v>1.4167000000000001</v>
          </cell>
          <cell r="K186">
            <v>8.5099999999999995E-2</v>
          </cell>
          <cell r="L186">
            <v>1.2151000000000001</v>
          </cell>
          <cell r="M186">
            <v>0.39660000000000001</v>
          </cell>
          <cell r="N186">
            <v>0.48749999999999999</v>
          </cell>
          <cell r="O186">
            <v>0.34749999999999998</v>
          </cell>
          <cell r="P186">
            <v>0.3054</v>
          </cell>
          <cell r="Q186">
            <v>0.22450000000000001</v>
          </cell>
          <cell r="R186">
            <v>0.43740000000000001</v>
          </cell>
          <cell r="S186">
            <v>0.38100000000000001</v>
          </cell>
          <cell r="T186">
            <v>0.25259999999999999</v>
          </cell>
          <cell r="U186">
            <v>5.0500000000000003E-2</v>
          </cell>
          <cell r="V186">
            <v>1.6799999999999999E-2</v>
          </cell>
          <cell r="W186">
            <v>1.6799999999999999E-2</v>
          </cell>
          <cell r="X186">
            <v>1.26E-2</v>
          </cell>
          <cell r="Y186">
            <v>1.26E-2</v>
          </cell>
          <cell r="Z186">
            <v>1.8516999999999999</v>
          </cell>
        </row>
        <row r="187">
          <cell r="I187">
            <v>0.39639999999999997</v>
          </cell>
          <cell r="J187">
            <v>0.65259999999999996</v>
          </cell>
          <cell r="K187">
            <v>6.59E-2</v>
          </cell>
          <cell r="L187">
            <v>1.0987</v>
          </cell>
          <cell r="M187">
            <v>0.30259999999999998</v>
          </cell>
          <cell r="N187">
            <v>0.32500000000000001</v>
          </cell>
          <cell r="O187">
            <v>0.58009999999999995</v>
          </cell>
          <cell r="P187">
            <v>0.48559999999999998</v>
          </cell>
          <cell r="Q187">
            <v>0.22239999999999999</v>
          </cell>
          <cell r="R187">
            <v>0.29880000000000001</v>
          </cell>
          <cell r="S187">
            <v>0.43680000000000002</v>
          </cell>
          <cell r="T187">
            <v>3.04E-2</v>
          </cell>
          <cell r="U187">
            <v>0.15179999999999999</v>
          </cell>
          <cell r="V187">
            <v>1.01E-2</v>
          </cell>
          <cell r="W187">
            <v>1.01E-2</v>
          </cell>
          <cell r="X187">
            <v>7.6E-3</v>
          </cell>
          <cell r="Y187">
            <v>7.6E-3</v>
          </cell>
          <cell r="Z187">
            <v>1.5947</v>
          </cell>
        </row>
        <row r="188">
          <cell r="I188">
            <v>0.60840000000000005</v>
          </cell>
          <cell r="J188">
            <v>0.95609999999999995</v>
          </cell>
          <cell r="K188">
            <v>8.3000000000000004E-2</v>
          </cell>
          <cell r="L188">
            <v>0.98770000000000002</v>
          </cell>
          <cell r="M188">
            <v>0.31900000000000001</v>
          </cell>
          <cell r="N188">
            <v>0.56410000000000005</v>
          </cell>
          <cell r="O188">
            <v>0.49980000000000002</v>
          </cell>
          <cell r="P188">
            <v>0.33379999999999999</v>
          </cell>
          <cell r="Q188">
            <v>0.1043</v>
          </cell>
          <cell r="R188">
            <v>0.28439999999999999</v>
          </cell>
          <cell r="S188">
            <v>0.36780000000000002</v>
          </cell>
          <cell r="T188">
            <v>5.3900000000000003E-2</v>
          </cell>
          <cell r="U188">
            <v>0.2697</v>
          </cell>
          <cell r="V188">
            <v>1.7999999999999999E-2</v>
          </cell>
          <cell r="W188">
            <v>1.7999999999999999E-2</v>
          </cell>
          <cell r="X188">
            <v>1.35E-2</v>
          </cell>
          <cell r="Y188">
            <v>1.35E-2</v>
          </cell>
          <cell r="Z188">
            <v>1.3622000000000001</v>
          </cell>
        </row>
        <row r="189">
          <cell r="I189">
            <v>0.43859999999999999</v>
          </cell>
          <cell r="J189">
            <v>0.64659999999999995</v>
          </cell>
          <cell r="K189">
            <v>0.1278</v>
          </cell>
          <cell r="L189">
            <v>1.2779</v>
          </cell>
          <cell r="M189">
            <v>0.32590000000000002</v>
          </cell>
          <cell r="N189">
            <v>0.34760000000000002</v>
          </cell>
          <cell r="O189">
            <v>0.61850000000000005</v>
          </cell>
          <cell r="P189">
            <v>0.36549999999999999</v>
          </cell>
          <cell r="Q189">
            <v>0.24740000000000001</v>
          </cell>
          <cell r="R189">
            <v>0.56230000000000002</v>
          </cell>
          <cell r="S189">
            <v>0.39360000000000001</v>
          </cell>
          <cell r="T189">
            <v>3.5999999999999997E-2</v>
          </cell>
          <cell r="U189">
            <v>0.17979999999999999</v>
          </cell>
          <cell r="V189">
            <v>1.2E-2</v>
          </cell>
          <cell r="W189">
            <v>1.2E-2</v>
          </cell>
          <cell r="X189">
            <v>8.9999999999999993E-3</v>
          </cell>
          <cell r="Y189">
            <v>8.9999999999999993E-3</v>
          </cell>
          <cell r="Z189">
            <v>1.7243999999999999</v>
          </cell>
        </row>
        <row r="190">
          <cell r="I190">
            <v>0.85850000000000004</v>
          </cell>
          <cell r="J190">
            <v>0.29199999999999998</v>
          </cell>
          <cell r="K190">
            <v>1.3272999999999999</v>
          </cell>
          <cell r="L190">
            <v>0.1009</v>
          </cell>
          <cell r="M190">
            <v>0.41520000000000001</v>
          </cell>
          <cell r="N190">
            <v>0.99280000000000002</v>
          </cell>
          <cell r="O190">
            <v>0.29199999999999998</v>
          </cell>
          <cell r="P190">
            <v>0.34510000000000002</v>
          </cell>
          <cell r="Q190">
            <v>0.2394</v>
          </cell>
          <cell r="R190">
            <v>0.4194</v>
          </cell>
          <cell r="S190">
            <v>0.31219999999999998</v>
          </cell>
          <cell r="T190">
            <v>5.7299999999999997E-2</v>
          </cell>
          <cell r="U190">
            <v>0.28649999999999998</v>
          </cell>
          <cell r="V190">
            <v>1.9099999999999999E-2</v>
          </cell>
          <cell r="W190">
            <v>1.9099999999999999E-2</v>
          </cell>
          <cell r="X190">
            <v>1.43E-2</v>
          </cell>
          <cell r="Y190">
            <v>1.43E-2</v>
          </cell>
          <cell r="Z190">
            <v>1.7562</v>
          </cell>
        </row>
        <row r="191">
          <cell r="I191">
            <v>1.3264</v>
          </cell>
          <cell r="J191">
            <v>0.19409999999999999</v>
          </cell>
          <cell r="K191">
            <v>1.4705999999999999</v>
          </cell>
          <cell r="L191">
            <v>0.13239999999999999</v>
          </cell>
          <cell r="M191">
            <v>0.76</v>
          </cell>
          <cell r="N191">
            <v>0.65</v>
          </cell>
          <cell r="O191">
            <v>0.1618</v>
          </cell>
          <cell r="P191">
            <v>0.34410000000000002</v>
          </cell>
          <cell r="Q191">
            <v>0.14879999999999999</v>
          </cell>
          <cell r="R191">
            <v>0.3</v>
          </cell>
          <cell r="S191">
            <v>0.35</v>
          </cell>
          <cell r="T191">
            <v>5.6000000000000001E-2</v>
          </cell>
          <cell r="U191">
            <v>0.2802</v>
          </cell>
          <cell r="V191">
            <v>1.8700000000000001E-2</v>
          </cell>
          <cell r="W191">
            <v>1.8700000000000001E-2</v>
          </cell>
          <cell r="X191">
            <v>1.4E-2</v>
          </cell>
          <cell r="Y191">
            <v>1.4E-2</v>
          </cell>
          <cell r="Z191">
            <v>1.5406</v>
          </cell>
        </row>
        <row r="192">
          <cell r="I192">
            <v>0.61839999999999995</v>
          </cell>
          <cell r="J192">
            <v>0.67220000000000002</v>
          </cell>
          <cell r="K192">
            <v>0.15279999999999999</v>
          </cell>
          <cell r="L192">
            <v>1.5277000000000001</v>
          </cell>
          <cell r="M192">
            <v>0.49340000000000001</v>
          </cell>
          <cell r="N192">
            <v>0.5454</v>
          </cell>
          <cell r="O192">
            <v>0.33610000000000001</v>
          </cell>
          <cell r="P192">
            <v>0.3972</v>
          </cell>
          <cell r="Q192">
            <v>0.26889999999999997</v>
          </cell>
          <cell r="R192">
            <v>0.64159999999999995</v>
          </cell>
          <cell r="S192">
            <v>0.42770000000000002</v>
          </cell>
          <cell r="T192">
            <v>4.87E-2</v>
          </cell>
          <cell r="U192">
            <v>0.24329999999999999</v>
          </cell>
          <cell r="V192">
            <v>1.6199999999999999E-2</v>
          </cell>
          <cell r="W192">
            <v>1.6199999999999999E-2</v>
          </cell>
          <cell r="X192">
            <v>1.2200000000000001E-2</v>
          </cell>
          <cell r="Y192">
            <v>1.2200000000000001E-2</v>
          </cell>
          <cell r="Z192">
            <v>1.8919999999999999</v>
          </cell>
        </row>
        <row r="193">
          <cell r="I193">
            <v>0.42370000000000002</v>
          </cell>
          <cell r="J193">
            <v>0.48270000000000002</v>
          </cell>
          <cell r="K193">
            <v>6.4600000000000005E-2</v>
          </cell>
          <cell r="L193">
            <v>1.2189000000000001</v>
          </cell>
          <cell r="M193">
            <v>0.3523</v>
          </cell>
          <cell r="N193">
            <v>0.3357</v>
          </cell>
          <cell r="O193">
            <v>0.34860000000000002</v>
          </cell>
          <cell r="P193">
            <v>0.30630000000000002</v>
          </cell>
          <cell r="Q193">
            <v>0.42899999999999999</v>
          </cell>
          <cell r="R193">
            <v>0.83860000000000001</v>
          </cell>
          <cell r="S193">
            <v>0.25940000000000002</v>
          </cell>
          <cell r="T193">
            <v>9.7000000000000003E-3</v>
          </cell>
          <cell r="U193">
            <v>9.7000000000000003E-3</v>
          </cell>
          <cell r="V193">
            <v>0.1457</v>
          </cell>
          <cell r="W193">
            <v>3.6400000000000002E-2</v>
          </cell>
          <cell r="X193">
            <v>7.3000000000000001E-3</v>
          </cell>
          <cell r="Y193">
            <v>7.3000000000000001E-3</v>
          </cell>
          <cell r="Z193">
            <v>2.1362999999999999</v>
          </cell>
        </row>
        <row r="194">
          <cell r="I194">
            <v>0.64410000000000001</v>
          </cell>
          <cell r="J194">
            <v>0.53680000000000005</v>
          </cell>
          <cell r="K194">
            <v>0.122</v>
          </cell>
          <cell r="L194">
            <v>1.22</v>
          </cell>
          <cell r="M194">
            <v>0.53920000000000001</v>
          </cell>
          <cell r="N194">
            <v>0.35260000000000002</v>
          </cell>
          <cell r="O194">
            <v>0.4294</v>
          </cell>
          <cell r="P194">
            <v>0.33829999999999999</v>
          </cell>
          <cell r="Q194">
            <v>0.30059999999999998</v>
          </cell>
          <cell r="R194">
            <v>0.48799999999999999</v>
          </cell>
          <cell r="S194">
            <v>0.34160000000000001</v>
          </cell>
          <cell r="T194">
            <v>1.4999999999999999E-2</v>
          </cell>
          <cell r="U194">
            <v>1.4999999999999999E-2</v>
          </cell>
          <cell r="V194">
            <v>0.2253</v>
          </cell>
          <cell r="W194">
            <v>5.6300000000000003E-2</v>
          </cell>
          <cell r="X194">
            <v>1.1299999999999999E-2</v>
          </cell>
          <cell r="Y194">
            <v>1.1299999999999999E-2</v>
          </cell>
          <cell r="Z194">
            <v>1.889</v>
          </cell>
        </row>
        <row r="195">
          <cell r="I195">
            <v>0.36630000000000001</v>
          </cell>
          <cell r="J195">
            <v>0.49270000000000003</v>
          </cell>
          <cell r="K195">
            <v>7.1800000000000003E-2</v>
          </cell>
          <cell r="L195">
            <v>1.4355</v>
          </cell>
          <cell r="M195">
            <v>0.31240000000000001</v>
          </cell>
          <cell r="N195">
            <v>0.31719999999999998</v>
          </cell>
          <cell r="O195">
            <v>0.50529999999999997</v>
          </cell>
          <cell r="P195">
            <v>0.38569999999999999</v>
          </cell>
          <cell r="Q195">
            <v>0.53049999999999997</v>
          </cell>
          <cell r="R195">
            <v>0.74639999999999995</v>
          </cell>
          <cell r="S195">
            <v>0.40189999999999998</v>
          </cell>
          <cell r="T195">
            <v>9.4999999999999998E-3</v>
          </cell>
          <cell r="U195">
            <v>9.4999999999999998E-3</v>
          </cell>
          <cell r="V195">
            <v>0.14249999999999999</v>
          </cell>
          <cell r="W195">
            <v>3.56E-2</v>
          </cell>
          <cell r="X195">
            <v>7.1000000000000004E-3</v>
          </cell>
          <cell r="Y195">
            <v>7.1000000000000004E-3</v>
          </cell>
          <cell r="Z195">
            <v>2.4117999999999999</v>
          </cell>
        </row>
        <row r="196">
          <cell r="I196">
            <v>0.48920000000000002</v>
          </cell>
          <cell r="J196">
            <v>0.26319999999999999</v>
          </cell>
          <cell r="K196">
            <v>1.4075</v>
          </cell>
          <cell r="L196">
            <v>9.8500000000000004E-2</v>
          </cell>
          <cell r="M196">
            <v>0.37809999999999999</v>
          </cell>
          <cell r="N196">
            <v>0.3493</v>
          </cell>
          <cell r="O196">
            <v>0.61929999999999996</v>
          </cell>
          <cell r="P196">
            <v>0.45129999999999998</v>
          </cell>
          <cell r="Q196">
            <v>0.49540000000000001</v>
          </cell>
          <cell r="R196">
            <v>0.79379999999999995</v>
          </cell>
          <cell r="S196">
            <v>0.47289999999999999</v>
          </cell>
          <cell r="T196">
            <v>1.21E-2</v>
          </cell>
          <cell r="U196">
            <v>1.21E-2</v>
          </cell>
          <cell r="V196">
            <v>0.18149999999999999</v>
          </cell>
          <cell r="W196">
            <v>4.5400000000000003E-2</v>
          </cell>
          <cell r="X196">
            <v>9.1000000000000004E-3</v>
          </cell>
          <cell r="Y196">
            <v>9.1000000000000004E-3</v>
          </cell>
          <cell r="Z196">
            <v>2.4567999999999999</v>
          </cell>
        </row>
        <row r="197">
          <cell r="I197">
            <v>0.79239999999999999</v>
          </cell>
          <cell r="J197">
            <v>0.28060000000000002</v>
          </cell>
          <cell r="K197">
            <v>1.5007999999999999</v>
          </cell>
          <cell r="L197">
            <v>0.15010000000000001</v>
          </cell>
          <cell r="M197">
            <v>0.6633</v>
          </cell>
          <cell r="N197">
            <v>0.43369999999999997</v>
          </cell>
          <cell r="O197">
            <v>0.52829999999999999</v>
          </cell>
          <cell r="P197">
            <v>0.41620000000000001</v>
          </cell>
          <cell r="Q197">
            <v>0.36980000000000002</v>
          </cell>
          <cell r="R197">
            <v>0.60029999999999994</v>
          </cell>
          <cell r="S197">
            <v>0.3362</v>
          </cell>
          <cell r="T197">
            <v>1.8499999999999999E-2</v>
          </cell>
          <cell r="U197">
            <v>1.8499999999999999E-2</v>
          </cell>
          <cell r="V197">
            <v>0.27689999999999998</v>
          </cell>
          <cell r="W197">
            <v>6.9199999999999998E-2</v>
          </cell>
          <cell r="X197">
            <v>1.38E-2</v>
          </cell>
          <cell r="Y197">
            <v>1.38E-2</v>
          </cell>
          <cell r="Z197">
            <v>2.1587999999999998</v>
          </cell>
        </row>
        <row r="198">
          <cell r="I198">
            <v>0.71830000000000005</v>
          </cell>
          <cell r="J198">
            <v>0.68559999999999999</v>
          </cell>
          <cell r="K198">
            <v>0.1484</v>
          </cell>
          <cell r="L198">
            <v>1.484</v>
          </cell>
          <cell r="M198">
            <v>0.55500000000000005</v>
          </cell>
          <cell r="N198">
            <v>0.55500000000000005</v>
          </cell>
          <cell r="O198">
            <v>0.45710000000000001</v>
          </cell>
          <cell r="P198">
            <v>0.3987</v>
          </cell>
          <cell r="Q198">
            <v>0.31340000000000001</v>
          </cell>
          <cell r="R198">
            <v>0.59360000000000002</v>
          </cell>
          <cell r="S198">
            <v>0.41549999999999998</v>
          </cell>
          <cell r="T198">
            <v>1.8200000000000001E-2</v>
          </cell>
          <cell r="U198">
            <v>1.8200000000000001E-2</v>
          </cell>
          <cell r="V198">
            <v>0.2732</v>
          </cell>
          <cell r="W198">
            <v>6.83E-2</v>
          </cell>
          <cell r="X198">
            <v>1.37E-2</v>
          </cell>
          <cell r="Y198">
            <v>1.37E-2</v>
          </cell>
          <cell r="Z198">
            <v>2.1082000000000001</v>
          </cell>
        </row>
        <row r="199">
          <cell r="I199">
            <v>0.6855</v>
          </cell>
          <cell r="J199">
            <v>0.57120000000000004</v>
          </cell>
          <cell r="K199">
            <v>0.10390000000000001</v>
          </cell>
          <cell r="L199">
            <v>1.0386</v>
          </cell>
          <cell r="M199">
            <v>0.52969999999999995</v>
          </cell>
          <cell r="N199">
            <v>0.49440000000000001</v>
          </cell>
          <cell r="O199">
            <v>0.45700000000000002</v>
          </cell>
          <cell r="P199">
            <v>0.315</v>
          </cell>
          <cell r="Q199">
            <v>0.21940000000000001</v>
          </cell>
          <cell r="R199">
            <v>0.4985</v>
          </cell>
          <cell r="S199">
            <v>0.34899999999999998</v>
          </cell>
          <cell r="T199">
            <v>1.8499999999999999E-2</v>
          </cell>
          <cell r="U199">
            <v>1.8499999999999999E-2</v>
          </cell>
          <cell r="V199">
            <v>6.9500000000000006E-2</v>
          </cell>
          <cell r="W199">
            <v>0.27779999999999999</v>
          </cell>
          <cell r="X199">
            <v>1.3899999999999999E-2</v>
          </cell>
          <cell r="Y199">
            <v>1.3899999999999999E-2</v>
          </cell>
          <cell r="Z199">
            <v>1.754</v>
          </cell>
        </row>
        <row r="200">
          <cell r="I200">
            <v>0.52990000000000004</v>
          </cell>
          <cell r="J200">
            <v>0.93179999999999996</v>
          </cell>
          <cell r="K200">
            <v>9.9299999999999999E-2</v>
          </cell>
          <cell r="L200">
            <v>1.3234999999999999</v>
          </cell>
          <cell r="M200">
            <v>0.39600000000000002</v>
          </cell>
          <cell r="N200">
            <v>0.42749999999999999</v>
          </cell>
          <cell r="O200">
            <v>0.2329</v>
          </cell>
          <cell r="P200">
            <v>0.50470000000000004</v>
          </cell>
          <cell r="Q200">
            <v>0.19220000000000001</v>
          </cell>
          <cell r="R200">
            <v>0.33879999999999999</v>
          </cell>
          <cell r="S200">
            <v>0.54849999999999999</v>
          </cell>
          <cell r="T200">
            <v>1.3299999999999999E-2</v>
          </cell>
          <cell r="U200">
            <v>1.3299999999999999E-2</v>
          </cell>
          <cell r="V200">
            <v>4.9700000000000001E-2</v>
          </cell>
          <cell r="W200">
            <v>0.19889999999999999</v>
          </cell>
          <cell r="X200">
            <v>9.9000000000000008E-3</v>
          </cell>
          <cell r="Y200">
            <v>9.9000000000000008E-3</v>
          </cell>
          <cell r="Z200">
            <v>1.6114999999999999</v>
          </cell>
        </row>
        <row r="201">
          <cell r="I201">
            <v>0.59870000000000001</v>
          </cell>
          <cell r="J201">
            <v>0.98829999999999996</v>
          </cell>
          <cell r="K201">
            <v>8.3400000000000002E-2</v>
          </cell>
          <cell r="L201">
            <v>1.2836000000000001</v>
          </cell>
          <cell r="M201">
            <v>0.33600000000000002</v>
          </cell>
          <cell r="N201">
            <v>0.89459999999999995</v>
          </cell>
          <cell r="O201">
            <v>0.25409999999999999</v>
          </cell>
          <cell r="P201">
            <v>0.3226</v>
          </cell>
          <cell r="Q201">
            <v>0.21460000000000001</v>
          </cell>
          <cell r="R201">
            <v>0.43130000000000002</v>
          </cell>
          <cell r="S201">
            <v>0.38100000000000001</v>
          </cell>
          <cell r="T201">
            <v>2.1000000000000001E-2</v>
          </cell>
          <cell r="U201">
            <v>2.1000000000000001E-2</v>
          </cell>
          <cell r="V201">
            <v>7.8700000000000006E-2</v>
          </cell>
          <cell r="W201">
            <v>0.31490000000000001</v>
          </cell>
          <cell r="X201">
            <v>1.5699999999999999E-2</v>
          </cell>
          <cell r="Y201">
            <v>1.5699999999999999E-2</v>
          </cell>
          <cell r="Z201">
            <v>1.7685999999999999</v>
          </cell>
        </row>
        <row r="202">
          <cell r="I202">
            <v>0.52229999999999999</v>
          </cell>
          <cell r="J202">
            <v>0.21299999999999999</v>
          </cell>
          <cell r="K202">
            <v>1.5619000000000001</v>
          </cell>
          <cell r="L202">
            <v>9.6799999999999997E-2</v>
          </cell>
          <cell r="M202">
            <v>0.40360000000000001</v>
          </cell>
          <cell r="N202">
            <v>0.37169999999999997</v>
          </cell>
          <cell r="O202">
            <v>0.65290000000000004</v>
          </cell>
          <cell r="P202">
            <v>0.64970000000000006</v>
          </cell>
          <cell r="Q202">
            <v>0.46039999999999998</v>
          </cell>
          <cell r="R202">
            <v>0.5373</v>
          </cell>
          <cell r="S202">
            <v>0.58160000000000001</v>
          </cell>
          <cell r="T202">
            <v>1.1599999999999999E-2</v>
          </cell>
          <cell r="U202">
            <v>1.1599999999999999E-2</v>
          </cell>
          <cell r="V202">
            <v>4.36E-2</v>
          </cell>
          <cell r="W202">
            <v>0.17430000000000001</v>
          </cell>
          <cell r="X202">
            <v>8.6999999999999994E-3</v>
          </cell>
          <cell r="Y202">
            <v>8.6999999999999994E-3</v>
          </cell>
          <cell r="Z202">
            <v>2.3365</v>
          </cell>
        </row>
        <row r="203">
          <cell r="I203">
            <v>0.43909999999999999</v>
          </cell>
          <cell r="J203">
            <v>0.16209999999999999</v>
          </cell>
          <cell r="K203">
            <v>1.5354000000000001</v>
          </cell>
          <cell r="L203">
            <v>9.98E-2</v>
          </cell>
          <cell r="M203">
            <v>0.32369999999999999</v>
          </cell>
          <cell r="N203">
            <v>0.35499999999999998</v>
          </cell>
          <cell r="O203">
            <v>1.216</v>
          </cell>
          <cell r="P203">
            <v>0.55889999999999995</v>
          </cell>
          <cell r="Q203">
            <v>0.42559999999999998</v>
          </cell>
          <cell r="R203">
            <v>0.82909999999999995</v>
          </cell>
          <cell r="S203">
            <v>0.36969999999999997</v>
          </cell>
          <cell r="T203">
            <v>1.15E-2</v>
          </cell>
          <cell r="U203">
            <v>1.15E-2</v>
          </cell>
          <cell r="V203">
            <v>4.2900000000000001E-2</v>
          </cell>
          <cell r="W203">
            <v>0.17180000000000001</v>
          </cell>
          <cell r="X203">
            <v>8.6E-3</v>
          </cell>
          <cell r="Y203">
            <v>8.6E-3</v>
          </cell>
          <cell r="Z203">
            <v>2.3679000000000001</v>
          </cell>
        </row>
        <row r="204">
          <cell r="I204">
            <v>0.66279999999999994</v>
          </cell>
          <cell r="J204">
            <v>0.75939999999999996</v>
          </cell>
          <cell r="K204">
            <v>9.7299999999999998E-2</v>
          </cell>
          <cell r="L204">
            <v>1.5690999999999999</v>
          </cell>
          <cell r="M204">
            <v>0.4375</v>
          </cell>
          <cell r="N204">
            <v>0.48549999999999999</v>
          </cell>
          <cell r="O204">
            <v>0.41420000000000001</v>
          </cell>
          <cell r="P204">
            <v>0.43519999999999998</v>
          </cell>
          <cell r="Q204">
            <v>0.31069999999999998</v>
          </cell>
          <cell r="R204">
            <v>0.57120000000000004</v>
          </cell>
          <cell r="S204">
            <v>0.83479999999999999</v>
          </cell>
          <cell r="T204">
            <v>1.61E-2</v>
          </cell>
          <cell r="U204">
            <v>1.61E-2</v>
          </cell>
          <cell r="V204">
            <v>6.0499999999999998E-2</v>
          </cell>
          <cell r="W204">
            <v>0.24210000000000001</v>
          </cell>
          <cell r="X204">
            <v>1.21E-2</v>
          </cell>
          <cell r="Y204">
            <v>1.21E-2</v>
          </cell>
          <cell r="Z204">
            <v>2.1377000000000002</v>
          </cell>
        </row>
        <row r="205">
          <cell r="I205">
            <v>0.3654</v>
          </cell>
          <cell r="J205">
            <v>0.59989999999999999</v>
          </cell>
          <cell r="K205">
            <v>6.4500000000000002E-2</v>
          </cell>
          <cell r="L205">
            <v>1.2395</v>
          </cell>
          <cell r="M205">
            <v>0.27389999999999998</v>
          </cell>
          <cell r="N205">
            <v>0.33710000000000001</v>
          </cell>
          <cell r="O205">
            <v>0.98170000000000002</v>
          </cell>
          <cell r="P205">
            <v>0.39750000000000002</v>
          </cell>
          <cell r="Q205">
            <v>0.22359999999999999</v>
          </cell>
          <cell r="R205">
            <v>0.37180000000000002</v>
          </cell>
          <cell r="S205">
            <v>0.61770000000000003</v>
          </cell>
          <cell r="T205">
            <v>1.11E-2</v>
          </cell>
          <cell r="U205">
            <v>1.11E-2</v>
          </cell>
          <cell r="V205">
            <v>0.16639999999999999</v>
          </cell>
          <cell r="W205">
            <v>4.1599999999999998E-2</v>
          </cell>
          <cell r="X205">
            <v>8.3000000000000001E-3</v>
          </cell>
          <cell r="Y205">
            <v>8.3000000000000001E-3</v>
          </cell>
          <cell r="Z205">
            <v>1.7178</v>
          </cell>
        </row>
        <row r="206">
          <cell r="I206">
            <v>0.46820000000000001</v>
          </cell>
          <cell r="J206">
            <v>0.77080000000000004</v>
          </cell>
          <cell r="K206">
            <v>7.7899999999999997E-2</v>
          </cell>
          <cell r="L206">
            <v>1.2977000000000001</v>
          </cell>
          <cell r="M206">
            <v>0.3574</v>
          </cell>
          <cell r="N206">
            <v>0.38390000000000002</v>
          </cell>
          <cell r="O206">
            <v>0.68520000000000003</v>
          </cell>
          <cell r="P206">
            <v>0.5736</v>
          </cell>
          <cell r="Q206">
            <v>0.26269999999999999</v>
          </cell>
          <cell r="R206">
            <v>0.35299999999999998</v>
          </cell>
          <cell r="S206">
            <v>0.51600000000000001</v>
          </cell>
          <cell r="T206">
            <v>1.2E-2</v>
          </cell>
          <cell r="U206">
            <v>1.2E-2</v>
          </cell>
          <cell r="V206">
            <v>4.48E-2</v>
          </cell>
          <cell r="W206">
            <v>0.17929999999999999</v>
          </cell>
          <cell r="X206">
            <v>8.9999999999999993E-3</v>
          </cell>
          <cell r="Y206">
            <v>8.9999999999999993E-3</v>
          </cell>
          <cell r="Z206">
            <v>1.8835</v>
          </cell>
        </row>
        <row r="207">
          <cell r="I207">
            <v>0.71699999999999997</v>
          </cell>
          <cell r="J207">
            <v>1.1266</v>
          </cell>
          <cell r="K207">
            <v>9.7799999999999998E-2</v>
          </cell>
          <cell r="L207">
            <v>1.1638999999999999</v>
          </cell>
          <cell r="M207">
            <v>0.37590000000000001</v>
          </cell>
          <cell r="N207">
            <v>0.66479999999999995</v>
          </cell>
          <cell r="O207">
            <v>0.58889999999999998</v>
          </cell>
          <cell r="P207">
            <v>0.39340000000000003</v>
          </cell>
          <cell r="Q207">
            <v>0.1229</v>
          </cell>
          <cell r="R207">
            <v>0.3352</v>
          </cell>
          <cell r="S207">
            <v>0.43340000000000001</v>
          </cell>
          <cell r="T207">
            <v>2.12E-2</v>
          </cell>
          <cell r="U207">
            <v>2.12E-2</v>
          </cell>
          <cell r="V207">
            <v>0.31780000000000003</v>
          </cell>
          <cell r="W207">
            <v>7.9500000000000001E-2</v>
          </cell>
          <cell r="X207">
            <v>1.5900000000000001E-2</v>
          </cell>
          <cell r="Y207">
            <v>1.5900000000000001E-2</v>
          </cell>
          <cell r="Z207">
            <v>1.6052999999999999</v>
          </cell>
        </row>
        <row r="208">
          <cell r="I208">
            <v>1.0654999999999999</v>
          </cell>
          <cell r="J208">
            <v>0.28299999999999997</v>
          </cell>
          <cell r="K208">
            <v>1.5135000000000001</v>
          </cell>
          <cell r="L208">
            <v>0.15129999999999999</v>
          </cell>
          <cell r="M208">
            <v>0.79759999999999998</v>
          </cell>
          <cell r="N208">
            <v>0.72040000000000004</v>
          </cell>
          <cell r="O208">
            <v>0.26640000000000003</v>
          </cell>
          <cell r="P208">
            <v>0.36730000000000002</v>
          </cell>
          <cell r="Q208">
            <v>0.29299999999999998</v>
          </cell>
          <cell r="R208">
            <v>0.49640000000000001</v>
          </cell>
          <cell r="S208">
            <v>0.33900000000000002</v>
          </cell>
          <cell r="T208">
            <v>2.35E-2</v>
          </cell>
          <cell r="U208">
            <v>2.35E-2</v>
          </cell>
          <cell r="V208">
            <v>8.8099999999999998E-2</v>
          </cell>
          <cell r="W208">
            <v>0.35239999999999999</v>
          </cell>
          <cell r="X208">
            <v>1.7600000000000001E-2</v>
          </cell>
          <cell r="Y208">
            <v>1.7600000000000001E-2</v>
          </cell>
          <cell r="Z208">
            <v>2.0278999999999998</v>
          </cell>
        </row>
        <row r="209">
          <cell r="I209">
            <v>1.0077</v>
          </cell>
          <cell r="J209">
            <v>0.3427</v>
          </cell>
          <cell r="K209">
            <v>1.5580000000000001</v>
          </cell>
          <cell r="L209">
            <v>0.11840000000000001</v>
          </cell>
          <cell r="M209">
            <v>0.48730000000000001</v>
          </cell>
          <cell r="N209">
            <v>1.1653</v>
          </cell>
          <cell r="O209">
            <v>0.3427</v>
          </cell>
          <cell r="P209">
            <v>0.40510000000000002</v>
          </cell>
          <cell r="Q209">
            <v>0.28110000000000002</v>
          </cell>
          <cell r="R209">
            <v>0.49230000000000002</v>
          </cell>
          <cell r="S209">
            <v>0.3664</v>
          </cell>
          <cell r="T209">
            <v>2.24E-2</v>
          </cell>
          <cell r="U209">
            <v>2.24E-2</v>
          </cell>
          <cell r="V209">
            <v>0.3362</v>
          </cell>
          <cell r="W209">
            <v>8.4099999999999994E-2</v>
          </cell>
          <cell r="X209">
            <v>1.6799999999999999E-2</v>
          </cell>
          <cell r="Y209">
            <v>1.6799999999999999E-2</v>
          </cell>
          <cell r="Z209">
            <v>2.0613000000000001</v>
          </cell>
        </row>
        <row r="210">
          <cell r="I210">
            <v>0.75249999999999995</v>
          </cell>
          <cell r="J210">
            <v>0.90300000000000002</v>
          </cell>
          <cell r="K210">
            <v>0.1197</v>
          </cell>
          <cell r="L210">
            <v>1.7101999999999999</v>
          </cell>
          <cell r="M210">
            <v>0.55820000000000003</v>
          </cell>
          <cell r="N210">
            <v>0.59309999999999996</v>
          </cell>
          <cell r="O210">
            <v>0.33860000000000001</v>
          </cell>
          <cell r="P210">
            <v>0.41499999999999998</v>
          </cell>
          <cell r="Q210">
            <v>0.3085</v>
          </cell>
          <cell r="R210">
            <v>0.62939999999999996</v>
          </cell>
          <cell r="S210">
            <v>0.51239999999999997</v>
          </cell>
          <cell r="T210">
            <v>2.0500000000000001E-2</v>
          </cell>
          <cell r="U210">
            <v>2.0500000000000001E-2</v>
          </cell>
          <cell r="V210">
            <v>2.0500000000000001E-2</v>
          </cell>
          <cell r="W210">
            <v>2.0500000000000001E-2</v>
          </cell>
          <cell r="X210">
            <v>0.41039999999999999</v>
          </cell>
          <cell r="Y210">
            <v>5.4699999999999999E-2</v>
          </cell>
          <cell r="Z210">
            <v>2.1472000000000002</v>
          </cell>
        </row>
        <row r="211">
          <cell r="I211">
            <v>0.37580000000000002</v>
          </cell>
          <cell r="J211">
            <v>0.60740000000000005</v>
          </cell>
          <cell r="K211">
            <v>6.5500000000000003E-2</v>
          </cell>
          <cell r="L211">
            <v>1.1698999999999999</v>
          </cell>
          <cell r="M211">
            <v>0.30630000000000002</v>
          </cell>
          <cell r="N211">
            <v>0.33810000000000001</v>
          </cell>
          <cell r="O211">
            <v>1.3384</v>
          </cell>
          <cell r="P211">
            <v>0.39539999999999997</v>
          </cell>
          <cell r="Q211">
            <v>0.28310000000000002</v>
          </cell>
          <cell r="R211">
            <v>0.4446</v>
          </cell>
          <cell r="S211">
            <v>0.3669</v>
          </cell>
          <cell r="T211">
            <v>9.1000000000000004E-3</v>
          </cell>
          <cell r="U211">
            <v>9.1000000000000004E-3</v>
          </cell>
          <cell r="V211">
            <v>9.1000000000000004E-3</v>
          </cell>
          <cell r="W211">
            <v>9.1000000000000004E-3</v>
          </cell>
          <cell r="X211">
            <v>2.4299999999999999E-2</v>
          </cell>
          <cell r="Y211">
            <v>0.18210000000000001</v>
          </cell>
          <cell r="Z211">
            <v>2.0078</v>
          </cell>
        </row>
        <row r="212">
          <cell r="I212">
            <v>0.50039999999999996</v>
          </cell>
          <cell r="J212">
            <v>0.57010000000000005</v>
          </cell>
          <cell r="K212">
            <v>7.6300000000000007E-2</v>
          </cell>
          <cell r="L212">
            <v>1.4396</v>
          </cell>
          <cell r="M212">
            <v>0.41599999999999998</v>
          </cell>
          <cell r="N212">
            <v>0.39650000000000002</v>
          </cell>
          <cell r="O212">
            <v>0.41170000000000001</v>
          </cell>
          <cell r="P212">
            <v>0.36180000000000001</v>
          </cell>
          <cell r="Q212">
            <v>0.50670000000000004</v>
          </cell>
          <cell r="R212">
            <v>0.99050000000000005</v>
          </cell>
          <cell r="S212">
            <v>0.30640000000000001</v>
          </cell>
          <cell r="T212">
            <v>8.6E-3</v>
          </cell>
          <cell r="U212">
            <v>8.6E-3</v>
          </cell>
          <cell r="V212">
            <v>8.6E-3</v>
          </cell>
          <cell r="W212">
            <v>8.6E-3</v>
          </cell>
          <cell r="X212">
            <v>2.29E-2</v>
          </cell>
          <cell r="Y212">
            <v>0.1721</v>
          </cell>
          <cell r="Z212">
            <v>2.5232000000000001</v>
          </cell>
        </row>
        <row r="213">
          <cell r="I213">
            <v>0.7591</v>
          </cell>
          <cell r="J213">
            <v>0.63260000000000005</v>
          </cell>
          <cell r="K213">
            <v>0.14380000000000001</v>
          </cell>
          <cell r="L213">
            <v>1.4377</v>
          </cell>
          <cell r="M213">
            <v>0.63539999999999996</v>
          </cell>
          <cell r="N213">
            <v>0.41549999999999998</v>
          </cell>
          <cell r="O213">
            <v>0.50609999999999999</v>
          </cell>
          <cell r="P213">
            <v>0.3987</v>
          </cell>
          <cell r="Q213">
            <v>0.35420000000000001</v>
          </cell>
          <cell r="R213">
            <v>0.57509999999999994</v>
          </cell>
          <cell r="S213">
            <v>0.40250000000000002</v>
          </cell>
          <cell r="T213">
            <v>1.3299999999999999E-2</v>
          </cell>
          <cell r="U213">
            <v>1.3299999999999999E-2</v>
          </cell>
          <cell r="V213">
            <v>1.3299999999999999E-2</v>
          </cell>
          <cell r="W213">
            <v>1.3299999999999999E-2</v>
          </cell>
          <cell r="X213">
            <v>3.5400000000000001E-2</v>
          </cell>
          <cell r="Y213">
            <v>0.26550000000000001</v>
          </cell>
          <cell r="Z213">
            <v>2.226</v>
          </cell>
        </row>
        <row r="214">
          <cell r="I214">
            <v>1.2837000000000001</v>
          </cell>
          <cell r="J214">
            <v>0.25390000000000001</v>
          </cell>
          <cell r="K214">
            <v>1.603</v>
          </cell>
          <cell r="L214">
            <v>0.13469999999999999</v>
          </cell>
          <cell r="M214">
            <v>1.1718</v>
          </cell>
          <cell r="N214">
            <v>0.57769999999999999</v>
          </cell>
          <cell r="O214">
            <v>0.21160000000000001</v>
          </cell>
          <cell r="P214">
            <v>0.37509999999999999</v>
          </cell>
          <cell r="Q214">
            <v>0.21160000000000001</v>
          </cell>
          <cell r="R214">
            <v>0.4168</v>
          </cell>
          <cell r="S214">
            <v>0.30520000000000003</v>
          </cell>
          <cell r="T214">
            <v>1.83E-2</v>
          </cell>
          <cell r="U214">
            <v>1.83E-2</v>
          </cell>
          <cell r="V214">
            <v>1.83E-2</v>
          </cell>
          <cell r="W214">
            <v>1.83E-2</v>
          </cell>
          <cell r="X214">
            <v>4.8899999999999999E-2</v>
          </cell>
          <cell r="Y214">
            <v>0.36649999999999999</v>
          </cell>
          <cell r="Z214">
            <v>1.8545</v>
          </cell>
        </row>
        <row r="215">
          <cell r="I215">
            <v>0.57430000000000003</v>
          </cell>
          <cell r="J215">
            <v>0.30890000000000001</v>
          </cell>
          <cell r="K215">
            <v>1.6520999999999999</v>
          </cell>
          <cell r="L215">
            <v>0.11559999999999999</v>
          </cell>
          <cell r="M215">
            <v>0.44369999999999998</v>
          </cell>
          <cell r="N215">
            <v>0.41</v>
          </cell>
          <cell r="O215">
            <v>0.72689999999999999</v>
          </cell>
          <cell r="P215">
            <v>0.52980000000000005</v>
          </cell>
          <cell r="Q215">
            <v>0.58150000000000002</v>
          </cell>
          <cell r="R215">
            <v>0.93179999999999996</v>
          </cell>
          <cell r="S215">
            <v>0.55510000000000004</v>
          </cell>
          <cell r="T215">
            <v>1.0699999999999999E-2</v>
          </cell>
          <cell r="U215">
            <v>1.0699999999999999E-2</v>
          </cell>
          <cell r="V215">
            <v>1.0699999999999999E-2</v>
          </cell>
          <cell r="W215">
            <v>1.0699999999999999E-2</v>
          </cell>
          <cell r="X215">
            <v>2.8400000000000002E-2</v>
          </cell>
          <cell r="Y215">
            <v>0.21310000000000001</v>
          </cell>
          <cell r="Z215">
            <v>2.8837000000000002</v>
          </cell>
        </row>
        <row r="216">
          <cell r="I216">
            <v>0.67159999999999997</v>
          </cell>
          <cell r="J216">
            <v>0.73719999999999997</v>
          </cell>
          <cell r="K216">
            <v>0.1862</v>
          </cell>
          <cell r="L216">
            <v>1.8614999999999999</v>
          </cell>
          <cell r="M216">
            <v>0.53800000000000003</v>
          </cell>
          <cell r="N216">
            <v>0.63290000000000002</v>
          </cell>
          <cell r="O216">
            <v>0.40949999999999998</v>
          </cell>
          <cell r="P216">
            <v>0.48399999999999999</v>
          </cell>
          <cell r="Q216">
            <v>0.3276</v>
          </cell>
          <cell r="R216">
            <v>0.74460000000000004</v>
          </cell>
          <cell r="S216">
            <v>0.5212</v>
          </cell>
          <cell r="T216">
            <v>1.3100000000000001E-2</v>
          </cell>
          <cell r="U216">
            <v>1.3100000000000001E-2</v>
          </cell>
          <cell r="V216">
            <v>1.3100000000000001E-2</v>
          </cell>
          <cell r="W216">
            <v>1.3100000000000001E-2</v>
          </cell>
          <cell r="X216">
            <v>3.49E-2</v>
          </cell>
          <cell r="Y216">
            <v>0.26179999999999998</v>
          </cell>
          <cell r="Z216">
            <v>2.2134</v>
          </cell>
        </row>
        <row r="217">
          <cell r="I217">
            <v>0.55730000000000002</v>
          </cell>
          <cell r="J217">
            <v>0.59489999999999998</v>
          </cell>
          <cell r="K217">
            <v>8.5400000000000004E-2</v>
          </cell>
          <cell r="L217">
            <v>1.4232</v>
          </cell>
          <cell r="M217">
            <v>0.44519999999999998</v>
          </cell>
          <cell r="N217">
            <v>0.44030000000000002</v>
          </cell>
          <cell r="O217">
            <v>0.46970000000000001</v>
          </cell>
          <cell r="P217">
            <v>0.37</v>
          </cell>
          <cell r="Q217">
            <v>0.38829999999999998</v>
          </cell>
          <cell r="R217">
            <v>0.65469999999999995</v>
          </cell>
          <cell r="S217">
            <v>0.49020000000000002</v>
          </cell>
          <cell r="T217">
            <v>1.14E-2</v>
          </cell>
          <cell r="U217">
            <v>1.14E-2</v>
          </cell>
          <cell r="V217">
            <v>1.14E-2</v>
          </cell>
          <cell r="W217">
            <v>1.14E-2</v>
          </cell>
          <cell r="X217">
            <v>3.0300000000000001E-2</v>
          </cell>
          <cell r="Y217">
            <v>0.2273</v>
          </cell>
          <cell r="Z217">
            <v>3.6829999999999998</v>
          </cell>
        </row>
        <row r="218">
          <cell r="I218">
            <v>0.80959999999999999</v>
          </cell>
          <cell r="J218">
            <v>0.67469999999999997</v>
          </cell>
          <cell r="K218">
            <v>0.1227</v>
          </cell>
          <cell r="L218">
            <v>1.2266999999999999</v>
          </cell>
          <cell r="M218">
            <v>0.62560000000000004</v>
          </cell>
          <cell r="N218">
            <v>0.58389999999999997</v>
          </cell>
          <cell r="O218">
            <v>0.53969999999999996</v>
          </cell>
          <cell r="P218">
            <v>0.37209999999999999</v>
          </cell>
          <cell r="Q218">
            <v>0.2591</v>
          </cell>
          <cell r="R218">
            <v>0.58879999999999999</v>
          </cell>
          <cell r="S218">
            <v>0.41220000000000001</v>
          </cell>
          <cell r="T218">
            <v>2.1899999999999999E-2</v>
          </cell>
          <cell r="U218">
            <v>2.1899999999999999E-2</v>
          </cell>
          <cell r="V218">
            <v>8.2000000000000003E-2</v>
          </cell>
          <cell r="W218">
            <v>0.32819999999999999</v>
          </cell>
          <cell r="X218">
            <v>1.6400000000000001E-2</v>
          </cell>
          <cell r="Y218">
            <v>1.6400000000000001E-2</v>
          </cell>
          <cell r="Z218">
            <v>2.0716999999999999</v>
          </cell>
        </row>
        <row r="219">
          <cell r="I219">
            <v>0.62450000000000006</v>
          </cell>
          <cell r="J219">
            <v>1.0980000000000001</v>
          </cell>
          <cell r="K219">
            <v>0.11700000000000001</v>
          </cell>
          <cell r="L219">
            <v>1.5597000000000001</v>
          </cell>
          <cell r="M219">
            <v>0.4667</v>
          </cell>
          <cell r="N219">
            <v>0.50380000000000003</v>
          </cell>
          <cell r="O219">
            <v>0.27450000000000002</v>
          </cell>
          <cell r="P219">
            <v>0.5948</v>
          </cell>
          <cell r="Q219">
            <v>0.22650000000000001</v>
          </cell>
          <cell r="R219">
            <v>0.39929999999999999</v>
          </cell>
          <cell r="S219">
            <v>0.64629999999999999</v>
          </cell>
          <cell r="T219">
            <v>1.17E-2</v>
          </cell>
          <cell r="U219">
            <v>1.17E-2</v>
          </cell>
          <cell r="V219">
            <v>1.17E-2</v>
          </cell>
          <cell r="W219">
            <v>1.17E-2</v>
          </cell>
          <cell r="X219">
            <v>3.1300000000000001E-2</v>
          </cell>
          <cell r="Y219">
            <v>0.2344</v>
          </cell>
          <cell r="Z219">
            <v>1.8991</v>
          </cell>
        </row>
        <row r="220">
          <cell r="I220">
            <v>0.84909999999999997</v>
          </cell>
          <cell r="J220">
            <v>0.36009999999999998</v>
          </cell>
          <cell r="K220">
            <v>1.7231000000000001</v>
          </cell>
          <cell r="L220">
            <v>0.13439999999999999</v>
          </cell>
          <cell r="M220">
            <v>0.73819999999999997</v>
          </cell>
          <cell r="N220">
            <v>0.72650000000000003</v>
          </cell>
          <cell r="O220">
            <v>0.30330000000000001</v>
          </cell>
          <cell r="P220">
            <v>0.41810000000000003</v>
          </cell>
          <cell r="Q220">
            <v>0.3715</v>
          </cell>
          <cell r="R220">
            <v>0.70989999999999998</v>
          </cell>
          <cell r="S220">
            <v>0.4728</v>
          </cell>
          <cell r="T220">
            <v>2.1100000000000001E-2</v>
          </cell>
          <cell r="U220">
            <v>2.1100000000000001E-2</v>
          </cell>
          <cell r="V220">
            <v>7.9000000000000001E-2</v>
          </cell>
          <cell r="W220">
            <v>0.31580000000000003</v>
          </cell>
          <cell r="X220">
            <v>1.5800000000000002E-2</v>
          </cell>
          <cell r="Y220">
            <v>1.5800000000000002E-2</v>
          </cell>
          <cell r="Z220">
            <v>2.2879</v>
          </cell>
        </row>
        <row r="221">
          <cell r="I221">
            <v>0.61309999999999998</v>
          </cell>
          <cell r="J221">
            <v>0.25009999999999999</v>
          </cell>
          <cell r="K221">
            <v>1.8332999999999999</v>
          </cell>
          <cell r="L221">
            <v>0.1137</v>
          </cell>
          <cell r="M221">
            <v>0.47370000000000001</v>
          </cell>
          <cell r="N221">
            <v>0.43630000000000002</v>
          </cell>
          <cell r="O221">
            <v>0.76629999999999998</v>
          </cell>
          <cell r="P221">
            <v>0.76270000000000004</v>
          </cell>
          <cell r="Q221">
            <v>0.54049999999999998</v>
          </cell>
          <cell r="R221">
            <v>0.63070000000000004</v>
          </cell>
          <cell r="S221">
            <v>0.68269999999999997</v>
          </cell>
          <cell r="T221">
            <v>1.0200000000000001E-2</v>
          </cell>
          <cell r="U221">
            <v>1.0200000000000001E-2</v>
          </cell>
          <cell r="V221">
            <v>1.0200000000000001E-2</v>
          </cell>
          <cell r="W221">
            <v>1.0200000000000001E-2</v>
          </cell>
          <cell r="X221">
            <v>0.2046</v>
          </cell>
          <cell r="Y221">
            <v>2.7300000000000001E-2</v>
          </cell>
          <cell r="Z221">
            <v>2.7425000000000002</v>
          </cell>
        </row>
        <row r="222">
          <cell r="I222">
            <v>0.75370000000000004</v>
          </cell>
          <cell r="J222">
            <v>1.0928</v>
          </cell>
          <cell r="K222">
            <v>0.17130000000000001</v>
          </cell>
          <cell r="L222">
            <v>1.7129000000000001</v>
          </cell>
          <cell r="M222">
            <v>0.58240000000000003</v>
          </cell>
          <cell r="N222">
            <v>0.69889999999999997</v>
          </cell>
          <cell r="O222">
            <v>0.45219999999999999</v>
          </cell>
          <cell r="P222">
            <v>0.41570000000000001</v>
          </cell>
          <cell r="Q222">
            <v>0.3165</v>
          </cell>
          <cell r="R222">
            <v>0.65090000000000003</v>
          </cell>
          <cell r="S222">
            <v>0.55159999999999998</v>
          </cell>
          <cell r="T222">
            <v>1.66E-2</v>
          </cell>
          <cell r="U222">
            <v>1.66E-2</v>
          </cell>
          <cell r="V222">
            <v>1.66E-2</v>
          </cell>
          <cell r="W222">
            <v>1.66E-2</v>
          </cell>
          <cell r="X222">
            <v>0.33150000000000002</v>
          </cell>
          <cell r="Y222">
            <v>4.4200000000000003E-2</v>
          </cell>
          <cell r="Z222">
            <v>2.343</v>
          </cell>
        </row>
        <row r="223">
          <cell r="I223">
            <v>0.63839999999999997</v>
          </cell>
          <cell r="J223">
            <v>0.70230000000000004</v>
          </cell>
          <cell r="K223">
            <v>0.14510000000000001</v>
          </cell>
          <cell r="L223">
            <v>1.4510000000000001</v>
          </cell>
          <cell r="M223">
            <v>0.46870000000000001</v>
          </cell>
          <cell r="N223">
            <v>0.54269999999999996</v>
          </cell>
          <cell r="O223">
            <v>0.44690000000000002</v>
          </cell>
          <cell r="P223">
            <v>0.38979999999999998</v>
          </cell>
          <cell r="Q223">
            <v>0.29370000000000002</v>
          </cell>
          <cell r="R223">
            <v>0.63839999999999997</v>
          </cell>
          <cell r="S223">
            <v>0.43880000000000002</v>
          </cell>
          <cell r="T223">
            <v>1.0800000000000001E-2</v>
          </cell>
          <cell r="U223">
            <v>1.0800000000000001E-2</v>
          </cell>
          <cell r="V223">
            <v>1.0800000000000001E-2</v>
          </cell>
          <cell r="W223">
            <v>1.0800000000000001E-2</v>
          </cell>
          <cell r="X223">
            <v>2.8899999999999999E-2</v>
          </cell>
          <cell r="Y223">
            <v>0.2167</v>
          </cell>
          <cell r="Z223">
            <v>2.0177999999999998</v>
          </cell>
        </row>
        <row r="224">
          <cell r="I224">
            <v>0.43159999999999998</v>
          </cell>
          <cell r="J224">
            <v>0.70850000000000002</v>
          </cell>
          <cell r="K224">
            <v>7.6100000000000001E-2</v>
          </cell>
          <cell r="L224">
            <v>1.4639</v>
          </cell>
          <cell r="M224">
            <v>0.32350000000000001</v>
          </cell>
          <cell r="N224">
            <v>0.3982</v>
          </cell>
          <cell r="O224">
            <v>1.1594</v>
          </cell>
          <cell r="P224">
            <v>0.46939999999999998</v>
          </cell>
          <cell r="Q224">
            <v>0.2641</v>
          </cell>
          <cell r="R224">
            <v>0.43919999999999998</v>
          </cell>
          <cell r="S224">
            <v>0.72960000000000003</v>
          </cell>
          <cell r="T224">
            <v>9.7999999999999997E-3</v>
          </cell>
          <cell r="U224">
            <v>9.7999999999999997E-3</v>
          </cell>
          <cell r="V224">
            <v>9.7999999999999997E-3</v>
          </cell>
          <cell r="W224">
            <v>9.7999999999999997E-3</v>
          </cell>
          <cell r="X224">
            <v>2.6200000000000001E-2</v>
          </cell>
          <cell r="Y224">
            <v>0.19650000000000001</v>
          </cell>
          <cell r="Z224">
            <v>2.0289000000000001</v>
          </cell>
        </row>
        <row r="225">
          <cell r="I225">
            <v>0.55179999999999996</v>
          </cell>
          <cell r="J225">
            <v>0.90839999999999999</v>
          </cell>
          <cell r="K225">
            <v>9.1800000000000007E-2</v>
          </cell>
          <cell r="L225">
            <v>1.5291999999999999</v>
          </cell>
          <cell r="M225">
            <v>0.42120000000000002</v>
          </cell>
          <cell r="N225">
            <v>0.45240000000000002</v>
          </cell>
          <cell r="O225">
            <v>0.80740000000000001</v>
          </cell>
          <cell r="P225">
            <v>0.67589999999999995</v>
          </cell>
          <cell r="Q225">
            <v>0.3095</v>
          </cell>
          <cell r="R225">
            <v>0.41599999999999998</v>
          </cell>
          <cell r="S225">
            <v>0.60799999999999998</v>
          </cell>
          <cell r="T225">
            <v>1.06E-2</v>
          </cell>
          <cell r="U225">
            <v>1.06E-2</v>
          </cell>
          <cell r="V225">
            <v>1.06E-2</v>
          </cell>
          <cell r="W225">
            <v>1.06E-2</v>
          </cell>
          <cell r="X225">
            <v>2.8199999999999999E-2</v>
          </cell>
          <cell r="Y225">
            <v>0.21129999999999999</v>
          </cell>
          <cell r="Z225">
            <v>2.2195</v>
          </cell>
        </row>
        <row r="226">
          <cell r="I226">
            <v>1.1463000000000001</v>
          </cell>
          <cell r="J226">
            <v>0.31879999999999997</v>
          </cell>
          <cell r="K226">
            <v>1.7253000000000001</v>
          </cell>
          <cell r="L226">
            <v>0.1346</v>
          </cell>
          <cell r="M226">
            <v>0.99129999999999996</v>
          </cell>
          <cell r="N226">
            <v>0.5514</v>
          </cell>
          <cell r="O226">
            <v>0.26569999999999999</v>
          </cell>
          <cell r="P226">
            <v>0.42759999999999998</v>
          </cell>
          <cell r="Q226">
            <v>0.26569999999999999</v>
          </cell>
          <cell r="R226">
            <v>0.50380000000000003</v>
          </cell>
          <cell r="S226">
            <v>0.74880000000000002</v>
          </cell>
          <cell r="T226">
            <v>1.9300000000000001E-2</v>
          </cell>
          <cell r="U226">
            <v>1.9300000000000001E-2</v>
          </cell>
          <cell r="V226">
            <v>1.9300000000000001E-2</v>
          </cell>
          <cell r="W226">
            <v>1.9300000000000001E-2</v>
          </cell>
          <cell r="X226">
            <v>5.1299999999999998E-2</v>
          </cell>
          <cell r="Y226">
            <v>0.3851</v>
          </cell>
          <cell r="Z226">
            <v>2.1040999999999999</v>
          </cell>
        </row>
        <row r="227">
          <cell r="I227">
            <v>1.2505999999999999</v>
          </cell>
          <cell r="J227">
            <v>0.3322</v>
          </cell>
          <cell r="K227">
            <v>1.7765</v>
          </cell>
          <cell r="L227">
            <v>0.17760000000000001</v>
          </cell>
          <cell r="M227">
            <v>0.93620000000000003</v>
          </cell>
          <cell r="N227">
            <v>0.84560000000000002</v>
          </cell>
          <cell r="O227">
            <v>0.31269999999999998</v>
          </cell>
          <cell r="P227">
            <v>0.43109999999999998</v>
          </cell>
          <cell r="Q227">
            <v>0.34389999999999998</v>
          </cell>
          <cell r="R227">
            <v>0.5827</v>
          </cell>
          <cell r="S227">
            <v>0.39789999999999998</v>
          </cell>
          <cell r="T227">
            <v>2.07E-2</v>
          </cell>
          <cell r="U227">
            <v>2.07E-2</v>
          </cell>
          <cell r="V227">
            <v>2.07E-2</v>
          </cell>
          <cell r="W227">
            <v>2.07E-2</v>
          </cell>
          <cell r="X227">
            <v>5.5199999999999999E-2</v>
          </cell>
          <cell r="Y227">
            <v>0.41370000000000001</v>
          </cell>
          <cell r="Z227">
            <v>2.3803000000000001</v>
          </cell>
        </row>
        <row r="228">
          <cell r="I228">
            <v>1.2615000000000001</v>
          </cell>
          <cell r="J228">
            <v>0.99009999999999998</v>
          </cell>
          <cell r="K228">
            <v>0.10829999999999999</v>
          </cell>
          <cell r="L228">
            <v>1.6669</v>
          </cell>
          <cell r="M228">
            <v>0.92949999999999999</v>
          </cell>
          <cell r="N228">
            <v>0.87849999999999995</v>
          </cell>
          <cell r="O228">
            <v>0.25669999999999998</v>
          </cell>
          <cell r="P228">
            <v>0.40450000000000003</v>
          </cell>
          <cell r="Q228">
            <v>0.22</v>
          </cell>
          <cell r="R228">
            <v>0.40010000000000001</v>
          </cell>
          <cell r="S228">
            <v>0.57869999999999999</v>
          </cell>
          <cell r="T228">
            <v>2.2800000000000001E-2</v>
          </cell>
          <cell r="U228">
            <v>2.2800000000000001E-2</v>
          </cell>
          <cell r="V228">
            <v>2.2800000000000001E-2</v>
          </cell>
          <cell r="W228">
            <v>2.2800000000000001E-2</v>
          </cell>
          <cell r="X228">
            <v>6.0699999999999997E-2</v>
          </cell>
          <cell r="Y228">
            <v>0.45550000000000002</v>
          </cell>
          <cell r="Z228">
            <v>2.1802000000000001</v>
          </cell>
        </row>
        <row r="229">
          <cell r="I229">
            <v>0.52449999999999997</v>
          </cell>
          <cell r="J229">
            <v>0.6734</v>
          </cell>
          <cell r="K229">
            <v>0.1047</v>
          </cell>
          <cell r="L229">
            <v>1.611</v>
          </cell>
          <cell r="M229">
            <v>0.39439999999999997</v>
          </cell>
          <cell r="N229">
            <v>0.46010000000000001</v>
          </cell>
          <cell r="O229">
            <v>0.35439999999999999</v>
          </cell>
          <cell r="P229">
            <v>0.39090000000000003</v>
          </cell>
          <cell r="Q229">
            <v>0.47489999999999999</v>
          </cell>
          <cell r="R229">
            <v>0.99880000000000002</v>
          </cell>
          <cell r="S229">
            <v>0.41499999999999998</v>
          </cell>
          <cell r="T229">
            <v>9.1999999999999998E-3</v>
          </cell>
          <cell r="U229">
            <v>9.1999999999999998E-3</v>
          </cell>
          <cell r="V229">
            <v>9.1999999999999998E-3</v>
          </cell>
          <cell r="W229">
            <v>9.1999999999999998E-3</v>
          </cell>
          <cell r="X229">
            <v>0.18440000000000001</v>
          </cell>
          <cell r="Y229">
            <v>2.46E-2</v>
          </cell>
          <cell r="Z229">
            <v>2.4719000000000002</v>
          </cell>
        </row>
        <row r="230">
          <cell r="I230">
            <v>0.44379999999999997</v>
          </cell>
          <cell r="J230">
            <v>0.71740000000000004</v>
          </cell>
          <cell r="K230">
            <v>7.7399999999999997E-2</v>
          </cell>
          <cell r="L230">
            <v>1.3817999999999999</v>
          </cell>
          <cell r="M230">
            <v>0.36180000000000001</v>
          </cell>
          <cell r="N230">
            <v>0.39929999999999999</v>
          </cell>
          <cell r="O230">
            <v>1.5808</v>
          </cell>
          <cell r="P230">
            <v>0.46710000000000002</v>
          </cell>
          <cell r="Q230">
            <v>0.33439999999999998</v>
          </cell>
          <cell r="R230">
            <v>0.52510000000000001</v>
          </cell>
          <cell r="S230">
            <v>0.43330000000000002</v>
          </cell>
          <cell r="T230">
            <v>4.2999999999999997E-2</v>
          </cell>
          <cell r="U230">
            <v>0.21510000000000001</v>
          </cell>
          <cell r="V230">
            <v>1.43E-2</v>
          </cell>
          <cell r="W230">
            <v>1.43E-2</v>
          </cell>
          <cell r="X230">
            <v>1.0800000000000001E-2</v>
          </cell>
          <cell r="Y230">
            <v>1.0800000000000001E-2</v>
          </cell>
          <cell r="Z230">
            <v>2.3715000000000002</v>
          </cell>
        </row>
        <row r="231">
          <cell r="I231">
            <v>0.5897</v>
          </cell>
          <cell r="J231">
            <v>0.67179999999999995</v>
          </cell>
          <cell r="K231">
            <v>8.9899999999999994E-2</v>
          </cell>
          <cell r="L231">
            <v>1.6964999999999999</v>
          </cell>
          <cell r="M231">
            <v>0.49030000000000001</v>
          </cell>
          <cell r="N231">
            <v>0.4672</v>
          </cell>
          <cell r="O231">
            <v>0.48520000000000002</v>
          </cell>
          <cell r="P231">
            <v>0.4264</v>
          </cell>
          <cell r="Q231">
            <v>0.59719999999999995</v>
          </cell>
          <cell r="R231">
            <v>1.1672</v>
          </cell>
          <cell r="S231">
            <v>0.36099999999999999</v>
          </cell>
          <cell r="T231">
            <v>1.01E-2</v>
          </cell>
          <cell r="U231">
            <v>1.01E-2</v>
          </cell>
          <cell r="V231">
            <v>1.01E-2</v>
          </cell>
          <cell r="W231">
            <v>1.01E-2</v>
          </cell>
          <cell r="X231">
            <v>0.20280000000000001</v>
          </cell>
          <cell r="Y231">
            <v>2.7E-2</v>
          </cell>
          <cell r="Z231">
            <v>2.9733999999999998</v>
          </cell>
        </row>
        <row r="232">
          <cell r="I232">
            <v>0.66420000000000001</v>
          </cell>
          <cell r="J232">
            <v>0.3528</v>
          </cell>
          <cell r="K232">
            <v>1.8868</v>
          </cell>
          <cell r="L232">
            <v>0.18870000000000001</v>
          </cell>
          <cell r="M232">
            <v>0.51319999999999999</v>
          </cell>
          <cell r="N232">
            <v>0.51319999999999999</v>
          </cell>
          <cell r="O232">
            <v>0.66420000000000001</v>
          </cell>
          <cell r="P232">
            <v>0.50690000000000002</v>
          </cell>
          <cell r="Q232">
            <v>0.54790000000000005</v>
          </cell>
          <cell r="R232">
            <v>0.99619999999999997</v>
          </cell>
          <cell r="S232">
            <v>0.52829999999999999</v>
          </cell>
          <cell r="T232">
            <v>1.24E-2</v>
          </cell>
          <cell r="U232">
            <v>1.24E-2</v>
          </cell>
          <cell r="V232">
            <v>1.24E-2</v>
          </cell>
          <cell r="W232">
            <v>1.24E-2</v>
          </cell>
          <cell r="X232">
            <v>3.3000000000000002E-2</v>
          </cell>
          <cell r="Y232">
            <v>0.24740000000000001</v>
          </cell>
          <cell r="Z232">
            <v>2.8222999999999998</v>
          </cell>
        </row>
        <row r="233">
          <cell r="I233">
            <v>1.5067999999999999</v>
          </cell>
          <cell r="J233">
            <v>0.29799999999999999</v>
          </cell>
          <cell r="K233">
            <v>1.8815999999999999</v>
          </cell>
          <cell r="L233">
            <v>0.15809999999999999</v>
          </cell>
          <cell r="M233">
            <v>1.3754</v>
          </cell>
          <cell r="N233">
            <v>0.67810000000000004</v>
          </cell>
          <cell r="O233">
            <v>0.24840000000000001</v>
          </cell>
          <cell r="P233">
            <v>0.44030000000000002</v>
          </cell>
          <cell r="Q233">
            <v>0.24840000000000001</v>
          </cell>
          <cell r="R233">
            <v>0.48920000000000002</v>
          </cell>
          <cell r="S233">
            <v>0.35830000000000001</v>
          </cell>
          <cell r="T233">
            <v>2.1499999999999998E-2</v>
          </cell>
          <cell r="U233">
            <v>2.1499999999999998E-2</v>
          </cell>
          <cell r="V233">
            <v>2.1499999999999998E-2</v>
          </cell>
          <cell r="W233">
            <v>2.1499999999999998E-2</v>
          </cell>
          <cell r="X233">
            <v>0.43020000000000003</v>
          </cell>
          <cell r="Y233">
            <v>5.74E-2</v>
          </cell>
          <cell r="Z233">
            <v>2.1766999999999999</v>
          </cell>
        </row>
        <row r="234">
          <cell r="I234">
            <v>0.90939999999999999</v>
          </cell>
          <cell r="J234">
            <v>1.0962000000000001</v>
          </cell>
          <cell r="K234">
            <v>0.12180000000000001</v>
          </cell>
          <cell r="L234">
            <v>1.8453999999999999</v>
          </cell>
          <cell r="M234">
            <v>1.2235</v>
          </cell>
          <cell r="N234">
            <v>0.45169999999999999</v>
          </cell>
          <cell r="O234">
            <v>0.4466</v>
          </cell>
          <cell r="P234">
            <v>0.4798</v>
          </cell>
          <cell r="Q234">
            <v>0.3004</v>
          </cell>
          <cell r="R234">
            <v>0.64219999999999999</v>
          </cell>
          <cell r="S234">
            <v>0.48570000000000002</v>
          </cell>
          <cell r="T234">
            <v>2.0199999999999999E-2</v>
          </cell>
          <cell r="U234">
            <v>2.0199999999999999E-2</v>
          </cell>
          <cell r="V234">
            <v>2.0199999999999999E-2</v>
          </cell>
          <cell r="W234">
            <v>2.0199999999999999E-2</v>
          </cell>
          <cell r="X234">
            <v>0.40329999999999999</v>
          </cell>
          <cell r="Y234">
            <v>5.3800000000000001E-2</v>
          </cell>
          <cell r="Z234">
            <v>2.423</v>
          </cell>
        </row>
        <row r="235">
          <cell r="I235">
            <v>0.84589999999999999</v>
          </cell>
          <cell r="J235">
            <v>0.62780000000000002</v>
          </cell>
          <cell r="K235">
            <v>0.12770000000000001</v>
          </cell>
          <cell r="L235">
            <v>1.5019</v>
          </cell>
          <cell r="M235">
            <v>0.62809999999999999</v>
          </cell>
          <cell r="N235">
            <v>0.57189999999999996</v>
          </cell>
          <cell r="O235">
            <v>0.46260000000000001</v>
          </cell>
          <cell r="P235">
            <v>0.39050000000000001</v>
          </cell>
          <cell r="Q235">
            <v>0.37009999999999998</v>
          </cell>
          <cell r="R235">
            <v>0.87109999999999999</v>
          </cell>
          <cell r="S235">
            <v>0.26069999999999999</v>
          </cell>
          <cell r="T235">
            <v>1.49E-2</v>
          </cell>
          <cell r="U235">
            <v>1.49E-2</v>
          </cell>
          <cell r="V235">
            <v>1.49E-2</v>
          </cell>
          <cell r="W235">
            <v>1.49E-2</v>
          </cell>
          <cell r="X235">
            <v>3.9800000000000002E-2</v>
          </cell>
          <cell r="Y235">
            <v>0.29830000000000001</v>
          </cell>
          <cell r="Z235">
            <v>2.3673999999999999</v>
          </cell>
        </row>
        <row r="236">
          <cell r="I236">
            <v>0.6583</v>
          </cell>
          <cell r="J236">
            <v>0.7026</v>
          </cell>
          <cell r="K236">
            <v>0.1009</v>
          </cell>
          <cell r="L236">
            <v>1.681</v>
          </cell>
          <cell r="M236">
            <v>0.52580000000000005</v>
          </cell>
          <cell r="N236">
            <v>0.52010000000000001</v>
          </cell>
          <cell r="O236">
            <v>0.55469999999999997</v>
          </cell>
          <cell r="P236">
            <v>0.43709999999999999</v>
          </cell>
          <cell r="Q236">
            <v>0.45860000000000001</v>
          </cell>
          <cell r="R236">
            <v>0.7732</v>
          </cell>
          <cell r="S236">
            <v>0.57889999999999997</v>
          </cell>
          <cell r="T236">
            <v>1.34E-2</v>
          </cell>
          <cell r="U236">
            <v>1.34E-2</v>
          </cell>
          <cell r="V236">
            <v>1.34E-2</v>
          </cell>
          <cell r="W236">
            <v>1.34E-2</v>
          </cell>
          <cell r="X236">
            <v>3.5799999999999998E-2</v>
          </cell>
          <cell r="Y236">
            <v>0.26850000000000002</v>
          </cell>
          <cell r="Z236">
            <v>4.3499999999999996</v>
          </cell>
        </row>
        <row r="237">
          <cell r="I237">
            <v>0.95409999999999995</v>
          </cell>
          <cell r="J237">
            <v>0.79510000000000003</v>
          </cell>
          <cell r="K237">
            <v>0.14460000000000001</v>
          </cell>
          <cell r="L237">
            <v>1.4456</v>
          </cell>
          <cell r="M237">
            <v>0.73719999999999997</v>
          </cell>
          <cell r="N237">
            <v>0.68810000000000004</v>
          </cell>
          <cell r="O237">
            <v>0.6361</v>
          </cell>
          <cell r="P237">
            <v>0.4385</v>
          </cell>
          <cell r="Q237">
            <v>0.30530000000000002</v>
          </cell>
          <cell r="R237">
            <v>0.69389999999999996</v>
          </cell>
          <cell r="S237">
            <v>0.48570000000000002</v>
          </cell>
          <cell r="T237">
            <v>1.9300000000000001E-2</v>
          </cell>
          <cell r="U237">
            <v>1.9300000000000001E-2</v>
          </cell>
          <cell r="V237">
            <v>1.9300000000000001E-2</v>
          </cell>
          <cell r="W237">
            <v>1.9300000000000001E-2</v>
          </cell>
          <cell r="X237">
            <v>5.16E-2</v>
          </cell>
          <cell r="Y237">
            <v>0.38669999999999999</v>
          </cell>
          <cell r="Z237">
            <v>2.4413</v>
          </cell>
        </row>
        <row r="238">
          <cell r="I238">
            <v>0.58819999999999995</v>
          </cell>
          <cell r="J238">
            <v>0.35709999999999997</v>
          </cell>
          <cell r="K238">
            <v>1.9097</v>
          </cell>
          <cell r="L238">
            <v>0.14319999999999999</v>
          </cell>
          <cell r="M238">
            <v>0.49349999999999999</v>
          </cell>
          <cell r="N238">
            <v>0.50649999999999995</v>
          </cell>
          <cell r="O238">
            <v>0.92430000000000001</v>
          </cell>
          <cell r="P238">
            <v>0.52300000000000002</v>
          </cell>
          <cell r="Q238">
            <v>0.74780000000000002</v>
          </cell>
          <cell r="R238">
            <v>0.99309999999999998</v>
          </cell>
          <cell r="S238">
            <v>0.47060000000000002</v>
          </cell>
          <cell r="T238">
            <v>0.23280000000000001</v>
          </cell>
          <cell r="U238">
            <v>4.6600000000000003E-2</v>
          </cell>
          <cell r="V238">
            <v>1.55E-2</v>
          </cell>
          <cell r="W238">
            <v>1.55E-2</v>
          </cell>
          <cell r="X238">
            <v>1.1599999999999999E-2</v>
          </cell>
          <cell r="Y238">
            <v>1.1599999999999999E-2</v>
          </cell>
          <cell r="Z238">
            <v>3.4243999999999999</v>
          </cell>
        </row>
        <row r="239">
          <cell r="I239">
            <v>0.99670000000000003</v>
          </cell>
          <cell r="J239">
            <v>0.42270000000000002</v>
          </cell>
          <cell r="K239">
            <v>2.0225</v>
          </cell>
          <cell r="L239">
            <v>0.1578</v>
          </cell>
          <cell r="M239">
            <v>0.86639999999999995</v>
          </cell>
          <cell r="N239">
            <v>0.85270000000000001</v>
          </cell>
          <cell r="O239">
            <v>0.35599999999999998</v>
          </cell>
          <cell r="P239">
            <v>0.49080000000000001</v>
          </cell>
          <cell r="Q239">
            <v>0.43609999999999999</v>
          </cell>
          <cell r="R239">
            <v>0.83330000000000004</v>
          </cell>
          <cell r="S239">
            <v>0.55500000000000005</v>
          </cell>
          <cell r="T239">
            <v>1.8499999999999999E-2</v>
          </cell>
          <cell r="U239">
            <v>1.8499999999999999E-2</v>
          </cell>
          <cell r="V239">
            <v>1.8499999999999999E-2</v>
          </cell>
          <cell r="W239">
            <v>1.8499999999999999E-2</v>
          </cell>
          <cell r="X239">
            <v>0.37069999999999997</v>
          </cell>
          <cell r="Y239">
            <v>4.9399999999999999E-2</v>
          </cell>
          <cell r="Z239">
            <v>2.6855000000000002</v>
          </cell>
        </row>
        <row r="240">
          <cell r="I240">
            <v>0.44230000000000003</v>
          </cell>
          <cell r="J240">
            <v>1.2062999999999999</v>
          </cell>
          <cell r="K240">
            <v>0.1462</v>
          </cell>
          <cell r="L240">
            <v>1.8277000000000001</v>
          </cell>
          <cell r="M240">
            <v>0.90110000000000001</v>
          </cell>
          <cell r="N240">
            <v>1.3982000000000001</v>
          </cell>
          <cell r="O240">
            <v>0.32169999999999999</v>
          </cell>
          <cell r="P240">
            <v>0.43719999999999998</v>
          </cell>
          <cell r="Q240">
            <v>0.3538</v>
          </cell>
          <cell r="R240">
            <v>0.64339999999999997</v>
          </cell>
          <cell r="S240">
            <v>0.64480000000000004</v>
          </cell>
          <cell r="T240">
            <v>2.5000000000000001E-2</v>
          </cell>
          <cell r="U240">
            <v>2.5000000000000001E-2</v>
          </cell>
          <cell r="V240">
            <v>2.5000000000000001E-2</v>
          </cell>
          <cell r="W240">
            <v>2.5000000000000001E-2</v>
          </cell>
          <cell r="X240">
            <v>6.6600000000000006E-2</v>
          </cell>
          <cell r="Y240">
            <v>0.49940000000000001</v>
          </cell>
          <cell r="Z240">
            <v>2.6818</v>
          </cell>
        </row>
        <row r="241">
          <cell r="I241">
            <v>0.65210000000000001</v>
          </cell>
          <cell r="J241">
            <v>1.6777</v>
          </cell>
          <cell r="K241">
            <v>0.1007</v>
          </cell>
          <cell r="L241">
            <v>1.4389000000000001</v>
          </cell>
          <cell r="M241">
            <v>0.46960000000000002</v>
          </cell>
          <cell r="N241">
            <v>0.57730000000000004</v>
          </cell>
          <cell r="O241">
            <v>0.41149999999999998</v>
          </cell>
          <cell r="P241">
            <v>0.36159999999999998</v>
          </cell>
          <cell r="Q241">
            <v>0.26590000000000003</v>
          </cell>
          <cell r="R241">
            <v>0.51800000000000002</v>
          </cell>
          <cell r="S241">
            <v>0.45119999999999999</v>
          </cell>
          <cell r="T241">
            <v>1.4999999999999999E-2</v>
          </cell>
          <cell r="U241">
            <v>1.4999999999999999E-2</v>
          </cell>
          <cell r="V241">
            <v>1.4999999999999999E-2</v>
          </cell>
          <cell r="W241">
            <v>1.4999999999999999E-2</v>
          </cell>
          <cell r="X241">
            <v>0.29909999999999998</v>
          </cell>
          <cell r="Y241">
            <v>3.9899999999999998E-2</v>
          </cell>
          <cell r="Z241">
            <v>2.1928000000000001</v>
          </cell>
        </row>
        <row r="242">
          <cell r="I242">
            <v>0.75409999999999999</v>
          </cell>
          <cell r="J242">
            <v>0.82950000000000002</v>
          </cell>
          <cell r="K242">
            <v>0.1714</v>
          </cell>
          <cell r="L242">
            <v>1.7138</v>
          </cell>
          <cell r="M242">
            <v>0.55359999999999998</v>
          </cell>
          <cell r="N242">
            <v>0.64100000000000001</v>
          </cell>
          <cell r="O242">
            <v>0.52790000000000004</v>
          </cell>
          <cell r="P242">
            <v>0.46039999999999998</v>
          </cell>
          <cell r="Q242">
            <v>0.34689999999999999</v>
          </cell>
          <cell r="R242">
            <v>0.75409999999999999</v>
          </cell>
          <cell r="S242">
            <v>0.51829999999999998</v>
          </cell>
          <cell r="T242">
            <v>1.2800000000000001E-2</v>
          </cell>
          <cell r="U242">
            <v>1.2800000000000001E-2</v>
          </cell>
          <cell r="V242">
            <v>1.2800000000000001E-2</v>
          </cell>
          <cell r="W242">
            <v>1.2800000000000001E-2</v>
          </cell>
          <cell r="X242">
            <v>0.25590000000000002</v>
          </cell>
          <cell r="Y242">
            <v>3.4099999999999998E-2</v>
          </cell>
          <cell r="Z242">
            <v>2.3832</v>
          </cell>
        </row>
        <row r="243">
          <cell r="I243">
            <v>0.50860000000000005</v>
          </cell>
          <cell r="J243">
            <v>0.83499999999999996</v>
          </cell>
          <cell r="K243">
            <v>8.9700000000000002E-2</v>
          </cell>
          <cell r="L243">
            <v>1.7252000000000001</v>
          </cell>
          <cell r="M243">
            <v>0.38129999999999997</v>
          </cell>
          <cell r="N243">
            <v>0.46920000000000001</v>
          </cell>
          <cell r="O243">
            <v>1.3663000000000001</v>
          </cell>
          <cell r="P243">
            <v>0.55320000000000003</v>
          </cell>
          <cell r="Q243">
            <v>0.31119999999999998</v>
          </cell>
          <cell r="R243">
            <v>0.51749999999999996</v>
          </cell>
          <cell r="S243">
            <v>0.85980000000000001</v>
          </cell>
          <cell r="T243">
            <v>1.1599999999999999E-2</v>
          </cell>
          <cell r="U243">
            <v>1.1599999999999999E-2</v>
          </cell>
          <cell r="V243">
            <v>1.1599999999999999E-2</v>
          </cell>
          <cell r="W243">
            <v>1.1599999999999999E-2</v>
          </cell>
          <cell r="X243">
            <v>3.09E-2</v>
          </cell>
          <cell r="Y243">
            <v>0.2316</v>
          </cell>
          <cell r="Z243">
            <v>2.3908999999999998</v>
          </cell>
        </row>
        <row r="244">
          <cell r="I244">
            <v>0.59109999999999996</v>
          </cell>
          <cell r="J244">
            <v>0.25480000000000003</v>
          </cell>
          <cell r="K244">
            <v>2.3161</v>
          </cell>
          <cell r="L244">
            <v>0.1158</v>
          </cell>
          <cell r="M244">
            <v>0.43309999999999998</v>
          </cell>
          <cell r="N244">
            <v>0.441</v>
          </cell>
          <cell r="O244">
            <v>0.81530000000000002</v>
          </cell>
          <cell r="P244">
            <v>0.78280000000000005</v>
          </cell>
          <cell r="Q244">
            <v>0.58089999999999997</v>
          </cell>
          <cell r="R244">
            <v>1.0098</v>
          </cell>
          <cell r="S244">
            <v>0.62260000000000004</v>
          </cell>
          <cell r="T244">
            <v>8.6E-3</v>
          </cell>
          <cell r="U244">
            <v>8.6E-3</v>
          </cell>
          <cell r="V244">
            <v>8.6E-3</v>
          </cell>
          <cell r="W244">
            <v>8.6E-3</v>
          </cell>
          <cell r="X244">
            <v>0.17199999999999999</v>
          </cell>
          <cell r="Y244">
            <v>2.29E-2</v>
          </cell>
          <cell r="Z244">
            <v>2.8534999999999999</v>
          </cell>
        </row>
        <row r="245">
          <cell r="I245">
            <v>1.3454999999999999</v>
          </cell>
          <cell r="J245">
            <v>0.37419999999999998</v>
          </cell>
          <cell r="K245">
            <v>2.0251000000000001</v>
          </cell>
          <cell r="L245">
            <v>0.158</v>
          </cell>
          <cell r="M245">
            <v>1.1636</v>
          </cell>
          <cell r="N245">
            <v>0.6472</v>
          </cell>
          <cell r="O245">
            <v>0.31190000000000001</v>
          </cell>
          <cell r="P245">
            <v>0.502</v>
          </cell>
          <cell r="Q245">
            <v>0.31190000000000001</v>
          </cell>
          <cell r="R245">
            <v>0.59130000000000005</v>
          </cell>
          <cell r="S245">
            <v>0.87890000000000001</v>
          </cell>
          <cell r="T245">
            <v>2.2599999999999999E-2</v>
          </cell>
          <cell r="U245">
            <v>2.2599999999999999E-2</v>
          </cell>
          <cell r="V245">
            <v>2.2599999999999999E-2</v>
          </cell>
          <cell r="W245">
            <v>2.2599999999999999E-2</v>
          </cell>
          <cell r="X245">
            <v>0.45200000000000001</v>
          </cell>
          <cell r="Y245">
            <v>6.0299999999999999E-2</v>
          </cell>
          <cell r="Z245">
            <v>2.4698000000000002</v>
          </cell>
        </row>
        <row r="246">
          <cell r="I246">
            <v>0.70940000000000003</v>
          </cell>
          <cell r="J246">
            <v>1.0458000000000001</v>
          </cell>
          <cell r="K246">
            <v>0.20669999999999999</v>
          </cell>
          <cell r="L246">
            <v>2.0669</v>
          </cell>
          <cell r="M246">
            <v>0.52710000000000001</v>
          </cell>
          <cell r="N246">
            <v>0.56220000000000003</v>
          </cell>
          <cell r="O246">
            <v>1.0004</v>
          </cell>
          <cell r="P246">
            <v>0.59109999999999996</v>
          </cell>
          <cell r="Q246">
            <v>0.40010000000000001</v>
          </cell>
          <cell r="R246">
            <v>0.90939999999999999</v>
          </cell>
          <cell r="S246">
            <v>0.63660000000000005</v>
          </cell>
          <cell r="T246">
            <v>1.4500000000000001E-2</v>
          </cell>
          <cell r="U246">
            <v>1.4500000000000001E-2</v>
          </cell>
          <cell r="V246">
            <v>1.4500000000000001E-2</v>
          </cell>
          <cell r="W246">
            <v>1.4500000000000001E-2</v>
          </cell>
          <cell r="X246">
            <v>0.2908</v>
          </cell>
          <cell r="Y246">
            <v>3.8800000000000001E-2</v>
          </cell>
          <cell r="Z246">
            <v>2.7890999999999999</v>
          </cell>
        </row>
        <row r="247">
          <cell r="I247">
            <v>0.73229999999999995</v>
          </cell>
          <cell r="J247">
            <v>0.79600000000000004</v>
          </cell>
          <cell r="K247">
            <v>0.18090000000000001</v>
          </cell>
          <cell r="L247">
            <v>1.8090999999999999</v>
          </cell>
          <cell r="M247">
            <v>0.58430000000000004</v>
          </cell>
          <cell r="N247">
            <v>0.64580000000000004</v>
          </cell>
          <cell r="O247">
            <v>0.39800000000000002</v>
          </cell>
          <cell r="P247">
            <v>0.47039999999999998</v>
          </cell>
          <cell r="Q247">
            <v>0.31840000000000002</v>
          </cell>
          <cell r="R247">
            <v>0.75980000000000003</v>
          </cell>
          <cell r="S247">
            <v>0.50649999999999995</v>
          </cell>
          <cell r="T247">
            <v>1.44E-2</v>
          </cell>
          <cell r="U247">
            <v>1.44E-2</v>
          </cell>
          <cell r="V247">
            <v>1.44E-2</v>
          </cell>
          <cell r="W247">
            <v>1.44E-2</v>
          </cell>
          <cell r="X247">
            <v>3.8399999999999997E-2</v>
          </cell>
          <cell r="Y247">
            <v>0.28810000000000002</v>
          </cell>
          <cell r="Z247">
            <v>2.2404999999999999</v>
          </cell>
        </row>
        <row r="248">
          <cell r="I248">
            <v>0.61950000000000005</v>
          </cell>
          <cell r="J248">
            <v>0.79530000000000001</v>
          </cell>
          <cell r="K248">
            <v>0.1237</v>
          </cell>
          <cell r="L248">
            <v>1.9027000000000001</v>
          </cell>
          <cell r="M248">
            <v>0.46579999999999999</v>
          </cell>
          <cell r="N248">
            <v>0.54339999999999999</v>
          </cell>
          <cell r="O248">
            <v>0.41860000000000003</v>
          </cell>
          <cell r="P248">
            <v>0.4617</v>
          </cell>
          <cell r="Q248">
            <v>0.56089999999999995</v>
          </cell>
          <cell r="R248">
            <v>1.1797</v>
          </cell>
          <cell r="S248">
            <v>0.49009999999999998</v>
          </cell>
          <cell r="T248">
            <v>1.4500000000000001E-2</v>
          </cell>
          <cell r="U248">
            <v>1.4500000000000001E-2</v>
          </cell>
          <cell r="V248">
            <v>5.4399999999999997E-2</v>
          </cell>
          <cell r="W248">
            <v>0.21779999999999999</v>
          </cell>
          <cell r="X248">
            <v>1.09E-2</v>
          </cell>
          <cell r="Y248">
            <v>1.09E-2</v>
          </cell>
          <cell r="Z248">
            <v>2.9196</v>
          </cell>
        </row>
        <row r="249">
          <cell r="I249">
            <v>0.52300000000000002</v>
          </cell>
          <cell r="J249">
            <v>0.84540000000000004</v>
          </cell>
          <cell r="K249">
            <v>9.1200000000000003E-2</v>
          </cell>
          <cell r="L249">
            <v>1.6284000000000001</v>
          </cell>
          <cell r="M249">
            <v>0.42630000000000001</v>
          </cell>
          <cell r="N249">
            <v>0.47060000000000002</v>
          </cell>
          <cell r="O249">
            <v>1.8629</v>
          </cell>
          <cell r="P249">
            <v>0.5504</v>
          </cell>
          <cell r="Q249">
            <v>0.39410000000000001</v>
          </cell>
          <cell r="R249">
            <v>0.61880000000000002</v>
          </cell>
          <cell r="S249">
            <v>0.51070000000000004</v>
          </cell>
          <cell r="T249">
            <v>5.0700000000000002E-2</v>
          </cell>
          <cell r="U249">
            <v>0.2535</v>
          </cell>
          <cell r="V249">
            <v>1.6899999999999998E-2</v>
          </cell>
          <cell r="W249">
            <v>1.6899999999999998E-2</v>
          </cell>
          <cell r="X249">
            <v>1.2699999999999999E-2</v>
          </cell>
          <cell r="Y249">
            <v>1.2699999999999999E-2</v>
          </cell>
          <cell r="Z249">
            <v>2.7946</v>
          </cell>
        </row>
        <row r="250">
          <cell r="I250">
            <v>0.751</v>
          </cell>
          <cell r="J250">
            <v>0.49280000000000002</v>
          </cell>
          <cell r="K250">
            <v>2.1334</v>
          </cell>
          <cell r="L250">
            <v>0.14929999999999999</v>
          </cell>
          <cell r="M250">
            <v>0.5585</v>
          </cell>
          <cell r="N250">
            <v>0.60209999999999997</v>
          </cell>
          <cell r="O250">
            <v>0.61019999999999996</v>
          </cell>
          <cell r="P250">
            <v>0.53990000000000005</v>
          </cell>
          <cell r="Q250">
            <v>0.72840000000000005</v>
          </cell>
          <cell r="R250">
            <v>1.1008</v>
          </cell>
          <cell r="S250">
            <v>0.61529999999999996</v>
          </cell>
          <cell r="T250">
            <v>1.3899999999999999E-2</v>
          </cell>
          <cell r="U250">
            <v>1.3899999999999999E-2</v>
          </cell>
          <cell r="V250">
            <v>1.3899999999999999E-2</v>
          </cell>
          <cell r="W250">
            <v>1.3899999999999999E-2</v>
          </cell>
          <cell r="X250">
            <v>3.7100000000000001E-2</v>
          </cell>
          <cell r="Y250">
            <v>0.27829999999999999</v>
          </cell>
          <cell r="Z250">
            <v>3.4415</v>
          </cell>
        </row>
        <row r="251">
          <cell r="I251">
            <v>0.77959999999999996</v>
          </cell>
          <cell r="J251">
            <v>0.41410000000000002</v>
          </cell>
          <cell r="K251">
            <v>2.2147000000000001</v>
          </cell>
          <cell r="L251">
            <v>0.2215</v>
          </cell>
          <cell r="M251">
            <v>0.60240000000000005</v>
          </cell>
          <cell r="N251">
            <v>0.60240000000000005</v>
          </cell>
          <cell r="O251">
            <v>0.77959999999999996</v>
          </cell>
          <cell r="P251">
            <v>0.59499999999999997</v>
          </cell>
          <cell r="Q251">
            <v>0.6431</v>
          </cell>
          <cell r="R251">
            <v>1.1694</v>
          </cell>
          <cell r="S251">
            <v>0.62009999999999998</v>
          </cell>
          <cell r="T251">
            <v>1.4500000000000001E-2</v>
          </cell>
          <cell r="U251">
            <v>1.4500000000000001E-2</v>
          </cell>
          <cell r="V251">
            <v>1.4500000000000001E-2</v>
          </cell>
          <cell r="W251">
            <v>1.4500000000000001E-2</v>
          </cell>
          <cell r="X251">
            <v>3.8699999999999998E-2</v>
          </cell>
          <cell r="Y251">
            <v>0.29039999999999999</v>
          </cell>
          <cell r="Z251">
            <v>3.3127</v>
          </cell>
        </row>
        <row r="252">
          <cell r="I252">
            <v>0.59250000000000003</v>
          </cell>
          <cell r="J252">
            <v>0.79679999999999995</v>
          </cell>
          <cell r="K252">
            <v>0.11609999999999999</v>
          </cell>
          <cell r="L252">
            <v>2.3216999999999999</v>
          </cell>
          <cell r="M252">
            <v>0.50519999999999998</v>
          </cell>
          <cell r="N252">
            <v>0.5131</v>
          </cell>
          <cell r="O252">
            <v>0.81720000000000004</v>
          </cell>
          <cell r="P252">
            <v>0.62380000000000002</v>
          </cell>
          <cell r="Q252">
            <v>0.85809999999999997</v>
          </cell>
          <cell r="R252">
            <v>1.2073</v>
          </cell>
          <cell r="S252">
            <v>0.65010000000000001</v>
          </cell>
          <cell r="T252">
            <v>1.54E-2</v>
          </cell>
          <cell r="U252">
            <v>1.54E-2</v>
          </cell>
          <cell r="V252">
            <v>5.7599999999999998E-2</v>
          </cell>
          <cell r="W252">
            <v>0.23039999999999999</v>
          </cell>
          <cell r="X252">
            <v>1.15E-2</v>
          </cell>
          <cell r="Y252">
            <v>1.15E-2</v>
          </cell>
          <cell r="Z252">
            <v>3.9007999999999998</v>
          </cell>
        </row>
        <row r="253">
          <cell r="I253">
            <v>0.85060000000000002</v>
          </cell>
          <cell r="J253">
            <v>0.81189999999999996</v>
          </cell>
          <cell r="K253">
            <v>0.1757</v>
          </cell>
          <cell r="L253">
            <v>1.7574000000000001</v>
          </cell>
          <cell r="M253">
            <v>0.65720000000000001</v>
          </cell>
          <cell r="N253">
            <v>0.65720000000000001</v>
          </cell>
          <cell r="O253">
            <v>0.5413</v>
          </cell>
          <cell r="P253">
            <v>0.47210000000000002</v>
          </cell>
          <cell r="Q253">
            <v>0.37119999999999997</v>
          </cell>
          <cell r="R253">
            <v>0.70289999999999997</v>
          </cell>
          <cell r="S253">
            <v>0.49209999999999998</v>
          </cell>
          <cell r="T253">
            <v>1.6199999999999999E-2</v>
          </cell>
          <cell r="U253">
            <v>1.6199999999999999E-2</v>
          </cell>
          <cell r="V253">
            <v>1.6199999999999999E-2</v>
          </cell>
          <cell r="W253">
            <v>1.6199999999999999E-2</v>
          </cell>
          <cell r="X253">
            <v>0.3236</v>
          </cell>
          <cell r="Y253">
            <v>4.3099999999999999E-2</v>
          </cell>
          <cell r="Z253">
            <v>2.4965000000000002</v>
          </cell>
        </row>
        <row r="254">
          <cell r="I254">
            <v>0.99909999999999999</v>
          </cell>
          <cell r="J254">
            <v>0.74150000000000005</v>
          </cell>
          <cell r="K254">
            <v>0.15079999999999999</v>
          </cell>
          <cell r="L254">
            <v>1.7739</v>
          </cell>
          <cell r="M254">
            <v>0.74180000000000001</v>
          </cell>
          <cell r="N254">
            <v>0.67549999999999999</v>
          </cell>
          <cell r="O254">
            <v>0.5464</v>
          </cell>
          <cell r="P254">
            <v>0.4612</v>
          </cell>
          <cell r="Q254">
            <v>0.43709999999999999</v>
          </cell>
          <cell r="R254">
            <v>1.0288999999999999</v>
          </cell>
          <cell r="S254">
            <v>0.30790000000000001</v>
          </cell>
          <cell r="T254">
            <v>1.7600000000000001E-2</v>
          </cell>
          <cell r="U254">
            <v>1.7600000000000001E-2</v>
          </cell>
          <cell r="V254">
            <v>1.7600000000000001E-2</v>
          </cell>
          <cell r="W254">
            <v>1.7600000000000001E-2</v>
          </cell>
          <cell r="X254">
            <v>0.3523</v>
          </cell>
          <cell r="Y254">
            <v>4.7E-2</v>
          </cell>
          <cell r="Z254">
            <v>2.7961</v>
          </cell>
        </row>
        <row r="255">
          <cell r="I255">
            <v>0.77569999999999995</v>
          </cell>
          <cell r="J255">
            <v>0.82799999999999996</v>
          </cell>
          <cell r="K255">
            <v>0.11890000000000001</v>
          </cell>
          <cell r="L255">
            <v>1.9809000000000001</v>
          </cell>
          <cell r="M255">
            <v>0.61960000000000004</v>
          </cell>
          <cell r="N255">
            <v>0.6129</v>
          </cell>
          <cell r="O255">
            <v>0.65369999999999995</v>
          </cell>
          <cell r="P255">
            <v>0.51500000000000001</v>
          </cell>
          <cell r="Q255">
            <v>0.54039999999999999</v>
          </cell>
          <cell r="R255">
            <v>0.91120000000000001</v>
          </cell>
          <cell r="S255">
            <v>0.68220000000000003</v>
          </cell>
          <cell r="T255">
            <v>1.5800000000000002E-2</v>
          </cell>
          <cell r="U255">
            <v>1.5800000000000002E-2</v>
          </cell>
          <cell r="V255">
            <v>1.5800000000000002E-2</v>
          </cell>
          <cell r="W255">
            <v>1.5800000000000002E-2</v>
          </cell>
          <cell r="X255">
            <v>4.2200000000000001E-2</v>
          </cell>
          <cell r="Y255">
            <v>0.31640000000000001</v>
          </cell>
          <cell r="Z255">
            <v>5.1261999999999999</v>
          </cell>
        </row>
        <row r="256">
          <cell r="I256">
            <v>0.84019999999999995</v>
          </cell>
          <cell r="J256">
            <v>0.37340000000000001</v>
          </cell>
          <cell r="K256">
            <v>2.1217999999999999</v>
          </cell>
          <cell r="L256">
            <v>0.2122</v>
          </cell>
          <cell r="M256">
            <v>0.64929999999999999</v>
          </cell>
          <cell r="N256">
            <v>0.64929999999999999</v>
          </cell>
          <cell r="O256">
            <v>1.0268999999999999</v>
          </cell>
          <cell r="P256">
            <v>0.64359999999999995</v>
          </cell>
          <cell r="Q256">
            <v>0.56020000000000003</v>
          </cell>
          <cell r="R256">
            <v>1.0015000000000001</v>
          </cell>
          <cell r="S256">
            <v>0.53469999999999995</v>
          </cell>
          <cell r="T256">
            <v>2.0199999999999999E-2</v>
          </cell>
          <cell r="U256">
            <v>2.0199999999999999E-2</v>
          </cell>
          <cell r="V256">
            <v>7.5800000000000006E-2</v>
          </cell>
          <cell r="W256">
            <v>0.30320000000000003</v>
          </cell>
          <cell r="X256">
            <v>1.52E-2</v>
          </cell>
          <cell r="Y256">
            <v>1.52E-2</v>
          </cell>
          <cell r="Z256">
            <v>3.1581000000000001</v>
          </cell>
        </row>
        <row r="257">
          <cell r="I257">
            <v>0.69040000000000001</v>
          </cell>
          <cell r="J257">
            <v>0.41920000000000002</v>
          </cell>
          <cell r="K257">
            <v>2.2416</v>
          </cell>
          <cell r="L257">
            <v>0.1681</v>
          </cell>
          <cell r="M257">
            <v>0.57920000000000005</v>
          </cell>
          <cell r="N257">
            <v>0.59450000000000003</v>
          </cell>
          <cell r="O257">
            <v>1.0849</v>
          </cell>
          <cell r="P257">
            <v>0.6139</v>
          </cell>
          <cell r="Q257">
            <v>0.87780000000000002</v>
          </cell>
          <cell r="R257">
            <v>1.1656</v>
          </cell>
          <cell r="S257">
            <v>0.55230000000000001</v>
          </cell>
          <cell r="T257">
            <v>1.37E-2</v>
          </cell>
          <cell r="U257">
            <v>1.37E-2</v>
          </cell>
          <cell r="V257">
            <v>1.37E-2</v>
          </cell>
          <cell r="W257">
            <v>1.37E-2</v>
          </cell>
          <cell r="X257">
            <v>0.2732</v>
          </cell>
          <cell r="Y257">
            <v>3.6400000000000002E-2</v>
          </cell>
          <cell r="Z257">
            <v>4.0194000000000001</v>
          </cell>
        </row>
        <row r="258">
          <cell r="I258">
            <v>0.96830000000000005</v>
          </cell>
          <cell r="J258">
            <v>1.5986</v>
          </cell>
          <cell r="K258">
            <v>0.13489999999999999</v>
          </cell>
          <cell r="L258">
            <v>2.0760000000000001</v>
          </cell>
          <cell r="M258">
            <v>0.54349999999999998</v>
          </cell>
          <cell r="N258">
            <v>1.4470000000000001</v>
          </cell>
          <cell r="O258">
            <v>0.41110000000000002</v>
          </cell>
          <cell r="P258">
            <v>0.52180000000000004</v>
          </cell>
          <cell r="Q258">
            <v>0.34710000000000002</v>
          </cell>
          <cell r="R258">
            <v>0.6976</v>
          </cell>
          <cell r="S258">
            <v>0.61619999999999997</v>
          </cell>
          <cell r="T258">
            <v>2.5499999999999998E-2</v>
          </cell>
          <cell r="U258">
            <v>2.5499999999999998E-2</v>
          </cell>
          <cell r="V258">
            <v>2.5499999999999998E-2</v>
          </cell>
          <cell r="W258">
            <v>2.5499999999999998E-2</v>
          </cell>
          <cell r="X258">
            <v>6.7900000000000002E-2</v>
          </cell>
          <cell r="Y258">
            <v>0.50929999999999997</v>
          </cell>
          <cell r="Z258">
            <v>2.8605999999999998</v>
          </cell>
        </row>
        <row r="259">
          <cell r="I259">
            <v>0.78490000000000004</v>
          </cell>
          <cell r="J259">
            <v>0.89929999999999999</v>
          </cell>
          <cell r="K259">
            <v>0.1152</v>
          </cell>
          <cell r="L259">
            <v>1.8581000000000001</v>
          </cell>
          <cell r="M259">
            <v>0.51800000000000002</v>
          </cell>
          <cell r="N259">
            <v>0.57489999999999997</v>
          </cell>
          <cell r="O259">
            <v>0.49049999999999999</v>
          </cell>
          <cell r="P259">
            <v>0.51529999999999998</v>
          </cell>
          <cell r="Q259">
            <v>0.3679</v>
          </cell>
          <cell r="R259">
            <v>0.6764</v>
          </cell>
          <cell r="S259">
            <v>0.98850000000000005</v>
          </cell>
          <cell r="T259">
            <v>1.43E-2</v>
          </cell>
          <cell r="U259">
            <v>1.43E-2</v>
          </cell>
          <cell r="V259">
            <v>1.43E-2</v>
          </cell>
          <cell r="W259">
            <v>1.43E-2</v>
          </cell>
          <cell r="X259">
            <v>3.8199999999999998E-2</v>
          </cell>
          <cell r="Y259">
            <v>0.28660000000000002</v>
          </cell>
          <cell r="Z259">
            <v>2.5314999999999999</v>
          </cell>
        </row>
        <row r="260">
          <cell r="I260">
            <v>0.7702</v>
          </cell>
          <cell r="J260">
            <v>1.9816</v>
          </cell>
          <cell r="K260">
            <v>0.11899999999999999</v>
          </cell>
          <cell r="L260">
            <v>1.6994</v>
          </cell>
          <cell r="M260">
            <v>0.55469999999999997</v>
          </cell>
          <cell r="N260">
            <v>0.68179999999999996</v>
          </cell>
          <cell r="O260">
            <v>0.48599999999999999</v>
          </cell>
          <cell r="P260">
            <v>0.42709999999999998</v>
          </cell>
          <cell r="Q260">
            <v>0.31409999999999999</v>
          </cell>
          <cell r="R260">
            <v>0.61180000000000001</v>
          </cell>
          <cell r="S260">
            <v>0.53290000000000004</v>
          </cell>
          <cell r="T260">
            <v>1.77E-2</v>
          </cell>
          <cell r="U260">
            <v>1.77E-2</v>
          </cell>
          <cell r="V260">
            <v>1.77E-2</v>
          </cell>
          <cell r="W260">
            <v>1.77E-2</v>
          </cell>
          <cell r="X260">
            <v>4.7100000000000003E-2</v>
          </cell>
          <cell r="Y260">
            <v>0.3533</v>
          </cell>
          <cell r="Z260">
            <v>2.5899000000000001</v>
          </cell>
        </row>
        <row r="261">
          <cell r="I261">
            <v>0.88859999999999995</v>
          </cell>
          <cell r="J261">
            <v>0.97750000000000004</v>
          </cell>
          <cell r="K261">
            <v>0.20200000000000001</v>
          </cell>
          <cell r="L261">
            <v>2.0196000000000001</v>
          </cell>
          <cell r="M261">
            <v>0.65229999999999999</v>
          </cell>
          <cell r="N261">
            <v>0.75529999999999997</v>
          </cell>
          <cell r="O261">
            <v>0.622</v>
          </cell>
          <cell r="P261">
            <v>0.54259999999999997</v>
          </cell>
          <cell r="Q261">
            <v>0.4088</v>
          </cell>
          <cell r="R261">
            <v>0.88859999999999995</v>
          </cell>
          <cell r="S261">
            <v>0.61070000000000002</v>
          </cell>
          <cell r="T261">
            <v>1.5100000000000001E-2</v>
          </cell>
          <cell r="U261">
            <v>1.5100000000000001E-2</v>
          </cell>
          <cell r="V261">
            <v>1.5100000000000001E-2</v>
          </cell>
          <cell r="W261">
            <v>1.5100000000000001E-2</v>
          </cell>
          <cell r="X261">
            <v>0.30159999999999998</v>
          </cell>
          <cell r="Y261">
            <v>4.02E-2</v>
          </cell>
          <cell r="Z261">
            <v>2.8083999999999998</v>
          </cell>
        </row>
        <row r="262">
          <cell r="I262">
            <v>0.81930000000000003</v>
          </cell>
          <cell r="J262">
            <v>0.39450000000000002</v>
          </cell>
          <cell r="K262">
            <v>2.2989000000000002</v>
          </cell>
          <cell r="L262">
            <v>0.16089999999999999</v>
          </cell>
          <cell r="M262">
            <v>0.58620000000000005</v>
          </cell>
          <cell r="N262">
            <v>0.61750000000000005</v>
          </cell>
          <cell r="O262">
            <v>0.70799999999999996</v>
          </cell>
          <cell r="P262">
            <v>0.57779999999999998</v>
          </cell>
          <cell r="Q262">
            <v>0.67769999999999997</v>
          </cell>
          <cell r="R262">
            <v>1.6275999999999999</v>
          </cell>
          <cell r="S262">
            <v>0.48920000000000002</v>
          </cell>
          <cell r="T262">
            <v>1.3299999999999999E-2</v>
          </cell>
          <cell r="U262">
            <v>1.3299999999999999E-2</v>
          </cell>
          <cell r="V262">
            <v>1.3299999999999999E-2</v>
          </cell>
          <cell r="W262">
            <v>1.3299999999999999E-2</v>
          </cell>
          <cell r="X262">
            <v>0.2651</v>
          </cell>
          <cell r="Y262">
            <v>3.5400000000000001E-2</v>
          </cell>
          <cell r="Z262">
            <v>3.4586000000000001</v>
          </cell>
        </row>
        <row r="263">
          <cell r="I263">
            <v>0.69379999999999997</v>
          </cell>
          <cell r="J263">
            <v>0.29899999999999999</v>
          </cell>
          <cell r="K263">
            <v>2.7185999999999999</v>
          </cell>
          <cell r="L263">
            <v>0.13589999999999999</v>
          </cell>
          <cell r="M263">
            <v>0.50839999999999996</v>
          </cell>
          <cell r="N263">
            <v>0.51759999999999995</v>
          </cell>
          <cell r="O263">
            <v>0.95689999999999997</v>
          </cell>
          <cell r="P263">
            <v>0.91890000000000005</v>
          </cell>
          <cell r="Q263">
            <v>0.68179999999999996</v>
          </cell>
          <cell r="R263">
            <v>1.1853</v>
          </cell>
          <cell r="S263">
            <v>0.73080000000000001</v>
          </cell>
          <cell r="T263">
            <v>1.01E-2</v>
          </cell>
          <cell r="U263">
            <v>1.01E-2</v>
          </cell>
          <cell r="V263">
            <v>1.01E-2</v>
          </cell>
          <cell r="W263">
            <v>1.01E-2</v>
          </cell>
          <cell r="X263">
            <v>2.69E-2</v>
          </cell>
          <cell r="Y263">
            <v>0.2019</v>
          </cell>
          <cell r="Z263">
            <v>3.3492999999999999</v>
          </cell>
        </row>
        <row r="264">
          <cell r="I264">
            <v>1.1596</v>
          </cell>
          <cell r="J264">
            <v>1.8222</v>
          </cell>
          <cell r="K264">
            <v>0.15809999999999999</v>
          </cell>
          <cell r="L264">
            <v>1.8825000000000001</v>
          </cell>
          <cell r="M264">
            <v>0.60799999999999998</v>
          </cell>
          <cell r="N264">
            <v>1.0752999999999999</v>
          </cell>
          <cell r="O264">
            <v>0.95250000000000001</v>
          </cell>
          <cell r="P264">
            <v>0.63629999999999998</v>
          </cell>
          <cell r="Q264">
            <v>0.1988</v>
          </cell>
          <cell r="R264">
            <v>0.54210000000000003</v>
          </cell>
          <cell r="S264">
            <v>0.70099999999999996</v>
          </cell>
          <cell r="T264">
            <v>2.5700000000000001E-2</v>
          </cell>
          <cell r="U264">
            <v>2.5700000000000001E-2</v>
          </cell>
          <cell r="V264">
            <v>2.5700000000000001E-2</v>
          </cell>
          <cell r="W264">
            <v>2.5700000000000001E-2</v>
          </cell>
          <cell r="X264">
            <v>0.5141</v>
          </cell>
          <cell r="Y264">
            <v>6.8500000000000005E-2</v>
          </cell>
          <cell r="Z264">
            <v>2.5964</v>
          </cell>
        </row>
        <row r="265">
          <cell r="I265">
            <v>0.8911</v>
          </cell>
          <cell r="J265">
            <v>1.0692999999999999</v>
          </cell>
          <cell r="K265">
            <v>0.14180000000000001</v>
          </cell>
          <cell r="L265">
            <v>2.0253000000000001</v>
          </cell>
          <cell r="M265">
            <v>0.66100000000000003</v>
          </cell>
          <cell r="N265">
            <v>0.70240000000000002</v>
          </cell>
          <cell r="O265">
            <v>0.40100000000000002</v>
          </cell>
          <cell r="P265">
            <v>0.49149999999999999</v>
          </cell>
          <cell r="Q265">
            <v>0.3654</v>
          </cell>
          <cell r="R265">
            <v>0.74529999999999996</v>
          </cell>
          <cell r="S265">
            <v>0.60680000000000001</v>
          </cell>
          <cell r="T265">
            <v>2.4299999999999999E-2</v>
          </cell>
          <cell r="U265">
            <v>2.4299999999999999E-2</v>
          </cell>
          <cell r="V265">
            <v>2.4299999999999999E-2</v>
          </cell>
          <cell r="W265">
            <v>2.4299999999999999E-2</v>
          </cell>
          <cell r="X265">
            <v>6.4799999999999996E-2</v>
          </cell>
          <cell r="Y265">
            <v>0.48599999999999999</v>
          </cell>
          <cell r="Z265">
            <v>2.5427</v>
          </cell>
        </row>
        <row r="266">
          <cell r="I266">
            <v>0.8649</v>
          </cell>
          <cell r="J266">
            <v>0.94010000000000005</v>
          </cell>
          <cell r="K266">
            <v>0.2137</v>
          </cell>
          <cell r="L266">
            <v>2.1366999999999998</v>
          </cell>
          <cell r="M266">
            <v>0.69020000000000004</v>
          </cell>
          <cell r="N266">
            <v>0.76280000000000003</v>
          </cell>
          <cell r="O266">
            <v>0.47010000000000002</v>
          </cell>
          <cell r="P266">
            <v>0.55549999999999999</v>
          </cell>
          <cell r="Q266">
            <v>0.37609999999999999</v>
          </cell>
          <cell r="R266">
            <v>0.89739999999999998</v>
          </cell>
          <cell r="S266">
            <v>0.59830000000000005</v>
          </cell>
          <cell r="T266">
            <v>1.7000000000000001E-2</v>
          </cell>
          <cell r="U266">
            <v>1.7000000000000001E-2</v>
          </cell>
          <cell r="V266">
            <v>1.7000000000000001E-2</v>
          </cell>
          <cell r="W266">
            <v>1.7000000000000001E-2</v>
          </cell>
          <cell r="X266">
            <v>0.3402</v>
          </cell>
          <cell r="Y266">
            <v>4.5400000000000003E-2</v>
          </cell>
          <cell r="Z266">
            <v>2.6461999999999999</v>
          </cell>
        </row>
        <row r="267">
          <cell r="I267">
            <v>0.73009999999999997</v>
          </cell>
          <cell r="J267">
            <v>0.93730000000000002</v>
          </cell>
          <cell r="K267">
            <v>0.1457</v>
          </cell>
          <cell r="L267">
            <v>2.2422</v>
          </cell>
          <cell r="M267">
            <v>0.54890000000000005</v>
          </cell>
          <cell r="N267">
            <v>0.64039999999999997</v>
          </cell>
          <cell r="O267">
            <v>0.49330000000000002</v>
          </cell>
          <cell r="P267">
            <v>0.54410000000000003</v>
          </cell>
          <cell r="Q267">
            <v>0.66100000000000003</v>
          </cell>
          <cell r="R267">
            <v>1.3902000000000001</v>
          </cell>
          <cell r="S267">
            <v>0.5776</v>
          </cell>
          <cell r="T267">
            <v>1.7100000000000001E-2</v>
          </cell>
          <cell r="U267">
            <v>1.7100000000000001E-2</v>
          </cell>
          <cell r="V267">
            <v>6.4199999999999993E-2</v>
          </cell>
          <cell r="W267">
            <v>0.25659999999999999</v>
          </cell>
          <cell r="X267">
            <v>1.2800000000000001E-2</v>
          </cell>
          <cell r="Y267">
            <v>1.2800000000000001E-2</v>
          </cell>
          <cell r="Z267">
            <v>3.4405999999999999</v>
          </cell>
        </row>
        <row r="268">
          <cell r="I268">
            <v>0.62370000000000003</v>
          </cell>
          <cell r="J268">
            <v>0.28349999999999997</v>
          </cell>
          <cell r="K268">
            <v>2.1476000000000002</v>
          </cell>
          <cell r="L268">
            <v>0.1181</v>
          </cell>
          <cell r="M268">
            <v>0.5111</v>
          </cell>
          <cell r="N268">
            <v>0.51839999999999997</v>
          </cell>
          <cell r="O268">
            <v>1.9843999999999999</v>
          </cell>
          <cell r="P268">
            <v>0.66259999999999997</v>
          </cell>
          <cell r="Q268">
            <v>0.76539999999999997</v>
          </cell>
          <cell r="R268">
            <v>1.3401000000000001</v>
          </cell>
          <cell r="S268">
            <v>0.36080000000000001</v>
          </cell>
          <cell r="T268">
            <v>1.6899999999999998E-2</v>
          </cell>
          <cell r="U268">
            <v>1.6899999999999998E-2</v>
          </cell>
          <cell r="V268">
            <v>6.3299999999999995E-2</v>
          </cell>
          <cell r="W268">
            <v>0.25340000000000001</v>
          </cell>
          <cell r="X268">
            <v>1.2699999999999999E-2</v>
          </cell>
          <cell r="Y268">
            <v>1.2699999999999999E-2</v>
          </cell>
          <cell r="Z268">
            <v>3.9592000000000001</v>
          </cell>
        </row>
        <row r="269">
          <cell r="I269">
            <v>0.88149999999999995</v>
          </cell>
          <cell r="J269">
            <v>0.57850000000000001</v>
          </cell>
          <cell r="K269">
            <v>2.5042</v>
          </cell>
          <cell r="L269">
            <v>0.17530000000000001</v>
          </cell>
          <cell r="M269">
            <v>0.65559999999999996</v>
          </cell>
          <cell r="N269">
            <v>0.70669999999999999</v>
          </cell>
          <cell r="O269">
            <v>0.71619999999999995</v>
          </cell>
          <cell r="P269">
            <v>0.63370000000000004</v>
          </cell>
          <cell r="Q269">
            <v>0.85499999999999998</v>
          </cell>
          <cell r="R269">
            <v>1.2921</v>
          </cell>
          <cell r="S269">
            <v>0.72219999999999995</v>
          </cell>
          <cell r="T269">
            <v>1.6299999999999999E-2</v>
          </cell>
          <cell r="U269">
            <v>1.6299999999999999E-2</v>
          </cell>
          <cell r="V269">
            <v>1.6299999999999999E-2</v>
          </cell>
          <cell r="W269">
            <v>1.6299999999999999E-2</v>
          </cell>
          <cell r="X269">
            <v>0.3266</v>
          </cell>
          <cell r="Y269">
            <v>4.3499999999999997E-2</v>
          </cell>
          <cell r="Z269">
            <v>4.0396000000000001</v>
          </cell>
        </row>
        <row r="270">
          <cell r="I270">
            <v>1.2277</v>
          </cell>
          <cell r="J270">
            <v>1.0230999999999999</v>
          </cell>
          <cell r="K270">
            <v>0.23250000000000001</v>
          </cell>
          <cell r="L270">
            <v>2.3252999999999999</v>
          </cell>
          <cell r="M270">
            <v>1.0278</v>
          </cell>
          <cell r="N270">
            <v>0.67200000000000004</v>
          </cell>
          <cell r="O270">
            <v>0.81850000000000001</v>
          </cell>
          <cell r="P270">
            <v>0.64490000000000003</v>
          </cell>
          <cell r="Q270">
            <v>0.57289999999999996</v>
          </cell>
          <cell r="R270">
            <v>0.93010000000000004</v>
          </cell>
          <cell r="S270">
            <v>0.65110000000000001</v>
          </cell>
          <cell r="T270">
            <v>2.1499999999999998E-2</v>
          </cell>
          <cell r="U270">
            <v>2.1499999999999998E-2</v>
          </cell>
          <cell r="V270">
            <v>2.1499999999999998E-2</v>
          </cell>
          <cell r="W270">
            <v>2.1499999999999998E-2</v>
          </cell>
          <cell r="X270">
            <v>0.42930000000000001</v>
          </cell>
          <cell r="Y270">
            <v>5.7200000000000001E-2</v>
          </cell>
          <cell r="Z270">
            <v>3.6002999999999998</v>
          </cell>
        </row>
        <row r="271">
          <cell r="I271">
            <v>0.79530000000000001</v>
          </cell>
          <cell r="J271">
            <v>0.87290000000000001</v>
          </cell>
          <cell r="K271">
            <v>0.22040000000000001</v>
          </cell>
          <cell r="L271">
            <v>2.2044000000000001</v>
          </cell>
          <cell r="M271">
            <v>0.6371</v>
          </cell>
          <cell r="N271">
            <v>0.74950000000000006</v>
          </cell>
          <cell r="O271">
            <v>0.48499999999999999</v>
          </cell>
          <cell r="P271">
            <v>0.57310000000000005</v>
          </cell>
          <cell r="Q271">
            <v>0.38800000000000001</v>
          </cell>
          <cell r="R271">
            <v>0.88180000000000003</v>
          </cell>
          <cell r="S271">
            <v>0.61719999999999997</v>
          </cell>
          <cell r="T271">
            <v>1.55E-2</v>
          </cell>
          <cell r="U271">
            <v>1.55E-2</v>
          </cell>
          <cell r="V271">
            <v>1.55E-2</v>
          </cell>
          <cell r="W271">
            <v>1.55E-2</v>
          </cell>
          <cell r="X271">
            <v>4.1300000000000003E-2</v>
          </cell>
          <cell r="Y271">
            <v>0.31</v>
          </cell>
          <cell r="Z271">
            <v>2.621</v>
          </cell>
        </row>
        <row r="272">
          <cell r="I272">
            <v>1.0045999999999999</v>
          </cell>
          <cell r="J272">
            <v>0.95889999999999997</v>
          </cell>
          <cell r="K272">
            <v>0.20760000000000001</v>
          </cell>
          <cell r="L272">
            <v>2.0756000000000001</v>
          </cell>
          <cell r="M272">
            <v>0.77629999999999999</v>
          </cell>
          <cell r="N272">
            <v>0.77629999999999999</v>
          </cell>
          <cell r="O272">
            <v>0.63929999999999998</v>
          </cell>
          <cell r="P272">
            <v>0.55759999999999998</v>
          </cell>
          <cell r="Q272">
            <v>0.43840000000000001</v>
          </cell>
          <cell r="R272">
            <v>0.83020000000000005</v>
          </cell>
          <cell r="S272">
            <v>0.58120000000000005</v>
          </cell>
          <cell r="T272">
            <v>0.3821</v>
          </cell>
          <cell r="U272">
            <v>7.6399999999999996E-2</v>
          </cell>
          <cell r="V272">
            <v>2.5499999999999998E-2</v>
          </cell>
          <cell r="W272">
            <v>2.5499999999999998E-2</v>
          </cell>
          <cell r="X272">
            <v>1.9099999999999999E-2</v>
          </cell>
          <cell r="Y272">
            <v>1.9099999999999999E-2</v>
          </cell>
          <cell r="Z272">
            <v>2.9487000000000001</v>
          </cell>
        </row>
        <row r="273">
          <cell r="I273">
            <v>1.1773</v>
          </cell>
          <cell r="J273">
            <v>0.87380000000000002</v>
          </cell>
          <cell r="K273">
            <v>0.1777</v>
          </cell>
          <cell r="L273">
            <v>2.0903999999999998</v>
          </cell>
          <cell r="M273">
            <v>0.87419999999999998</v>
          </cell>
          <cell r="N273">
            <v>0.79600000000000004</v>
          </cell>
          <cell r="O273">
            <v>0.64380000000000004</v>
          </cell>
          <cell r="P273">
            <v>0.54349999999999998</v>
          </cell>
          <cell r="Q273">
            <v>0.5151</v>
          </cell>
          <cell r="R273">
            <v>1.2123999999999999</v>
          </cell>
          <cell r="S273">
            <v>0.3629</v>
          </cell>
          <cell r="T273">
            <v>0.41520000000000001</v>
          </cell>
          <cell r="U273">
            <v>8.3000000000000004E-2</v>
          </cell>
          <cell r="V273">
            <v>2.7699999999999999E-2</v>
          </cell>
          <cell r="W273">
            <v>2.7699999999999999E-2</v>
          </cell>
          <cell r="X273">
            <v>2.0799999999999999E-2</v>
          </cell>
          <cell r="Y273">
            <v>2.0799999999999999E-2</v>
          </cell>
          <cell r="Z273">
            <v>3.2949999999999999</v>
          </cell>
        </row>
        <row r="274">
          <cell r="I274">
            <v>1.2236</v>
          </cell>
          <cell r="J274">
            <v>0.57099999999999995</v>
          </cell>
          <cell r="K274">
            <v>2.3174999999999999</v>
          </cell>
          <cell r="L274">
            <v>0.19239999999999999</v>
          </cell>
          <cell r="M274">
            <v>0.5988</v>
          </cell>
          <cell r="N274">
            <v>1.6547000000000001</v>
          </cell>
          <cell r="O274">
            <v>0.50980000000000003</v>
          </cell>
          <cell r="P274">
            <v>0.59050000000000002</v>
          </cell>
          <cell r="Q274">
            <v>0.49969999999999998</v>
          </cell>
          <cell r="R274">
            <v>0.92700000000000005</v>
          </cell>
          <cell r="S274">
            <v>0.60350000000000004</v>
          </cell>
          <cell r="T274">
            <v>3.2599999999999997E-2</v>
          </cell>
          <cell r="U274">
            <v>3.2599999999999997E-2</v>
          </cell>
          <cell r="V274">
            <v>0.1221</v>
          </cell>
          <cell r="W274">
            <v>0.48830000000000001</v>
          </cell>
          <cell r="X274">
            <v>2.4400000000000002E-2</v>
          </cell>
          <cell r="Y274">
            <v>2.4400000000000002E-2</v>
          </cell>
          <cell r="Z274">
            <v>3.2564000000000002</v>
          </cell>
        </row>
        <row r="275">
          <cell r="I275">
            <v>0.98619999999999997</v>
          </cell>
          <cell r="J275">
            <v>0.43830000000000002</v>
          </cell>
          <cell r="K275">
            <v>2.4904999999999999</v>
          </cell>
          <cell r="L275">
            <v>0.249</v>
          </cell>
          <cell r="M275">
            <v>0.7621</v>
          </cell>
          <cell r="N275">
            <v>0.7621</v>
          </cell>
          <cell r="O275">
            <v>1.2054</v>
          </cell>
          <cell r="P275">
            <v>0.75539999999999996</v>
          </cell>
          <cell r="Q275">
            <v>0.65749999999999997</v>
          </cell>
          <cell r="R275">
            <v>1.1755</v>
          </cell>
          <cell r="S275">
            <v>0.62760000000000005</v>
          </cell>
          <cell r="T275">
            <v>1.78E-2</v>
          </cell>
          <cell r="U275">
            <v>1.78E-2</v>
          </cell>
          <cell r="V275">
            <v>1.78E-2</v>
          </cell>
          <cell r="W275">
            <v>1.78E-2</v>
          </cell>
          <cell r="X275">
            <v>4.7399999999999998E-2</v>
          </cell>
          <cell r="Y275">
            <v>0.35589999999999999</v>
          </cell>
          <cell r="Z275">
            <v>3.7069000000000001</v>
          </cell>
        </row>
        <row r="276">
          <cell r="I276">
            <v>1.0101</v>
          </cell>
          <cell r="J276">
            <v>1.776</v>
          </cell>
          <cell r="K276">
            <v>0.18920000000000001</v>
          </cell>
          <cell r="L276">
            <v>2.5226999999999999</v>
          </cell>
          <cell r="M276">
            <v>0.75480000000000003</v>
          </cell>
          <cell r="N276">
            <v>0.81479999999999997</v>
          </cell>
          <cell r="O276">
            <v>0.44400000000000001</v>
          </cell>
          <cell r="P276">
            <v>0.96199999999999997</v>
          </cell>
          <cell r="Q276">
            <v>0.36630000000000001</v>
          </cell>
          <cell r="R276">
            <v>0.64580000000000004</v>
          </cell>
          <cell r="S276">
            <v>1.0454000000000001</v>
          </cell>
          <cell r="T276">
            <v>1.9E-2</v>
          </cell>
          <cell r="U276">
            <v>1.9E-2</v>
          </cell>
          <cell r="V276">
            <v>1.9E-2</v>
          </cell>
          <cell r="W276">
            <v>1.9E-2</v>
          </cell>
          <cell r="X276">
            <v>5.0500000000000003E-2</v>
          </cell>
          <cell r="Y276">
            <v>0.37909999999999999</v>
          </cell>
          <cell r="Z276">
            <v>3.0714999999999999</v>
          </cell>
        </row>
        <row r="277">
          <cell r="I277">
            <v>0.89249999999999996</v>
          </cell>
          <cell r="J277">
            <v>1.2941</v>
          </cell>
          <cell r="K277">
            <v>0.20280000000000001</v>
          </cell>
          <cell r="L277">
            <v>2.0284</v>
          </cell>
          <cell r="M277">
            <v>0.68969999999999998</v>
          </cell>
          <cell r="N277">
            <v>0.8276</v>
          </cell>
          <cell r="O277">
            <v>0.53549999999999998</v>
          </cell>
          <cell r="P277">
            <v>0.49220000000000003</v>
          </cell>
          <cell r="Q277">
            <v>0.37490000000000001</v>
          </cell>
          <cell r="R277">
            <v>0.77080000000000004</v>
          </cell>
          <cell r="S277">
            <v>0.6532</v>
          </cell>
          <cell r="T277">
            <v>1.9599999999999999E-2</v>
          </cell>
          <cell r="U277">
            <v>1.9599999999999999E-2</v>
          </cell>
          <cell r="V277">
            <v>1.9599999999999999E-2</v>
          </cell>
          <cell r="W277">
            <v>1.9599999999999999E-2</v>
          </cell>
          <cell r="X277">
            <v>5.2299999999999999E-2</v>
          </cell>
          <cell r="Y277">
            <v>0.39250000000000002</v>
          </cell>
          <cell r="Z277">
            <v>2.7746</v>
          </cell>
        </row>
        <row r="278">
          <cell r="I278">
            <v>0.92700000000000005</v>
          </cell>
          <cell r="J278">
            <v>1.0622</v>
          </cell>
          <cell r="K278">
            <v>0.1361</v>
          </cell>
          <cell r="L278">
            <v>2.1947000000000001</v>
          </cell>
          <cell r="M278">
            <v>0.6119</v>
          </cell>
          <cell r="N278">
            <v>0.67900000000000005</v>
          </cell>
          <cell r="O278">
            <v>0.57940000000000003</v>
          </cell>
          <cell r="P278">
            <v>0.60870000000000002</v>
          </cell>
          <cell r="Q278">
            <v>0.4345</v>
          </cell>
          <cell r="R278">
            <v>0.79890000000000005</v>
          </cell>
          <cell r="S278">
            <v>1.1676</v>
          </cell>
          <cell r="T278">
            <v>1.6899999999999998E-2</v>
          </cell>
          <cell r="U278">
            <v>1.6899999999999998E-2</v>
          </cell>
          <cell r="V278">
            <v>1.6899999999999998E-2</v>
          </cell>
          <cell r="W278">
            <v>1.6899999999999998E-2</v>
          </cell>
          <cell r="X278">
            <v>4.5100000000000001E-2</v>
          </cell>
          <cell r="Y278">
            <v>0.33860000000000001</v>
          </cell>
          <cell r="Z278">
            <v>2.99</v>
          </cell>
        </row>
        <row r="279">
          <cell r="I279">
            <v>0.90759999999999996</v>
          </cell>
          <cell r="J279">
            <v>2.3351000000000002</v>
          </cell>
          <cell r="K279">
            <v>0.14019999999999999</v>
          </cell>
          <cell r="L279">
            <v>2.0026999999999999</v>
          </cell>
          <cell r="M279">
            <v>0.65369999999999995</v>
          </cell>
          <cell r="N279">
            <v>0.80349999999999999</v>
          </cell>
          <cell r="O279">
            <v>0.57279999999999998</v>
          </cell>
          <cell r="P279">
            <v>0.50329999999999997</v>
          </cell>
          <cell r="Q279">
            <v>0.37009999999999998</v>
          </cell>
          <cell r="R279">
            <v>0.72099999999999997</v>
          </cell>
          <cell r="S279">
            <v>0.628</v>
          </cell>
          <cell r="T279">
            <v>2.0799999999999999E-2</v>
          </cell>
          <cell r="U279">
            <v>2.0799999999999999E-2</v>
          </cell>
          <cell r="V279">
            <v>2.0799999999999999E-2</v>
          </cell>
          <cell r="W279">
            <v>2.0799999999999999E-2</v>
          </cell>
          <cell r="X279">
            <v>5.5500000000000001E-2</v>
          </cell>
          <cell r="Y279">
            <v>0.41639999999999999</v>
          </cell>
          <cell r="Z279">
            <v>3.052</v>
          </cell>
        </row>
        <row r="280">
          <cell r="I280">
            <v>1.1009</v>
          </cell>
          <cell r="J280">
            <v>0.59830000000000005</v>
          </cell>
          <cell r="K280">
            <v>2.7197</v>
          </cell>
          <cell r="L280">
            <v>0.27200000000000002</v>
          </cell>
          <cell r="M280">
            <v>0.87849999999999995</v>
          </cell>
          <cell r="N280">
            <v>0.97089999999999999</v>
          </cell>
          <cell r="O280">
            <v>0.59830000000000005</v>
          </cell>
          <cell r="P280">
            <v>0.70709999999999995</v>
          </cell>
          <cell r="Q280">
            <v>0.47870000000000001</v>
          </cell>
          <cell r="R280">
            <v>1.1423000000000001</v>
          </cell>
          <cell r="S280">
            <v>0.60919999999999996</v>
          </cell>
          <cell r="T280">
            <v>2.1000000000000001E-2</v>
          </cell>
          <cell r="U280">
            <v>2.1000000000000001E-2</v>
          </cell>
          <cell r="V280">
            <v>2.1000000000000001E-2</v>
          </cell>
          <cell r="W280">
            <v>2.1000000000000001E-2</v>
          </cell>
          <cell r="X280">
            <v>5.5899999999999998E-2</v>
          </cell>
          <cell r="Y280">
            <v>0.41920000000000002</v>
          </cell>
          <cell r="Z280">
            <v>3.1347999999999998</v>
          </cell>
        </row>
        <row r="281">
          <cell r="I281">
            <v>0.9617</v>
          </cell>
          <cell r="J281">
            <v>0.46300000000000002</v>
          </cell>
          <cell r="K281">
            <v>2.6983000000000001</v>
          </cell>
          <cell r="L281">
            <v>0.18890000000000001</v>
          </cell>
          <cell r="M281">
            <v>0.68810000000000004</v>
          </cell>
          <cell r="N281">
            <v>0.7248</v>
          </cell>
          <cell r="O281">
            <v>0.83109999999999995</v>
          </cell>
          <cell r="P281">
            <v>0.67820000000000003</v>
          </cell>
          <cell r="Q281">
            <v>0.79549999999999998</v>
          </cell>
          <cell r="R281">
            <v>1.9104000000000001</v>
          </cell>
          <cell r="S281">
            <v>0.57420000000000004</v>
          </cell>
          <cell r="T281">
            <v>1.5599999999999999E-2</v>
          </cell>
          <cell r="U281">
            <v>1.5599999999999999E-2</v>
          </cell>
          <cell r="V281">
            <v>1.5599999999999999E-2</v>
          </cell>
          <cell r="W281">
            <v>1.5599999999999999E-2</v>
          </cell>
          <cell r="X281">
            <v>4.1500000000000002E-2</v>
          </cell>
          <cell r="Y281">
            <v>0.31119999999999998</v>
          </cell>
          <cell r="Z281">
            <v>4.0595999999999997</v>
          </cell>
        </row>
        <row r="282">
          <cell r="I282">
            <v>0.89239999999999997</v>
          </cell>
          <cell r="J282">
            <v>1.4692000000000001</v>
          </cell>
          <cell r="K282">
            <v>0.1484</v>
          </cell>
          <cell r="L282">
            <v>2.4733999999999998</v>
          </cell>
          <cell r="M282">
            <v>0.68120000000000003</v>
          </cell>
          <cell r="N282">
            <v>0.73160000000000003</v>
          </cell>
          <cell r="O282">
            <v>1.306</v>
          </cell>
          <cell r="P282">
            <v>1.0931999999999999</v>
          </cell>
          <cell r="Q282">
            <v>0.50060000000000004</v>
          </cell>
          <cell r="R282">
            <v>0.67279999999999995</v>
          </cell>
          <cell r="S282">
            <v>0.98340000000000005</v>
          </cell>
          <cell r="T282">
            <v>1.7100000000000001E-2</v>
          </cell>
          <cell r="U282">
            <v>1.7100000000000001E-2</v>
          </cell>
          <cell r="V282">
            <v>1.7100000000000001E-2</v>
          </cell>
          <cell r="W282">
            <v>1.7100000000000001E-2</v>
          </cell>
          <cell r="X282">
            <v>4.5600000000000002E-2</v>
          </cell>
          <cell r="Y282">
            <v>0.3417</v>
          </cell>
          <cell r="Z282">
            <v>3.5899000000000001</v>
          </cell>
        </row>
        <row r="283">
          <cell r="I283">
            <v>1.4939</v>
          </cell>
          <cell r="J283">
            <v>1.1725000000000001</v>
          </cell>
          <cell r="K283">
            <v>0.1283</v>
          </cell>
          <cell r="L283">
            <v>1.9739</v>
          </cell>
          <cell r="M283">
            <v>1.1007</v>
          </cell>
          <cell r="N283">
            <v>1.0403</v>
          </cell>
          <cell r="O283">
            <v>0.30399999999999999</v>
          </cell>
          <cell r="P283">
            <v>0.47899999999999998</v>
          </cell>
          <cell r="Q283">
            <v>0.2606</v>
          </cell>
          <cell r="R283">
            <v>0.47370000000000001</v>
          </cell>
          <cell r="S283">
            <v>0.68540000000000001</v>
          </cell>
          <cell r="T283">
            <v>2.7E-2</v>
          </cell>
          <cell r="U283">
            <v>2.7E-2</v>
          </cell>
          <cell r="V283">
            <v>2.7E-2</v>
          </cell>
          <cell r="W283">
            <v>2.7E-2</v>
          </cell>
          <cell r="X283">
            <v>7.1900000000000006E-2</v>
          </cell>
          <cell r="Y283">
            <v>0.53939999999999999</v>
          </cell>
          <cell r="Z283">
            <v>2.5817999999999999</v>
          </cell>
        </row>
        <row r="284">
          <cell r="I284">
            <v>1.0525</v>
          </cell>
          <cell r="J284">
            <v>1.2629999999999999</v>
          </cell>
          <cell r="K284">
            <v>0.16739999999999999</v>
          </cell>
          <cell r="L284">
            <v>2.3919999999999999</v>
          </cell>
          <cell r="M284">
            <v>0.78080000000000005</v>
          </cell>
          <cell r="N284">
            <v>0.8296</v>
          </cell>
          <cell r="O284">
            <v>0.47360000000000002</v>
          </cell>
          <cell r="P284">
            <v>0.58050000000000002</v>
          </cell>
          <cell r="Q284">
            <v>0.43149999999999999</v>
          </cell>
          <cell r="R284">
            <v>0.88029999999999997</v>
          </cell>
          <cell r="S284">
            <v>0.7167</v>
          </cell>
          <cell r="T284">
            <v>2.87E-2</v>
          </cell>
          <cell r="U284">
            <v>2.87E-2</v>
          </cell>
          <cell r="V284">
            <v>2.87E-2</v>
          </cell>
          <cell r="W284">
            <v>2.87E-2</v>
          </cell>
          <cell r="X284">
            <v>7.6499999999999999E-2</v>
          </cell>
          <cell r="Y284">
            <v>0.57410000000000005</v>
          </cell>
          <cell r="Z284">
            <v>3.0032000000000001</v>
          </cell>
        </row>
        <row r="285">
          <cell r="I285">
            <v>1.0193000000000001</v>
          </cell>
          <cell r="J285">
            <v>1.1079000000000001</v>
          </cell>
          <cell r="K285">
            <v>0.25180000000000002</v>
          </cell>
          <cell r="L285">
            <v>2.5179999999999998</v>
          </cell>
          <cell r="M285">
            <v>0.81330000000000002</v>
          </cell>
          <cell r="N285">
            <v>0.89890000000000003</v>
          </cell>
          <cell r="O285">
            <v>0.55389999999999995</v>
          </cell>
          <cell r="P285">
            <v>0.65469999999999995</v>
          </cell>
          <cell r="Q285">
            <v>0.44319999999999998</v>
          </cell>
          <cell r="R285">
            <v>1.0575000000000001</v>
          </cell>
          <cell r="S285">
            <v>0.70499999999999996</v>
          </cell>
          <cell r="T285">
            <v>0.02</v>
          </cell>
          <cell r="U285">
            <v>0.02</v>
          </cell>
          <cell r="V285">
            <v>0.02</v>
          </cell>
          <cell r="W285">
            <v>0.02</v>
          </cell>
          <cell r="X285">
            <v>5.3499999999999999E-2</v>
          </cell>
          <cell r="Y285">
            <v>0.40089999999999998</v>
          </cell>
          <cell r="Z285">
            <v>3.1183999999999998</v>
          </cell>
        </row>
        <row r="286">
          <cell r="I286">
            <v>0.89129999999999998</v>
          </cell>
          <cell r="J286">
            <v>0.4178</v>
          </cell>
          <cell r="K286">
            <v>2.5320999999999998</v>
          </cell>
          <cell r="L286">
            <v>0.19239999999999999</v>
          </cell>
          <cell r="M286">
            <v>0.70599999999999996</v>
          </cell>
          <cell r="N286">
            <v>0.65429999999999999</v>
          </cell>
          <cell r="O286">
            <v>1.4483999999999999</v>
          </cell>
          <cell r="P286">
            <v>0.74609999999999999</v>
          </cell>
          <cell r="Q286">
            <v>0.66849999999999998</v>
          </cell>
          <cell r="R286">
            <v>1.0736000000000001</v>
          </cell>
          <cell r="S286">
            <v>1.1486000000000001</v>
          </cell>
          <cell r="T286">
            <v>1.72E-2</v>
          </cell>
          <cell r="U286">
            <v>1.72E-2</v>
          </cell>
          <cell r="V286">
            <v>1.72E-2</v>
          </cell>
          <cell r="W286">
            <v>1.72E-2</v>
          </cell>
          <cell r="X286">
            <v>4.58E-2</v>
          </cell>
          <cell r="Y286">
            <v>0.34370000000000001</v>
          </cell>
          <cell r="Z286">
            <v>3.8422999999999998</v>
          </cell>
        </row>
        <row r="287">
          <cell r="I287">
            <v>0.73199999999999998</v>
          </cell>
          <cell r="J287">
            <v>0.3327</v>
          </cell>
          <cell r="K287">
            <v>2.5207999999999999</v>
          </cell>
          <cell r="L287">
            <v>0.1386</v>
          </cell>
          <cell r="M287">
            <v>0.6</v>
          </cell>
          <cell r="N287">
            <v>0.60850000000000004</v>
          </cell>
          <cell r="O287">
            <v>2.3292000000000002</v>
          </cell>
          <cell r="P287">
            <v>0.77780000000000005</v>
          </cell>
          <cell r="Q287">
            <v>0.89839999999999998</v>
          </cell>
          <cell r="R287">
            <v>1.573</v>
          </cell>
          <cell r="S287">
            <v>0.42349999999999999</v>
          </cell>
          <cell r="T287">
            <v>1.49E-2</v>
          </cell>
          <cell r="U287">
            <v>1.49E-2</v>
          </cell>
          <cell r="V287">
            <v>1.49E-2</v>
          </cell>
          <cell r="W287">
            <v>1.49E-2</v>
          </cell>
          <cell r="X287">
            <v>3.9699999999999999E-2</v>
          </cell>
          <cell r="Y287">
            <v>0.2974</v>
          </cell>
          <cell r="Z287">
            <v>4.6471999999999998</v>
          </cell>
        </row>
        <row r="288">
          <cell r="I288">
            <v>0.95379999999999998</v>
          </cell>
          <cell r="J288">
            <v>1.0866</v>
          </cell>
          <cell r="K288">
            <v>0.1454</v>
          </cell>
          <cell r="L288">
            <v>2.7439</v>
          </cell>
          <cell r="M288">
            <v>0.79300000000000004</v>
          </cell>
          <cell r="N288">
            <v>0.75570000000000004</v>
          </cell>
          <cell r="O288">
            <v>0.78480000000000005</v>
          </cell>
          <cell r="P288">
            <v>0.68959999999999999</v>
          </cell>
          <cell r="Q288">
            <v>0.96589999999999998</v>
          </cell>
          <cell r="R288">
            <v>1.8877999999999999</v>
          </cell>
          <cell r="S288">
            <v>0.58389999999999997</v>
          </cell>
          <cell r="T288">
            <v>1.6400000000000001E-2</v>
          </cell>
          <cell r="U288">
            <v>1.6400000000000001E-2</v>
          </cell>
          <cell r="V288">
            <v>1.6400000000000001E-2</v>
          </cell>
          <cell r="W288">
            <v>1.6400000000000001E-2</v>
          </cell>
          <cell r="X288">
            <v>4.3700000000000003E-2</v>
          </cell>
          <cell r="Y288">
            <v>0.32800000000000001</v>
          </cell>
          <cell r="Z288">
            <v>4.8091999999999997</v>
          </cell>
        </row>
        <row r="289">
          <cell r="I289">
            <v>1.0769</v>
          </cell>
          <cell r="J289">
            <v>1.2981</v>
          </cell>
          <cell r="K289">
            <v>0.14419999999999999</v>
          </cell>
          <cell r="L289">
            <v>2.1852999999999998</v>
          </cell>
          <cell r="M289">
            <v>1.4488000000000001</v>
          </cell>
          <cell r="N289">
            <v>0.53500000000000003</v>
          </cell>
          <cell r="O289">
            <v>0.52880000000000005</v>
          </cell>
          <cell r="P289">
            <v>0.56820000000000004</v>
          </cell>
          <cell r="Q289">
            <v>0.35580000000000001</v>
          </cell>
          <cell r="R289">
            <v>0.76049999999999995</v>
          </cell>
          <cell r="S289">
            <v>0.57520000000000004</v>
          </cell>
          <cell r="T289">
            <v>2.3900000000000001E-2</v>
          </cell>
          <cell r="U289">
            <v>2.3900000000000001E-2</v>
          </cell>
          <cell r="V289">
            <v>2.3900000000000001E-2</v>
          </cell>
          <cell r="W289">
            <v>2.3900000000000001E-2</v>
          </cell>
          <cell r="X289">
            <v>6.3700000000000007E-2</v>
          </cell>
          <cell r="Y289">
            <v>0.47760000000000002</v>
          </cell>
          <cell r="Z289">
            <v>2.8693</v>
          </cell>
        </row>
        <row r="290">
          <cell r="I290">
            <v>0.93940000000000001</v>
          </cell>
          <cell r="J290">
            <v>1.0309999999999999</v>
          </cell>
          <cell r="K290">
            <v>0.26040000000000002</v>
          </cell>
          <cell r="L290">
            <v>2.6036000000000001</v>
          </cell>
          <cell r="M290">
            <v>0.75239999999999996</v>
          </cell>
          <cell r="N290">
            <v>0.88519999999999999</v>
          </cell>
          <cell r="O290">
            <v>0.57279999999999998</v>
          </cell>
          <cell r="P290">
            <v>0.67689999999999995</v>
          </cell>
          <cell r="Q290">
            <v>0.4582</v>
          </cell>
          <cell r="R290">
            <v>1.0415000000000001</v>
          </cell>
          <cell r="S290">
            <v>0.72899999999999998</v>
          </cell>
          <cell r="T290">
            <v>1.83E-2</v>
          </cell>
          <cell r="U290">
            <v>1.83E-2</v>
          </cell>
          <cell r="V290">
            <v>1.83E-2</v>
          </cell>
          <cell r="W290">
            <v>1.83E-2</v>
          </cell>
          <cell r="X290">
            <v>4.8800000000000003E-2</v>
          </cell>
          <cell r="Y290">
            <v>0.36620000000000003</v>
          </cell>
          <cell r="Z290">
            <v>3.0956999999999999</v>
          </cell>
        </row>
        <row r="291">
          <cell r="I291">
            <v>1.1838</v>
          </cell>
          <cell r="J291">
            <v>1.1299999999999999</v>
          </cell>
          <cell r="K291">
            <v>0.24460000000000001</v>
          </cell>
          <cell r="L291">
            <v>2.4460000000000002</v>
          </cell>
          <cell r="M291">
            <v>0.91479999999999995</v>
          </cell>
          <cell r="N291">
            <v>0.91479999999999995</v>
          </cell>
          <cell r="O291">
            <v>0.75339999999999996</v>
          </cell>
          <cell r="P291">
            <v>0.65720000000000001</v>
          </cell>
          <cell r="Q291">
            <v>0.51659999999999995</v>
          </cell>
          <cell r="R291">
            <v>0.97840000000000005</v>
          </cell>
          <cell r="S291">
            <v>0.68489999999999995</v>
          </cell>
          <cell r="T291">
            <v>0.45029999999999998</v>
          </cell>
          <cell r="U291">
            <v>9.01E-2</v>
          </cell>
          <cell r="V291">
            <v>0.03</v>
          </cell>
          <cell r="W291">
            <v>0.03</v>
          </cell>
          <cell r="X291">
            <v>2.2499999999999999E-2</v>
          </cell>
          <cell r="Y291">
            <v>2.2499999999999999E-2</v>
          </cell>
          <cell r="Z291">
            <v>3.4748000000000001</v>
          </cell>
        </row>
        <row r="292">
          <cell r="I292">
            <v>1.1109</v>
          </cell>
          <cell r="J292">
            <v>0.54339999999999999</v>
          </cell>
          <cell r="K292">
            <v>2.7444000000000002</v>
          </cell>
          <cell r="L292">
            <v>0.2195</v>
          </cell>
          <cell r="M292">
            <v>0.85840000000000005</v>
          </cell>
          <cell r="N292">
            <v>0.79310000000000003</v>
          </cell>
          <cell r="O292">
            <v>0.84530000000000005</v>
          </cell>
          <cell r="P292">
            <v>0.7611</v>
          </cell>
          <cell r="Q292">
            <v>0.5917</v>
          </cell>
          <cell r="R292">
            <v>1.0319</v>
          </cell>
          <cell r="S292">
            <v>1.3985000000000001</v>
          </cell>
          <cell r="T292">
            <v>1.8700000000000001E-2</v>
          </cell>
          <cell r="U292">
            <v>1.8700000000000001E-2</v>
          </cell>
          <cell r="V292">
            <v>1.8700000000000001E-2</v>
          </cell>
          <cell r="W292">
            <v>1.8700000000000001E-2</v>
          </cell>
          <cell r="X292">
            <v>0.05</v>
          </cell>
          <cell r="Y292">
            <v>0.37490000000000001</v>
          </cell>
          <cell r="Z292">
            <v>3.6629999999999998</v>
          </cell>
        </row>
        <row r="293">
          <cell r="I293">
            <v>1.4362999999999999</v>
          </cell>
          <cell r="J293">
            <v>0.67030000000000001</v>
          </cell>
          <cell r="K293">
            <v>2.7202000000000002</v>
          </cell>
          <cell r="L293">
            <v>0.2258</v>
          </cell>
          <cell r="M293">
            <v>0.70289999999999997</v>
          </cell>
          <cell r="N293">
            <v>1.9421999999999999</v>
          </cell>
          <cell r="O293">
            <v>0.59840000000000004</v>
          </cell>
          <cell r="P293">
            <v>0.69310000000000005</v>
          </cell>
          <cell r="Q293">
            <v>0.58650000000000002</v>
          </cell>
          <cell r="R293">
            <v>1.0881000000000001</v>
          </cell>
          <cell r="S293">
            <v>0.70830000000000004</v>
          </cell>
          <cell r="T293">
            <v>2.87E-2</v>
          </cell>
          <cell r="U293">
            <v>2.87E-2</v>
          </cell>
          <cell r="V293">
            <v>2.87E-2</v>
          </cell>
          <cell r="W293">
            <v>2.87E-2</v>
          </cell>
          <cell r="X293">
            <v>7.6399999999999996E-2</v>
          </cell>
          <cell r="Y293">
            <v>0.57320000000000004</v>
          </cell>
          <cell r="Z293">
            <v>3.8222999999999998</v>
          </cell>
        </row>
        <row r="294">
          <cell r="I294">
            <v>1.5430999999999999</v>
          </cell>
          <cell r="J294">
            <v>1.2859</v>
          </cell>
          <cell r="K294">
            <v>0.23380000000000001</v>
          </cell>
          <cell r="L294">
            <v>2.3380999999999998</v>
          </cell>
          <cell r="M294">
            <v>1.1923999999999999</v>
          </cell>
          <cell r="N294">
            <v>1.1129</v>
          </cell>
          <cell r="O294">
            <v>1.0287999999999999</v>
          </cell>
          <cell r="P294">
            <v>0.70920000000000005</v>
          </cell>
          <cell r="Q294">
            <v>0.49380000000000002</v>
          </cell>
          <cell r="R294">
            <v>1.1223000000000001</v>
          </cell>
          <cell r="S294">
            <v>0.78559999999999997</v>
          </cell>
          <cell r="T294">
            <v>3.1300000000000001E-2</v>
          </cell>
          <cell r="U294">
            <v>3.1300000000000001E-2</v>
          </cell>
          <cell r="V294">
            <v>3.1300000000000001E-2</v>
          </cell>
          <cell r="W294">
            <v>3.1300000000000001E-2</v>
          </cell>
          <cell r="X294">
            <v>8.3400000000000002E-2</v>
          </cell>
          <cell r="Y294">
            <v>0.62549999999999994</v>
          </cell>
          <cell r="Z294">
            <v>3.9485999999999999</v>
          </cell>
        </row>
        <row r="295">
          <cell r="I295">
            <v>0.52380000000000004</v>
          </cell>
          <cell r="J295">
            <v>1.4285000000000001</v>
          </cell>
          <cell r="K295">
            <v>0.17319999999999999</v>
          </cell>
          <cell r="L295">
            <v>2.1644000000000001</v>
          </cell>
          <cell r="M295">
            <v>1.0669999999999999</v>
          </cell>
          <cell r="N295">
            <v>1.6557999999999999</v>
          </cell>
          <cell r="O295">
            <v>0.38090000000000002</v>
          </cell>
          <cell r="P295">
            <v>0.51770000000000005</v>
          </cell>
          <cell r="Q295">
            <v>0.41899999999999998</v>
          </cell>
          <cell r="R295">
            <v>0.76190000000000002</v>
          </cell>
          <cell r="S295">
            <v>0.76359999999999995</v>
          </cell>
          <cell r="T295">
            <v>2.9600000000000001E-2</v>
          </cell>
          <cell r="U295">
            <v>2.9600000000000001E-2</v>
          </cell>
          <cell r="V295">
            <v>2.9600000000000001E-2</v>
          </cell>
          <cell r="W295">
            <v>2.9600000000000001E-2</v>
          </cell>
          <cell r="X295">
            <v>7.8799999999999995E-2</v>
          </cell>
          <cell r="Y295">
            <v>0.59130000000000005</v>
          </cell>
          <cell r="Z295">
            <v>3.1758000000000002</v>
          </cell>
        </row>
        <row r="296">
          <cell r="I296">
            <v>1.0542</v>
          </cell>
          <cell r="J296">
            <v>1.5285</v>
          </cell>
          <cell r="K296">
            <v>0.23960000000000001</v>
          </cell>
          <cell r="L296">
            <v>2.3957999999999999</v>
          </cell>
          <cell r="M296">
            <v>0.81459999999999999</v>
          </cell>
          <cell r="N296">
            <v>0.97750000000000004</v>
          </cell>
          <cell r="O296">
            <v>0.63249999999999995</v>
          </cell>
          <cell r="P296">
            <v>0.58140000000000003</v>
          </cell>
          <cell r="Q296">
            <v>0.44269999999999998</v>
          </cell>
          <cell r="R296">
            <v>0.91039999999999999</v>
          </cell>
          <cell r="S296">
            <v>0.77139999999999997</v>
          </cell>
          <cell r="T296">
            <v>2.3199999999999998E-2</v>
          </cell>
          <cell r="U296">
            <v>2.3199999999999998E-2</v>
          </cell>
          <cell r="V296">
            <v>2.3199999999999998E-2</v>
          </cell>
          <cell r="W296">
            <v>2.3199999999999998E-2</v>
          </cell>
          <cell r="X296">
            <v>0.46360000000000001</v>
          </cell>
          <cell r="Y296">
            <v>6.1800000000000001E-2</v>
          </cell>
          <cell r="Z296">
            <v>3.2770999999999999</v>
          </cell>
        </row>
        <row r="297">
          <cell r="I297">
            <v>1.0924</v>
          </cell>
          <cell r="J297">
            <v>1.2517</v>
          </cell>
          <cell r="K297">
            <v>0.1603</v>
          </cell>
          <cell r="L297">
            <v>2.5861999999999998</v>
          </cell>
          <cell r="M297">
            <v>0.72099999999999997</v>
          </cell>
          <cell r="N297">
            <v>0.80020000000000002</v>
          </cell>
          <cell r="O297">
            <v>0.68279999999999996</v>
          </cell>
          <cell r="P297">
            <v>0.71730000000000005</v>
          </cell>
          <cell r="Q297">
            <v>0.5121</v>
          </cell>
          <cell r="R297">
            <v>0.94140000000000001</v>
          </cell>
          <cell r="S297">
            <v>1.3758999999999999</v>
          </cell>
          <cell r="T297">
            <v>1.9900000000000001E-2</v>
          </cell>
          <cell r="U297">
            <v>1.9900000000000001E-2</v>
          </cell>
          <cell r="V297">
            <v>1.9900000000000001E-2</v>
          </cell>
          <cell r="W297">
            <v>1.9900000000000001E-2</v>
          </cell>
          <cell r="X297">
            <v>5.3199999999999997E-2</v>
          </cell>
          <cell r="Y297">
            <v>0.39900000000000002</v>
          </cell>
          <cell r="Z297">
            <v>3.5234000000000001</v>
          </cell>
        </row>
        <row r="298">
          <cell r="I298">
            <v>0.93430000000000002</v>
          </cell>
          <cell r="J298">
            <v>0.3866</v>
          </cell>
          <cell r="K298">
            <v>2.4407000000000001</v>
          </cell>
          <cell r="L298">
            <v>0.15859999999999999</v>
          </cell>
          <cell r="M298">
            <v>0.7137</v>
          </cell>
          <cell r="N298">
            <v>0.63900000000000001</v>
          </cell>
          <cell r="O298">
            <v>2.8995000000000002</v>
          </cell>
          <cell r="P298">
            <v>0.85880000000000001</v>
          </cell>
          <cell r="Q298">
            <v>0.59060000000000001</v>
          </cell>
          <cell r="R298">
            <v>1.0153000000000001</v>
          </cell>
          <cell r="S298">
            <v>0.69710000000000005</v>
          </cell>
          <cell r="T298">
            <v>1.72E-2</v>
          </cell>
          <cell r="U298">
            <v>1.72E-2</v>
          </cell>
          <cell r="V298">
            <v>1.72E-2</v>
          </cell>
          <cell r="W298">
            <v>1.72E-2</v>
          </cell>
          <cell r="X298">
            <v>4.5900000000000003E-2</v>
          </cell>
          <cell r="Y298">
            <v>0.34460000000000002</v>
          </cell>
          <cell r="Z298">
            <v>3.9984000000000002</v>
          </cell>
        </row>
        <row r="299">
          <cell r="I299">
            <v>1.2923</v>
          </cell>
          <cell r="J299">
            <v>0.70230000000000004</v>
          </cell>
          <cell r="K299">
            <v>3.1922999999999999</v>
          </cell>
          <cell r="L299">
            <v>0.31919999999999998</v>
          </cell>
          <cell r="M299">
            <v>1.0310999999999999</v>
          </cell>
          <cell r="N299">
            <v>1.1396999999999999</v>
          </cell>
          <cell r="O299">
            <v>0.70230000000000004</v>
          </cell>
          <cell r="P299">
            <v>0.83</v>
          </cell>
          <cell r="Q299">
            <v>0.56189999999999996</v>
          </cell>
          <cell r="R299">
            <v>1.3408</v>
          </cell>
          <cell r="S299">
            <v>0.71509999999999996</v>
          </cell>
          <cell r="T299">
            <v>2.46E-2</v>
          </cell>
          <cell r="U299">
            <v>2.46E-2</v>
          </cell>
          <cell r="V299">
            <v>2.46E-2</v>
          </cell>
          <cell r="W299">
            <v>2.46E-2</v>
          </cell>
          <cell r="X299">
            <v>0.49199999999999999</v>
          </cell>
          <cell r="Y299">
            <v>6.5600000000000006E-2</v>
          </cell>
          <cell r="Z299">
            <v>3.6795</v>
          </cell>
        </row>
        <row r="300">
          <cell r="I300">
            <v>0.8226</v>
          </cell>
          <cell r="J300">
            <v>1.3505</v>
          </cell>
          <cell r="K300">
            <v>0.14510000000000001</v>
          </cell>
          <cell r="L300">
            <v>2.7902999999999998</v>
          </cell>
          <cell r="M300">
            <v>0.61660000000000004</v>
          </cell>
          <cell r="N300">
            <v>0.75900000000000001</v>
          </cell>
          <cell r="O300">
            <v>2.2099000000000002</v>
          </cell>
          <cell r="P300">
            <v>0.89470000000000005</v>
          </cell>
          <cell r="Q300">
            <v>0.50339999999999996</v>
          </cell>
          <cell r="R300">
            <v>0.83709999999999996</v>
          </cell>
          <cell r="S300">
            <v>1.3907</v>
          </cell>
          <cell r="T300">
            <v>1.8700000000000001E-2</v>
          </cell>
          <cell r="U300">
            <v>1.8700000000000001E-2</v>
          </cell>
          <cell r="V300">
            <v>1.8700000000000001E-2</v>
          </cell>
          <cell r="W300">
            <v>1.8700000000000001E-2</v>
          </cell>
          <cell r="X300">
            <v>0.3745</v>
          </cell>
          <cell r="Y300">
            <v>4.99E-2</v>
          </cell>
          <cell r="Z300">
            <v>3.867</v>
          </cell>
        </row>
        <row r="301">
          <cell r="I301">
            <v>0.84</v>
          </cell>
          <cell r="J301">
            <v>1.2384999999999999</v>
          </cell>
          <cell r="K301">
            <v>0.24479999999999999</v>
          </cell>
          <cell r="L301">
            <v>2.4476</v>
          </cell>
          <cell r="M301">
            <v>0.62409999999999999</v>
          </cell>
          <cell r="N301">
            <v>0.66569999999999996</v>
          </cell>
          <cell r="O301">
            <v>1.1846000000000001</v>
          </cell>
          <cell r="P301">
            <v>0.7</v>
          </cell>
          <cell r="Q301">
            <v>0.47389999999999999</v>
          </cell>
          <cell r="R301">
            <v>1.0769</v>
          </cell>
          <cell r="S301">
            <v>0.75390000000000001</v>
          </cell>
          <cell r="T301">
            <v>1.72E-2</v>
          </cell>
          <cell r="U301">
            <v>1.72E-2</v>
          </cell>
          <cell r="V301">
            <v>1.72E-2</v>
          </cell>
          <cell r="W301">
            <v>1.72E-2</v>
          </cell>
          <cell r="X301">
            <v>0.34439999999999998</v>
          </cell>
          <cell r="Y301">
            <v>4.5900000000000003E-2</v>
          </cell>
          <cell r="Z301">
            <v>3.3028</v>
          </cell>
        </row>
        <row r="302">
          <cell r="I302">
            <v>1.7644</v>
          </cell>
          <cell r="J302">
            <v>1.3849</v>
          </cell>
          <cell r="K302">
            <v>0.1515</v>
          </cell>
          <cell r="L302">
            <v>2.3313999999999999</v>
          </cell>
          <cell r="M302">
            <v>1.3</v>
          </cell>
          <cell r="N302">
            <v>1.2286999999999999</v>
          </cell>
          <cell r="O302">
            <v>0.35899999999999999</v>
          </cell>
          <cell r="P302">
            <v>0.56579999999999997</v>
          </cell>
          <cell r="Q302">
            <v>0.30769999999999997</v>
          </cell>
          <cell r="R302">
            <v>0.5595</v>
          </cell>
          <cell r="S302">
            <v>0.8095</v>
          </cell>
          <cell r="T302">
            <v>3.1899999999999998E-2</v>
          </cell>
          <cell r="U302">
            <v>3.1899999999999998E-2</v>
          </cell>
          <cell r="V302">
            <v>3.1899999999999998E-2</v>
          </cell>
          <cell r="W302">
            <v>3.1899999999999998E-2</v>
          </cell>
          <cell r="X302">
            <v>8.5000000000000006E-2</v>
          </cell>
          <cell r="Y302">
            <v>0.6371</v>
          </cell>
          <cell r="Z302">
            <v>3.0493999999999999</v>
          </cell>
        </row>
        <row r="303">
          <cell r="I303">
            <v>1.2403</v>
          </cell>
          <cell r="J303">
            <v>1.4883999999999999</v>
          </cell>
          <cell r="K303">
            <v>0.1973</v>
          </cell>
          <cell r="L303">
            <v>2.8189000000000002</v>
          </cell>
          <cell r="M303">
            <v>0.92010000000000003</v>
          </cell>
          <cell r="N303">
            <v>0.97760000000000002</v>
          </cell>
          <cell r="O303">
            <v>0.55810000000000004</v>
          </cell>
          <cell r="P303">
            <v>0.68400000000000005</v>
          </cell>
          <cell r="Q303">
            <v>0.50849999999999995</v>
          </cell>
          <cell r="R303">
            <v>1.0373000000000001</v>
          </cell>
          <cell r="S303">
            <v>0.84450000000000003</v>
          </cell>
          <cell r="T303">
            <v>3.3799999999999997E-2</v>
          </cell>
          <cell r="U303">
            <v>3.3799999999999997E-2</v>
          </cell>
          <cell r="V303">
            <v>3.3799999999999997E-2</v>
          </cell>
          <cell r="W303">
            <v>3.3799999999999997E-2</v>
          </cell>
          <cell r="X303">
            <v>9.0200000000000002E-2</v>
          </cell>
          <cell r="Y303">
            <v>0.67649999999999999</v>
          </cell>
          <cell r="Z303">
            <v>3.5390999999999999</v>
          </cell>
        </row>
        <row r="304">
          <cell r="I304">
            <v>1.6596</v>
          </cell>
          <cell r="J304">
            <v>0.55320000000000003</v>
          </cell>
          <cell r="K304">
            <v>2.794</v>
          </cell>
          <cell r="L304">
            <v>0.27939999999999998</v>
          </cell>
          <cell r="M304">
            <v>1.3299000000000001</v>
          </cell>
          <cell r="N304">
            <v>0.94989999999999997</v>
          </cell>
          <cell r="O304">
            <v>0.98350000000000004</v>
          </cell>
          <cell r="P304">
            <v>0.77490000000000003</v>
          </cell>
          <cell r="Q304">
            <v>0.66379999999999995</v>
          </cell>
          <cell r="R304">
            <v>1.1735</v>
          </cell>
          <cell r="S304">
            <v>0.62580000000000002</v>
          </cell>
          <cell r="T304">
            <v>0.59409999999999996</v>
          </cell>
          <cell r="U304">
            <v>0.1188</v>
          </cell>
          <cell r="V304">
            <v>3.9600000000000003E-2</v>
          </cell>
          <cell r="W304">
            <v>3.9600000000000003E-2</v>
          </cell>
          <cell r="X304">
            <v>2.9700000000000001E-2</v>
          </cell>
          <cell r="Y304">
            <v>2.9700000000000001E-2</v>
          </cell>
          <cell r="Z304">
            <v>4.1256000000000004</v>
          </cell>
        </row>
        <row r="305">
          <cell r="I305">
            <v>1.0462</v>
          </cell>
          <cell r="J305">
            <v>0.4904</v>
          </cell>
          <cell r="K305">
            <v>2.9721000000000002</v>
          </cell>
          <cell r="L305">
            <v>0.22589999999999999</v>
          </cell>
          <cell r="M305">
            <v>0.8286</v>
          </cell>
          <cell r="N305">
            <v>0.76800000000000002</v>
          </cell>
          <cell r="O305">
            <v>1.7000999999999999</v>
          </cell>
          <cell r="P305">
            <v>0.87580000000000002</v>
          </cell>
          <cell r="Q305">
            <v>0.78459999999999996</v>
          </cell>
          <cell r="R305">
            <v>1.2602</v>
          </cell>
          <cell r="S305">
            <v>1.3482000000000001</v>
          </cell>
          <cell r="T305">
            <v>2.69E-2</v>
          </cell>
          <cell r="U305">
            <v>2.69E-2</v>
          </cell>
          <cell r="V305">
            <v>0.1009</v>
          </cell>
          <cell r="W305">
            <v>0.40339999999999998</v>
          </cell>
          <cell r="X305">
            <v>2.0199999999999999E-2</v>
          </cell>
          <cell r="Y305">
            <v>2.0199999999999999E-2</v>
          </cell>
          <cell r="Z305">
            <v>4.51</v>
          </cell>
        </row>
        <row r="306">
          <cell r="I306">
            <v>0.84599999999999997</v>
          </cell>
          <cell r="J306">
            <v>1.3673999999999999</v>
          </cell>
          <cell r="K306">
            <v>0.14749999999999999</v>
          </cell>
          <cell r="L306">
            <v>2.6337000000000002</v>
          </cell>
          <cell r="M306">
            <v>0.6895</v>
          </cell>
          <cell r="N306">
            <v>0.7611</v>
          </cell>
          <cell r="O306">
            <v>3.0129999999999999</v>
          </cell>
          <cell r="P306">
            <v>0.89019999999999999</v>
          </cell>
          <cell r="Q306">
            <v>0.63739999999999997</v>
          </cell>
          <cell r="R306">
            <v>1.0007999999999999</v>
          </cell>
          <cell r="S306">
            <v>0.82589999999999997</v>
          </cell>
          <cell r="T306">
            <v>2.0500000000000001E-2</v>
          </cell>
          <cell r="U306">
            <v>2.0500000000000001E-2</v>
          </cell>
          <cell r="V306">
            <v>2.0500000000000001E-2</v>
          </cell>
          <cell r="W306">
            <v>2.0500000000000001E-2</v>
          </cell>
          <cell r="X306">
            <v>5.4699999999999999E-2</v>
          </cell>
          <cell r="Y306">
            <v>0.41</v>
          </cell>
          <cell r="Z306">
            <v>4.5199999999999996</v>
          </cell>
        </row>
        <row r="307">
          <cell r="I307">
            <v>0.7016</v>
          </cell>
          <cell r="J307">
            <v>0.94359999999999999</v>
          </cell>
          <cell r="K307">
            <v>0.13750000000000001</v>
          </cell>
          <cell r="L307">
            <v>2.7494000000000001</v>
          </cell>
          <cell r="M307">
            <v>0.59830000000000005</v>
          </cell>
          <cell r="N307">
            <v>0.60760000000000003</v>
          </cell>
          <cell r="O307">
            <v>0.96779999999999999</v>
          </cell>
          <cell r="P307">
            <v>0.73870000000000002</v>
          </cell>
          <cell r="Q307">
            <v>1.0162</v>
          </cell>
          <cell r="R307">
            <v>1.4297</v>
          </cell>
          <cell r="S307">
            <v>0.76980000000000004</v>
          </cell>
          <cell r="T307">
            <v>1.3599999999999999E-2</v>
          </cell>
          <cell r="U307">
            <v>1.3599999999999999E-2</v>
          </cell>
          <cell r="V307">
            <v>1.3599999999999999E-2</v>
          </cell>
          <cell r="W307">
            <v>1.3599999999999999E-2</v>
          </cell>
          <cell r="X307">
            <v>3.6400000000000002E-2</v>
          </cell>
          <cell r="Y307">
            <v>0.27289999999999998</v>
          </cell>
          <cell r="Z307">
            <v>4.6193</v>
          </cell>
        </row>
        <row r="308">
          <cell r="I308">
            <v>1.2719</v>
          </cell>
          <cell r="J308">
            <v>1.5330999999999999</v>
          </cell>
          <cell r="K308">
            <v>0.17030000000000001</v>
          </cell>
          <cell r="L308">
            <v>2.5811000000000002</v>
          </cell>
          <cell r="M308">
            <v>1.7112000000000001</v>
          </cell>
          <cell r="N308">
            <v>0.63180000000000003</v>
          </cell>
          <cell r="O308">
            <v>0.62460000000000004</v>
          </cell>
          <cell r="P308">
            <v>0.67110000000000003</v>
          </cell>
          <cell r="Q308">
            <v>0.42020000000000002</v>
          </cell>
          <cell r="R308">
            <v>0.8982</v>
          </cell>
          <cell r="S308">
            <v>0.67930000000000001</v>
          </cell>
          <cell r="T308">
            <v>2.8199999999999999E-2</v>
          </cell>
          <cell r="U308">
            <v>2.8199999999999999E-2</v>
          </cell>
          <cell r="V308">
            <v>2.8199999999999999E-2</v>
          </cell>
          <cell r="W308">
            <v>2.8199999999999999E-2</v>
          </cell>
          <cell r="X308">
            <v>0.56410000000000005</v>
          </cell>
          <cell r="Y308">
            <v>7.5200000000000003E-2</v>
          </cell>
          <cell r="Z308">
            <v>3.3889999999999998</v>
          </cell>
        </row>
        <row r="309">
          <cell r="I309">
            <v>1.107</v>
          </cell>
          <cell r="J309">
            <v>1.2150000000000001</v>
          </cell>
          <cell r="K309">
            <v>0.30680000000000002</v>
          </cell>
          <cell r="L309">
            <v>3.0682</v>
          </cell>
          <cell r="M309">
            <v>0.88670000000000004</v>
          </cell>
          <cell r="N309">
            <v>1.0431999999999999</v>
          </cell>
          <cell r="O309">
            <v>0.67500000000000004</v>
          </cell>
          <cell r="P309">
            <v>0.79769999999999996</v>
          </cell>
          <cell r="Q309">
            <v>0.54</v>
          </cell>
          <cell r="R309">
            <v>1.2273000000000001</v>
          </cell>
          <cell r="S309">
            <v>0.85909999999999997</v>
          </cell>
          <cell r="T309">
            <v>2.8799999999999999E-2</v>
          </cell>
          <cell r="U309">
            <v>2.8799999999999999E-2</v>
          </cell>
          <cell r="V309">
            <v>0.43149999999999999</v>
          </cell>
          <cell r="W309">
            <v>0.1079</v>
          </cell>
          <cell r="X309">
            <v>2.1600000000000001E-2</v>
          </cell>
          <cell r="Y309">
            <v>2.1600000000000001E-2</v>
          </cell>
          <cell r="Z309">
            <v>3.6480999999999999</v>
          </cell>
        </row>
        <row r="310">
          <cell r="I310">
            <v>1.8146</v>
          </cell>
          <cell r="J310">
            <v>0.50009999999999999</v>
          </cell>
          <cell r="K310">
            <v>3.2473999999999998</v>
          </cell>
          <cell r="L310">
            <v>0.21110000000000001</v>
          </cell>
          <cell r="M310">
            <v>1.1593</v>
          </cell>
          <cell r="N310">
            <v>0.97160000000000002</v>
          </cell>
          <cell r="O310">
            <v>0.85729999999999995</v>
          </cell>
          <cell r="P310">
            <v>1.2101999999999999</v>
          </cell>
          <cell r="Q310">
            <v>0.47149999999999997</v>
          </cell>
          <cell r="R310">
            <v>0.68840000000000001</v>
          </cell>
          <cell r="S310">
            <v>1.1274999999999999</v>
          </cell>
          <cell r="T310">
            <v>2.9399999999999999E-2</v>
          </cell>
          <cell r="U310">
            <v>2.9399999999999999E-2</v>
          </cell>
          <cell r="V310">
            <v>0.44130000000000003</v>
          </cell>
          <cell r="W310">
            <v>0.1103</v>
          </cell>
          <cell r="X310">
            <v>2.2100000000000002E-2</v>
          </cell>
          <cell r="Y310">
            <v>2.2100000000000002E-2</v>
          </cell>
          <cell r="Z310">
            <v>3.5756000000000001</v>
          </cell>
        </row>
        <row r="311">
          <cell r="I311">
            <v>1.304</v>
          </cell>
          <cell r="J311">
            <v>0.63780000000000003</v>
          </cell>
          <cell r="K311">
            <v>3.2212999999999998</v>
          </cell>
          <cell r="L311">
            <v>0.25769999999999998</v>
          </cell>
          <cell r="M311">
            <v>1.0076000000000001</v>
          </cell>
          <cell r="N311">
            <v>0.93089999999999995</v>
          </cell>
          <cell r="O311">
            <v>0.99209999999999998</v>
          </cell>
          <cell r="P311">
            <v>0.89339999999999997</v>
          </cell>
          <cell r="Q311">
            <v>0.69450000000000001</v>
          </cell>
          <cell r="R311">
            <v>1.2112000000000001</v>
          </cell>
          <cell r="S311">
            <v>1.6415999999999999</v>
          </cell>
          <cell r="T311">
            <v>2.1999999999999999E-2</v>
          </cell>
          <cell r="U311">
            <v>2.1999999999999999E-2</v>
          </cell>
          <cell r="V311">
            <v>2.1999999999999999E-2</v>
          </cell>
          <cell r="W311">
            <v>2.1999999999999999E-2</v>
          </cell>
          <cell r="X311">
            <v>5.8700000000000002E-2</v>
          </cell>
          <cell r="Y311">
            <v>0.44</v>
          </cell>
          <cell r="Z311">
            <v>4.2995000000000001</v>
          </cell>
        </row>
        <row r="312">
          <cell r="I312">
            <v>1.2545999999999999</v>
          </cell>
          <cell r="J312">
            <v>1.3391999999999999</v>
          </cell>
          <cell r="K312">
            <v>0.19220000000000001</v>
          </cell>
          <cell r="L312">
            <v>3.2039</v>
          </cell>
          <cell r="M312">
            <v>1.0022</v>
          </cell>
          <cell r="N312">
            <v>0.99129999999999996</v>
          </cell>
          <cell r="O312">
            <v>1.0572999999999999</v>
          </cell>
          <cell r="P312">
            <v>0.83299999999999996</v>
          </cell>
          <cell r="Q312">
            <v>0.874</v>
          </cell>
          <cell r="R312">
            <v>1.4738</v>
          </cell>
          <cell r="S312">
            <v>1.1033999999999999</v>
          </cell>
          <cell r="T312">
            <v>3.4099999999999998E-2</v>
          </cell>
          <cell r="U312">
            <v>3.4099999999999998E-2</v>
          </cell>
          <cell r="V312">
            <v>0.51170000000000004</v>
          </cell>
          <cell r="W312">
            <v>0.12790000000000001</v>
          </cell>
          <cell r="X312">
            <v>2.5600000000000001E-2</v>
          </cell>
          <cell r="Y312">
            <v>2.5600000000000001E-2</v>
          </cell>
          <cell r="Z312">
            <v>8.2911000000000001</v>
          </cell>
        </row>
        <row r="313">
          <cell r="I313">
            <v>1.1466000000000001</v>
          </cell>
          <cell r="J313">
            <v>1.893</v>
          </cell>
          <cell r="K313">
            <v>0.1598</v>
          </cell>
          <cell r="L313">
            <v>2.4584000000000001</v>
          </cell>
          <cell r="M313">
            <v>0.64359999999999995</v>
          </cell>
          <cell r="N313">
            <v>1.7135</v>
          </cell>
          <cell r="O313">
            <v>0.48680000000000001</v>
          </cell>
          <cell r="P313">
            <v>0.6179</v>
          </cell>
          <cell r="Q313">
            <v>0.41110000000000002</v>
          </cell>
          <cell r="R313">
            <v>0.82599999999999996</v>
          </cell>
          <cell r="S313">
            <v>0.72970000000000002</v>
          </cell>
          <cell r="T313">
            <v>4.02E-2</v>
          </cell>
          <cell r="U313">
            <v>4.02E-2</v>
          </cell>
          <cell r="V313">
            <v>0.60309999999999997</v>
          </cell>
          <cell r="W313">
            <v>0.15079999999999999</v>
          </cell>
          <cell r="X313">
            <v>3.0200000000000001E-2</v>
          </cell>
          <cell r="Y313">
            <v>3.0200000000000001E-2</v>
          </cell>
          <cell r="Z313">
            <v>3.3875000000000002</v>
          </cell>
        </row>
        <row r="314">
          <cell r="I314">
            <v>0.61860000000000004</v>
          </cell>
          <cell r="J314">
            <v>1.6872</v>
          </cell>
          <cell r="K314">
            <v>0.20449999999999999</v>
          </cell>
          <cell r="L314">
            <v>2.5564</v>
          </cell>
          <cell r="M314">
            <v>1.2603</v>
          </cell>
          <cell r="N314">
            <v>1.9556</v>
          </cell>
          <cell r="O314">
            <v>0.44990000000000002</v>
          </cell>
          <cell r="P314">
            <v>0.61150000000000004</v>
          </cell>
          <cell r="Q314">
            <v>0.49490000000000001</v>
          </cell>
          <cell r="R314">
            <v>0.89980000000000004</v>
          </cell>
          <cell r="S314">
            <v>0.90190000000000003</v>
          </cell>
          <cell r="T314">
            <v>4.6600000000000003E-2</v>
          </cell>
          <cell r="U314">
            <v>4.6600000000000003E-2</v>
          </cell>
          <cell r="V314">
            <v>0.69840000000000002</v>
          </cell>
          <cell r="W314">
            <v>0.17460000000000001</v>
          </cell>
          <cell r="X314">
            <v>3.49E-2</v>
          </cell>
          <cell r="Y314">
            <v>3.49E-2</v>
          </cell>
          <cell r="Z314">
            <v>3.7509000000000001</v>
          </cell>
        </row>
        <row r="315">
          <cell r="I315">
            <v>1.2422</v>
          </cell>
          <cell r="J315">
            <v>1.8012999999999999</v>
          </cell>
          <cell r="K315">
            <v>0.2823</v>
          </cell>
          <cell r="L315">
            <v>2.8233000000000001</v>
          </cell>
          <cell r="M315">
            <v>0.95989999999999998</v>
          </cell>
          <cell r="N315">
            <v>1.1518999999999999</v>
          </cell>
          <cell r="O315">
            <v>0.74529999999999996</v>
          </cell>
          <cell r="P315">
            <v>0.68510000000000004</v>
          </cell>
          <cell r="Q315">
            <v>0.52170000000000005</v>
          </cell>
          <cell r="R315">
            <v>1.0728</v>
          </cell>
          <cell r="S315">
            <v>0.90910000000000002</v>
          </cell>
          <cell r="T315">
            <v>3.6400000000000002E-2</v>
          </cell>
          <cell r="U315">
            <v>3.6400000000000002E-2</v>
          </cell>
          <cell r="V315">
            <v>0.54630000000000001</v>
          </cell>
          <cell r="W315">
            <v>0.1366</v>
          </cell>
          <cell r="X315">
            <v>2.7300000000000001E-2</v>
          </cell>
          <cell r="Y315">
            <v>2.7300000000000001E-2</v>
          </cell>
          <cell r="Z315">
            <v>3.8618000000000001</v>
          </cell>
        </row>
        <row r="316">
          <cell r="I316">
            <v>1.7299</v>
          </cell>
          <cell r="J316">
            <v>0.76970000000000005</v>
          </cell>
          <cell r="K316">
            <v>3.3319000000000001</v>
          </cell>
          <cell r="L316">
            <v>0.23319999999999999</v>
          </cell>
          <cell r="M316">
            <v>1.2914000000000001</v>
          </cell>
          <cell r="N316">
            <v>1.2914000000000001</v>
          </cell>
          <cell r="O316">
            <v>0.58640000000000003</v>
          </cell>
          <cell r="P316">
            <v>0.82589999999999997</v>
          </cell>
          <cell r="Q316">
            <v>0.63039999999999996</v>
          </cell>
          <cell r="R316">
            <v>1.1728000000000001</v>
          </cell>
          <cell r="S316">
            <v>0.88629999999999998</v>
          </cell>
          <cell r="T316">
            <v>5.0999999999999997E-2</v>
          </cell>
          <cell r="U316">
            <v>5.0999999999999997E-2</v>
          </cell>
          <cell r="V316">
            <v>0.76500000000000001</v>
          </cell>
          <cell r="W316">
            <v>0.19120000000000001</v>
          </cell>
          <cell r="X316">
            <v>3.8199999999999998E-2</v>
          </cell>
          <cell r="Y316">
            <v>3.8199999999999998E-2</v>
          </cell>
          <cell r="Z316">
            <v>4.0727000000000002</v>
          </cell>
        </row>
        <row r="317">
          <cell r="I317">
            <v>1.0966</v>
          </cell>
          <cell r="J317">
            <v>0.45379999999999998</v>
          </cell>
          <cell r="K317">
            <v>2.8647999999999998</v>
          </cell>
          <cell r="L317">
            <v>0.1862</v>
          </cell>
          <cell r="M317">
            <v>0.8377</v>
          </cell>
          <cell r="N317">
            <v>0.75</v>
          </cell>
          <cell r="O317">
            <v>3.4034</v>
          </cell>
          <cell r="P317">
            <v>1.008</v>
          </cell>
          <cell r="Q317">
            <v>0.69330000000000003</v>
          </cell>
          <cell r="R317">
            <v>1.1918</v>
          </cell>
          <cell r="S317">
            <v>0.81820000000000004</v>
          </cell>
          <cell r="T317">
            <v>2.0199999999999999E-2</v>
          </cell>
          <cell r="U317">
            <v>2.0199999999999999E-2</v>
          </cell>
          <cell r="V317">
            <v>2.0199999999999999E-2</v>
          </cell>
          <cell r="W317">
            <v>2.0199999999999999E-2</v>
          </cell>
          <cell r="X317">
            <v>0.40439999999999998</v>
          </cell>
          <cell r="Y317">
            <v>5.3900000000000003E-2</v>
          </cell>
          <cell r="Z317">
            <v>4.6932999999999998</v>
          </cell>
        </row>
        <row r="318">
          <cell r="I318">
            <v>1.4373</v>
          </cell>
          <cell r="J318">
            <v>1.581</v>
          </cell>
          <cell r="K318">
            <v>0.32669999999999999</v>
          </cell>
          <cell r="L318">
            <v>3.2665000000000002</v>
          </cell>
          <cell r="M318">
            <v>1.0550999999999999</v>
          </cell>
          <cell r="N318">
            <v>1.2217</v>
          </cell>
          <cell r="O318">
            <v>1.0061</v>
          </cell>
          <cell r="P318">
            <v>0.87760000000000005</v>
          </cell>
          <cell r="Q318">
            <v>0.66110000000000002</v>
          </cell>
          <cell r="R318">
            <v>1.4373</v>
          </cell>
          <cell r="S318">
            <v>0.98780000000000001</v>
          </cell>
          <cell r="T318">
            <v>2.4400000000000002E-2</v>
          </cell>
          <cell r="U318">
            <v>2.4400000000000002E-2</v>
          </cell>
          <cell r="V318">
            <v>2.4400000000000002E-2</v>
          </cell>
          <cell r="W318">
            <v>2.4400000000000002E-2</v>
          </cell>
          <cell r="X318">
            <v>6.5000000000000002E-2</v>
          </cell>
          <cell r="Y318">
            <v>0.48780000000000001</v>
          </cell>
          <cell r="Z318">
            <v>4.5423999999999998</v>
          </cell>
        </row>
        <row r="319">
          <cell r="I319">
            <v>1.3732</v>
          </cell>
          <cell r="J319">
            <v>2.1579000000000002</v>
          </cell>
          <cell r="K319">
            <v>0.18729999999999999</v>
          </cell>
          <cell r="L319">
            <v>2.2292000000000001</v>
          </cell>
          <cell r="M319">
            <v>0.72</v>
          </cell>
          <cell r="N319">
            <v>1.2733000000000001</v>
          </cell>
          <cell r="O319">
            <v>1.1279999999999999</v>
          </cell>
          <cell r="P319">
            <v>0.75349999999999995</v>
          </cell>
          <cell r="Q319">
            <v>0.2354</v>
          </cell>
          <cell r="R319">
            <v>0.64200000000000002</v>
          </cell>
          <cell r="S319">
            <v>0.83020000000000005</v>
          </cell>
          <cell r="T319">
            <v>0.12180000000000001</v>
          </cell>
          <cell r="U319">
            <v>0.60880000000000001</v>
          </cell>
          <cell r="V319">
            <v>4.0599999999999997E-2</v>
          </cell>
          <cell r="W319">
            <v>4.0599999999999997E-2</v>
          </cell>
          <cell r="X319">
            <v>3.04E-2</v>
          </cell>
          <cell r="Y319">
            <v>3.04E-2</v>
          </cell>
          <cell r="Z319">
            <v>3.0746000000000002</v>
          </cell>
        </row>
        <row r="320">
          <cell r="I320">
            <v>0.99209999999999998</v>
          </cell>
          <cell r="J320">
            <v>1.4628000000000001</v>
          </cell>
          <cell r="K320">
            <v>0.28910000000000002</v>
          </cell>
          <cell r="L320">
            <v>2.8908999999999998</v>
          </cell>
          <cell r="M320">
            <v>0.73719999999999997</v>
          </cell>
          <cell r="N320">
            <v>0.7863</v>
          </cell>
          <cell r="O320">
            <v>1.3992</v>
          </cell>
          <cell r="P320">
            <v>0.82679999999999998</v>
          </cell>
          <cell r="Q320">
            <v>0.55969999999999998</v>
          </cell>
          <cell r="R320">
            <v>1.272</v>
          </cell>
          <cell r="S320">
            <v>0.89039999999999997</v>
          </cell>
          <cell r="T320">
            <v>0.40679999999999999</v>
          </cell>
          <cell r="U320">
            <v>8.14E-2</v>
          </cell>
          <cell r="V320">
            <v>2.7099999999999999E-2</v>
          </cell>
          <cell r="W320">
            <v>2.7099999999999999E-2</v>
          </cell>
          <cell r="X320">
            <v>2.0299999999999999E-2</v>
          </cell>
          <cell r="Y320">
            <v>2.0299999999999999E-2</v>
          </cell>
          <cell r="Z320">
            <v>3.9009</v>
          </cell>
        </row>
        <row r="321">
          <cell r="I321">
            <v>2.0792999999999999</v>
          </cell>
          <cell r="J321">
            <v>1.6319999999999999</v>
          </cell>
          <cell r="K321">
            <v>0.17860000000000001</v>
          </cell>
          <cell r="L321">
            <v>2.7473999999999998</v>
          </cell>
          <cell r="M321">
            <v>1.532</v>
          </cell>
          <cell r="N321">
            <v>1.4479</v>
          </cell>
          <cell r="O321">
            <v>0.42309999999999998</v>
          </cell>
          <cell r="P321">
            <v>0.66669999999999996</v>
          </cell>
          <cell r="Q321">
            <v>0.36270000000000002</v>
          </cell>
          <cell r="R321">
            <v>0.65939999999999999</v>
          </cell>
          <cell r="S321">
            <v>0.95389999999999997</v>
          </cell>
          <cell r="T321">
            <v>5.0099999999999999E-2</v>
          </cell>
          <cell r="U321">
            <v>5.0099999999999999E-2</v>
          </cell>
          <cell r="V321">
            <v>0.75080000000000002</v>
          </cell>
          <cell r="W321">
            <v>0.18770000000000001</v>
          </cell>
          <cell r="X321">
            <v>3.7499999999999999E-2</v>
          </cell>
          <cell r="Y321">
            <v>3.7499999999999999E-2</v>
          </cell>
          <cell r="Z321">
            <v>3.5935000000000001</v>
          </cell>
        </row>
        <row r="322">
          <cell r="I322">
            <v>3.0125999999999999</v>
          </cell>
          <cell r="J322">
            <v>0.44090000000000001</v>
          </cell>
          <cell r="K322">
            <v>3.3399000000000001</v>
          </cell>
          <cell r="L322">
            <v>0.30059999999999998</v>
          </cell>
          <cell r="M322">
            <v>1.7261</v>
          </cell>
          <cell r="N322">
            <v>1.4762</v>
          </cell>
          <cell r="O322">
            <v>0.3674</v>
          </cell>
          <cell r="P322">
            <v>0.78149999999999997</v>
          </cell>
          <cell r="Q322">
            <v>0.33800000000000002</v>
          </cell>
          <cell r="R322">
            <v>0.68130000000000002</v>
          </cell>
          <cell r="S322">
            <v>0.79490000000000005</v>
          </cell>
          <cell r="T322">
            <v>0.63639999999999997</v>
          </cell>
          <cell r="U322">
            <v>0.1273</v>
          </cell>
          <cell r="V322">
            <v>4.24E-2</v>
          </cell>
          <cell r="W322">
            <v>4.24E-2</v>
          </cell>
          <cell r="X322">
            <v>3.1800000000000002E-2</v>
          </cell>
          <cell r="Y322">
            <v>3.1800000000000002E-2</v>
          </cell>
          <cell r="Z322">
            <v>3.4990000000000001</v>
          </cell>
        </row>
        <row r="323">
          <cell r="I323">
            <v>1.948</v>
          </cell>
          <cell r="J323">
            <v>0.64929999999999999</v>
          </cell>
          <cell r="K323">
            <v>3.2795000000000001</v>
          </cell>
          <cell r="L323">
            <v>0.32790000000000002</v>
          </cell>
          <cell r="M323">
            <v>1.5609999999999999</v>
          </cell>
          <cell r="N323">
            <v>1.115</v>
          </cell>
          <cell r="O323">
            <v>1.1544000000000001</v>
          </cell>
          <cell r="P323">
            <v>0.90949999999999998</v>
          </cell>
          <cell r="Q323">
            <v>0.7792</v>
          </cell>
          <cell r="R323">
            <v>1.3774</v>
          </cell>
          <cell r="S323">
            <v>0.73460000000000003</v>
          </cell>
          <cell r="T323">
            <v>0.13950000000000001</v>
          </cell>
          <cell r="U323">
            <v>0.69730000000000003</v>
          </cell>
          <cell r="V323">
            <v>4.65E-2</v>
          </cell>
          <cell r="W323">
            <v>4.65E-2</v>
          </cell>
          <cell r="X323">
            <v>3.49E-2</v>
          </cell>
          <cell r="Y323">
            <v>3.49E-2</v>
          </cell>
          <cell r="Z323">
            <v>4.8426</v>
          </cell>
        </row>
        <row r="324">
          <cell r="I324">
            <v>1.1808000000000001</v>
          </cell>
          <cell r="J324">
            <v>1.5159</v>
          </cell>
          <cell r="K324">
            <v>0.23569999999999999</v>
          </cell>
          <cell r="L324">
            <v>3.6265999999999998</v>
          </cell>
          <cell r="M324">
            <v>0.88780000000000003</v>
          </cell>
          <cell r="N324">
            <v>1.0358000000000001</v>
          </cell>
          <cell r="O324">
            <v>0.79790000000000005</v>
          </cell>
          <cell r="P324">
            <v>0.88009999999999999</v>
          </cell>
          <cell r="Q324">
            <v>1.0690999999999999</v>
          </cell>
          <cell r="R324">
            <v>2.2484999999999999</v>
          </cell>
          <cell r="S324">
            <v>0.93420000000000003</v>
          </cell>
          <cell r="T324">
            <v>2.0799999999999999E-2</v>
          </cell>
          <cell r="U324">
            <v>2.0799999999999999E-2</v>
          </cell>
          <cell r="V324">
            <v>2.0799999999999999E-2</v>
          </cell>
          <cell r="W324">
            <v>2.0799999999999999E-2</v>
          </cell>
          <cell r="X324">
            <v>0.41510000000000002</v>
          </cell>
          <cell r="Y324">
            <v>5.5300000000000002E-2</v>
          </cell>
          <cell r="Z324">
            <v>5.5648</v>
          </cell>
        </row>
        <row r="325">
          <cell r="I325">
            <v>1.4539</v>
          </cell>
          <cell r="J325">
            <v>1.2116</v>
          </cell>
          <cell r="K325">
            <v>0.27539999999999998</v>
          </cell>
          <cell r="L325">
            <v>2.7536</v>
          </cell>
          <cell r="M325">
            <v>1.2171000000000001</v>
          </cell>
          <cell r="N325">
            <v>0.79579999999999995</v>
          </cell>
          <cell r="O325">
            <v>0.96930000000000005</v>
          </cell>
          <cell r="P325">
            <v>0.76370000000000005</v>
          </cell>
          <cell r="Q325">
            <v>0.67849999999999999</v>
          </cell>
          <cell r="R325">
            <v>1.1013999999999999</v>
          </cell>
          <cell r="S325">
            <v>0.77100000000000002</v>
          </cell>
          <cell r="T325">
            <v>0.1017</v>
          </cell>
          <cell r="U325">
            <v>0.50839999999999996</v>
          </cell>
          <cell r="V325">
            <v>3.39E-2</v>
          </cell>
          <cell r="W325">
            <v>3.39E-2</v>
          </cell>
          <cell r="X325">
            <v>2.5399999999999999E-2</v>
          </cell>
          <cell r="Y325">
            <v>2.5399999999999999E-2</v>
          </cell>
          <cell r="Z325">
            <v>4.2634999999999996</v>
          </cell>
        </row>
        <row r="326">
          <cell r="I326">
            <v>0.82869999999999999</v>
          </cell>
          <cell r="J326">
            <v>1.1145</v>
          </cell>
          <cell r="K326">
            <v>0.16239999999999999</v>
          </cell>
          <cell r="L326">
            <v>3.2473000000000001</v>
          </cell>
          <cell r="M326">
            <v>0.70660000000000001</v>
          </cell>
          <cell r="N326">
            <v>0.7177</v>
          </cell>
          <cell r="O326">
            <v>1.143</v>
          </cell>
          <cell r="P326">
            <v>0.87239999999999995</v>
          </cell>
          <cell r="Q326">
            <v>1.2001999999999999</v>
          </cell>
          <cell r="R326">
            <v>1.6886000000000001</v>
          </cell>
          <cell r="S326">
            <v>0.90920000000000001</v>
          </cell>
          <cell r="T326">
            <v>0.32229999999999998</v>
          </cell>
          <cell r="U326">
            <v>6.4500000000000002E-2</v>
          </cell>
          <cell r="V326">
            <v>2.1499999999999998E-2</v>
          </cell>
          <cell r="W326">
            <v>2.1499999999999998E-2</v>
          </cell>
          <cell r="X326">
            <v>1.61E-2</v>
          </cell>
          <cell r="Y326">
            <v>1.61E-2</v>
          </cell>
          <cell r="Z326">
            <v>5.4558999999999997</v>
          </cell>
        </row>
        <row r="327">
          <cell r="I327">
            <v>1.4988999999999999</v>
          </cell>
          <cell r="J327">
            <v>1.8067</v>
          </cell>
          <cell r="K327">
            <v>0.20069999999999999</v>
          </cell>
          <cell r="L327">
            <v>3.0415999999999999</v>
          </cell>
          <cell r="M327">
            <v>2.0165999999999999</v>
          </cell>
          <cell r="N327">
            <v>0.74460000000000004</v>
          </cell>
          <cell r="O327">
            <v>0.73609999999999998</v>
          </cell>
          <cell r="P327">
            <v>0.79079999999999995</v>
          </cell>
          <cell r="Q327">
            <v>0.49519999999999997</v>
          </cell>
          <cell r="R327">
            <v>1.0585</v>
          </cell>
          <cell r="S327">
            <v>0.80049999999999999</v>
          </cell>
          <cell r="T327">
            <v>4.4299999999999999E-2</v>
          </cell>
          <cell r="U327">
            <v>4.4299999999999999E-2</v>
          </cell>
          <cell r="V327">
            <v>0.66479999999999995</v>
          </cell>
          <cell r="W327">
            <v>0.16619999999999999</v>
          </cell>
          <cell r="X327">
            <v>3.32E-2</v>
          </cell>
          <cell r="Y327">
            <v>3.32E-2</v>
          </cell>
          <cell r="Z327">
            <v>3.9937</v>
          </cell>
        </row>
        <row r="328">
          <cell r="I328">
            <v>1.7997000000000001</v>
          </cell>
          <cell r="J328">
            <v>0.63739999999999997</v>
          </cell>
          <cell r="K328">
            <v>3.4085000000000001</v>
          </cell>
          <cell r="L328">
            <v>0.34079999999999999</v>
          </cell>
          <cell r="M328">
            <v>1.5065</v>
          </cell>
          <cell r="N328">
            <v>0.98499999999999999</v>
          </cell>
          <cell r="O328">
            <v>1.1998</v>
          </cell>
          <cell r="P328">
            <v>0.94530000000000003</v>
          </cell>
          <cell r="Q328">
            <v>0.83979999999999999</v>
          </cell>
          <cell r="R328">
            <v>1.3633999999999999</v>
          </cell>
          <cell r="S328">
            <v>0.76349999999999996</v>
          </cell>
          <cell r="T328">
            <v>0.62880000000000003</v>
          </cell>
          <cell r="U328">
            <v>0.1258</v>
          </cell>
          <cell r="V328">
            <v>4.19E-2</v>
          </cell>
          <cell r="W328">
            <v>4.19E-2</v>
          </cell>
          <cell r="X328">
            <v>3.1399999999999997E-2</v>
          </cell>
          <cell r="Y328">
            <v>3.1399999999999997E-2</v>
          </cell>
          <cell r="Z328">
            <v>4.9029999999999996</v>
          </cell>
        </row>
        <row r="329">
          <cell r="I329">
            <v>2.13</v>
          </cell>
          <cell r="J329">
            <v>0.58699999999999997</v>
          </cell>
          <cell r="K329">
            <v>3.8117000000000001</v>
          </cell>
          <cell r="L329">
            <v>0.24779999999999999</v>
          </cell>
          <cell r="M329">
            <v>1.3608</v>
          </cell>
          <cell r="N329">
            <v>1.1405000000000001</v>
          </cell>
          <cell r="O329">
            <v>1.0063</v>
          </cell>
          <cell r="P329">
            <v>1.4205000000000001</v>
          </cell>
          <cell r="Q329">
            <v>0.55349999999999999</v>
          </cell>
          <cell r="R329">
            <v>0.80810000000000004</v>
          </cell>
          <cell r="S329">
            <v>1.3233999999999999</v>
          </cell>
          <cell r="T329">
            <v>0.1036</v>
          </cell>
          <cell r="U329">
            <v>0.51800000000000002</v>
          </cell>
          <cell r="V329">
            <v>3.4500000000000003E-2</v>
          </cell>
          <cell r="W329">
            <v>3.4500000000000003E-2</v>
          </cell>
          <cell r="X329">
            <v>2.5899999999999999E-2</v>
          </cell>
          <cell r="Y329">
            <v>2.5899999999999999E-2</v>
          </cell>
          <cell r="Z329">
            <v>4.1969000000000003</v>
          </cell>
        </row>
        <row r="330">
          <cell r="I330">
            <v>1.9041999999999999</v>
          </cell>
          <cell r="J330">
            <v>1.4133</v>
          </cell>
          <cell r="K330">
            <v>0.28739999999999999</v>
          </cell>
          <cell r="L330">
            <v>3.3809999999999998</v>
          </cell>
          <cell r="M330">
            <v>1.4139999999999999</v>
          </cell>
          <cell r="N330">
            <v>1.2875000000000001</v>
          </cell>
          <cell r="O330">
            <v>1.0414000000000001</v>
          </cell>
          <cell r="P330">
            <v>0.87909999999999999</v>
          </cell>
          <cell r="Q330">
            <v>0.83309999999999995</v>
          </cell>
          <cell r="R330">
            <v>1.9610000000000001</v>
          </cell>
          <cell r="S330">
            <v>0.58689999999999998</v>
          </cell>
          <cell r="T330">
            <v>3.3599999999999998E-2</v>
          </cell>
          <cell r="U330">
            <v>3.3599999999999998E-2</v>
          </cell>
          <cell r="V330">
            <v>3.3599999999999998E-2</v>
          </cell>
          <cell r="W330">
            <v>3.3599999999999998E-2</v>
          </cell>
          <cell r="X330">
            <v>0.67149999999999999</v>
          </cell>
          <cell r="Y330">
            <v>8.9499999999999996E-2</v>
          </cell>
          <cell r="Z330">
            <v>5.3293999999999997</v>
          </cell>
        </row>
        <row r="331">
          <cell r="I331">
            <v>1.1960999999999999</v>
          </cell>
          <cell r="J331">
            <v>2.1031</v>
          </cell>
          <cell r="K331">
            <v>0.224</v>
          </cell>
          <cell r="L331">
            <v>2.9872999999999998</v>
          </cell>
          <cell r="M331">
            <v>0.89380000000000004</v>
          </cell>
          <cell r="N331">
            <v>0.96489999999999998</v>
          </cell>
          <cell r="O331">
            <v>0.52580000000000005</v>
          </cell>
          <cell r="P331">
            <v>1.1392</v>
          </cell>
          <cell r="Q331">
            <v>0.43380000000000002</v>
          </cell>
          <cell r="R331">
            <v>0.76480000000000004</v>
          </cell>
          <cell r="S331">
            <v>1.238</v>
          </cell>
          <cell r="T331">
            <v>8.9800000000000005E-2</v>
          </cell>
          <cell r="U331">
            <v>0.44890000000000002</v>
          </cell>
          <cell r="V331">
            <v>2.9899999999999999E-2</v>
          </cell>
          <cell r="W331">
            <v>2.9899999999999999E-2</v>
          </cell>
          <cell r="X331">
            <v>2.24E-2</v>
          </cell>
          <cell r="Y331">
            <v>2.24E-2</v>
          </cell>
          <cell r="Z331">
            <v>3.6373000000000002</v>
          </cell>
        </row>
        <row r="332">
          <cell r="I332">
            <v>1.3543000000000001</v>
          </cell>
          <cell r="J332">
            <v>2.2357999999999998</v>
          </cell>
          <cell r="K332">
            <v>0.18870000000000001</v>
          </cell>
          <cell r="L332">
            <v>2.9037000000000002</v>
          </cell>
          <cell r="M332">
            <v>0.76019999999999999</v>
          </cell>
          <cell r="N332">
            <v>2.0238999999999998</v>
          </cell>
          <cell r="O332">
            <v>0.57489999999999997</v>
          </cell>
          <cell r="P332">
            <v>0.7298</v>
          </cell>
          <cell r="Q332">
            <v>0.48549999999999999</v>
          </cell>
          <cell r="R332">
            <v>0.97560000000000002</v>
          </cell>
          <cell r="S332">
            <v>0.86180000000000001</v>
          </cell>
          <cell r="T332">
            <v>0.71230000000000004</v>
          </cell>
          <cell r="U332">
            <v>0.14249999999999999</v>
          </cell>
          <cell r="V332">
            <v>4.7500000000000001E-2</v>
          </cell>
          <cell r="W332">
            <v>4.7500000000000001E-2</v>
          </cell>
          <cell r="X332">
            <v>3.56E-2</v>
          </cell>
          <cell r="Y332">
            <v>3.56E-2</v>
          </cell>
          <cell r="Z332">
            <v>4.0010000000000003</v>
          </cell>
        </row>
        <row r="333">
          <cell r="I333">
            <v>0.72899999999999998</v>
          </cell>
          <cell r="J333">
            <v>1.9883</v>
          </cell>
          <cell r="K333">
            <v>0.24099999999999999</v>
          </cell>
          <cell r="L333">
            <v>3.0125000000000002</v>
          </cell>
          <cell r="M333">
            <v>1.4852000000000001</v>
          </cell>
          <cell r="N333">
            <v>2.3046000000000002</v>
          </cell>
          <cell r="O333">
            <v>0.5302</v>
          </cell>
          <cell r="P333">
            <v>0.72060000000000002</v>
          </cell>
          <cell r="Q333">
            <v>0.58320000000000005</v>
          </cell>
          <cell r="R333">
            <v>1.0604</v>
          </cell>
          <cell r="S333">
            <v>1.0628</v>
          </cell>
          <cell r="T333">
            <v>5.4899999999999997E-2</v>
          </cell>
          <cell r="U333">
            <v>5.4899999999999997E-2</v>
          </cell>
          <cell r="V333">
            <v>0.82310000000000005</v>
          </cell>
          <cell r="W333">
            <v>0.20580000000000001</v>
          </cell>
          <cell r="X333">
            <v>4.1200000000000001E-2</v>
          </cell>
          <cell r="Y333">
            <v>4.1200000000000001E-2</v>
          </cell>
          <cell r="Z333">
            <v>4.4202000000000004</v>
          </cell>
        </row>
        <row r="334">
          <cell r="I334">
            <v>0.99729999999999996</v>
          </cell>
          <cell r="J334">
            <v>0.36820000000000003</v>
          </cell>
          <cell r="K334">
            <v>3.4872000000000001</v>
          </cell>
          <cell r="L334">
            <v>0.22670000000000001</v>
          </cell>
          <cell r="M334">
            <v>0.73509999999999998</v>
          </cell>
          <cell r="N334">
            <v>0.80620000000000003</v>
          </cell>
          <cell r="O334">
            <v>2.7618</v>
          </cell>
          <cell r="P334">
            <v>1.2693000000000001</v>
          </cell>
          <cell r="Q334">
            <v>0.96660000000000001</v>
          </cell>
          <cell r="R334">
            <v>1.8831</v>
          </cell>
          <cell r="S334">
            <v>0.8397</v>
          </cell>
          <cell r="T334">
            <v>0.3901</v>
          </cell>
          <cell r="U334">
            <v>7.8E-2</v>
          </cell>
          <cell r="V334">
            <v>2.5999999999999999E-2</v>
          </cell>
          <cell r="W334">
            <v>2.5999999999999999E-2</v>
          </cell>
          <cell r="X334">
            <v>1.95E-2</v>
          </cell>
          <cell r="Y334">
            <v>1.95E-2</v>
          </cell>
          <cell r="Z334">
            <v>5.3780000000000001</v>
          </cell>
        </row>
        <row r="335">
          <cell r="I335">
            <v>2.0305</v>
          </cell>
          <cell r="J335">
            <v>0.90339999999999998</v>
          </cell>
          <cell r="K335">
            <v>3.9108999999999998</v>
          </cell>
          <cell r="L335">
            <v>0.27379999999999999</v>
          </cell>
          <cell r="M335">
            <v>1.5159</v>
          </cell>
          <cell r="N335">
            <v>1.5159</v>
          </cell>
          <cell r="O335">
            <v>0.68830000000000002</v>
          </cell>
          <cell r="P335">
            <v>0.96940000000000004</v>
          </cell>
          <cell r="Q335">
            <v>0.7399</v>
          </cell>
          <cell r="R335">
            <v>1.3766</v>
          </cell>
          <cell r="S335">
            <v>1.0403</v>
          </cell>
          <cell r="T335">
            <v>0.17960000000000001</v>
          </cell>
          <cell r="U335">
            <v>0.89790000000000003</v>
          </cell>
          <cell r="V335">
            <v>5.9900000000000002E-2</v>
          </cell>
          <cell r="W335">
            <v>5.9900000000000002E-2</v>
          </cell>
          <cell r="X335">
            <v>4.4900000000000002E-2</v>
          </cell>
          <cell r="Y335">
            <v>4.4900000000000002E-2</v>
          </cell>
          <cell r="Z335">
            <v>4.7804000000000002</v>
          </cell>
        </row>
        <row r="336">
          <cell r="I336">
            <v>1.468</v>
          </cell>
          <cell r="J336">
            <v>3.7768000000000002</v>
          </cell>
          <cell r="K336">
            <v>0.22670000000000001</v>
          </cell>
          <cell r="L336">
            <v>3.2391000000000001</v>
          </cell>
          <cell r="M336">
            <v>1.0572999999999999</v>
          </cell>
          <cell r="N336">
            <v>1.2995000000000001</v>
          </cell>
          <cell r="O336">
            <v>0.9264</v>
          </cell>
          <cell r="P336">
            <v>0.81410000000000005</v>
          </cell>
          <cell r="Q336">
            <v>0.59860000000000002</v>
          </cell>
          <cell r="R336">
            <v>1.1660999999999999</v>
          </cell>
          <cell r="S336">
            <v>1.0158</v>
          </cell>
          <cell r="T336">
            <v>3.3700000000000001E-2</v>
          </cell>
          <cell r="U336">
            <v>3.3700000000000001E-2</v>
          </cell>
          <cell r="V336">
            <v>3.3700000000000001E-2</v>
          </cell>
          <cell r="W336">
            <v>3.3700000000000001E-2</v>
          </cell>
          <cell r="X336">
            <v>0.6734</v>
          </cell>
          <cell r="Y336">
            <v>8.9800000000000005E-2</v>
          </cell>
          <cell r="Z336">
            <v>4.9363000000000001</v>
          </cell>
        </row>
        <row r="337">
          <cell r="I337">
            <v>1.0568</v>
          </cell>
          <cell r="J337">
            <v>1.7398</v>
          </cell>
          <cell r="K337">
            <v>0.1757</v>
          </cell>
          <cell r="L337">
            <v>2.9289999999999998</v>
          </cell>
          <cell r="M337">
            <v>0.80659999999999998</v>
          </cell>
          <cell r="N337">
            <v>0.86639999999999995</v>
          </cell>
          <cell r="O337">
            <v>1.5465</v>
          </cell>
          <cell r="P337">
            <v>1.2946</v>
          </cell>
          <cell r="Q337">
            <v>0.59279999999999999</v>
          </cell>
          <cell r="R337">
            <v>0.79669999999999996</v>
          </cell>
          <cell r="S337">
            <v>1.1646000000000001</v>
          </cell>
          <cell r="T337">
            <v>0.40460000000000002</v>
          </cell>
          <cell r="U337">
            <v>8.09E-2</v>
          </cell>
          <cell r="V337">
            <v>2.7E-2</v>
          </cell>
          <cell r="W337">
            <v>2.7E-2</v>
          </cell>
          <cell r="X337">
            <v>2.0199999999999999E-2</v>
          </cell>
          <cell r="Y337">
            <v>2.0199999999999999E-2</v>
          </cell>
          <cell r="Z337">
            <v>4.2511000000000001</v>
          </cell>
        </row>
        <row r="338">
          <cell r="I338">
            <v>1.6218999999999999</v>
          </cell>
          <cell r="J338">
            <v>2.5487000000000002</v>
          </cell>
          <cell r="K338">
            <v>0.22120000000000001</v>
          </cell>
          <cell r="L338">
            <v>2.6328999999999998</v>
          </cell>
          <cell r="M338">
            <v>0.85040000000000004</v>
          </cell>
          <cell r="N338">
            <v>1.5039</v>
          </cell>
          <cell r="O338">
            <v>1.3323</v>
          </cell>
          <cell r="P338">
            <v>0.88990000000000002</v>
          </cell>
          <cell r="Q338">
            <v>0.27800000000000002</v>
          </cell>
          <cell r="R338">
            <v>0.75829999999999997</v>
          </cell>
          <cell r="S338">
            <v>0.98050000000000004</v>
          </cell>
          <cell r="T338">
            <v>0.14380000000000001</v>
          </cell>
          <cell r="U338">
            <v>0.71899999999999997</v>
          </cell>
          <cell r="V338">
            <v>4.7899999999999998E-2</v>
          </cell>
          <cell r="W338">
            <v>4.7899999999999998E-2</v>
          </cell>
          <cell r="X338">
            <v>3.5999999999999997E-2</v>
          </cell>
          <cell r="Y338">
            <v>3.5999999999999997E-2</v>
          </cell>
          <cell r="Z338">
            <v>3.6315</v>
          </cell>
        </row>
        <row r="339">
          <cell r="I339">
            <v>1.1692</v>
          </cell>
          <cell r="J339">
            <v>1.7238</v>
          </cell>
          <cell r="K339">
            <v>0.3407</v>
          </cell>
          <cell r="L339">
            <v>3.4066999999999998</v>
          </cell>
          <cell r="M339">
            <v>0.86870000000000003</v>
          </cell>
          <cell r="N339">
            <v>0.92659999999999998</v>
          </cell>
          <cell r="O339">
            <v>1.6488</v>
          </cell>
          <cell r="P339">
            <v>0.97430000000000005</v>
          </cell>
          <cell r="Q339">
            <v>0.65949999999999998</v>
          </cell>
          <cell r="R339">
            <v>1.4988999999999999</v>
          </cell>
          <cell r="S339">
            <v>1.0492999999999999</v>
          </cell>
          <cell r="T339">
            <v>2.4E-2</v>
          </cell>
          <cell r="U339">
            <v>2.4E-2</v>
          </cell>
          <cell r="V339">
            <v>2.4E-2</v>
          </cell>
          <cell r="W339">
            <v>2.4E-2</v>
          </cell>
          <cell r="X339">
            <v>0.47939999999999999</v>
          </cell>
          <cell r="Y339">
            <v>6.3899999999999998E-2</v>
          </cell>
          <cell r="Z339">
            <v>4.5970000000000004</v>
          </cell>
        </row>
        <row r="340">
          <cell r="I340">
            <v>2.2886000000000002</v>
          </cell>
          <cell r="J340">
            <v>0.77839999999999998</v>
          </cell>
          <cell r="K340">
            <v>3.5384000000000002</v>
          </cell>
          <cell r="L340">
            <v>0.26889999999999997</v>
          </cell>
          <cell r="M340">
            <v>1.1068</v>
          </cell>
          <cell r="N340">
            <v>2.6467000000000001</v>
          </cell>
          <cell r="O340">
            <v>0.77839999999999998</v>
          </cell>
          <cell r="P340">
            <v>0.92</v>
          </cell>
          <cell r="Q340">
            <v>0.63829999999999998</v>
          </cell>
          <cell r="R340">
            <v>1.1181000000000001</v>
          </cell>
          <cell r="S340">
            <v>0.83220000000000005</v>
          </cell>
          <cell r="T340">
            <v>0.1527</v>
          </cell>
          <cell r="U340">
            <v>0.76359999999999995</v>
          </cell>
          <cell r="V340">
            <v>5.0900000000000001E-2</v>
          </cell>
          <cell r="W340">
            <v>5.0900000000000001E-2</v>
          </cell>
          <cell r="X340">
            <v>3.8199999999999998E-2</v>
          </cell>
          <cell r="Y340">
            <v>3.8199999999999998E-2</v>
          </cell>
          <cell r="Z340">
            <v>4.6816000000000004</v>
          </cell>
        </row>
        <row r="341">
          <cell r="I341">
            <v>3.5360999999999998</v>
          </cell>
          <cell r="J341">
            <v>0.51749999999999996</v>
          </cell>
          <cell r="K341">
            <v>3.9203000000000001</v>
          </cell>
          <cell r="L341">
            <v>0.3528</v>
          </cell>
          <cell r="M341">
            <v>2.0259999999999998</v>
          </cell>
          <cell r="N341">
            <v>1.7327999999999999</v>
          </cell>
          <cell r="O341">
            <v>0.43120000000000003</v>
          </cell>
          <cell r="P341">
            <v>0.9173</v>
          </cell>
          <cell r="Q341">
            <v>0.3967</v>
          </cell>
          <cell r="R341">
            <v>0.79969999999999997</v>
          </cell>
          <cell r="S341">
            <v>0.93300000000000005</v>
          </cell>
          <cell r="T341">
            <v>0.747</v>
          </cell>
          <cell r="U341">
            <v>0.14940000000000001</v>
          </cell>
          <cell r="V341">
            <v>4.9799999999999997E-2</v>
          </cell>
          <cell r="W341">
            <v>4.9799999999999997E-2</v>
          </cell>
          <cell r="X341">
            <v>3.7400000000000003E-2</v>
          </cell>
          <cell r="Y341">
            <v>3.7400000000000003E-2</v>
          </cell>
          <cell r="Z341">
            <v>4.1070000000000002</v>
          </cell>
        </row>
        <row r="342">
          <cell r="I342">
            <v>1.6486000000000001</v>
          </cell>
          <cell r="J342">
            <v>1.7919</v>
          </cell>
          <cell r="K342">
            <v>0.4073</v>
          </cell>
          <cell r="L342">
            <v>4.0724999999999998</v>
          </cell>
          <cell r="M342">
            <v>1.3153999999999999</v>
          </cell>
          <cell r="N342">
            <v>1.4539</v>
          </cell>
          <cell r="O342">
            <v>0.89600000000000002</v>
          </cell>
          <cell r="P342">
            <v>1.0589</v>
          </cell>
          <cell r="Q342">
            <v>0.71679999999999999</v>
          </cell>
          <cell r="R342">
            <v>1.7104999999999999</v>
          </cell>
          <cell r="S342">
            <v>1.1403000000000001</v>
          </cell>
          <cell r="T342">
            <v>4.3200000000000002E-2</v>
          </cell>
          <cell r="U342">
            <v>4.3200000000000002E-2</v>
          </cell>
          <cell r="V342">
            <v>0.64849999999999997</v>
          </cell>
          <cell r="W342">
            <v>0.16209999999999999</v>
          </cell>
          <cell r="X342">
            <v>3.2399999999999998E-2</v>
          </cell>
          <cell r="Y342">
            <v>3.2399999999999998E-2</v>
          </cell>
          <cell r="Z342">
            <v>5.0437000000000003</v>
          </cell>
        </row>
        <row r="343">
          <cell r="I343">
            <v>1.1294999999999999</v>
          </cell>
          <cell r="J343">
            <v>1.2867</v>
          </cell>
          <cell r="K343">
            <v>0.17219999999999999</v>
          </cell>
          <cell r="L343">
            <v>3.2492999999999999</v>
          </cell>
          <cell r="M343">
            <v>0.93910000000000005</v>
          </cell>
          <cell r="N343">
            <v>0.89490000000000003</v>
          </cell>
          <cell r="O343">
            <v>0.92930000000000001</v>
          </cell>
          <cell r="P343">
            <v>0.81669999999999998</v>
          </cell>
          <cell r="Q343">
            <v>1.1437999999999999</v>
          </cell>
          <cell r="R343">
            <v>2.2355</v>
          </cell>
          <cell r="S343">
            <v>0.6915</v>
          </cell>
          <cell r="T343">
            <v>0.38850000000000001</v>
          </cell>
          <cell r="U343">
            <v>7.7700000000000005E-2</v>
          </cell>
          <cell r="V343">
            <v>2.5899999999999999E-2</v>
          </cell>
          <cell r="W343">
            <v>2.5899999999999999E-2</v>
          </cell>
          <cell r="X343">
            <v>1.9400000000000001E-2</v>
          </cell>
          <cell r="Y343">
            <v>1.9400000000000001E-2</v>
          </cell>
          <cell r="Z343">
            <v>5.6951000000000001</v>
          </cell>
        </row>
        <row r="344">
          <cell r="I344">
            <v>1.7172000000000001</v>
          </cell>
          <cell r="J344">
            <v>1.431</v>
          </cell>
          <cell r="K344">
            <v>0.32519999999999999</v>
          </cell>
          <cell r="L344">
            <v>3.2523</v>
          </cell>
          <cell r="M344">
            <v>1.4375</v>
          </cell>
          <cell r="N344">
            <v>0.93989999999999996</v>
          </cell>
          <cell r="O344">
            <v>1.1448</v>
          </cell>
          <cell r="P344">
            <v>0.90200000000000002</v>
          </cell>
          <cell r="Q344">
            <v>0.8014</v>
          </cell>
          <cell r="R344">
            <v>1.3008999999999999</v>
          </cell>
          <cell r="S344">
            <v>0.91059999999999997</v>
          </cell>
          <cell r="T344">
            <v>0.1201</v>
          </cell>
          <cell r="U344">
            <v>0.60050000000000003</v>
          </cell>
          <cell r="V344">
            <v>0.04</v>
          </cell>
          <cell r="W344">
            <v>0.04</v>
          </cell>
          <cell r="X344">
            <v>0.03</v>
          </cell>
          <cell r="Y344">
            <v>0.03</v>
          </cell>
          <cell r="Z344">
            <v>5.0355999999999996</v>
          </cell>
        </row>
        <row r="345">
          <cell r="I345">
            <v>0.97660000000000002</v>
          </cell>
          <cell r="J345">
            <v>1.3132999999999999</v>
          </cell>
          <cell r="K345">
            <v>0.1913</v>
          </cell>
          <cell r="L345">
            <v>3.8267000000000002</v>
          </cell>
          <cell r="M345">
            <v>0.8327</v>
          </cell>
          <cell r="N345">
            <v>0.84570000000000001</v>
          </cell>
          <cell r="O345">
            <v>1.347</v>
          </cell>
          <cell r="P345">
            <v>1.0281</v>
          </cell>
          <cell r="Q345">
            <v>1.4144000000000001</v>
          </cell>
          <cell r="R345">
            <v>1.9899</v>
          </cell>
          <cell r="S345">
            <v>1.0714999999999999</v>
          </cell>
          <cell r="T345">
            <v>1.9E-2</v>
          </cell>
          <cell r="U345">
            <v>1.9E-2</v>
          </cell>
          <cell r="V345">
            <v>1.9E-2</v>
          </cell>
          <cell r="W345">
            <v>1.9E-2</v>
          </cell>
          <cell r="X345">
            <v>0.37980000000000003</v>
          </cell>
          <cell r="Y345">
            <v>5.0599999999999999E-2</v>
          </cell>
          <cell r="Z345">
            <v>6.4294000000000002</v>
          </cell>
        </row>
        <row r="346">
          <cell r="I346">
            <v>1.3042</v>
          </cell>
          <cell r="J346">
            <v>0.7016</v>
          </cell>
          <cell r="K346">
            <v>3.7521</v>
          </cell>
          <cell r="L346">
            <v>0.2626</v>
          </cell>
          <cell r="M346">
            <v>1.0078</v>
          </cell>
          <cell r="N346">
            <v>0.93130000000000002</v>
          </cell>
          <cell r="O346">
            <v>1.6509</v>
          </cell>
          <cell r="P346">
            <v>1.2032</v>
          </cell>
          <cell r="Q346">
            <v>1.3208</v>
          </cell>
          <cell r="R346">
            <v>2.1162000000000001</v>
          </cell>
          <cell r="S346">
            <v>1.2606999999999999</v>
          </cell>
          <cell r="T346">
            <v>9.6799999999999997E-2</v>
          </cell>
          <cell r="U346">
            <v>0.48399999999999999</v>
          </cell>
          <cell r="V346">
            <v>3.2300000000000002E-2</v>
          </cell>
          <cell r="W346">
            <v>3.2300000000000002E-2</v>
          </cell>
          <cell r="X346">
            <v>2.4199999999999999E-2</v>
          </cell>
          <cell r="Y346">
            <v>2.4199999999999999E-2</v>
          </cell>
          <cell r="Z346">
            <v>6.5492999999999997</v>
          </cell>
        </row>
        <row r="347">
          <cell r="I347">
            <v>2.1124000000000001</v>
          </cell>
          <cell r="J347">
            <v>0.74809999999999999</v>
          </cell>
          <cell r="K347">
            <v>4.0007999999999999</v>
          </cell>
          <cell r="L347">
            <v>0.40010000000000001</v>
          </cell>
          <cell r="M347">
            <v>1.7683</v>
          </cell>
          <cell r="N347">
            <v>1.1561999999999999</v>
          </cell>
          <cell r="O347">
            <v>1.4083000000000001</v>
          </cell>
          <cell r="P347">
            <v>1.1094999999999999</v>
          </cell>
          <cell r="Q347">
            <v>0.98580000000000001</v>
          </cell>
          <cell r="R347">
            <v>1.6003000000000001</v>
          </cell>
          <cell r="S347">
            <v>0.8962</v>
          </cell>
          <cell r="T347">
            <v>0.73809999999999998</v>
          </cell>
          <cell r="U347">
            <v>0.14760000000000001</v>
          </cell>
          <cell r="V347">
            <v>4.9200000000000001E-2</v>
          </cell>
          <cell r="W347">
            <v>4.9200000000000001E-2</v>
          </cell>
          <cell r="X347">
            <v>3.6900000000000002E-2</v>
          </cell>
          <cell r="Y347">
            <v>3.6900000000000002E-2</v>
          </cell>
          <cell r="Z347">
            <v>5.7549999999999999</v>
          </cell>
        </row>
        <row r="348">
          <cell r="I348">
            <v>1.9148000000000001</v>
          </cell>
          <cell r="J348">
            <v>1.8277000000000001</v>
          </cell>
          <cell r="K348">
            <v>0.39560000000000001</v>
          </cell>
          <cell r="L348">
            <v>3.9561000000000002</v>
          </cell>
          <cell r="M348">
            <v>1.4796</v>
          </cell>
          <cell r="N348">
            <v>1.4796</v>
          </cell>
          <cell r="O348">
            <v>1.2184999999999999</v>
          </cell>
          <cell r="P348">
            <v>1.0629</v>
          </cell>
          <cell r="Q348">
            <v>0.83550000000000002</v>
          </cell>
          <cell r="R348">
            <v>1.5824</v>
          </cell>
          <cell r="S348">
            <v>1.1076999999999999</v>
          </cell>
          <cell r="T348">
            <v>4.8599999999999997E-2</v>
          </cell>
          <cell r="U348">
            <v>4.8599999999999997E-2</v>
          </cell>
          <cell r="V348">
            <v>0.72840000000000005</v>
          </cell>
          <cell r="W348">
            <v>0.18210000000000001</v>
          </cell>
          <cell r="X348">
            <v>3.6400000000000002E-2</v>
          </cell>
          <cell r="Y348">
            <v>3.6400000000000002E-2</v>
          </cell>
          <cell r="Z348">
            <v>5.6200999999999999</v>
          </cell>
        </row>
        <row r="349">
          <cell r="I349">
            <v>1.8273999999999999</v>
          </cell>
          <cell r="J349">
            <v>1.5227999999999999</v>
          </cell>
          <cell r="K349">
            <v>0.27689999999999998</v>
          </cell>
          <cell r="L349">
            <v>2.7686999999999999</v>
          </cell>
          <cell r="M349">
            <v>1.4120999999999999</v>
          </cell>
          <cell r="N349">
            <v>1.3179000000000001</v>
          </cell>
          <cell r="O349">
            <v>1.2181999999999999</v>
          </cell>
          <cell r="P349">
            <v>0.83979999999999999</v>
          </cell>
          <cell r="Q349">
            <v>0.58479999999999999</v>
          </cell>
          <cell r="R349">
            <v>1.329</v>
          </cell>
          <cell r="S349">
            <v>0.93030000000000002</v>
          </cell>
          <cell r="T349">
            <v>0.74070000000000003</v>
          </cell>
          <cell r="U349">
            <v>0.14810000000000001</v>
          </cell>
          <cell r="V349">
            <v>4.9399999999999999E-2</v>
          </cell>
          <cell r="W349">
            <v>4.9399999999999999E-2</v>
          </cell>
          <cell r="X349">
            <v>3.6999999999999998E-2</v>
          </cell>
          <cell r="Y349">
            <v>3.6999999999999998E-2</v>
          </cell>
          <cell r="Z349">
            <v>4.6760000000000002</v>
          </cell>
        </row>
        <row r="350">
          <cell r="I350">
            <v>1.4128000000000001</v>
          </cell>
          <cell r="J350">
            <v>2.484</v>
          </cell>
          <cell r="K350">
            <v>0.2646</v>
          </cell>
          <cell r="L350">
            <v>3.5284</v>
          </cell>
          <cell r="M350">
            <v>1.0557000000000001</v>
          </cell>
          <cell r="N350">
            <v>1.1396999999999999</v>
          </cell>
          <cell r="O350">
            <v>0.621</v>
          </cell>
          <cell r="P350">
            <v>1.3454999999999999</v>
          </cell>
          <cell r="Q350">
            <v>0.51229999999999998</v>
          </cell>
          <cell r="R350">
            <v>0.90329999999999999</v>
          </cell>
          <cell r="S350">
            <v>1.4621999999999999</v>
          </cell>
          <cell r="T350">
            <v>0.1061</v>
          </cell>
          <cell r="U350">
            <v>0.53029999999999999</v>
          </cell>
          <cell r="V350">
            <v>3.5400000000000001E-2</v>
          </cell>
          <cell r="W350">
            <v>3.5400000000000001E-2</v>
          </cell>
          <cell r="X350">
            <v>2.6499999999999999E-2</v>
          </cell>
          <cell r="Y350">
            <v>2.6499999999999999E-2</v>
          </cell>
          <cell r="Z350">
            <v>4.2960000000000003</v>
          </cell>
        </row>
        <row r="351">
          <cell r="I351">
            <v>1.5959000000000001</v>
          </cell>
          <cell r="J351">
            <v>2.6347999999999998</v>
          </cell>
          <cell r="K351">
            <v>0.22239999999999999</v>
          </cell>
          <cell r="L351">
            <v>3.4218000000000002</v>
          </cell>
          <cell r="M351">
            <v>0.89580000000000004</v>
          </cell>
          <cell r="N351">
            <v>2.3849999999999998</v>
          </cell>
          <cell r="O351">
            <v>0.67749999999999999</v>
          </cell>
          <cell r="P351">
            <v>0.86</v>
          </cell>
          <cell r="Q351">
            <v>0.57210000000000005</v>
          </cell>
          <cell r="R351">
            <v>1.1496999999999999</v>
          </cell>
          <cell r="S351">
            <v>1.0156000000000001</v>
          </cell>
          <cell r="T351">
            <v>4.2000000000000003E-2</v>
          </cell>
          <cell r="U351">
            <v>4.2000000000000003E-2</v>
          </cell>
          <cell r="V351">
            <v>4.2000000000000003E-2</v>
          </cell>
          <cell r="W351">
            <v>4.2000000000000003E-2</v>
          </cell>
          <cell r="X351">
            <v>0.83940000000000003</v>
          </cell>
          <cell r="Y351">
            <v>0.1119</v>
          </cell>
          <cell r="Z351">
            <v>4.7149000000000001</v>
          </cell>
        </row>
        <row r="352">
          <cell r="I352">
            <v>1.3924000000000001</v>
          </cell>
          <cell r="J352">
            <v>0.56789999999999996</v>
          </cell>
          <cell r="K352">
            <v>4.1638000000000002</v>
          </cell>
          <cell r="L352">
            <v>0.25819999999999999</v>
          </cell>
          <cell r="M352">
            <v>1.0759000000000001</v>
          </cell>
          <cell r="N352">
            <v>0.99099999999999999</v>
          </cell>
          <cell r="O352">
            <v>1.7403999999999999</v>
          </cell>
          <cell r="P352">
            <v>1.7321</v>
          </cell>
          <cell r="Q352">
            <v>1.2275</v>
          </cell>
          <cell r="R352">
            <v>1.4322999999999999</v>
          </cell>
          <cell r="S352">
            <v>1.5506</v>
          </cell>
          <cell r="T352">
            <v>9.2899999999999996E-2</v>
          </cell>
          <cell r="U352">
            <v>0.46460000000000001</v>
          </cell>
          <cell r="V352">
            <v>3.1E-2</v>
          </cell>
          <cell r="W352">
            <v>3.1E-2</v>
          </cell>
          <cell r="X352">
            <v>2.3199999999999998E-2</v>
          </cell>
          <cell r="Y352">
            <v>2.3199999999999998E-2</v>
          </cell>
          <cell r="Z352">
            <v>6.2287999999999997</v>
          </cell>
        </row>
        <row r="353">
          <cell r="I353">
            <v>1.1706000000000001</v>
          </cell>
          <cell r="J353">
            <v>0.43219999999999997</v>
          </cell>
          <cell r="K353">
            <v>4.0930999999999997</v>
          </cell>
          <cell r="L353">
            <v>0.2661</v>
          </cell>
          <cell r="M353">
            <v>0.86280000000000001</v>
          </cell>
          <cell r="N353">
            <v>0.94630000000000003</v>
          </cell>
          <cell r="O353">
            <v>3.2418</v>
          </cell>
          <cell r="P353">
            <v>1.4899</v>
          </cell>
          <cell r="Q353">
            <v>1.1346000000000001</v>
          </cell>
          <cell r="R353">
            <v>2.2103000000000002</v>
          </cell>
          <cell r="S353">
            <v>0.98560000000000003</v>
          </cell>
          <cell r="T353">
            <v>0.45789999999999997</v>
          </cell>
          <cell r="U353">
            <v>9.1600000000000001E-2</v>
          </cell>
          <cell r="V353">
            <v>3.0499999999999999E-2</v>
          </cell>
          <cell r="W353">
            <v>3.0499999999999999E-2</v>
          </cell>
          <cell r="X353">
            <v>2.29E-2</v>
          </cell>
          <cell r="Y353">
            <v>2.29E-2</v>
          </cell>
          <cell r="Z353">
            <v>6.3125</v>
          </cell>
        </row>
        <row r="354">
          <cell r="I354">
            <v>1.7668999999999999</v>
          </cell>
          <cell r="J354">
            <v>2.0246</v>
          </cell>
          <cell r="K354">
            <v>0.25929999999999997</v>
          </cell>
          <cell r="L354">
            <v>4.1829999999999998</v>
          </cell>
          <cell r="M354">
            <v>1.1661999999999999</v>
          </cell>
          <cell r="N354">
            <v>1.2942</v>
          </cell>
          <cell r="O354">
            <v>1.1043000000000001</v>
          </cell>
          <cell r="P354">
            <v>1.1600999999999999</v>
          </cell>
          <cell r="Q354">
            <v>0.82820000000000005</v>
          </cell>
          <cell r="R354">
            <v>1.5226</v>
          </cell>
          <cell r="S354">
            <v>2.2254</v>
          </cell>
          <cell r="T354">
            <v>4.2999999999999997E-2</v>
          </cell>
          <cell r="U354">
            <v>4.2999999999999997E-2</v>
          </cell>
          <cell r="V354">
            <v>0.64529999999999998</v>
          </cell>
          <cell r="W354">
            <v>0.1613</v>
          </cell>
          <cell r="X354">
            <v>3.2300000000000002E-2</v>
          </cell>
          <cell r="Y354">
            <v>3.2300000000000002E-2</v>
          </cell>
          <cell r="Z354">
            <v>5.6988000000000003</v>
          </cell>
        </row>
        <row r="355">
          <cell r="I355">
            <v>0.97409999999999997</v>
          </cell>
          <cell r="J355">
            <v>1.5992</v>
          </cell>
          <cell r="K355">
            <v>0.17180000000000001</v>
          </cell>
          <cell r="L355">
            <v>3.3041999999999998</v>
          </cell>
          <cell r="M355">
            <v>0.73019999999999996</v>
          </cell>
          <cell r="N355">
            <v>0.89870000000000005</v>
          </cell>
          <cell r="O355">
            <v>2.6168999999999998</v>
          </cell>
          <cell r="P355">
            <v>1.0596000000000001</v>
          </cell>
          <cell r="Q355">
            <v>0.59609999999999996</v>
          </cell>
          <cell r="R355">
            <v>0.99129999999999996</v>
          </cell>
          <cell r="S355">
            <v>1.6468</v>
          </cell>
          <cell r="T355">
            <v>0.44350000000000001</v>
          </cell>
          <cell r="U355">
            <v>8.8700000000000001E-2</v>
          </cell>
          <cell r="V355">
            <v>2.9600000000000001E-2</v>
          </cell>
          <cell r="W355">
            <v>2.9600000000000001E-2</v>
          </cell>
          <cell r="X355">
            <v>2.2200000000000001E-2</v>
          </cell>
          <cell r="Y355">
            <v>2.2200000000000001E-2</v>
          </cell>
          <cell r="Z355">
            <v>4.5792999999999999</v>
          </cell>
        </row>
        <row r="356">
          <cell r="I356">
            <v>1.2482</v>
          </cell>
          <cell r="J356">
            <v>2.0548999999999999</v>
          </cell>
          <cell r="K356">
            <v>0.20760000000000001</v>
          </cell>
          <cell r="L356">
            <v>3.4594</v>
          </cell>
          <cell r="M356">
            <v>0.95269999999999999</v>
          </cell>
          <cell r="N356">
            <v>1.0233000000000001</v>
          </cell>
          <cell r="O356">
            <v>1.8266</v>
          </cell>
          <cell r="P356">
            <v>1.5290999999999999</v>
          </cell>
          <cell r="Q356">
            <v>0.70020000000000004</v>
          </cell>
          <cell r="R356">
            <v>0.94099999999999995</v>
          </cell>
          <cell r="S356">
            <v>1.3754999999999999</v>
          </cell>
          <cell r="T356">
            <v>9.5600000000000004E-2</v>
          </cell>
          <cell r="U356">
            <v>0.47789999999999999</v>
          </cell>
          <cell r="V356">
            <v>3.1899999999999998E-2</v>
          </cell>
          <cell r="W356">
            <v>3.1899999999999998E-2</v>
          </cell>
          <cell r="X356">
            <v>2.3900000000000001E-2</v>
          </cell>
          <cell r="Y356">
            <v>2.3900000000000001E-2</v>
          </cell>
          <cell r="Z356">
            <v>5.0209999999999999</v>
          </cell>
        </row>
        <row r="357">
          <cell r="I357">
            <v>1.9113</v>
          </cell>
          <cell r="J357">
            <v>3.0034000000000001</v>
          </cell>
          <cell r="K357">
            <v>0.2606</v>
          </cell>
          <cell r="L357">
            <v>3.1027</v>
          </cell>
          <cell r="M357">
            <v>1.0022</v>
          </cell>
          <cell r="N357">
            <v>1.7723</v>
          </cell>
          <cell r="O357">
            <v>1.57</v>
          </cell>
          <cell r="P357">
            <v>1.0487</v>
          </cell>
          <cell r="Q357">
            <v>0.3276</v>
          </cell>
          <cell r="R357">
            <v>0.89359999999999995</v>
          </cell>
          <cell r="S357">
            <v>1.1555</v>
          </cell>
          <cell r="T357">
            <v>4.24E-2</v>
          </cell>
          <cell r="U357">
            <v>4.24E-2</v>
          </cell>
          <cell r="V357">
            <v>4.24E-2</v>
          </cell>
          <cell r="W357">
            <v>4.24E-2</v>
          </cell>
          <cell r="X357">
            <v>0.84730000000000005</v>
          </cell>
          <cell r="Y357">
            <v>0.113</v>
          </cell>
          <cell r="Z357">
            <v>4.2793999999999999</v>
          </cell>
        </row>
        <row r="358">
          <cell r="I358">
            <v>2.8403999999999998</v>
          </cell>
          <cell r="J358">
            <v>0.75449999999999995</v>
          </cell>
          <cell r="K358">
            <v>4.0347</v>
          </cell>
          <cell r="L358">
            <v>0.40350000000000003</v>
          </cell>
          <cell r="M358">
            <v>2.1263000000000001</v>
          </cell>
          <cell r="N358">
            <v>1.9205000000000001</v>
          </cell>
          <cell r="O358">
            <v>0.71009999999999995</v>
          </cell>
          <cell r="P358">
            <v>0.97909999999999997</v>
          </cell>
          <cell r="Q358">
            <v>0.78110000000000002</v>
          </cell>
          <cell r="R358">
            <v>1.3233999999999999</v>
          </cell>
          <cell r="S358">
            <v>0.90380000000000005</v>
          </cell>
          <cell r="T358">
            <v>0.18790000000000001</v>
          </cell>
          <cell r="U358">
            <v>0.9395</v>
          </cell>
          <cell r="V358">
            <v>6.2600000000000003E-2</v>
          </cell>
          <cell r="W358">
            <v>6.2600000000000003E-2</v>
          </cell>
          <cell r="X358">
            <v>4.7E-2</v>
          </cell>
          <cell r="Y358">
            <v>4.7E-2</v>
          </cell>
          <cell r="Z358">
            <v>5.4059999999999997</v>
          </cell>
        </row>
        <row r="359">
          <cell r="I359">
            <v>2.6863000000000001</v>
          </cell>
          <cell r="J359">
            <v>0.91369999999999996</v>
          </cell>
          <cell r="K359">
            <v>4.1532</v>
          </cell>
          <cell r="L359">
            <v>0.31559999999999999</v>
          </cell>
          <cell r="M359">
            <v>1.2990999999999999</v>
          </cell>
          <cell r="N359">
            <v>3.1065999999999998</v>
          </cell>
          <cell r="O359">
            <v>0.91369999999999996</v>
          </cell>
          <cell r="P359">
            <v>1.0798000000000001</v>
          </cell>
          <cell r="Q359">
            <v>0.74919999999999998</v>
          </cell>
          <cell r="R359">
            <v>1.3124</v>
          </cell>
          <cell r="S359">
            <v>0.9768</v>
          </cell>
          <cell r="T359">
            <v>0.89629999999999999</v>
          </cell>
          <cell r="U359">
            <v>0.17929999999999999</v>
          </cell>
          <cell r="V359">
            <v>5.9799999999999999E-2</v>
          </cell>
          <cell r="W359">
            <v>5.9799999999999999E-2</v>
          </cell>
          <cell r="X359">
            <v>4.48E-2</v>
          </cell>
          <cell r="Y359">
            <v>4.48E-2</v>
          </cell>
          <cell r="Z359">
            <v>5.4951999999999996</v>
          </cell>
        </row>
        <row r="360">
          <cell r="I360">
            <v>2.0061</v>
          </cell>
          <cell r="J360">
            <v>2.4073000000000002</v>
          </cell>
          <cell r="K360">
            <v>0.31909999999999999</v>
          </cell>
          <cell r="L360">
            <v>4.5591999999999997</v>
          </cell>
          <cell r="M360">
            <v>1.4881</v>
          </cell>
          <cell r="N360">
            <v>1.5810999999999999</v>
          </cell>
          <cell r="O360">
            <v>0.90269999999999995</v>
          </cell>
          <cell r="P360">
            <v>1.1064000000000001</v>
          </cell>
          <cell r="Q360">
            <v>0.82250000000000001</v>
          </cell>
          <cell r="R360">
            <v>1.6778</v>
          </cell>
          <cell r="S360">
            <v>1.3658999999999999</v>
          </cell>
          <cell r="T360">
            <v>7.2900000000000006E-2</v>
          </cell>
          <cell r="U360">
            <v>7.2900000000000006E-2</v>
          </cell>
          <cell r="V360">
            <v>1.0942000000000001</v>
          </cell>
          <cell r="W360">
            <v>0.27350000000000002</v>
          </cell>
          <cell r="X360">
            <v>5.4699999999999999E-2</v>
          </cell>
          <cell r="Y360">
            <v>5.4699999999999999E-2</v>
          </cell>
          <cell r="Z360">
            <v>5.7241</v>
          </cell>
        </row>
        <row r="361">
          <cell r="I361">
            <v>1.0018</v>
          </cell>
          <cell r="J361">
            <v>1.6193</v>
          </cell>
          <cell r="K361">
            <v>0.17469999999999999</v>
          </cell>
          <cell r="L361">
            <v>3.1187999999999998</v>
          </cell>
          <cell r="M361">
            <v>0.8165</v>
          </cell>
          <cell r="N361">
            <v>0.90129999999999999</v>
          </cell>
          <cell r="O361">
            <v>3.5680000000000001</v>
          </cell>
          <cell r="P361">
            <v>1.0542</v>
          </cell>
          <cell r="Q361">
            <v>0.75480000000000003</v>
          </cell>
          <cell r="R361">
            <v>1.1852</v>
          </cell>
          <cell r="S361">
            <v>0.97809999999999997</v>
          </cell>
          <cell r="T361">
            <v>0.48549999999999999</v>
          </cell>
          <cell r="U361">
            <v>9.7100000000000006E-2</v>
          </cell>
          <cell r="V361">
            <v>3.2399999999999998E-2</v>
          </cell>
          <cell r="W361">
            <v>3.2399999999999998E-2</v>
          </cell>
          <cell r="X361">
            <v>2.4299999999999999E-2</v>
          </cell>
          <cell r="Y361">
            <v>2.4299999999999999E-2</v>
          </cell>
          <cell r="Z361">
            <v>5.3525</v>
          </cell>
        </row>
        <row r="362">
          <cell r="I362">
            <v>1.3340000000000001</v>
          </cell>
          <cell r="J362">
            <v>1.5198</v>
          </cell>
          <cell r="K362">
            <v>0.2034</v>
          </cell>
          <cell r="L362">
            <v>3.8378000000000001</v>
          </cell>
          <cell r="M362">
            <v>1.1091</v>
          </cell>
          <cell r="N362">
            <v>1.0569</v>
          </cell>
          <cell r="O362">
            <v>1.0975999999999999</v>
          </cell>
          <cell r="P362">
            <v>0.96460000000000001</v>
          </cell>
          <cell r="Q362">
            <v>1.3509</v>
          </cell>
          <cell r="R362">
            <v>2.6404000000000001</v>
          </cell>
          <cell r="S362">
            <v>0.81669999999999998</v>
          </cell>
          <cell r="T362">
            <v>9.1800000000000007E-2</v>
          </cell>
          <cell r="U362">
            <v>0.45879999999999999</v>
          </cell>
          <cell r="V362">
            <v>3.0599999999999999E-2</v>
          </cell>
          <cell r="W362">
            <v>3.0599999999999999E-2</v>
          </cell>
          <cell r="X362">
            <v>2.29E-2</v>
          </cell>
          <cell r="Y362">
            <v>2.29E-2</v>
          </cell>
          <cell r="Z362">
            <v>6.7264999999999997</v>
          </cell>
        </row>
        <row r="363">
          <cell r="I363">
            <v>2.0236000000000001</v>
          </cell>
          <cell r="J363">
            <v>1.6862999999999999</v>
          </cell>
          <cell r="K363">
            <v>0.38329999999999997</v>
          </cell>
          <cell r="L363">
            <v>3.8325999999999998</v>
          </cell>
          <cell r="M363">
            <v>1.694</v>
          </cell>
          <cell r="N363">
            <v>1.1075999999999999</v>
          </cell>
          <cell r="O363">
            <v>1.3491</v>
          </cell>
          <cell r="P363">
            <v>1.0629</v>
          </cell>
          <cell r="Q363">
            <v>0.94430000000000003</v>
          </cell>
          <cell r="R363">
            <v>1.5329999999999999</v>
          </cell>
          <cell r="S363">
            <v>1.0730999999999999</v>
          </cell>
          <cell r="T363">
            <v>3.5400000000000001E-2</v>
          </cell>
          <cell r="U363">
            <v>3.5400000000000001E-2</v>
          </cell>
          <cell r="V363">
            <v>3.5400000000000001E-2</v>
          </cell>
          <cell r="W363">
            <v>3.5400000000000001E-2</v>
          </cell>
          <cell r="X363">
            <v>0.70760000000000001</v>
          </cell>
          <cell r="Y363">
            <v>9.4399999999999998E-2</v>
          </cell>
          <cell r="Z363">
            <v>5.9340999999999999</v>
          </cell>
        </row>
        <row r="364">
          <cell r="I364">
            <v>3.4222000000000001</v>
          </cell>
          <cell r="J364">
            <v>0.67689999999999995</v>
          </cell>
          <cell r="K364">
            <v>4.2733999999999996</v>
          </cell>
          <cell r="L364">
            <v>0.35899999999999999</v>
          </cell>
          <cell r="M364">
            <v>3.1238999999999999</v>
          </cell>
          <cell r="N364">
            <v>1.5401</v>
          </cell>
          <cell r="O364">
            <v>0.56410000000000005</v>
          </cell>
          <cell r="P364">
            <v>1</v>
          </cell>
          <cell r="Q364">
            <v>0.56410000000000005</v>
          </cell>
          <cell r="R364">
            <v>1.1111</v>
          </cell>
          <cell r="S364">
            <v>0.81369999999999998</v>
          </cell>
          <cell r="T364">
            <v>0.19539999999999999</v>
          </cell>
          <cell r="U364">
            <v>0.97709999999999997</v>
          </cell>
          <cell r="V364">
            <v>6.5100000000000005E-2</v>
          </cell>
          <cell r="W364">
            <v>6.5100000000000005E-2</v>
          </cell>
          <cell r="X364">
            <v>4.8899999999999999E-2</v>
          </cell>
          <cell r="Y364">
            <v>4.8899999999999999E-2</v>
          </cell>
          <cell r="Z364">
            <v>4.9436999999999998</v>
          </cell>
        </row>
        <row r="365">
          <cell r="I365">
            <v>1.5308999999999999</v>
          </cell>
          <cell r="J365">
            <v>0.8236</v>
          </cell>
          <cell r="K365">
            <v>4.4040999999999997</v>
          </cell>
          <cell r="L365">
            <v>0.30830000000000002</v>
          </cell>
          <cell r="M365">
            <v>1.1830000000000001</v>
          </cell>
          <cell r="N365">
            <v>1.0931</v>
          </cell>
          <cell r="O365">
            <v>1.9378</v>
          </cell>
          <cell r="P365">
            <v>1.4123000000000001</v>
          </cell>
          <cell r="Q365">
            <v>1.5503</v>
          </cell>
          <cell r="R365">
            <v>2.4839000000000002</v>
          </cell>
          <cell r="S365">
            <v>1.4798</v>
          </cell>
          <cell r="T365">
            <v>0.56810000000000005</v>
          </cell>
          <cell r="U365">
            <v>0.11360000000000001</v>
          </cell>
          <cell r="V365">
            <v>3.7900000000000003E-2</v>
          </cell>
          <cell r="W365">
            <v>3.7900000000000003E-2</v>
          </cell>
          <cell r="X365">
            <v>2.8400000000000002E-2</v>
          </cell>
          <cell r="Y365">
            <v>2.8400000000000002E-2</v>
          </cell>
          <cell r="Z365">
            <v>7.6874000000000002</v>
          </cell>
        </row>
        <row r="366">
          <cell r="I366">
            <v>1.7905</v>
          </cell>
          <cell r="J366">
            <v>1.9651000000000001</v>
          </cell>
          <cell r="K366">
            <v>0.49619999999999997</v>
          </cell>
          <cell r="L366">
            <v>4.9625000000000004</v>
          </cell>
          <cell r="M366">
            <v>1.4341999999999999</v>
          </cell>
          <cell r="N366">
            <v>1.6872</v>
          </cell>
          <cell r="O366">
            <v>1.0916999999999999</v>
          </cell>
          <cell r="P366">
            <v>1.2902</v>
          </cell>
          <cell r="Q366">
            <v>0.87339999999999995</v>
          </cell>
          <cell r="R366">
            <v>1.9850000000000001</v>
          </cell>
          <cell r="S366">
            <v>1.3895</v>
          </cell>
          <cell r="T366">
            <v>4.65E-2</v>
          </cell>
          <cell r="U366">
            <v>4.65E-2</v>
          </cell>
          <cell r="V366">
            <v>0.69789999999999996</v>
          </cell>
          <cell r="W366">
            <v>0.17449999999999999</v>
          </cell>
          <cell r="X366">
            <v>3.49E-2</v>
          </cell>
          <cell r="Y366">
            <v>3.49E-2</v>
          </cell>
          <cell r="Z366">
            <v>5.9004000000000003</v>
          </cell>
        </row>
        <row r="367">
          <cell r="I367">
            <v>1.9928999999999999</v>
          </cell>
          <cell r="J367">
            <v>0.93</v>
          </cell>
          <cell r="K367">
            <v>3.7744</v>
          </cell>
          <cell r="L367">
            <v>0.31330000000000002</v>
          </cell>
          <cell r="M367">
            <v>0.97529999999999994</v>
          </cell>
          <cell r="N367">
            <v>2.6949999999999998</v>
          </cell>
          <cell r="O367">
            <v>0.83040000000000003</v>
          </cell>
          <cell r="P367">
            <v>0.9617</v>
          </cell>
          <cell r="Q367">
            <v>0.81379999999999997</v>
          </cell>
          <cell r="R367">
            <v>1.5098</v>
          </cell>
          <cell r="S367">
            <v>0.9829</v>
          </cell>
          <cell r="T367">
            <v>0.79530000000000001</v>
          </cell>
          <cell r="U367">
            <v>0.15909999999999999</v>
          </cell>
          <cell r="V367">
            <v>5.2999999999999999E-2</v>
          </cell>
          <cell r="W367">
            <v>5.2999999999999999E-2</v>
          </cell>
          <cell r="X367">
            <v>3.9800000000000002E-2</v>
          </cell>
          <cell r="Y367">
            <v>3.9800000000000002E-2</v>
          </cell>
          <cell r="Z367">
            <v>5.3036000000000003</v>
          </cell>
        </row>
        <row r="368">
          <cell r="I368">
            <v>1.6163000000000001</v>
          </cell>
          <cell r="J368">
            <v>0.71840000000000004</v>
          </cell>
          <cell r="K368">
            <v>4.0815999999999999</v>
          </cell>
          <cell r="L368">
            <v>0.40820000000000001</v>
          </cell>
          <cell r="M368">
            <v>1.2490000000000001</v>
          </cell>
          <cell r="N368">
            <v>1.2490000000000001</v>
          </cell>
          <cell r="O368">
            <v>1.9755</v>
          </cell>
          <cell r="P368">
            <v>1.2381</v>
          </cell>
          <cell r="Q368">
            <v>1.0774999999999999</v>
          </cell>
          <cell r="R368">
            <v>1.9265000000000001</v>
          </cell>
          <cell r="S368">
            <v>1.0286</v>
          </cell>
          <cell r="T368">
            <v>0.1166</v>
          </cell>
          <cell r="U368">
            <v>0.58320000000000005</v>
          </cell>
          <cell r="V368">
            <v>3.8899999999999997E-2</v>
          </cell>
          <cell r="W368">
            <v>3.8899999999999997E-2</v>
          </cell>
          <cell r="X368">
            <v>2.92E-2</v>
          </cell>
          <cell r="Y368">
            <v>2.92E-2</v>
          </cell>
          <cell r="Z368">
            <v>6.0750999999999999</v>
          </cell>
        </row>
        <row r="369">
          <cell r="I369">
            <v>1.3333999999999999</v>
          </cell>
          <cell r="J369">
            <v>0.8095</v>
          </cell>
          <cell r="K369">
            <v>4.3291000000000004</v>
          </cell>
          <cell r="L369">
            <v>0.32469999999999999</v>
          </cell>
          <cell r="M369">
            <v>1.1186</v>
          </cell>
          <cell r="N369">
            <v>1.1480999999999999</v>
          </cell>
          <cell r="O369">
            <v>2.0952999999999999</v>
          </cell>
          <cell r="P369">
            <v>1.1856</v>
          </cell>
          <cell r="Q369">
            <v>1.6953</v>
          </cell>
          <cell r="R369">
            <v>2.2511000000000001</v>
          </cell>
          <cell r="S369">
            <v>1.0667</v>
          </cell>
          <cell r="T369">
            <v>2.64E-2</v>
          </cell>
          <cell r="U369">
            <v>2.64E-2</v>
          </cell>
          <cell r="V369">
            <v>2.64E-2</v>
          </cell>
          <cell r="W369">
            <v>2.64E-2</v>
          </cell>
          <cell r="X369">
            <v>0.52769999999999995</v>
          </cell>
          <cell r="Y369">
            <v>7.0400000000000004E-2</v>
          </cell>
          <cell r="Z369">
            <v>7.7625999999999999</v>
          </cell>
        </row>
        <row r="370">
          <cell r="I370">
            <v>1.8768</v>
          </cell>
          <cell r="J370">
            <v>3.0985</v>
          </cell>
          <cell r="K370">
            <v>0.2616</v>
          </cell>
          <cell r="L370">
            <v>4.024</v>
          </cell>
          <cell r="M370">
            <v>1.0535000000000001</v>
          </cell>
          <cell r="N370">
            <v>2.8047</v>
          </cell>
          <cell r="O370">
            <v>0.79679999999999995</v>
          </cell>
          <cell r="P370">
            <v>1.0114000000000001</v>
          </cell>
          <cell r="Q370">
            <v>0.67279999999999995</v>
          </cell>
          <cell r="R370">
            <v>1.3521000000000001</v>
          </cell>
          <cell r="S370">
            <v>1.1942999999999999</v>
          </cell>
          <cell r="T370">
            <v>0.19739999999999999</v>
          </cell>
          <cell r="U370">
            <v>0.98719999999999997</v>
          </cell>
          <cell r="V370">
            <v>6.5799999999999997E-2</v>
          </cell>
          <cell r="W370">
            <v>6.5799999999999997E-2</v>
          </cell>
          <cell r="X370">
            <v>4.9399999999999999E-2</v>
          </cell>
          <cell r="Y370">
            <v>4.9399999999999999E-2</v>
          </cell>
          <cell r="Z370">
            <v>5.5446999999999997</v>
          </cell>
        </row>
        <row r="371">
          <cell r="I371">
            <v>1.6343000000000001</v>
          </cell>
          <cell r="J371">
            <v>0.66659999999999997</v>
          </cell>
          <cell r="K371">
            <v>4.8872999999999998</v>
          </cell>
          <cell r="L371">
            <v>0.30299999999999999</v>
          </cell>
          <cell r="M371">
            <v>1.2628999999999999</v>
          </cell>
          <cell r="N371">
            <v>1.1632</v>
          </cell>
          <cell r="O371">
            <v>2.0428999999999999</v>
          </cell>
          <cell r="P371">
            <v>2.0331000000000001</v>
          </cell>
          <cell r="Q371">
            <v>1.4408000000000001</v>
          </cell>
          <cell r="R371">
            <v>1.6812</v>
          </cell>
          <cell r="S371">
            <v>1.82</v>
          </cell>
          <cell r="T371">
            <v>0.54530000000000001</v>
          </cell>
          <cell r="U371">
            <v>0.1091</v>
          </cell>
          <cell r="V371">
            <v>3.6400000000000002E-2</v>
          </cell>
          <cell r="W371">
            <v>3.6400000000000002E-2</v>
          </cell>
          <cell r="X371">
            <v>2.7300000000000001E-2</v>
          </cell>
          <cell r="Y371">
            <v>2.7300000000000001E-2</v>
          </cell>
          <cell r="Z371">
            <v>7.3110999999999997</v>
          </cell>
        </row>
        <row r="372">
          <cell r="I372">
            <v>2.0091999999999999</v>
          </cell>
          <cell r="J372">
            <v>2.9133</v>
          </cell>
          <cell r="K372">
            <v>0.45660000000000001</v>
          </cell>
          <cell r="L372">
            <v>4.5663999999999998</v>
          </cell>
          <cell r="M372">
            <v>1.5526</v>
          </cell>
          <cell r="N372">
            <v>1.8631</v>
          </cell>
          <cell r="O372">
            <v>1.2055</v>
          </cell>
          <cell r="P372">
            <v>1.1081000000000001</v>
          </cell>
          <cell r="Q372">
            <v>0.84389999999999998</v>
          </cell>
          <cell r="R372">
            <v>1.7352000000000001</v>
          </cell>
          <cell r="S372">
            <v>1.4703999999999999</v>
          </cell>
          <cell r="T372">
            <v>5.8900000000000001E-2</v>
          </cell>
          <cell r="U372">
            <v>5.8900000000000001E-2</v>
          </cell>
          <cell r="V372">
            <v>0.88360000000000005</v>
          </cell>
          <cell r="W372">
            <v>0.22090000000000001</v>
          </cell>
          <cell r="X372">
            <v>4.4200000000000003E-2</v>
          </cell>
          <cell r="Y372">
            <v>4.4200000000000003E-2</v>
          </cell>
          <cell r="Z372">
            <v>6.2460000000000004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8AFE4-ECB4-403A-B581-5D04AA101F5B}" name="テーブル1" displayName="テーブル1" ref="A1:AI367" totalsRowShown="0" headerRowDxfId="169" headerRowBorderDxfId="168" tableBorderDxfId="167">
  <autoFilter ref="A1:AI367" xr:uid="{E928AFE4-ECB4-403A-B581-5D04AA101F5B}"/>
  <tableColumns count="35">
    <tableColumn id="1" xr3:uid="{97773A54-15D0-4C8B-BD44-3EE9F468C7D8}" name="ID" dataDxfId="166"/>
    <tableColumn id="2" xr3:uid="{F93B55FF-4D51-44F4-85B2-6BC56D5D54A1}" name="名前" dataDxfId="165"/>
    <tableColumn id="3" xr3:uid="{1DD29FAA-EF7A-4732-8A2C-0D3E6DA627C7}" name="属性" dataDxfId="164"/>
    <tableColumn id="4" xr3:uid="{FE33858B-47A6-47BD-B4EF-C8A42D413A1E}" name="攻撃方式" dataDxfId="163"/>
    <tableColumn id="5" xr3:uid="{E0AFB413-365D-4144-8899-33E7A22B2262}" name="基礎HP" dataDxfId="162">
      <calculatedColumnFormula>+[1]モンスター計算!E5</calculatedColumnFormula>
    </tableColumn>
    <tableColumn id="6" xr3:uid="{D3423B46-5F20-43C8-AC6F-DF66332B3AC2}" name="基礎MP" dataDxfId="161">
      <calculatedColumnFormula>+[1]モンスター計算!F5</calculatedColumnFormula>
    </tableColumn>
    <tableColumn id="7" xr3:uid="{A649A164-8E84-4A37-8E4B-766442BA121B}" name="基礎攻撃力" dataDxfId="160">
      <calculatedColumnFormula>+[1]モンスター計算!G5</calculatedColumnFormula>
    </tableColumn>
    <tableColumn id="8" xr3:uid="{A186C277-CFAA-4792-A9A1-ADDDE94B9CBD}" name="基礎魔力" dataDxfId="159">
      <calculatedColumnFormula>+[1]モンスター計算!H5</calculatedColumnFormula>
    </tableColumn>
    <tableColumn id="9" xr3:uid="{2C3D0C37-AE91-47A8-866A-0301B9E3C7C7}" name="基礎防御力" dataDxfId="158">
      <calculatedColumnFormula>+[1]モンスター計算!I5</calculatedColumnFormula>
    </tableColumn>
    <tableColumn id="10" xr3:uid="{734FF1C1-FDE6-43E4-9EF3-7DB1CC53D797}" name="基礎魔防" dataDxfId="157">
      <calculatedColumnFormula>+[1]モンスター計算!J5</calculatedColumnFormula>
    </tableColumn>
    <tableColumn id="11" xr3:uid="{FDDF2461-2744-43DD-8CE1-CCADC616C663}" name="クリ率" dataDxfId="156">
      <calculatedColumnFormula>+[1]モンスター計算!K5</calculatedColumnFormula>
    </tableColumn>
    <tableColumn id="12" xr3:uid="{0E47D266-285D-41BB-AD9B-64AB3BA7E001}" name="クリ倍" dataDxfId="155">
      <calculatedColumnFormula>+[1]モンスター計算!L5</calculatedColumnFormula>
    </tableColumn>
    <tableColumn id="13" xr3:uid="{EB3626E6-6462-4A42-BA99-5AEDD5338153}" name="移動速度" dataDxfId="154">
      <calculatedColumnFormula>+[1]モンスター計算!M5</calculatedColumnFormula>
    </tableColumn>
    <tableColumn id="14" xr3:uid="{6F64D893-8807-401B-8196-377FB23B81F5}" name="攻撃速度" dataDxfId="153">
      <calculatedColumnFormula>+[1]モンスター計算!N5</calculatedColumnFormula>
    </tableColumn>
    <tableColumn id="15" xr3:uid="{B7E16074-027C-4BB3-825B-EEA8A02882BE}" name="攻撃範囲" dataDxfId="152">
      <calculatedColumnFormula>+[1]モンスター計算!O5</calculatedColumnFormula>
    </tableColumn>
    <tableColumn id="16" xr3:uid="{F6143BD9-B6A9-4A3A-A0BC-EF621370B964}" name="火耐性" dataDxfId="151">
      <calculatedColumnFormula>+[1]モンスター計算!P5</calculatedColumnFormula>
    </tableColumn>
    <tableColumn id="17" xr3:uid="{EE61610C-9F13-456E-B6E6-98856C592278}" name="水耐性" dataDxfId="150">
      <calculatedColumnFormula>+[1]モンスター計算!Q5</calculatedColumnFormula>
    </tableColumn>
    <tableColumn id="18" xr3:uid="{DC9BBD46-71AF-4009-A12F-12857F61E28D}" name="風耐性" dataDxfId="149">
      <calculatedColumnFormula>+[1]モンスター計算!R5</calculatedColumnFormula>
    </tableColumn>
    <tableColumn id="19" xr3:uid="{C0370F99-9A20-4393-9F79-7F315C2B95E2}" name="雷耐性" dataDxfId="148">
      <calculatedColumnFormula>+[1]モンスター計算!S5</calculatedColumnFormula>
    </tableColumn>
    <tableColumn id="20" xr3:uid="{D298B622-F13E-42E5-A3AD-E3A7A701F088}" name="光耐性" dataDxfId="147">
      <calculatedColumnFormula>+[1]モンスター計算!T5</calculatedColumnFormula>
    </tableColumn>
    <tableColumn id="21" xr3:uid="{010CBA98-CAD8-4DCD-B7F9-AF0267065A85}" name="闇耐性" dataDxfId="146">
      <calculatedColumnFormula>+[1]モンスター計算!U5</calculatedColumnFormula>
    </tableColumn>
    <tableColumn id="22" xr3:uid="{D1A9A916-FE30-4FA4-AB6E-F574E253821D}" name="索敵範囲" dataDxfId="145">
      <calculatedColumnFormula>+[1]モンスター計算!V5</calculatedColumnFormula>
    </tableColumn>
    <tableColumn id="23" xr3:uid="{E17B9655-F84F-469D-8A4D-03DA22D1825D}" name="リス秒" dataDxfId="144"/>
    <tableColumn id="24" xr3:uid="{1286B2AC-C8D5-412C-B0A5-8E3F3DB086C1}" name="素材ID" dataDxfId="143"/>
    <tableColumn id="25" xr3:uid="{871D7A70-9F55-43ED-ADAA-C61A6AA1FF7B}" name="素材名" dataDxfId="142"/>
    <tableColumn id="26" xr3:uid="{14A2E5CE-D441-4446-85E0-B47CF594EE67}" name="素材ドロ率" dataDxfId="141"/>
    <tableColumn id="27" xr3:uid="{D2DF9DCE-1A53-4507-A835-BD804D50CC3F}" name="経験値" dataDxfId="140"/>
    <tableColumn id="28" xr3:uid="{AB0DE6B9-6CE8-4FA4-A2B6-87B45421AFD3}" name="配合用値" dataDxfId="139"/>
    <tableColumn id="29" xr3:uid="{388AC190-5509-4C15-9D12-5C84DBFBFE5D}" name="出現ステージ" dataDxfId="138"/>
    <tableColumn id="30" xr3:uid="{E19C14BD-A3C3-494E-B5C2-F8821C6A5159}" name="魔弾Prefab名" dataDxfId="137"/>
    <tableColumn id="31" xr3:uid="{8FD9929B-34A4-4A45-8050-B1B69454951B}" name="魔弾速度" dataDxfId="136"/>
    <tableColumn id="32" xr3:uid="{8943F13F-90E4-4161-9ED0-7C58A9E00A57}" name="魔弾寿命秒数" dataDxfId="135"/>
    <tableColumn id="33" xr3:uid="{D4EDFA16-2275-44D6-8682-EA2478350F14}" name="魔弾追尾" dataDxfId="134"/>
    <tableColumn id="34" xr3:uid="{6110ACE0-EA0E-40A1-9E33-95ABF5B9E16C}" name="称号ID" dataDxfId="133"/>
    <tableColumn id="35" xr3:uid="{E84E718C-C7DD-427F-942F-0DCEEE068D75}" name="SkillIds" dataDxfId="1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8811ED-C2F3-48D6-96F7-AEDFB1B1BBCA}" name="SkillsTable4" displayName="SkillsTable4" ref="A1:DX43" totalsRowShown="0" headerRowDxfId="131" headerRowBorderDxfId="130" tableBorderDxfId="129" totalsRowBorderDxfId="128">
  <autoFilter ref="A1:DX43" xr:uid="{A48811ED-C2F3-48D6-96F7-AEDFB1B1BBCA}"/>
  <tableColumns count="128">
    <tableColumn id="1" xr3:uid="{B8AB1E2E-ECCF-4E64-8DE1-F34E18B72A9C}" name="ID" dataDxfId="127"/>
    <tableColumn id="2" xr3:uid="{0A3A7E95-EF54-40DB-ADB0-2A682C99550D}" name="名前" dataDxfId="126"/>
    <tableColumn id="3" xr3:uid="{19F82D57-1CCA-40DB-9DF1-B304DB98DB70}" name="説明" dataDxfId="125"/>
    <tableColumn id="4" xr3:uid="{7B0C61DD-F13E-49FE-8544-B82BEC4716C8}" name="必要レベル" dataDxfId="124"/>
    <tableColumn id="5" xr3:uid="{2AE1620C-2163-4F89-85CF-4FEE34ACDA7D}" name="習得ポイント" dataDxfId="123"/>
    <tableColumn id="6" xr3:uid="{6CD3044D-7A73-4AF7-9B92-5A7C0A8749DF}" name="消費MP" dataDxfId="122"/>
    <tableColumn id="7" xr3:uid="{C59AF5E7-D95B-499E-AAB2-7296C0455018}" name="再使用時間秒" dataDxfId="121"/>
    <tableColumn id="8" xr3:uid="{593C2E10-2C84-4038-ACA2-359BACB2C3E4}" name="詠唱時間秒" dataDxfId="120"/>
    <tableColumn id="9" xr3:uid="{5EF79E67-773B-4886-9B3A-54CE2368B90D}" name="共通待機時間秒" dataDxfId="119"/>
    <tableColumn id="10" xr3:uid="{0A5B584D-ACC8-4963-9B4C-C5B6AE32A15F}" name="射程" dataDxfId="118"/>
    <tableColumn id="11" xr3:uid="{579925E3-D5E0-482E-A835-4D9B63740C7A}" name="対象" dataDxfId="117"/>
    <tableColumn id="12" xr3:uid="{333E5C19-A0AC-4EC3-900E-915FD053A3D8}" name="基本効果" dataDxfId="116"/>
    <tableColumn id="13" xr3:uid="{A1902A67-DEF7-4305-BE93-66C0BB793B73}" name="参照能力" dataDxfId="115"/>
    <tableColumn id="14" xr3:uid="{6A7E8DED-87C7-45D1-B31E-648C3CD05A4E}" name="倍率" dataDxfId="114"/>
    <tableColumn id="15" xr3:uid="{C4221406-744D-4A70-9660-F32EB39E7DBA}" name="固定値" dataDxfId="113"/>
    <tableColumn id="16" xr3:uid="{06C6CE52-BB57-43DC-B77C-869027C39AFF}" name="属性" dataDxfId="112"/>
    <tableColumn id="17" xr3:uid="{1A353D14-5042-45CA-BEE6-E3C2F835F0A7}" name="会心有効" dataDxfId="111"/>
    <tableColumn id="18" xr3:uid="{A746B161-14F2-47BE-B9D4-0F84F4F8A0CF}" name="適用先" dataDxfId="110"/>
    <tableColumn id="19" xr3:uid="{4D212FFF-0F74-4B06-9CEE-6C3D096597DC}" name="範囲半径" dataDxfId="109"/>
    <tableColumn id="20" xr3:uid="{C44634EF-D32D-41F2-8C58-70880CE28CC9}" name="命中上限" dataDxfId="108"/>
    <tableColumn id="21" xr3:uid="{8FFC6E4E-4C28-4A04-A0EE-DBB9CD637EEC}" name="発動形式" dataDxfId="107"/>
    <tableColumn id="22" xr3:uid="{1BF1BE37-F536-4434-8A8F-48256878C5DA}" name="発射物速度" dataDxfId="106"/>
    <tableColumn id="23" xr3:uid="{CE7B4BDE-A108-46B9-BA92-9A4AF17F7557}" name="発射物寿命秒" dataDxfId="105"/>
    <tableColumn id="24" xr3:uid="{226A0C8B-1E71-486F-B8BD-DA2372262EBC}" name="追尾" dataDxfId="104"/>
    <tableColumn id="25" xr3:uid="{2047BF74-8077-4299-AE2C-A55E2F166B8C}" name="画像パス" dataDxfId="103"/>
    <tableColumn id="26" xr3:uid="{D6F3BAA8-5143-4B5F-9A69-94E737E7E379}" name="演出パス" dataDxfId="102"/>
    <tableColumn id="27" xr3:uid="{90EB094F-01E1-4DE6-97B3-307BB7FA0E2B}" name="追加効果1_種別" dataDxfId="101"/>
    <tableColumn id="28" xr3:uid="{FAE55497-5F01-4C0C-9BE9-FF89C11FD36B}" name="追加効果1_対象能力" dataDxfId="100"/>
    <tableColumn id="29" xr3:uid="{732DA429-0503-4DBD-97CE-D930DA33A692}" name="追加効果1_変化方式" dataDxfId="99"/>
    <tableColumn id="30" xr3:uid="{EB186181-24E7-4BE9-89C8-69A0ADFA7C8E}" name="追加効果1_効果量" dataDxfId="98"/>
    <tableColumn id="31" xr3:uid="{A84C7308-6D26-4E16-A6B1-145102611E39}" name="追加効果1_持続秒" dataDxfId="97"/>
    <tableColumn id="32" xr3:uid="{D810B94C-C539-462E-9552-E03D0010958A}" name="追加効果1_付与確率％" dataDxfId="96"/>
    <tableColumn id="33" xr3:uid="{574708F7-0382-409E-9E2F-4E4DD7FF5E79}" name="追加効果1_状態異常" dataDxfId="95"/>
    <tableColumn id="34" xr3:uid="{68E62E13-B615-48E8-A936-F938431635BB}" name="追加効果1_継続間隔秒" dataDxfId="94"/>
    <tableColumn id="35" xr3:uid="{9A919289-569F-47DE-AC9E-ADC979BAE426}" name="追加効果1_重複方式" dataDxfId="93"/>
    <tableColumn id="36" xr3:uid="{050D64CA-DE1E-4C05-AC82-3028AC1AACAE}" name="追加効果1_重複上限" dataDxfId="92"/>
    <tableColumn id="37" xr3:uid="{88C81C1E-B0A7-46F7-9EC2-5C3BD67A84BB}" name="追加効果2_種別" dataDxfId="91"/>
    <tableColumn id="38" xr3:uid="{9A7D738D-32A7-4D5F-8719-5A77BF2B064B}" name="追加効果2_対象能力" dataDxfId="90"/>
    <tableColumn id="39" xr3:uid="{7D18153F-DB24-45CE-B3D1-698956971C80}" name="追加効果2_変化方式" dataDxfId="89"/>
    <tableColumn id="40" xr3:uid="{22BC011B-DC51-4F42-AC7E-E48CC20DB29C}" name="追加効果2_効果量" dataDxfId="88"/>
    <tableColumn id="41" xr3:uid="{99E4AB84-EB16-4126-BA5A-AC40B4691DF0}" name="追加効果2_持続秒" dataDxfId="87"/>
    <tableColumn id="42" xr3:uid="{52274ADB-E718-41E1-A947-D585286AD19E}" name="追加効果2_付与確率％" dataDxfId="86"/>
    <tableColumn id="43" xr3:uid="{4E9806CB-C192-45E9-8EA1-3B144D5AB3C5}" name="追加効果2_状態異常" dataDxfId="85"/>
    <tableColumn id="44" xr3:uid="{398650BE-6797-43E2-83D2-C3195558A4BF}" name="追加効果2_継続間隔秒" dataDxfId="84"/>
    <tableColumn id="45" xr3:uid="{F8114941-1904-449F-B9D9-8051BC3E731D}" name="追加効果2_重複方式" dataDxfId="83"/>
    <tableColumn id="46" xr3:uid="{D2CDC11F-5DD7-482E-BF27-094D7A919176}" name="追加効果2_重複上限" dataDxfId="82"/>
    <tableColumn id="47" xr3:uid="{F06F165F-5753-413D-B9BC-F07207819CB9}" name="追加効果3_種別" dataDxfId="81"/>
    <tableColumn id="48" xr3:uid="{E178CDE5-D1A5-4926-A97A-9EAD2829E9D8}" name="追加効果3_対象能力" dataDxfId="80"/>
    <tableColumn id="49" xr3:uid="{CD015373-87BF-4096-9539-D20E60EC7758}" name="追加効果3_変化方式" dataDxfId="79"/>
    <tableColumn id="50" xr3:uid="{B72FEB76-15A8-4B9E-8172-35327CA59952}" name="追加効果3_効果量" dataDxfId="78"/>
    <tableColumn id="51" xr3:uid="{39C8796B-2126-4CC6-98B9-04E88B96C4B0}" name="追加効果3_持続秒" dataDxfId="77"/>
    <tableColumn id="52" xr3:uid="{7B4D314F-15D7-49D6-94B0-640C659839A6}" name="追加効果3_付与確率％" dataDxfId="76"/>
    <tableColumn id="53" xr3:uid="{ED42C078-ED01-47AE-AC3B-9283FED0D720}" name="追加効果3_状態異常" dataDxfId="75"/>
    <tableColumn id="54" xr3:uid="{E0BD2F21-8B56-45B2-B0A7-5A380C6E08E2}" name="追加効果3_継続間隔秒" dataDxfId="74"/>
    <tableColumn id="55" xr3:uid="{EB3F52D0-080C-4309-8D88-869867C2F796}" name="追加効果3_重複方式" dataDxfId="73"/>
    <tableColumn id="56" xr3:uid="{A40A664D-05F6-4C18-9FEB-0B48C44B0869}" name="追加効果3_重複上限" dataDxfId="72"/>
    <tableColumn id="57" xr3:uid="{BD12C8CA-2D8F-46A0-A851-4FF6C30B39FE}" name="発射物速度入力" dataDxfId="71"/>
    <tableColumn id="58" xr3:uid="{2F6AA15A-02E6-48DC-91E9-6DF6B0F8AE34}" name="発射物寿命入力秒" dataDxfId="70"/>
    <tableColumn id="59" xr3:uid="{B0A5AA75-37EB-46E2-A0E0-6A518D9A38FA}" name="追尾入力" dataDxfId="69"/>
    <tableColumn id="60" xr3:uid="{D17572F9-8FFC-4598-9419-57F835603128}" name="発射物プレファブパス" dataDxfId="68"/>
    <tableColumn id="61" xr3:uid="{A9C897A7-BA5E-48E7-B256-D83C917EAE75}" name="発射物_貫通" dataDxfId="67"/>
    <tableColumn id="62" xr3:uid="{9F5E84D8-FCB3-429F-8D21-785DB39DA199}" name="発射物_回転" dataDxfId="66"/>
    <tableColumn id="63" xr3:uid="{4E076D20-BBC8-4B84-AA19-1F54F9AF6116}" name="発射物_回転速度" dataDxfId="65"/>
    <tableColumn id="64" xr3:uid="{C1196120-252D-4171-AD47-EAC658AA4C7C}" name="発射物_蛇行" dataDxfId="64"/>
    <tableColumn id="65" xr3:uid="{AF40CF39-5E32-45B0-B395-9CE7A1963F3F}" name="発射物_蛇行幅" dataDxfId="63"/>
    <tableColumn id="66" xr3:uid="{7EA9204B-3269-4C7D-B4C3-63C12AE35817}" name="発射物_蛇行回数" dataDxfId="62"/>
    <tableColumn id="67" xr3:uid="{04A7957E-CD1E-4739-974E-6BE1EF06BC74}" name="発射物_加速" dataDxfId="61"/>
    <tableColumn id="68" xr3:uid="{7C71A263-7BCF-42F2-8A2F-907A9AE101D4}" name="発射物_加速度" dataDxfId="60"/>
    <tableColumn id="69" xr3:uid="{2BCF6030-F2DE-4B0D-97FF-19DC944A4E58}" name="発射物_最高速度" dataDxfId="59"/>
    <tableColumn id="70" xr3:uid="{F353B6D6-D969-4648-8667-6EE4332D7307}" name="発射物_命中半径" dataDxfId="58"/>
    <tableColumn id="71" xr3:uid="{337882E6-A9C7-4B4F-BF01-E8B3516CF9B4}" name="発射物_移動タイプ" dataDxfId="57"/>
    <tableColumn id="72" xr3:uid="{8B3AFA65-2E68-4207-9144-01C5AE0DA039}" name="発射物_追尾旋回速度" dataDxfId="56"/>
    <tableColumn id="73" xr3:uid="{67FF4D78-21F9-4127-830A-E0E2AF151CA9}" name="発射物_拡大速度" dataDxfId="55"/>
    <tableColumn id="74" xr3:uid="{CCDF4C3F-160B-49EF-ADAC-2A4C44E1E285}" name="発射物_最大拡大倍率" dataDxfId="54"/>
    <tableColumn id="75" xr3:uid="{7B8267EB-FE06-481A-BDE8-F572F7AEC478}" name="発射物_直進秒" dataDxfId="53"/>
    <tableColumn id="76" xr3:uid="{E6B359D0-1DA4-441C-B5CF-9A648A7FDF38}" name="発射物_帰還速度" dataDxfId="52"/>
    <tableColumn id="77" xr3:uid="{5109BB2D-A983-4489-BB2C-36D09B661813}" name="発射物_周回秒" dataDxfId="51"/>
    <tableColumn id="78" xr3:uid="{878A2F63-D44F-4AE0-8B87-832F32F02C29}" name="発射物_周回半径" dataDxfId="50"/>
    <tableColumn id="79" xr3:uid="{BD28ED9F-3D0E-43F4-9680-3B45FC3171AD}" name="発射物_周回角速度" dataDxfId="49"/>
    <tableColumn id="80" xr3:uid="{F91E1A3E-403C-43D2-8937-6C7F85E6785E}" name="発射物_追尾開始秒" dataDxfId="48"/>
    <tableColumn id="81" xr3:uid="{EB0B1D19-285A-4F75-A5A5-0991EA8BCD96}" name="発射物_螺旋角速度" dataDxfId="47"/>
    <tableColumn id="82" xr3:uid="{7FBAF310-648F-44F2-BA2E-3F3B80F45E96}" name="発射物_螺旋拡大速度" dataDxfId="46"/>
    <tableColumn id="83" xr3:uid="{34890690-3CB7-48EA-9BA9-3E75B9F919D1}" name="発射物_往復距離" dataDxfId="45"/>
    <tableColumn id="84" xr3:uid="{09848393-3318-477E-B61E-44B68ECD8088}" name="発射物_反転回数" dataDxfId="44"/>
    <tableColumn id="85" xr3:uid="{C172A99A-FB6B-45C0-A3E1-E2EECEE649E3}" name="発射物_反転終了で消滅" dataDxfId="43"/>
    <tableColumn id="86" xr3:uid="{3C02C323-2FA9-4668-814C-69463CB13A93}" name="発射物_使用者に追従" dataDxfId="42"/>
    <tableColumn id="87" xr3:uid="{D4A292A0-7006-45D8-874E-6DEE7AF74026}" name="発射物_再命中" dataDxfId="41"/>
    <tableColumn id="88" xr3:uid="{7B3AC562-5EB5-4AB8-95F7-200618AE680E}" name="発射物_再命中間隔秒" dataDxfId="40"/>
    <tableColumn id="89" xr3:uid="{1B9B1FD7-9290-4925-89C2-F6A9ADB44979}" name="発射物_収束秒" dataDxfId="39"/>
    <tableColumn id="90" xr3:uid="{3B79247D-84DA-46EE-B884-FB4652C23918}" name="発射物_収束最大拡大倍率" dataDxfId="38"/>
    <tableColumn id="91" xr3:uid="{201DD083-6A13-471B-9E9E-C5BABE12C9DB}" name="発射物_収束最大威力倍率" dataDxfId="37"/>
    <tableColumn id="92" xr3:uid="{A6C1542C-17C0-4109-8FA3-9A542BDC9966}" name="発射物_時間切替" dataDxfId="36"/>
    <tableColumn id="93" xr3:uid="{A291F138-F9B3-472B-8226-E7A064EB3439}" name="発射物_切替秒" dataDxfId="35"/>
    <tableColumn id="94" xr3:uid="{C3582CA9-FF91-43AF-83D1-6DDF4FF15F5E}" name="発射物_切替後移動タイプ" dataDxfId="34"/>
    <tableColumn id="95" xr3:uid="{5B0678A1-1C69-47DF-A2F8-60FC2CF162AA}" name="発射物_切替後速度" dataDxfId="33"/>
    <tableColumn id="96" xr3:uid="{42F52539-DE37-4EE0-B2EC-F25B6EF49A4A}" name="発射物_連鎖" dataDxfId="32"/>
    <tableColumn id="97" xr3:uid="{A67CB2F9-4DD5-48C0-9A6C-EB155615DF7A}" name="発射物_連鎖回数" dataDxfId="31"/>
    <tableColumn id="98" xr3:uid="{B6BDEF8F-36A6-44F2-AA88-8CEF753C423A}" name="発射物_連鎖半径" dataDxfId="30"/>
    <tableColumn id="99" xr3:uid="{26CC6A50-0237-4A80-9982-138C1DFC796D}" name="発射物_連鎖威力倍率" dataDxfId="29"/>
    <tableColumn id="100" xr3:uid="{08DD8128-44C0-4927-9ED4-4BEA14CCC002}" name="発射物_分裂" dataDxfId="28"/>
    <tableColumn id="101" xr3:uid="{C894FC1C-933C-4BB5-868A-6895512778A0}" name="発射物_子弾数" dataDxfId="27"/>
    <tableColumn id="102" xr3:uid="{0B19A8DA-1325-4C61-9915-D486C3AE9C1B}" name="発射物_分裂角度" dataDxfId="26"/>
    <tableColumn id="103" xr3:uid="{E5DD941C-E935-4EFF-9415-673D605DD443}" name="発射物_子弾威力倍率" dataDxfId="25"/>
    <tableColumn id="104" xr3:uid="{32783B53-3292-4DD4-9404-3BD42820E6D5}" name="発射物_分裂世代数" dataDxfId="24"/>
    <tableColumn id="105" xr3:uid="{44E19316-223F-4223-88D8-0288ACF8AF34}" name="発射物_命中時爆発" dataDxfId="23"/>
    <tableColumn id="106" xr3:uid="{0AFC3AEF-A1E3-47FB-B788-F2D216B8DF17}" name="発射物_停止時爆発" dataDxfId="22"/>
    <tableColumn id="107" xr3:uid="{0975D5DB-AED2-4376-9562-37C57602FB74}" name="発射物_爆発半径" dataDxfId="21"/>
    <tableColumn id="108" xr3:uid="{447E632D-C149-4854-AFFB-DA5D661355AB}" name="発射物_爆発表示秒" dataDxfId="20"/>
    <tableColumn id="109" xr3:uid="{D1DE954C-428E-4387-9345-C19E923832BC}" name="発射物_表示倍率" dataDxfId="19"/>
    <tableColumn id="110" xr3:uid="{B85BDD8D-5AC7-4352-B7F5-63E9885BD6C3}" name="発射物_色" dataDxfId="18"/>
    <tableColumn id="111" xr3:uid="{341E4359-ED9F-464C-A921-B7056A32B5BA}" name="発射物_描画順" dataDxfId="17"/>
    <tableColumn id="112" xr3:uid="{449ACB71-F364-4970-83E4-28693FBF2738}" name="発射物_画像角度" dataDxfId="16"/>
    <tableColumn id="113" xr3:uid="{2D4D92C2-3079-4AF4-9682-63F2B0E2C738}" name="スキル種別" dataDxfId="15" dataCellStyle="Normal"/>
    <tableColumn id="114" xr3:uid="{05417A56-C6A8-49B0-B7EC-86D6A81984D1}" name="生成位置" dataDxfId="14" dataCellStyle="Normal"/>
    <tableColumn id="115" xr3:uid="{0D6E26FA-0EB8-4ABA-8A6A-E1075D7A9DBD}" name="追従先" dataDxfId="13" dataCellStyle="Normal"/>
    <tableColumn id="116" xr3:uid="{B6189153-D980-4AB3-81D6-ACEB2D78D3D9}" name="効果発生タイミング" dataDxfId="12" dataCellStyle="Normal"/>
    <tableColumn id="117" xr3:uid="{A893B177-9755-4161-A45A-B13865FBE16C}" name="効果間隔秒" dataDxfId="11" dataCellStyle="Normal"/>
    <tableColumn id="118" xr3:uid="{490FD67F-086D-4E47-9A7B-8C5FEC508A34}" name="パッシブ1_効果" dataDxfId="10" dataCellStyle="Normal"/>
    <tableColumn id="119" xr3:uid="{0F209CD5-993F-4ED2-AB93-44D24D3CBADE}" name="パッシブ1_効果量" dataDxfId="9" dataCellStyle="Normal"/>
    <tableColumn id="120" xr3:uid="{4A83AE70-6906-465F-80C6-CAD4DA3B0C7A}" name="パッシブ2_効果" dataDxfId="8" dataCellStyle="Normal"/>
    <tableColumn id="121" xr3:uid="{BAF5F3C5-9EBA-45D2-92F7-EA53D756921D}" name="パッシブ2_効果量" dataDxfId="7" dataCellStyle="Normal"/>
    <tableColumn id="122" xr3:uid="{03841463-B5A4-4C8D-A272-1A0A595F53A9}" name="パッシブ3_効果" dataDxfId="6" dataCellStyle="Normal"/>
    <tableColumn id="123" xr3:uid="{738E7776-34A2-450B-9258-A7719DC8CD95}" name="パッシブ3_効果量" dataDxfId="5" dataCellStyle="Normal"/>
    <tableColumn id="124" xr3:uid="{77C81612-A88F-4B4B-BA2E-536B0CF2851C}" name="発射物_素材" dataDxfId="4" dataCellStyle="Normal"/>
    <tableColumn id="125" xr3:uid="{DBBA57D0-32B3-4B20-810A-0F9D2FDDA42D}" name="発射物_範囲に表示を合わせる" dataDxfId="3" dataCellStyle="Normal"/>
    <tableColumn id="126" xr3:uid="{03D819EE-D951-43FC-80FA-477DF78D4E82}" name="発射物_爆発拡大秒" dataDxfId="2" dataCellStyle="Normal"/>
    <tableColumn id="127" xr3:uid="{2723FAE9-49A0-42BF-AC71-4F2A1EED3591}" name="発射物_爆発開始倍率" dataDxfId="1" dataCellStyle="Normal"/>
    <tableColumn id="128" xr3:uid="{876C8A2B-2EEF-4080-92B8-E35F3FB6F987}" name="発射物_固有スプライト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AAB4-E721-4B0C-B2B7-A4F02A2A1DAB}">
  <dimension ref="A1:AI367"/>
  <sheetViews>
    <sheetView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N5" sqref="N5"/>
    </sheetView>
  </sheetViews>
  <sheetFormatPr defaultColWidth="7" defaultRowHeight="18.75"/>
  <cols>
    <col min="1" max="1" width="7" style="4"/>
    <col min="2" max="3" width="7" style="3"/>
    <col min="4" max="4" width="10.25" style="3" customWidth="1"/>
    <col min="5" max="5" width="9.25" style="3" customWidth="1"/>
    <col min="6" max="6" width="9.5" style="3" customWidth="1"/>
    <col min="7" max="7" width="12.125" style="3" customWidth="1"/>
    <col min="8" max="8" width="10.25" style="3" customWidth="1"/>
    <col min="9" max="9" width="12.125" style="3" customWidth="1"/>
    <col min="10" max="10" width="10.25" style="3" customWidth="1"/>
    <col min="11" max="12" width="8.375" style="3" customWidth="1"/>
    <col min="13" max="15" width="10.25" style="3" customWidth="1"/>
    <col min="16" max="21" width="8.375" style="3" customWidth="1"/>
    <col min="22" max="22" width="10.25" style="3" customWidth="1"/>
    <col min="23" max="23" width="8.375" style="3" customWidth="1"/>
    <col min="24" max="24" width="8.625" style="3" customWidth="1"/>
    <col min="25" max="25" width="8.375" style="3" customWidth="1"/>
    <col min="26" max="26" width="12.125" style="3" customWidth="1"/>
    <col min="27" max="27" width="8.375" style="3" customWidth="1"/>
    <col min="28" max="28" width="10.25" style="3" customWidth="1"/>
    <col min="29" max="29" width="14" style="3" customWidth="1"/>
    <col min="30" max="30" width="14.5" style="3" customWidth="1"/>
    <col min="31" max="31" width="10.25" style="3" customWidth="1"/>
    <col min="32" max="32" width="14" style="3" customWidth="1"/>
    <col min="33" max="33" width="10.25" style="3" customWidth="1"/>
    <col min="34" max="34" width="8.625" style="3" customWidth="1"/>
    <col min="35" max="35" width="9.375" style="3" customWidth="1"/>
    <col min="36" max="16384" width="7" style="3"/>
  </cols>
  <sheetData>
    <row r="1" spans="1:35" ht="19.5" thickBot="1">
      <c r="A1" s="54" t="s">
        <v>6</v>
      </c>
      <c r="B1" s="55" t="s">
        <v>7</v>
      </c>
      <c r="C1" s="56" t="s">
        <v>14</v>
      </c>
      <c r="D1" s="55" t="s">
        <v>15</v>
      </c>
      <c r="E1" s="56" t="s">
        <v>16</v>
      </c>
      <c r="F1" s="57" t="s">
        <v>17</v>
      </c>
      <c r="G1" s="57" t="s">
        <v>18</v>
      </c>
      <c r="H1" s="57" t="s">
        <v>19</v>
      </c>
      <c r="I1" s="57" t="s">
        <v>20</v>
      </c>
      <c r="J1" s="55" t="s">
        <v>21</v>
      </c>
      <c r="K1" s="56" t="s">
        <v>22</v>
      </c>
      <c r="L1" s="55" t="s">
        <v>23</v>
      </c>
      <c r="M1" s="56" t="s">
        <v>24</v>
      </c>
      <c r="N1" s="57" t="s">
        <v>25</v>
      </c>
      <c r="O1" s="55" t="s">
        <v>26</v>
      </c>
      <c r="P1" s="56" t="s">
        <v>27</v>
      </c>
      <c r="Q1" s="57" t="s">
        <v>28</v>
      </c>
      <c r="R1" s="57" t="s">
        <v>29</v>
      </c>
      <c r="S1" s="57" t="s">
        <v>76</v>
      </c>
      <c r="T1" s="57" t="s">
        <v>30</v>
      </c>
      <c r="U1" s="57" t="s">
        <v>31</v>
      </c>
      <c r="V1" s="55" t="s">
        <v>32</v>
      </c>
      <c r="W1" s="58" t="s">
        <v>33</v>
      </c>
      <c r="X1" s="56" t="s">
        <v>34</v>
      </c>
      <c r="Y1" s="59" t="s">
        <v>86</v>
      </c>
      <c r="Z1" s="55" t="s">
        <v>35</v>
      </c>
      <c r="AA1" s="58" t="s">
        <v>36</v>
      </c>
      <c r="AB1" s="58" t="s">
        <v>37</v>
      </c>
      <c r="AC1" s="60" t="s">
        <v>1641</v>
      </c>
      <c r="AD1" s="56" t="s">
        <v>38</v>
      </c>
      <c r="AE1" s="57" t="s">
        <v>39</v>
      </c>
      <c r="AF1" s="57" t="s">
        <v>40</v>
      </c>
      <c r="AG1" s="55" t="s">
        <v>41</v>
      </c>
      <c r="AH1" s="58" t="s">
        <v>42</v>
      </c>
      <c r="AI1" s="59" t="s">
        <v>43</v>
      </c>
    </row>
    <row r="2" spans="1:35">
      <c r="A2" s="51" t="s">
        <v>8</v>
      </c>
      <c r="B2" s="11" t="s">
        <v>0</v>
      </c>
      <c r="C2" s="26" t="s">
        <v>45</v>
      </c>
      <c r="D2" s="11" t="s">
        <v>61</v>
      </c>
      <c r="E2" s="49">
        <f>+[1]モンスター計算!E5</f>
        <v>82</v>
      </c>
      <c r="F2" s="10">
        <f>+[1]モンスター計算!F5</f>
        <v>13</v>
      </c>
      <c r="G2" s="10">
        <f>+[1]モンスター計算!G5</f>
        <v>10</v>
      </c>
      <c r="H2" s="10">
        <f>+[1]モンスター計算!H5</f>
        <v>22</v>
      </c>
      <c r="I2" s="10">
        <f>+[1]モンスター計算!I5</f>
        <v>7</v>
      </c>
      <c r="J2" s="11">
        <f>+[1]モンスター計算!J5</f>
        <v>8</v>
      </c>
      <c r="K2" s="26">
        <f>+[1]モンスター計算!K5</f>
        <v>0.05</v>
      </c>
      <c r="L2" s="11">
        <f>+[1]モンスター計算!L5</f>
        <v>1.5</v>
      </c>
      <c r="M2" s="26">
        <f>+[1]モンスター計算!M5</f>
        <v>2</v>
      </c>
      <c r="N2" s="10">
        <f>+[1]モンスター計算!N5</f>
        <v>1</v>
      </c>
      <c r="O2" s="11">
        <f>+[1]モンスター計算!O5</f>
        <v>2.5</v>
      </c>
      <c r="P2" s="26">
        <f>+[1]モンスター計算!P5</f>
        <v>-0.12000000000000001</v>
      </c>
      <c r="Q2" s="10">
        <f>+[1]モンスター計算!Q5</f>
        <v>0.18000000000000002</v>
      </c>
      <c r="R2" s="10">
        <f>+[1]モンスター計算!R5</f>
        <v>-0.02</v>
      </c>
      <c r="S2" s="10">
        <f>+[1]モンスター計算!S5</f>
        <v>-0.02</v>
      </c>
      <c r="T2" s="10">
        <f>+[1]モンスター計算!T5</f>
        <v>-0.02</v>
      </c>
      <c r="U2" s="10">
        <f>+[1]モンスター計算!U5</f>
        <v>-0.02</v>
      </c>
      <c r="V2" s="11">
        <f>+[1]モンスター計算!V5</f>
        <v>4</v>
      </c>
      <c r="W2" s="29">
        <v>8</v>
      </c>
      <c r="X2" s="26" t="s">
        <v>109</v>
      </c>
      <c r="Y2" s="32" t="s">
        <v>87</v>
      </c>
      <c r="Z2" s="11">
        <v>1.2</v>
      </c>
      <c r="AA2" s="29">
        <v>5</v>
      </c>
      <c r="AB2" s="29">
        <v>10</v>
      </c>
      <c r="AC2" s="46">
        <v>1</v>
      </c>
      <c r="AD2" s="26" t="s">
        <v>51</v>
      </c>
      <c r="AE2" s="10">
        <v>7</v>
      </c>
      <c r="AF2" s="10">
        <v>3</v>
      </c>
      <c r="AG2" s="11" t="b">
        <v>1</v>
      </c>
      <c r="AH2" s="29" t="s">
        <v>63</v>
      </c>
      <c r="AI2" s="32" t="s">
        <v>1919</v>
      </c>
    </row>
    <row r="3" spans="1:35">
      <c r="A3" s="52" t="s">
        <v>9</v>
      </c>
      <c r="B3" s="13" t="s">
        <v>1</v>
      </c>
      <c r="C3" s="27" t="s">
        <v>44</v>
      </c>
      <c r="D3" s="13" t="s">
        <v>61</v>
      </c>
      <c r="E3" s="27">
        <f>+[1]モンスター計算!E6</f>
        <v>112</v>
      </c>
      <c r="F3" s="5">
        <f>+[1]モンスター計算!F6</f>
        <v>20</v>
      </c>
      <c r="G3" s="5">
        <f>+[1]モンスター計算!G6</f>
        <v>5</v>
      </c>
      <c r="H3" s="5">
        <f>+[1]モンスター計算!H6</f>
        <v>16</v>
      </c>
      <c r="I3" s="5">
        <f>+[1]モンスター計算!I6</f>
        <v>16</v>
      </c>
      <c r="J3" s="13">
        <f>+[1]モンスター計算!J6</f>
        <v>6</v>
      </c>
      <c r="K3" s="27">
        <f>+[1]モンスター計算!K6</f>
        <v>5.5E-2</v>
      </c>
      <c r="L3" s="13">
        <f>+[1]モンスター計算!L6</f>
        <v>1.5</v>
      </c>
      <c r="M3" s="27">
        <f>+[1]モンスター計算!M6</f>
        <v>1.85</v>
      </c>
      <c r="N3" s="5">
        <f>+[1]モンスター計算!N6</f>
        <v>0.87</v>
      </c>
      <c r="O3" s="13">
        <f>+[1]モンスター計算!O6</f>
        <v>2.35</v>
      </c>
      <c r="P3" s="27">
        <f>+[1]モンスター計算!P6</f>
        <v>0.26500000000000001</v>
      </c>
      <c r="Q3" s="5">
        <f>+[1]モンスター計算!Q6</f>
        <v>-3.5000000000000003E-2</v>
      </c>
      <c r="R3" s="5">
        <f>+[1]モンスター計算!R6</f>
        <v>6.5000000000000002E-2</v>
      </c>
      <c r="S3" s="5">
        <f>+[1]モンスター計算!S6</f>
        <v>6.5000000000000002E-2</v>
      </c>
      <c r="T3" s="5">
        <f>+[1]モンスター計算!T6</f>
        <v>6.5000000000000002E-2</v>
      </c>
      <c r="U3" s="5">
        <f>+[1]モンスター計算!U6</f>
        <v>6.5000000000000002E-2</v>
      </c>
      <c r="V3" s="13">
        <f>+[1]モンスター計算!V6</f>
        <v>4.2</v>
      </c>
      <c r="W3" s="30">
        <v>8</v>
      </c>
      <c r="X3" s="27" t="s">
        <v>64</v>
      </c>
      <c r="Y3" s="33" t="s">
        <v>88</v>
      </c>
      <c r="Z3" s="13">
        <v>1.2</v>
      </c>
      <c r="AA3" s="30">
        <v>7</v>
      </c>
      <c r="AB3" s="30">
        <v>12</v>
      </c>
      <c r="AC3" s="47">
        <v>1</v>
      </c>
      <c r="AD3" s="27" t="s">
        <v>49</v>
      </c>
      <c r="AE3" s="5">
        <v>7.5</v>
      </c>
      <c r="AF3" s="5">
        <v>3</v>
      </c>
      <c r="AG3" s="13" t="b">
        <v>1</v>
      </c>
      <c r="AH3" s="30" t="s">
        <v>65</v>
      </c>
      <c r="AI3" s="33" t="s">
        <v>1825</v>
      </c>
    </row>
    <row r="4" spans="1:35">
      <c r="A4" s="52" t="s">
        <v>10</v>
      </c>
      <c r="B4" s="13" t="s">
        <v>2</v>
      </c>
      <c r="C4" s="27" t="s">
        <v>46</v>
      </c>
      <c r="D4" s="13" t="s">
        <v>61</v>
      </c>
      <c r="E4" s="27">
        <f>+[1]モンスター計算!E7</f>
        <v>92</v>
      </c>
      <c r="F4" s="5">
        <f>+[1]モンスター計算!F7</f>
        <v>15</v>
      </c>
      <c r="G4" s="5">
        <f>+[1]モンスター計算!G7</f>
        <v>8</v>
      </c>
      <c r="H4" s="5">
        <f>+[1]モンスター計算!H7</f>
        <v>18</v>
      </c>
      <c r="I4" s="5">
        <f>+[1]モンスター計算!I7</f>
        <v>8</v>
      </c>
      <c r="J4" s="13">
        <f>+[1]モンスター計算!J7</f>
        <v>8</v>
      </c>
      <c r="K4" s="27">
        <f>+[1]モンスター計算!K7</f>
        <v>0.05</v>
      </c>
      <c r="L4" s="13">
        <f>+[1]モンスター計算!L7</f>
        <v>1.5</v>
      </c>
      <c r="M4" s="27">
        <f>+[1]モンスター計算!M7</f>
        <v>2</v>
      </c>
      <c r="N4" s="5">
        <f>+[1]モンスター計算!N7</f>
        <v>1.05</v>
      </c>
      <c r="O4" s="13">
        <f>+[1]モンスター計算!O7</f>
        <v>2.5</v>
      </c>
      <c r="P4" s="27">
        <f>+[1]モンスター計算!P7</f>
        <v>0</v>
      </c>
      <c r="Q4" s="5">
        <f>+[1]モンスター計算!Q7</f>
        <v>0</v>
      </c>
      <c r="R4" s="5">
        <f>+[1]モンスター計算!R7</f>
        <v>0.2</v>
      </c>
      <c r="S4" s="5">
        <f>+[1]モンスター計算!S7</f>
        <v>-0.1</v>
      </c>
      <c r="T4" s="5">
        <f>+[1]モンスター計算!T7</f>
        <v>0</v>
      </c>
      <c r="U4" s="5">
        <f>+[1]モンスター計算!U7</f>
        <v>0</v>
      </c>
      <c r="V4" s="13">
        <f>+[1]モンスター計算!V7</f>
        <v>4</v>
      </c>
      <c r="W4" s="30">
        <v>9</v>
      </c>
      <c r="X4" s="27" t="s">
        <v>66</v>
      </c>
      <c r="Y4" s="33" t="s">
        <v>89</v>
      </c>
      <c r="Z4" s="13">
        <v>1.22</v>
      </c>
      <c r="AA4" s="30">
        <v>10</v>
      </c>
      <c r="AB4" s="30">
        <v>15</v>
      </c>
      <c r="AC4" s="47">
        <v>1</v>
      </c>
      <c r="AD4" s="27" t="s">
        <v>53</v>
      </c>
      <c r="AE4" s="5">
        <v>8.5</v>
      </c>
      <c r="AF4" s="5">
        <v>3</v>
      </c>
      <c r="AG4" s="13" t="b">
        <v>1</v>
      </c>
      <c r="AH4" s="30" t="s">
        <v>67</v>
      </c>
      <c r="AI4" s="33" t="s">
        <v>1825</v>
      </c>
    </row>
    <row r="5" spans="1:35">
      <c r="A5" s="52" t="s">
        <v>11</v>
      </c>
      <c r="B5" s="13" t="s">
        <v>3</v>
      </c>
      <c r="C5" s="27" t="s">
        <v>44</v>
      </c>
      <c r="D5" s="13" t="s">
        <v>59</v>
      </c>
      <c r="E5" s="27">
        <f>+[1]モンスター計算!E8</f>
        <v>127</v>
      </c>
      <c r="F5" s="5">
        <f>+[1]モンスター計算!F8</f>
        <v>5</v>
      </c>
      <c r="G5" s="5">
        <f>+[1]モンスター計算!G8</f>
        <v>27</v>
      </c>
      <c r="H5" s="5">
        <f>+[1]モンスター計算!H8</f>
        <v>8</v>
      </c>
      <c r="I5" s="5">
        <f>+[1]モンスター計算!I8</f>
        <v>8</v>
      </c>
      <c r="J5" s="13">
        <f>+[1]モンスター計算!J8</f>
        <v>7</v>
      </c>
      <c r="K5" s="27">
        <f>+[1]モンスター計算!K8</f>
        <v>0.06</v>
      </c>
      <c r="L5" s="13">
        <f>+[1]モンスター計算!L8</f>
        <v>2.15</v>
      </c>
      <c r="M5" s="27">
        <f>+[1]モンスター計算!M8</f>
        <v>1.65</v>
      </c>
      <c r="N5" s="5">
        <f>+[1]モンスター計算!N8</f>
        <v>0.53</v>
      </c>
      <c r="O5" s="13">
        <f>+[1]モンスター計算!O8</f>
        <v>1</v>
      </c>
      <c r="P5" s="27">
        <f>+[1]モンスター計算!P8</f>
        <v>0.17500000000000002</v>
      </c>
      <c r="Q5" s="5">
        <f>+[1]モンスター計算!Q8</f>
        <v>-0.125</v>
      </c>
      <c r="R5" s="5">
        <f>+[1]モンスター計算!R8</f>
        <v>-2.5000000000000001E-2</v>
      </c>
      <c r="S5" s="5">
        <f>+[1]モンスター計算!S8</f>
        <v>-2.5000000000000001E-2</v>
      </c>
      <c r="T5" s="5">
        <f>+[1]モンスター計算!T8</f>
        <v>-2.5000000000000001E-2</v>
      </c>
      <c r="U5" s="5">
        <f>+[1]モンスター計算!U8</f>
        <v>-2.5000000000000001E-2</v>
      </c>
      <c r="V5" s="13">
        <f>+[1]モンスター計算!V8</f>
        <v>4.4000000000000004</v>
      </c>
      <c r="W5" s="30">
        <v>10</v>
      </c>
      <c r="X5" s="27" t="s">
        <v>68</v>
      </c>
      <c r="Y5" s="33" t="s">
        <v>90</v>
      </c>
      <c r="Z5" s="13">
        <v>1.25</v>
      </c>
      <c r="AA5" s="30">
        <v>15</v>
      </c>
      <c r="AB5" s="30">
        <v>20</v>
      </c>
      <c r="AC5" s="47">
        <v>1</v>
      </c>
      <c r="AD5" s="27" t="s">
        <v>74</v>
      </c>
      <c r="AE5" s="5">
        <v>0</v>
      </c>
      <c r="AF5" s="5">
        <v>0</v>
      </c>
      <c r="AG5" s="13" t="b">
        <v>0</v>
      </c>
      <c r="AH5" s="30" t="s">
        <v>69</v>
      </c>
      <c r="AI5" s="33" t="s">
        <v>1825</v>
      </c>
    </row>
    <row r="6" spans="1:35">
      <c r="A6" s="52" t="s">
        <v>12</v>
      </c>
      <c r="B6" s="13" t="s">
        <v>4</v>
      </c>
      <c r="C6" s="27" t="s">
        <v>45</v>
      </c>
      <c r="D6" s="13" t="s">
        <v>59</v>
      </c>
      <c r="E6" s="27">
        <f>+[1]モンスター計算!E9</f>
        <v>92</v>
      </c>
      <c r="F6" s="5">
        <f>+[1]モンスター計算!F9</f>
        <v>6</v>
      </c>
      <c r="G6" s="5">
        <f>+[1]モンスター計算!G9</f>
        <v>22</v>
      </c>
      <c r="H6" s="5">
        <f>+[1]モンスター計算!H9</f>
        <v>8</v>
      </c>
      <c r="I6" s="5">
        <f>+[1]モンスター計算!I9</f>
        <v>7</v>
      </c>
      <c r="J6" s="13">
        <f>+[1]モンスター計算!J9</f>
        <v>7</v>
      </c>
      <c r="K6" s="27">
        <f>+[1]モンスター計算!K9</f>
        <v>7.0000000000000007E-2</v>
      </c>
      <c r="L6" s="13">
        <f>+[1]モンスター計算!L9</f>
        <v>1.6</v>
      </c>
      <c r="M6" s="27">
        <f>+[1]モンスター計算!M9</f>
        <v>2.4500000000000002</v>
      </c>
      <c r="N6" s="5">
        <f>+[1]モンスター計算!N9</f>
        <v>0.94</v>
      </c>
      <c r="O6" s="13">
        <f>+[1]モンスター計算!O9</f>
        <v>1</v>
      </c>
      <c r="P6" s="27">
        <f>+[1]モンスター計算!P9</f>
        <v>-0.13500000000000001</v>
      </c>
      <c r="Q6" s="5">
        <f>+[1]モンスター計算!Q9</f>
        <v>0.16500000000000001</v>
      </c>
      <c r="R6" s="5">
        <f>+[1]モンスター計算!R9</f>
        <v>-3.5000000000000003E-2</v>
      </c>
      <c r="S6" s="5">
        <f>+[1]モンスター計算!S9</f>
        <v>-3.5000000000000003E-2</v>
      </c>
      <c r="T6" s="5">
        <f>+[1]モンスター計算!T9</f>
        <v>-3.5000000000000003E-2</v>
      </c>
      <c r="U6" s="5">
        <f>+[1]モンスター計算!U9</f>
        <v>-3.5000000000000003E-2</v>
      </c>
      <c r="V6" s="13">
        <f>+[1]モンスター計算!V9</f>
        <v>5.6</v>
      </c>
      <c r="W6" s="30">
        <v>11</v>
      </c>
      <c r="X6" s="27" t="s">
        <v>70</v>
      </c>
      <c r="Y6" s="33" t="s">
        <v>91</v>
      </c>
      <c r="Z6" s="13">
        <v>1.25</v>
      </c>
      <c r="AA6" s="30">
        <v>20</v>
      </c>
      <c r="AB6" s="30">
        <v>25</v>
      </c>
      <c r="AC6" s="47">
        <v>1</v>
      </c>
      <c r="AD6" s="27" t="s">
        <v>74</v>
      </c>
      <c r="AE6" s="5">
        <v>0</v>
      </c>
      <c r="AF6" s="5">
        <v>0</v>
      </c>
      <c r="AG6" s="13" t="b">
        <v>0</v>
      </c>
      <c r="AH6" s="30" t="s">
        <v>71</v>
      </c>
      <c r="AI6" s="33" t="s">
        <v>1825</v>
      </c>
    </row>
    <row r="7" spans="1:35" ht="19.5" thickBot="1">
      <c r="A7" s="53" t="s">
        <v>13</v>
      </c>
      <c r="B7" s="16" t="s">
        <v>5</v>
      </c>
      <c r="C7" s="28" t="s">
        <v>47</v>
      </c>
      <c r="D7" s="16" t="s">
        <v>61</v>
      </c>
      <c r="E7" s="28">
        <f>+[1]モンスター計算!E10</f>
        <v>172</v>
      </c>
      <c r="F7" s="15">
        <f>+[1]モンスター計算!F10</f>
        <v>20</v>
      </c>
      <c r="G7" s="15">
        <f>+[1]モンスター計算!G10</f>
        <v>4</v>
      </c>
      <c r="H7" s="15">
        <f>+[1]モンスター計算!H10</f>
        <v>14</v>
      </c>
      <c r="I7" s="15">
        <f>+[1]モンスター計算!I10</f>
        <v>13</v>
      </c>
      <c r="J7" s="16">
        <f>+[1]モンスター計算!J10</f>
        <v>12</v>
      </c>
      <c r="K7" s="28">
        <f>+[1]モンスター計算!K10</f>
        <v>3.5000000000000003E-2</v>
      </c>
      <c r="L7" s="16">
        <f>+[1]モンスター計算!L10</f>
        <v>1.4</v>
      </c>
      <c r="M7" s="28">
        <f>+[1]モンスター計算!M10</f>
        <v>1.5</v>
      </c>
      <c r="N7" s="15">
        <f>+[1]モンスター計算!N10</f>
        <v>0.6</v>
      </c>
      <c r="O7" s="16">
        <f>+[1]モンスター計算!O10</f>
        <v>3.1</v>
      </c>
      <c r="P7" s="28">
        <f>+[1]モンスター計算!P10</f>
        <v>0.12</v>
      </c>
      <c r="Q7" s="15">
        <f>+[1]モンスター計算!Q10</f>
        <v>0.12</v>
      </c>
      <c r="R7" s="15">
        <f>+[1]モンスター計算!R10</f>
        <v>0.12</v>
      </c>
      <c r="S7" s="15">
        <f>+[1]モンスター計算!S10</f>
        <v>0.12</v>
      </c>
      <c r="T7" s="15">
        <f>+[1]モンスター計算!T10</f>
        <v>0.32</v>
      </c>
      <c r="U7" s="15">
        <f>+[1]モンスター計算!U10</f>
        <v>1.999999999999999E-2</v>
      </c>
      <c r="V7" s="16">
        <f>+[1]モンスター計算!V10</f>
        <v>4.12</v>
      </c>
      <c r="W7" s="31">
        <v>15</v>
      </c>
      <c r="X7" s="28" t="s">
        <v>72</v>
      </c>
      <c r="Y7" s="34" t="s">
        <v>92</v>
      </c>
      <c r="Z7" s="16">
        <v>1.3</v>
      </c>
      <c r="AA7" s="31">
        <v>40</v>
      </c>
      <c r="AB7" s="31">
        <v>40</v>
      </c>
      <c r="AC7" s="48">
        <v>1</v>
      </c>
      <c r="AD7" s="28" t="s">
        <v>55</v>
      </c>
      <c r="AE7" s="15">
        <v>10</v>
      </c>
      <c r="AF7" s="15">
        <v>4</v>
      </c>
      <c r="AG7" s="16" t="b">
        <v>1</v>
      </c>
      <c r="AH7" s="31" t="s">
        <v>73</v>
      </c>
      <c r="AI7" s="34" t="s">
        <v>1825</v>
      </c>
    </row>
    <row r="8" spans="1:35">
      <c r="A8" s="51" t="s">
        <v>523</v>
      </c>
      <c r="B8" s="11" t="s">
        <v>199</v>
      </c>
      <c r="C8" s="26" t="s">
        <v>45</v>
      </c>
      <c r="D8" s="11" t="s">
        <v>61</v>
      </c>
      <c r="E8" s="26">
        <f>+[1]モンスター計算!E11</f>
        <v>117</v>
      </c>
      <c r="F8" s="10">
        <f>+[1]モンスター計算!F11</f>
        <v>28</v>
      </c>
      <c r="G8" s="10">
        <f>+[1]モンスター計算!G11</f>
        <v>6</v>
      </c>
      <c r="H8" s="10">
        <f>+[1]モンスター計算!H11</f>
        <v>19</v>
      </c>
      <c r="I8" s="10">
        <f>+[1]モンスター計算!I11</f>
        <v>7</v>
      </c>
      <c r="J8" s="11">
        <f>+[1]モンスター計算!J11</f>
        <v>18</v>
      </c>
      <c r="K8" s="26">
        <f>+[1]モンスター計算!K11</f>
        <v>4.4999999999999998E-2</v>
      </c>
      <c r="L8" s="11">
        <f>+[1]モンスター計算!L11</f>
        <v>1.45</v>
      </c>
      <c r="M8" s="26">
        <f>+[1]モンスター計算!M11</f>
        <v>1.9</v>
      </c>
      <c r="N8" s="10">
        <f>+[1]モンスター計算!N11</f>
        <v>0.84</v>
      </c>
      <c r="O8" s="11">
        <f>+[1]モンスター計算!O11</f>
        <v>2.65</v>
      </c>
      <c r="P8" s="26">
        <f>+[1]モンスター計算!P11</f>
        <v>-1.0000000000000009E-2</v>
      </c>
      <c r="Q8" s="10">
        <f>+[1]モンスター計算!Q11</f>
        <v>0.29000000000000004</v>
      </c>
      <c r="R8" s="10">
        <f>+[1]モンスター計算!R11</f>
        <v>0.09</v>
      </c>
      <c r="S8" s="10">
        <f>+[1]モンスター計算!S11</f>
        <v>0.09</v>
      </c>
      <c r="T8" s="10">
        <f>+[1]モンスター計算!T11</f>
        <v>0.09</v>
      </c>
      <c r="U8" s="10">
        <f>+[1]モンスター計算!U11</f>
        <v>0.09</v>
      </c>
      <c r="V8" s="11">
        <f>+[1]モンスター計算!V11</f>
        <v>4.4000000000000004</v>
      </c>
      <c r="W8" s="29">
        <v>8</v>
      </c>
      <c r="X8" s="26" t="s">
        <v>109</v>
      </c>
      <c r="Y8" s="32" t="s">
        <v>87</v>
      </c>
      <c r="Z8" s="11">
        <v>1.2</v>
      </c>
      <c r="AA8" s="29">
        <v>5</v>
      </c>
      <c r="AB8" s="29">
        <f>ROUNDUP(AB2*1.05,0)</f>
        <v>11</v>
      </c>
      <c r="AC8" s="46">
        <f>+AC2+1</f>
        <v>2</v>
      </c>
      <c r="AD8" s="26" t="s">
        <v>51</v>
      </c>
      <c r="AE8" s="10">
        <v>7</v>
      </c>
      <c r="AF8" s="10">
        <v>3</v>
      </c>
      <c r="AG8" s="11" t="b">
        <v>1</v>
      </c>
      <c r="AH8" s="29" t="s">
        <v>919</v>
      </c>
      <c r="AI8" s="32" t="s">
        <v>1825</v>
      </c>
    </row>
    <row r="9" spans="1:35">
      <c r="A9" s="52" t="s">
        <v>524</v>
      </c>
      <c r="B9" s="13" t="s">
        <v>200</v>
      </c>
      <c r="C9" s="27" t="s">
        <v>44</v>
      </c>
      <c r="D9" s="13" t="s">
        <v>61</v>
      </c>
      <c r="E9" s="27">
        <f>+[1]モンスター計算!E12</f>
        <v>61</v>
      </c>
      <c r="F9" s="5">
        <f>+[1]モンスター計算!F12</f>
        <v>24</v>
      </c>
      <c r="G9" s="5">
        <f>+[1]モンスター計算!G12</f>
        <v>11</v>
      </c>
      <c r="H9" s="5">
        <f>+[1]モンスター計算!H12</f>
        <v>31</v>
      </c>
      <c r="I9" s="5">
        <f>+[1]モンスター計算!I12</f>
        <v>13</v>
      </c>
      <c r="J9" s="13">
        <f>+[1]モンスター計算!J12</f>
        <v>20</v>
      </c>
      <c r="K9" s="27">
        <f>+[1]モンスター計算!K12</f>
        <v>0.04</v>
      </c>
      <c r="L9" s="13">
        <f>+[1]モンスター計算!L12</f>
        <v>1.38</v>
      </c>
      <c r="M9" s="27">
        <f>+[1]モンスター計算!M12</f>
        <v>2.2000000000000002</v>
      </c>
      <c r="N9" s="5">
        <f>+[1]モンスター計算!N12</f>
        <v>0.88</v>
      </c>
      <c r="O9" s="13">
        <f>+[1]モンスター計算!O12</f>
        <v>3.15</v>
      </c>
      <c r="P9" s="27">
        <f>+[1]モンスター計算!P12</f>
        <v>0.33</v>
      </c>
      <c r="Q9" s="5">
        <f>+[1]モンスター計算!Q12</f>
        <v>0.03</v>
      </c>
      <c r="R9" s="5">
        <f>+[1]モンスター計算!R12</f>
        <v>0.13</v>
      </c>
      <c r="S9" s="5">
        <f>+[1]モンスター計算!S12</f>
        <v>0.13</v>
      </c>
      <c r="T9" s="5">
        <f>+[1]モンスター計算!T12</f>
        <v>0.13</v>
      </c>
      <c r="U9" s="5">
        <f>+[1]モンスター計算!U12</f>
        <v>0.13</v>
      </c>
      <c r="V9" s="13">
        <f>+[1]モンスター計算!V12</f>
        <v>4.4800000000000004</v>
      </c>
      <c r="W9" s="30">
        <v>8</v>
      </c>
      <c r="X9" s="27" t="s">
        <v>64</v>
      </c>
      <c r="Y9" s="33" t="s">
        <v>88</v>
      </c>
      <c r="Z9" s="13">
        <v>1.2</v>
      </c>
      <c r="AA9" s="30">
        <v>7</v>
      </c>
      <c r="AB9" s="30">
        <f t="shared" ref="AB9:AB72" si="0">ROUNDUP(AB3*1.05,0)</f>
        <v>13</v>
      </c>
      <c r="AC9" s="47">
        <f t="shared" ref="AC9:AC72" si="1">+AC3+1</f>
        <v>2</v>
      </c>
      <c r="AD9" s="27" t="s">
        <v>49</v>
      </c>
      <c r="AE9" s="5">
        <v>7.5</v>
      </c>
      <c r="AF9" s="5">
        <v>3</v>
      </c>
      <c r="AG9" s="13" t="b">
        <v>1</v>
      </c>
      <c r="AH9" s="30" t="s">
        <v>920</v>
      </c>
      <c r="AI9" s="33" t="s">
        <v>1825</v>
      </c>
    </row>
    <row r="10" spans="1:35">
      <c r="A10" s="52" t="s">
        <v>525</v>
      </c>
      <c r="B10" s="13" t="s">
        <v>201</v>
      </c>
      <c r="C10" s="27" t="s">
        <v>46</v>
      </c>
      <c r="D10" s="13" t="s">
        <v>61</v>
      </c>
      <c r="E10" s="27">
        <f>+[1]モンスター計算!E13</f>
        <v>110</v>
      </c>
      <c r="F10" s="5">
        <f>+[1]モンスター計算!F13</f>
        <v>23</v>
      </c>
      <c r="G10" s="5">
        <f>+[1]モンスター計算!G13</f>
        <v>9</v>
      </c>
      <c r="H10" s="5">
        <f>+[1]モンスター計算!H13</f>
        <v>19</v>
      </c>
      <c r="I10" s="5">
        <f>+[1]モンスター計算!I13</f>
        <v>9</v>
      </c>
      <c r="J10" s="13">
        <f>+[1]モンスター計算!J13</f>
        <v>11</v>
      </c>
      <c r="K10" s="27">
        <f>+[1]モンスター計算!K13</f>
        <v>0.06</v>
      </c>
      <c r="L10" s="13">
        <f>+[1]モンスター計算!L13</f>
        <v>1.4</v>
      </c>
      <c r="M10" s="27">
        <f>+[1]モンスター計算!M13</f>
        <v>2.1</v>
      </c>
      <c r="N10" s="5">
        <f>+[1]モンスター計算!N13</f>
        <v>0.95</v>
      </c>
      <c r="O10" s="13">
        <f>+[1]モンスター計算!O13</f>
        <v>2.875</v>
      </c>
      <c r="P10" s="27">
        <f>+[1]モンスター計算!P13</f>
        <v>0.03</v>
      </c>
      <c r="Q10" s="5">
        <f>+[1]モンスター計算!Q13</f>
        <v>0.03</v>
      </c>
      <c r="R10" s="5">
        <f>+[1]モンスター計算!R13</f>
        <v>0.23</v>
      </c>
      <c r="S10" s="5">
        <f>+[1]モンスター計算!S13</f>
        <v>-7.0000000000000007E-2</v>
      </c>
      <c r="T10" s="5">
        <f>+[1]モンスター計算!T13</f>
        <v>0.03</v>
      </c>
      <c r="U10" s="5">
        <f>+[1]モンスター計算!U13</f>
        <v>0.03</v>
      </c>
      <c r="V10" s="13">
        <f>+[1]モンスター計算!V13</f>
        <v>4.8</v>
      </c>
      <c r="W10" s="30">
        <v>9</v>
      </c>
      <c r="X10" s="27" t="s">
        <v>66</v>
      </c>
      <c r="Y10" s="33" t="s">
        <v>89</v>
      </c>
      <c r="Z10" s="13">
        <v>1.22</v>
      </c>
      <c r="AA10" s="30">
        <v>10</v>
      </c>
      <c r="AB10" s="30">
        <f t="shared" si="0"/>
        <v>16</v>
      </c>
      <c r="AC10" s="47">
        <f t="shared" si="1"/>
        <v>2</v>
      </c>
      <c r="AD10" s="27" t="s">
        <v>53</v>
      </c>
      <c r="AE10" s="5">
        <v>8.5</v>
      </c>
      <c r="AF10" s="5">
        <v>3</v>
      </c>
      <c r="AG10" s="13" t="b">
        <v>1</v>
      </c>
      <c r="AH10" s="30" t="s">
        <v>921</v>
      </c>
      <c r="AI10" s="33" t="s">
        <v>1825</v>
      </c>
    </row>
    <row r="11" spans="1:35">
      <c r="A11" s="52" t="s">
        <v>526</v>
      </c>
      <c r="B11" s="13" t="s">
        <v>202</v>
      </c>
      <c r="C11" s="27" t="s">
        <v>44</v>
      </c>
      <c r="D11" s="13" t="s">
        <v>59</v>
      </c>
      <c r="E11" s="27">
        <f>+[1]モンスター計算!E14</f>
        <v>130</v>
      </c>
      <c r="F11" s="5">
        <f>+[1]モンスター計算!F14</f>
        <v>7</v>
      </c>
      <c r="G11" s="5">
        <f>+[1]モンスター計算!G14</f>
        <v>18</v>
      </c>
      <c r="H11" s="5">
        <f>+[1]モンスター計算!H14</f>
        <v>6</v>
      </c>
      <c r="I11" s="5">
        <f>+[1]モンスター計算!I14</f>
        <v>10</v>
      </c>
      <c r="J11" s="13">
        <f>+[1]モンスター計算!J14</f>
        <v>10</v>
      </c>
      <c r="K11" s="27">
        <f>+[1]モンスター計算!K14</f>
        <v>0.04</v>
      </c>
      <c r="L11" s="13">
        <f>+[1]モンスター計算!L14</f>
        <v>1.43</v>
      </c>
      <c r="M11" s="27">
        <f>+[1]モンスター計算!M14</f>
        <v>2.15</v>
      </c>
      <c r="N11" s="5">
        <f>+[1]モンスター計算!N14</f>
        <v>0.88</v>
      </c>
      <c r="O11" s="13">
        <f>+[1]モンスター計算!O14</f>
        <v>1</v>
      </c>
      <c r="P11" s="27">
        <f>+[1]モンスター計算!P14</f>
        <v>0.39</v>
      </c>
      <c r="Q11" s="5">
        <f>+[1]モンスター計算!Q14</f>
        <v>0.09</v>
      </c>
      <c r="R11" s="5">
        <f>+[1]モンスター計算!R14</f>
        <v>0.19</v>
      </c>
      <c r="S11" s="5">
        <f>+[1]モンスター計算!S14</f>
        <v>0.19</v>
      </c>
      <c r="T11" s="5">
        <f>+[1]モンスター計算!T14</f>
        <v>0.19</v>
      </c>
      <c r="U11" s="5">
        <f>+[1]モンスター計算!U14</f>
        <v>0.19</v>
      </c>
      <c r="V11" s="13">
        <f>+[1]モンスター計算!V14</f>
        <v>3.8</v>
      </c>
      <c r="W11" s="30">
        <v>10</v>
      </c>
      <c r="X11" s="27" t="s">
        <v>68</v>
      </c>
      <c r="Y11" s="33" t="s">
        <v>90</v>
      </c>
      <c r="Z11" s="13">
        <v>1.25</v>
      </c>
      <c r="AA11" s="30">
        <v>15</v>
      </c>
      <c r="AB11" s="30">
        <f t="shared" si="0"/>
        <v>21</v>
      </c>
      <c r="AC11" s="47">
        <f t="shared" si="1"/>
        <v>2</v>
      </c>
      <c r="AD11" s="27" t="s">
        <v>74</v>
      </c>
      <c r="AE11" s="5">
        <v>0</v>
      </c>
      <c r="AF11" s="5">
        <v>0</v>
      </c>
      <c r="AG11" s="13" t="b">
        <v>0</v>
      </c>
      <c r="AH11" s="30" t="s">
        <v>922</v>
      </c>
      <c r="AI11" s="33" t="s">
        <v>1825</v>
      </c>
    </row>
    <row r="12" spans="1:35">
      <c r="A12" s="52" t="s">
        <v>527</v>
      </c>
      <c r="B12" s="13" t="s">
        <v>203</v>
      </c>
      <c r="C12" s="27" t="s">
        <v>45</v>
      </c>
      <c r="D12" s="13" t="s">
        <v>59</v>
      </c>
      <c r="E12" s="27">
        <f>+[1]モンスター計算!E15</f>
        <v>96</v>
      </c>
      <c r="F12" s="5">
        <f>+[1]モンスター計算!F15</f>
        <v>5</v>
      </c>
      <c r="G12" s="5">
        <f>+[1]モンスター計算!G15</f>
        <v>19</v>
      </c>
      <c r="H12" s="5">
        <f>+[1]モンスター計算!H15</f>
        <v>6</v>
      </c>
      <c r="I12" s="5">
        <f>+[1]モンスター計算!I15</f>
        <v>8</v>
      </c>
      <c r="J12" s="13">
        <f>+[1]モンスター計算!J15</f>
        <v>7</v>
      </c>
      <c r="K12" s="27">
        <f>+[1]モンスター計算!K15</f>
        <v>0.27</v>
      </c>
      <c r="L12" s="13">
        <f>+[1]モンスター計算!L15</f>
        <v>2.0299999999999998</v>
      </c>
      <c r="M12" s="27">
        <f>+[1]モンスター計算!M15</f>
        <v>2.75</v>
      </c>
      <c r="N12" s="5">
        <f>+[1]モンスター計算!N15</f>
        <v>1.04</v>
      </c>
      <c r="O12" s="13">
        <f>+[1]モンスター計算!O15</f>
        <v>1</v>
      </c>
      <c r="P12" s="27">
        <f>+[1]モンスター計算!P15</f>
        <v>-0.16</v>
      </c>
      <c r="Q12" s="5">
        <f>+[1]モンスター計算!Q15</f>
        <v>0.14000000000000001</v>
      </c>
      <c r="R12" s="5">
        <f>+[1]モンスター計算!R15</f>
        <v>-0.06</v>
      </c>
      <c r="S12" s="5">
        <f>+[1]モンスター計算!S15</f>
        <v>-0.06</v>
      </c>
      <c r="T12" s="5">
        <f>+[1]モンスター計算!T15</f>
        <v>-0.06</v>
      </c>
      <c r="U12" s="5">
        <f>+[1]モンスター計算!U15</f>
        <v>-0.06</v>
      </c>
      <c r="V12" s="13">
        <f>+[1]モンスター計算!V15</f>
        <v>4.2</v>
      </c>
      <c r="W12" s="30">
        <v>11</v>
      </c>
      <c r="X12" s="27" t="s">
        <v>70</v>
      </c>
      <c r="Y12" s="33" t="s">
        <v>91</v>
      </c>
      <c r="Z12" s="13">
        <v>1.25</v>
      </c>
      <c r="AA12" s="30">
        <v>20</v>
      </c>
      <c r="AB12" s="30">
        <f t="shared" si="0"/>
        <v>27</v>
      </c>
      <c r="AC12" s="47">
        <f t="shared" si="1"/>
        <v>2</v>
      </c>
      <c r="AD12" s="27" t="s">
        <v>74</v>
      </c>
      <c r="AE12" s="5">
        <v>0</v>
      </c>
      <c r="AF12" s="5">
        <v>0</v>
      </c>
      <c r="AG12" s="13" t="b">
        <v>0</v>
      </c>
      <c r="AH12" s="30" t="s">
        <v>923</v>
      </c>
      <c r="AI12" s="33" t="s">
        <v>1825</v>
      </c>
    </row>
    <row r="13" spans="1:35" ht="19.5" thickBot="1">
      <c r="A13" s="53" t="s">
        <v>528</v>
      </c>
      <c r="B13" s="16" t="s">
        <v>204</v>
      </c>
      <c r="C13" s="28" t="s">
        <v>47</v>
      </c>
      <c r="D13" s="16" t="s">
        <v>61</v>
      </c>
      <c r="E13" s="28">
        <f>+[1]モンスター計算!E16</f>
        <v>110</v>
      </c>
      <c r="F13" s="15">
        <f>+[1]モンスター計算!F16</f>
        <v>18</v>
      </c>
      <c r="G13" s="15">
        <f>+[1]モンスター計算!G16</f>
        <v>8</v>
      </c>
      <c r="H13" s="15">
        <f>+[1]モンスター計算!H16</f>
        <v>18</v>
      </c>
      <c r="I13" s="15">
        <f>+[1]モンスター計算!I16</f>
        <v>8</v>
      </c>
      <c r="J13" s="16">
        <f>+[1]モンスター計算!J16</f>
        <v>10</v>
      </c>
      <c r="K13" s="28">
        <f>+[1]モンスター計算!K16</f>
        <v>7.0000000000000007E-2</v>
      </c>
      <c r="L13" s="16">
        <f>+[1]モンスター計算!L16</f>
        <v>1.55</v>
      </c>
      <c r="M13" s="28">
        <f>+[1]モンスター計算!M16</f>
        <v>2.2999999999999998</v>
      </c>
      <c r="N13" s="15">
        <f>+[1]モンスター計算!N16</f>
        <v>1.1000000000000001</v>
      </c>
      <c r="O13" s="16">
        <f>+[1]モンスター計算!O16</f>
        <v>2.7</v>
      </c>
      <c r="P13" s="28">
        <f>+[1]モンスター計算!P16</f>
        <v>-0.03</v>
      </c>
      <c r="Q13" s="15">
        <f>+[1]モンスター計算!Q16</f>
        <v>-0.03</v>
      </c>
      <c r="R13" s="15">
        <f>+[1]モンスター計算!R16</f>
        <v>-0.03</v>
      </c>
      <c r="S13" s="15">
        <f>+[1]モンスター計算!S16</f>
        <v>-0.03</v>
      </c>
      <c r="T13" s="15">
        <f>+[1]モンスター計算!T16</f>
        <v>0.17</v>
      </c>
      <c r="U13" s="15">
        <f>+[1]モンスター計算!U16</f>
        <v>-0.13</v>
      </c>
      <c r="V13" s="16">
        <f>+[1]モンスター計算!V16</f>
        <v>4</v>
      </c>
      <c r="W13" s="31">
        <v>15</v>
      </c>
      <c r="X13" s="28" t="s">
        <v>72</v>
      </c>
      <c r="Y13" s="34" t="s">
        <v>92</v>
      </c>
      <c r="Z13" s="16">
        <v>1.3</v>
      </c>
      <c r="AA13" s="31">
        <v>40</v>
      </c>
      <c r="AB13" s="31">
        <f t="shared" si="0"/>
        <v>42</v>
      </c>
      <c r="AC13" s="48">
        <f t="shared" si="1"/>
        <v>2</v>
      </c>
      <c r="AD13" s="28" t="s">
        <v>55</v>
      </c>
      <c r="AE13" s="15">
        <v>10</v>
      </c>
      <c r="AF13" s="15">
        <v>4</v>
      </c>
      <c r="AG13" s="16" t="b">
        <v>1</v>
      </c>
      <c r="AH13" s="31" t="s">
        <v>924</v>
      </c>
      <c r="AI13" s="34" t="s">
        <v>1825</v>
      </c>
    </row>
    <row r="14" spans="1:35">
      <c r="A14" s="51" t="s">
        <v>529</v>
      </c>
      <c r="B14" s="11" t="s">
        <v>205</v>
      </c>
      <c r="C14" s="26" t="s">
        <v>45</v>
      </c>
      <c r="D14" s="11" t="s">
        <v>61</v>
      </c>
      <c r="E14" s="26">
        <f>+[1]モンスター計算!E17</f>
        <v>169</v>
      </c>
      <c r="F14" s="10">
        <f>+[1]モンスター計算!F17</f>
        <v>39</v>
      </c>
      <c r="G14" s="10">
        <f>+[1]モンスター計算!G17</f>
        <v>6</v>
      </c>
      <c r="H14" s="10">
        <f>+[1]モンスター計算!H17</f>
        <v>17</v>
      </c>
      <c r="I14" s="10">
        <f>+[1]モンスター計算!I17</f>
        <v>9</v>
      </c>
      <c r="J14" s="11">
        <f>+[1]モンスター計算!J17</f>
        <v>16</v>
      </c>
      <c r="K14" s="26">
        <f>+[1]モンスター計算!K17</f>
        <v>0.115</v>
      </c>
      <c r="L14" s="11">
        <f>+[1]モンスター計算!L17</f>
        <v>1.95</v>
      </c>
      <c r="M14" s="26">
        <f>+[1]モンスター計算!M17</f>
        <v>1.2</v>
      </c>
      <c r="N14" s="10">
        <f>+[1]モンスター計算!N17</f>
        <v>0.72</v>
      </c>
      <c r="O14" s="11">
        <f>+[1]モンスター計算!O17</f>
        <v>3.3250000000000002</v>
      </c>
      <c r="P14" s="26">
        <f>+[1]モンスター計算!P17</f>
        <v>-2.0000000000000004E-2</v>
      </c>
      <c r="Q14" s="10">
        <f>+[1]モンスター計算!Q17</f>
        <v>0.28000000000000003</v>
      </c>
      <c r="R14" s="10">
        <f>+[1]モンスター計算!R17</f>
        <v>0.08</v>
      </c>
      <c r="S14" s="10">
        <f>+[1]モンスター計算!S17</f>
        <v>0.08</v>
      </c>
      <c r="T14" s="10">
        <f>+[1]モンスター計算!T17</f>
        <v>0.08</v>
      </c>
      <c r="U14" s="10">
        <f>+[1]モンスター計算!U17</f>
        <v>0.08</v>
      </c>
      <c r="V14" s="11">
        <f>+[1]モンスター計算!V17</f>
        <v>5</v>
      </c>
      <c r="W14" s="29">
        <v>8</v>
      </c>
      <c r="X14" s="26" t="s">
        <v>109</v>
      </c>
      <c r="Y14" s="32" t="s">
        <v>87</v>
      </c>
      <c r="Z14" s="11">
        <v>1.2</v>
      </c>
      <c r="AA14" s="29">
        <v>5</v>
      </c>
      <c r="AB14" s="29">
        <f t="shared" si="0"/>
        <v>12</v>
      </c>
      <c r="AC14" s="46">
        <f t="shared" si="1"/>
        <v>3</v>
      </c>
      <c r="AD14" s="26" t="s">
        <v>51</v>
      </c>
      <c r="AE14" s="10">
        <v>7</v>
      </c>
      <c r="AF14" s="10">
        <v>3</v>
      </c>
      <c r="AG14" s="11" t="b">
        <v>1</v>
      </c>
      <c r="AH14" s="29" t="s">
        <v>925</v>
      </c>
      <c r="AI14" s="32" t="s">
        <v>1825</v>
      </c>
    </row>
    <row r="15" spans="1:35">
      <c r="A15" s="52" t="s">
        <v>530</v>
      </c>
      <c r="B15" s="13" t="s">
        <v>206</v>
      </c>
      <c r="C15" s="27" t="s">
        <v>44</v>
      </c>
      <c r="D15" s="13" t="s">
        <v>61</v>
      </c>
      <c r="E15" s="27">
        <f>+[1]モンスター計算!E18</f>
        <v>94</v>
      </c>
      <c r="F15" s="5">
        <f>+[1]モンスター計算!F18</f>
        <v>20</v>
      </c>
      <c r="G15" s="5">
        <f>+[1]モンスター計算!G18</f>
        <v>12</v>
      </c>
      <c r="H15" s="5">
        <f>+[1]モンスター計算!H18</f>
        <v>26</v>
      </c>
      <c r="I15" s="5">
        <f>+[1]モンスター計算!I18</f>
        <v>7</v>
      </c>
      <c r="J15" s="13">
        <f>+[1]モンスター計算!J18</f>
        <v>8</v>
      </c>
      <c r="K15" s="27">
        <f>+[1]モンスター計算!K18</f>
        <v>0.11</v>
      </c>
      <c r="L15" s="13">
        <f>+[1]モンスター計算!L18</f>
        <v>1.65</v>
      </c>
      <c r="M15" s="27">
        <f>+[1]モンスター計算!M18</f>
        <v>2.2000000000000002</v>
      </c>
      <c r="N15" s="5">
        <f>+[1]モンスター計算!N18</f>
        <v>1.1000000000000001</v>
      </c>
      <c r="O15" s="13">
        <f>+[1]モンスター計算!O18</f>
        <v>2.75</v>
      </c>
      <c r="P15" s="27">
        <f>+[1]モンスター計算!P18</f>
        <v>0.16</v>
      </c>
      <c r="Q15" s="5">
        <f>+[1]モンスター計算!Q18</f>
        <v>-0.14000000000000001</v>
      </c>
      <c r="R15" s="5">
        <f>+[1]モンスター計算!R18</f>
        <v>-0.04</v>
      </c>
      <c r="S15" s="5">
        <f>+[1]モンスター計算!S18</f>
        <v>-0.04</v>
      </c>
      <c r="T15" s="5">
        <f>+[1]モンスター計算!T18</f>
        <v>-0.04</v>
      </c>
      <c r="U15" s="5">
        <f>+[1]モンスター計算!U18</f>
        <v>-0.04</v>
      </c>
      <c r="V15" s="13">
        <f>+[1]モンスター計算!V18</f>
        <v>4.2</v>
      </c>
      <c r="W15" s="30">
        <v>8</v>
      </c>
      <c r="X15" s="27" t="s">
        <v>64</v>
      </c>
      <c r="Y15" s="33" t="s">
        <v>88</v>
      </c>
      <c r="Z15" s="13">
        <v>1.2</v>
      </c>
      <c r="AA15" s="30">
        <v>7</v>
      </c>
      <c r="AB15" s="30">
        <f t="shared" si="0"/>
        <v>14</v>
      </c>
      <c r="AC15" s="47">
        <f t="shared" si="1"/>
        <v>3</v>
      </c>
      <c r="AD15" s="27" t="s">
        <v>49</v>
      </c>
      <c r="AE15" s="5">
        <v>7.5</v>
      </c>
      <c r="AF15" s="5">
        <v>3</v>
      </c>
      <c r="AG15" s="13" t="b">
        <v>1</v>
      </c>
      <c r="AH15" s="30" t="s">
        <v>926</v>
      </c>
      <c r="AI15" s="33" t="s">
        <v>1825</v>
      </c>
    </row>
    <row r="16" spans="1:35">
      <c r="A16" s="52" t="s">
        <v>531</v>
      </c>
      <c r="B16" s="13" t="s">
        <v>207</v>
      </c>
      <c r="C16" s="27" t="s">
        <v>46</v>
      </c>
      <c r="D16" s="13" t="s">
        <v>61</v>
      </c>
      <c r="E16" s="27">
        <f>+[1]モンスター計算!E19</f>
        <v>208</v>
      </c>
      <c r="F16" s="5">
        <f>+[1]モンスター計算!F19</f>
        <v>24</v>
      </c>
      <c r="G16" s="5">
        <f>+[1]モンスター計算!G19</f>
        <v>5</v>
      </c>
      <c r="H16" s="5">
        <f>+[1]モンスター計算!H19</f>
        <v>17</v>
      </c>
      <c r="I16" s="5">
        <f>+[1]モンスター計算!I19</f>
        <v>16</v>
      </c>
      <c r="J16" s="13">
        <f>+[1]モンスター計算!J19</f>
        <v>15</v>
      </c>
      <c r="K16" s="27">
        <f>+[1]モンスター計算!K19</f>
        <v>3.5000000000000003E-2</v>
      </c>
      <c r="L16" s="13">
        <f>+[1]モンスター計算!L19</f>
        <v>1.4</v>
      </c>
      <c r="M16" s="27">
        <f>+[1]モンスター計算!M19</f>
        <v>1.5</v>
      </c>
      <c r="N16" s="5">
        <f>+[1]モンスター計算!N19</f>
        <v>0.6</v>
      </c>
      <c r="O16" s="13">
        <f>+[1]モンスター計算!O19</f>
        <v>3.1</v>
      </c>
      <c r="P16" s="27">
        <f>+[1]モンスター計算!P19</f>
        <v>0.12</v>
      </c>
      <c r="Q16" s="5">
        <f>+[1]モンスター計算!Q19</f>
        <v>0.12</v>
      </c>
      <c r="R16" s="5">
        <f>+[1]モンスター計算!R19</f>
        <v>0.32</v>
      </c>
      <c r="S16" s="5">
        <f>+[1]モンスター計算!S19</f>
        <v>1.999999999999999E-2</v>
      </c>
      <c r="T16" s="5">
        <f>+[1]モンスター計算!T19</f>
        <v>0.12</v>
      </c>
      <c r="U16" s="5">
        <f>+[1]モンスター計算!U19</f>
        <v>0.12</v>
      </c>
      <c r="V16" s="13">
        <f>+[1]モンスター計算!V19</f>
        <v>4.12</v>
      </c>
      <c r="W16" s="30">
        <v>9</v>
      </c>
      <c r="X16" s="27" t="s">
        <v>66</v>
      </c>
      <c r="Y16" s="33" t="s">
        <v>89</v>
      </c>
      <c r="Z16" s="13">
        <v>1.22</v>
      </c>
      <c r="AA16" s="30">
        <v>10</v>
      </c>
      <c r="AB16" s="30">
        <f t="shared" si="0"/>
        <v>17</v>
      </c>
      <c r="AC16" s="47">
        <f t="shared" si="1"/>
        <v>3</v>
      </c>
      <c r="AD16" s="27" t="s">
        <v>53</v>
      </c>
      <c r="AE16" s="5">
        <v>8.5</v>
      </c>
      <c r="AF16" s="5">
        <v>3</v>
      </c>
      <c r="AG16" s="13" t="b">
        <v>1</v>
      </c>
      <c r="AH16" s="30" t="s">
        <v>927</v>
      </c>
      <c r="AI16" s="33" t="s">
        <v>1825</v>
      </c>
    </row>
    <row r="17" spans="1:35">
      <c r="A17" s="52" t="s">
        <v>532</v>
      </c>
      <c r="B17" s="13" t="s">
        <v>208</v>
      </c>
      <c r="C17" s="27" t="s">
        <v>44</v>
      </c>
      <c r="D17" s="13" t="s">
        <v>59</v>
      </c>
      <c r="E17" s="27">
        <f>+[1]モンスター計算!E20</f>
        <v>248</v>
      </c>
      <c r="F17" s="5">
        <f>+[1]モンスター計算!F20</f>
        <v>5</v>
      </c>
      <c r="G17" s="5">
        <f>+[1]モンスター計算!G20</f>
        <v>19</v>
      </c>
      <c r="H17" s="5">
        <f>+[1]モンスター計算!H20</f>
        <v>8</v>
      </c>
      <c r="I17" s="5">
        <f>+[1]モンスター計算!I20</f>
        <v>15</v>
      </c>
      <c r="J17" s="13">
        <f>+[1]モンスター計算!J20</f>
        <v>13</v>
      </c>
      <c r="K17" s="27">
        <f>+[1]モンスター計算!K20</f>
        <v>2.5000000000000001E-2</v>
      </c>
      <c r="L17" s="13">
        <f>+[1]モンスター計算!L20</f>
        <v>1.35</v>
      </c>
      <c r="M17" s="27">
        <f>+[1]モンスター計算!M20</f>
        <v>1.1499999999999999</v>
      </c>
      <c r="N17" s="5">
        <f>+[1]モンスター計算!N20</f>
        <v>0.51</v>
      </c>
      <c r="O17" s="13">
        <f>+[1]モンスター計算!O20</f>
        <v>1</v>
      </c>
      <c r="P17" s="27">
        <f>+[1]モンスター計算!P20</f>
        <v>0.25</v>
      </c>
      <c r="Q17" s="5">
        <f>+[1]モンスター計算!Q20</f>
        <v>-0.05</v>
      </c>
      <c r="R17" s="5">
        <f>+[1]モンスター計算!R20</f>
        <v>0.05</v>
      </c>
      <c r="S17" s="5">
        <f>+[1]モンスター計算!S20</f>
        <v>0.05</v>
      </c>
      <c r="T17" s="5">
        <f>+[1]モンスター計算!T20</f>
        <v>0.05</v>
      </c>
      <c r="U17" s="5">
        <f>+[1]モンスター計算!U20</f>
        <v>0.05</v>
      </c>
      <c r="V17" s="13">
        <f>+[1]モンスター計算!V20</f>
        <v>3.2</v>
      </c>
      <c r="W17" s="30">
        <v>10</v>
      </c>
      <c r="X17" s="27" t="s">
        <v>68</v>
      </c>
      <c r="Y17" s="33" t="s">
        <v>90</v>
      </c>
      <c r="Z17" s="13">
        <v>1.25</v>
      </c>
      <c r="AA17" s="30">
        <v>15</v>
      </c>
      <c r="AB17" s="30">
        <f t="shared" si="0"/>
        <v>23</v>
      </c>
      <c r="AC17" s="47">
        <f t="shared" si="1"/>
        <v>3</v>
      </c>
      <c r="AD17" s="27" t="s">
        <v>74</v>
      </c>
      <c r="AE17" s="5">
        <v>0</v>
      </c>
      <c r="AF17" s="5">
        <v>0</v>
      </c>
      <c r="AG17" s="13" t="b">
        <v>0</v>
      </c>
      <c r="AH17" s="30" t="s">
        <v>928</v>
      </c>
      <c r="AI17" s="33" t="s">
        <v>1825</v>
      </c>
    </row>
    <row r="18" spans="1:35">
      <c r="A18" s="52" t="s">
        <v>533</v>
      </c>
      <c r="B18" s="13" t="s">
        <v>209</v>
      </c>
      <c r="C18" s="27" t="s">
        <v>45</v>
      </c>
      <c r="D18" s="13" t="s">
        <v>59</v>
      </c>
      <c r="E18" s="27">
        <f>+[1]モンスター計算!E21</f>
        <v>163</v>
      </c>
      <c r="F18" s="5">
        <f>+[1]モンスター計算!F21</f>
        <v>7</v>
      </c>
      <c r="G18" s="5">
        <f>+[1]モンスター計算!G21</f>
        <v>14</v>
      </c>
      <c r="H18" s="5">
        <f>+[1]モンスター計算!H21</f>
        <v>6</v>
      </c>
      <c r="I18" s="5">
        <f>+[1]モンスター計算!I21</f>
        <v>14</v>
      </c>
      <c r="J18" s="13">
        <f>+[1]モンスター計算!J21</f>
        <v>10</v>
      </c>
      <c r="K18" s="27">
        <f>+[1]モンスター計算!K21</f>
        <v>0.08</v>
      </c>
      <c r="L18" s="13">
        <f>+[1]モンスター計算!L21</f>
        <v>1.6</v>
      </c>
      <c r="M18" s="27">
        <f>+[1]モンスター計算!M21</f>
        <v>2.7</v>
      </c>
      <c r="N18" s="5">
        <f>+[1]モンスター計算!N21</f>
        <v>1.05</v>
      </c>
      <c r="O18" s="13">
        <f>+[1]モンスター計算!O21</f>
        <v>1</v>
      </c>
      <c r="P18" s="27">
        <f>+[1]モンスター計算!P21</f>
        <v>-3.5000000000000003E-2</v>
      </c>
      <c r="Q18" s="5">
        <f>+[1]モンスター計算!Q21</f>
        <v>0.26500000000000001</v>
      </c>
      <c r="R18" s="5">
        <f>+[1]モンスター計算!R21</f>
        <v>6.5000000000000002E-2</v>
      </c>
      <c r="S18" s="5">
        <f>+[1]モンスター計算!S21</f>
        <v>6.5000000000000002E-2</v>
      </c>
      <c r="T18" s="5">
        <f>+[1]モンスター計算!T21</f>
        <v>6.5000000000000002E-2</v>
      </c>
      <c r="U18" s="5">
        <f>+[1]モンスター計算!U21</f>
        <v>6.5000000000000002E-2</v>
      </c>
      <c r="V18" s="13">
        <f>+[1]モンスター計算!V21</f>
        <v>4</v>
      </c>
      <c r="W18" s="30">
        <v>11</v>
      </c>
      <c r="X18" s="27" t="s">
        <v>70</v>
      </c>
      <c r="Y18" s="33" t="s">
        <v>91</v>
      </c>
      <c r="Z18" s="13">
        <v>1.25</v>
      </c>
      <c r="AA18" s="30">
        <v>20</v>
      </c>
      <c r="AB18" s="30">
        <f t="shared" si="0"/>
        <v>29</v>
      </c>
      <c r="AC18" s="47">
        <f t="shared" si="1"/>
        <v>3</v>
      </c>
      <c r="AD18" s="27" t="s">
        <v>74</v>
      </c>
      <c r="AE18" s="5">
        <v>0</v>
      </c>
      <c r="AF18" s="5">
        <v>0</v>
      </c>
      <c r="AG18" s="13" t="b">
        <v>0</v>
      </c>
      <c r="AH18" s="30" t="s">
        <v>929</v>
      </c>
      <c r="AI18" s="33" t="s">
        <v>1825</v>
      </c>
    </row>
    <row r="19" spans="1:35" ht="19.5" thickBot="1">
      <c r="A19" s="53" t="s">
        <v>534</v>
      </c>
      <c r="B19" s="16" t="s">
        <v>210</v>
      </c>
      <c r="C19" s="28" t="s">
        <v>47</v>
      </c>
      <c r="D19" s="16" t="s">
        <v>61</v>
      </c>
      <c r="E19" s="28">
        <f>+[1]モンスター計算!E22</f>
        <v>90</v>
      </c>
      <c r="F19" s="15">
        <f>+[1]モンスター計算!F22</f>
        <v>17</v>
      </c>
      <c r="G19" s="15">
        <f>+[1]モンスター計算!G22</f>
        <v>6</v>
      </c>
      <c r="H19" s="15">
        <f>+[1]モンスター計算!H22</f>
        <v>21</v>
      </c>
      <c r="I19" s="15">
        <f>+[1]モンスター計算!I22</f>
        <v>7</v>
      </c>
      <c r="J19" s="16">
        <f>+[1]モンスター計算!J22</f>
        <v>8</v>
      </c>
      <c r="K19" s="28">
        <f>+[1]モンスター計算!K22</f>
        <v>0.05</v>
      </c>
      <c r="L19" s="16">
        <f>+[1]モンスター計算!L22</f>
        <v>1.4</v>
      </c>
      <c r="M19" s="28">
        <f>+[1]モンスター計算!M22</f>
        <v>3.35</v>
      </c>
      <c r="N19" s="15">
        <f>+[1]モンスター計算!N22</f>
        <v>1.55</v>
      </c>
      <c r="O19" s="16">
        <f>+[1]モンスター計算!O22</f>
        <v>2.2999999999999998</v>
      </c>
      <c r="P19" s="28">
        <f>+[1]モンスター計算!P22</f>
        <v>-7.0000000000000007E-2</v>
      </c>
      <c r="Q19" s="15">
        <f>+[1]モンスター計算!Q22</f>
        <v>-7.0000000000000007E-2</v>
      </c>
      <c r="R19" s="15">
        <f>+[1]モンスター計算!R22</f>
        <v>-7.0000000000000007E-2</v>
      </c>
      <c r="S19" s="15">
        <f>+[1]モンスター計算!S22</f>
        <v>-7.0000000000000007E-2</v>
      </c>
      <c r="T19" s="15">
        <f>+[1]モンスター計算!T22</f>
        <v>0.13</v>
      </c>
      <c r="U19" s="15">
        <f>+[1]モンスター計算!U22</f>
        <v>-0.17</v>
      </c>
      <c r="V19" s="16">
        <f>+[1]モンスター計算!V22</f>
        <v>4</v>
      </c>
      <c r="W19" s="31">
        <v>15</v>
      </c>
      <c r="X19" s="28" t="s">
        <v>72</v>
      </c>
      <c r="Y19" s="34" t="s">
        <v>92</v>
      </c>
      <c r="Z19" s="16">
        <v>1.3</v>
      </c>
      <c r="AA19" s="31">
        <v>40</v>
      </c>
      <c r="AB19" s="31">
        <f t="shared" si="0"/>
        <v>45</v>
      </c>
      <c r="AC19" s="48">
        <f t="shared" si="1"/>
        <v>3</v>
      </c>
      <c r="AD19" s="28" t="s">
        <v>55</v>
      </c>
      <c r="AE19" s="15">
        <v>10</v>
      </c>
      <c r="AF19" s="15">
        <v>4</v>
      </c>
      <c r="AG19" s="16" t="b">
        <v>1</v>
      </c>
      <c r="AH19" s="31" t="s">
        <v>930</v>
      </c>
      <c r="AI19" s="34" t="s">
        <v>1825</v>
      </c>
    </row>
    <row r="20" spans="1:35">
      <c r="A20" s="51" t="s">
        <v>535</v>
      </c>
      <c r="B20" s="11" t="s">
        <v>211</v>
      </c>
      <c r="C20" s="26" t="s">
        <v>45</v>
      </c>
      <c r="D20" s="11" t="s">
        <v>61</v>
      </c>
      <c r="E20" s="26">
        <f>+[1]モンスター計算!E23</f>
        <v>160</v>
      </c>
      <c r="F20" s="10">
        <f>+[1]モンスター計算!F23</f>
        <v>19</v>
      </c>
      <c r="G20" s="10">
        <f>+[1]モンスター計算!G23</f>
        <v>9</v>
      </c>
      <c r="H20" s="10">
        <f>+[1]モンスター計算!H23</f>
        <v>19</v>
      </c>
      <c r="I20" s="10">
        <f>+[1]モンスター計算!I23</f>
        <v>14</v>
      </c>
      <c r="J20" s="11">
        <f>+[1]モンスター計算!J23</f>
        <v>9</v>
      </c>
      <c r="K20" s="26">
        <f>+[1]モンスター計算!K23</f>
        <v>0.08</v>
      </c>
      <c r="L20" s="11">
        <f>+[1]モンスター計算!L23</f>
        <v>1.6</v>
      </c>
      <c r="M20" s="26">
        <f>+[1]モンスター計算!M23</f>
        <v>2.8</v>
      </c>
      <c r="N20" s="10">
        <f>+[1]モンスター計算!N23</f>
        <v>1</v>
      </c>
      <c r="O20" s="11">
        <f>+[1]モンスター計算!O23</f>
        <v>2.5</v>
      </c>
      <c r="P20" s="26">
        <f>+[1]モンスター計算!P23</f>
        <v>-8.5000000000000006E-2</v>
      </c>
      <c r="Q20" s="10">
        <f>+[1]モンスター計算!Q23</f>
        <v>0.21500000000000002</v>
      </c>
      <c r="R20" s="10">
        <f>+[1]モンスター計算!R23</f>
        <v>1.4999999999999999E-2</v>
      </c>
      <c r="S20" s="10">
        <f>+[1]モンスター計算!S23</f>
        <v>1.4999999999999999E-2</v>
      </c>
      <c r="T20" s="10">
        <f>+[1]モンスター計算!T23</f>
        <v>1.4999999999999999E-2</v>
      </c>
      <c r="U20" s="10">
        <f>+[1]モンスター計算!U23</f>
        <v>1.4999999999999999E-2</v>
      </c>
      <c r="V20" s="11">
        <f>+[1]モンスター計算!V23</f>
        <v>4</v>
      </c>
      <c r="W20" s="29">
        <v>8</v>
      </c>
      <c r="X20" s="26" t="s">
        <v>109</v>
      </c>
      <c r="Y20" s="32" t="s">
        <v>87</v>
      </c>
      <c r="Z20" s="11">
        <v>1.2</v>
      </c>
      <c r="AA20" s="29">
        <v>5</v>
      </c>
      <c r="AB20" s="29">
        <f t="shared" si="0"/>
        <v>13</v>
      </c>
      <c r="AC20" s="46">
        <f t="shared" si="1"/>
        <v>4</v>
      </c>
      <c r="AD20" s="26" t="s">
        <v>51</v>
      </c>
      <c r="AE20" s="10">
        <v>7</v>
      </c>
      <c r="AF20" s="10">
        <v>3</v>
      </c>
      <c r="AG20" s="11" t="b">
        <v>1</v>
      </c>
      <c r="AH20" s="29" t="s">
        <v>931</v>
      </c>
      <c r="AI20" s="32" t="s">
        <v>1825</v>
      </c>
    </row>
    <row r="21" spans="1:35">
      <c r="A21" s="52" t="s">
        <v>536</v>
      </c>
      <c r="B21" s="13" t="s">
        <v>212</v>
      </c>
      <c r="C21" s="27" t="s">
        <v>44</v>
      </c>
      <c r="D21" s="13" t="s">
        <v>61</v>
      </c>
      <c r="E21" s="27">
        <f>+[1]モンスター計算!E24</f>
        <v>77</v>
      </c>
      <c r="F21" s="5">
        <f>+[1]モンスター計算!F24</f>
        <v>15</v>
      </c>
      <c r="G21" s="5">
        <f>+[1]モンスター計算!G24</f>
        <v>8</v>
      </c>
      <c r="H21" s="5">
        <f>+[1]モンスター計算!H24</f>
        <v>35</v>
      </c>
      <c r="I21" s="5">
        <f>+[1]モンスター計算!I24</f>
        <v>7</v>
      </c>
      <c r="J21" s="13">
        <f>+[1]モンスター計算!J24</f>
        <v>7</v>
      </c>
      <c r="K21" s="27">
        <f>+[1]モンスター計算!K24</f>
        <v>0.08</v>
      </c>
      <c r="L21" s="13">
        <f>+[1]モンスター計算!L24</f>
        <v>1.55</v>
      </c>
      <c r="M21" s="27">
        <f>+[1]モンスター計算!M24</f>
        <v>4.2</v>
      </c>
      <c r="N21" s="5">
        <f>+[1]モンスター計算!N24</f>
        <v>1.3</v>
      </c>
      <c r="O21" s="13">
        <f>+[1]モンスター計算!O24</f>
        <v>2.5</v>
      </c>
      <c r="P21" s="27">
        <f>+[1]モンスター計算!P24</f>
        <v>0.11000000000000001</v>
      </c>
      <c r="Q21" s="5">
        <f>+[1]モンスター計算!Q24</f>
        <v>-0.19</v>
      </c>
      <c r="R21" s="5">
        <f>+[1]モンスター計算!R24</f>
        <v>-0.09</v>
      </c>
      <c r="S21" s="5">
        <f>+[1]モンスター計算!S24</f>
        <v>-0.09</v>
      </c>
      <c r="T21" s="5">
        <f>+[1]モンスター計算!T24</f>
        <v>-0.09</v>
      </c>
      <c r="U21" s="5">
        <f>+[1]モンスター計算!U24</f>
        <v>-0.09</v>
      </c>
      <c r="V21" s="13">
        <f>+[1]モンスター計算!V24</f>
        <v>4.2</v>
      </c>
      <c r="W21" s="30">
        <v>8</v>
      </c>
      <c r="X21" s="27" t="s">
        <v>64</v>
      </c>
      <c r="Y21" s="33" t="s">
        <v>88</v>
      </c>
      <c r="Z21" s="13">
        <v>1.2</v>
      </c>
      <c r="AA21" s="30">
        <v>7</v>
      </c>
      <c r="AB21" s="30">
        <f t="shared" si="0"/>
        <v>15</v>
      </c>
      <c r="AC21" s="47">
        <f t="shared" si="1"/>
        <v>4</v>
      </c>
      <c r="AD21" s="27" t="s">
        <v>49</v>
      </c>
      <c r="AE21" s="5">
        <v>7.5</v>
      </c>
      <c r="AF21" s="5">
        <v>3</v>
      </c>
      <c r="AG21" s="13" t="b">
        <v>1</v>
      </c>
      <c r="AH21" s="30" t="s">
        <v>932</v>
      </c>
      <c r="AI21" s="33" t="s">
        <v>1825</v>
      </c>
    </row>
    <row r="22" spans="1:35">
      <c r="A22" s="52" t="s">
        <v>537</v>
      </c>
      <c r="B22" s="13" t="s">
        <v>213</v>
      </c>
      <c r="C22" s="27" t="s">
        <v>46</v>
      </c>
      <c r="D22" s="13" t="s">
        <v>61</v>
      </c>
      <c r="E22" s="27">
        <f>+[1]モンスター計算!E25</f>
        <v>149</v>
      </c>
      <c r="F22" s="5">
        <f>+[1]モンスター計算!F25</f>
        <v>26</v>
      </c>
      <c r="G22" s="5">
        <f>+[1]モンスター計算!G25</f>
        <v>7</v>
      </c>
      <c r="H22" s="5">
        <f>+[1]モンスター計算!H25</f>
        <v>22</v>
      </c>
      <c r="I22" s="5">
        <f>+[1]モンスター計算!I25</f>
        <v>21</v>
      </c>
      <c r="J22" s="13">
        <f>+[1]モンスター計算!J25</f>
        <v>8</v>
      </c>
      <c r="K22" s="27">
        <f>+[1]モンスター計算!K25</f>
        <v>5.5E-2</v>
      </c>
      <c r="L22" s="13">
        <f>+[1]モンスター計算!L25</f>
        <v>1.5</v>
      </c>
      <c r="M22" s="27">
        <f>+[1]モンスター計算!M25</f>
        <v>1.85</v>
      </c>
      <c r="N22" s="5">
        <f>+[1]モンスター計算!N25</f>
        <v>0.87</v>
      </c>
      <c r="O22" s="13">
        <f>+[1]モンスター計算!O25</f>
        <v>2.35</v>
      </c>
      <c r="P22" s="27">
        <f>+[1]モンスター計算!P25</f>
        <v>6.5000000000000002E-2</v>
      </c>
      <c r="Q22" s="5">
        <f>+[1]モンスター計算!Q25</f>
        <v>6.5000000000000002E-2</v>
      </c>
      <c r="R22" s="5">
        <f>+[1]モンスター計算!R25</f>
        <v>0.26500000000000001</v>
      </c>
      <c r="S22" s="5">
        <f>+[1]モンスター計算!S25</f>
        <v>-3.5000000000000003E-2</v>
      </c>
      <c r="T22" s="5">
        <f>+[1]モンスター計算!T25</f>
        <v>6.5000000000000002E-2</v>
      </c>
      <c r="U22" s="5">
        <f>+[1]モンスター計算!U25</f>
        <v>6.5000000000000002E-2</v>
      </c>
      <c r="V22" s="13">
        <f>+[1]モンスター計算!V25</f>
        <v>4.2</v>
      </c>
      <c r="W22" s="30">
        <v>9</v>
      </c>
      <c r="X22" s="27" t="s">
        <v>66</v>
      </c>
      <c r="Y22" s="33" t="s">
        <v>89</v>
      </c>
      <c r="Z22" s="13">
        <v>1.22</v>
      </c>
      <c r="AA22" s="30">
        <v>10</v>
      </c>
      <c r="AB22" s="30">
        <f t="shared" si="0"/>
        <v>18</v>
      </c>
      <c r="AC22" s="47">
        <f t="shared" si="1"/>
        <v>4</v>
      </c>
      <c r="AD22" s="27" t="s">
        <v>53</v>
      </c>
      <c r="AE22" s="5">
        <v>8.5</v>
      </c>
      <c r="AF22" s="5">
        <v>3</v>
      </c>
      <c r="AG22" s="13" t="b">
        <v>1</v>
      </c>
      <c r="AH22" s="30" t="s">
        <v>933</v>
      </c>
      <c r="AI22" s="33" t="s">
        <v>1825</v>
      </c>
    </row>
    <row r="23" spans="1:35">
      <c r="A23" s="52" t="s">
        <v>538</v>
      </c>
      <c r="B23" s="13" t="s">
        <v>214</v>
      </c>
      <c r="C23" s="27" t="s">
        <v>44</v>
      </c>
      <c r="D23" s="13" t="s">
        <v>59</v>
      </c>
      <c r="E23" s="27">
        <f>+[1]モンスター計算!E26</f>
        <v>160</v>
      </c>
      <c r="F23" s="5">
        <f>+[1]モンスター計算!F26</f>
        <v>7</v>
      </c>
      <c r="G23" s="5">
        <f>+[1]モンスター計算!G26</f>
        <v>19</v>
      </c>
      <c r="H23" s="5">
        <f>+[1]モンスター計算!H26</f>
        <v>9</v>
      </c>
      <c r="I23" s="5">
        <f>+[1]モンスター計算!I26</f>
        <v>14</v>
      </c>
      <c r="J23" s="13">
        <f>+[1]モンスター計算!J26</f>
        <v>9</v>
      </c>
      <c r="K23" s="27">
        <f>+[1]モンスター計算!K26</f>
        <v>0.08</v>
      </c>
      <c r="L23" s="13">
        <f>+[1]モンスター計算!L26</f>
        <v>1.6</v>
      </c>
      <c r="M23" s="27">
        <f>+[1]モンスター計算!M26</f>
        <v>2.8</v>
      </c>
      <c r="N23" s="5">
        <f>+[1]モンスター計算!N26</f>
        <v>1</v>
      </c>
      <c r="O23" s="13">
        <f>+[1]モンスター計算!O26</f>
        <v>1</v>
      </c>
      <c r="P23" s="27">
        <f>+[1]モンスター計算!P26</f>
        <v>0.23500000000000001</v>
      </c>
      <c r="Q23" s="5">
        <f>+[1]モンスター計算!Q26</f>
        <v>-6.5000000000000002E-2</v>
      </c>
      <c r="R23" s="5">
        <f>+[1]モンスター計算!R26</f>
        <v>3.5000000000000003E-2</v>
      </c>
      <c r="S23" s="5">
        <f>+[1]モンスター計算!S26</f>
        <v>3.5000000000000003E-2</v>
      </c>
      <c r="T23" s="5">
        <f>+[1]モンスター計算!T26</f>
        <v>3.5000000000000003E-2</v>
      </c>
      <c r="U23" s="5">
        <f>+[1]モンスター計算!U26</f>
        <v>3.5000000000000003E-2</v>
      </c>
      <c r="V23" s="13">
        <f>+[1]モンスター計算!V26</f>
        <v>4</v>
      </c>
      <c r="W23" s="30">
        <v>10</v>
      </c>
      <c r="X23" s="27" t="s">
        <v>68</v>
      </c>
      <c r="Y23" s="33" t="s">
        <v>90</v>
      </c>
      <c r="Z23" s="13">
        <v>1.25</v>
      </c>
      <c r="AA23" s="30">
        <v>15</v>
      </c>
      <c r="AB23" s="30">
        <f t="shared" si="0"/>
        <v>25</v>
      </c>
      <c r="AC23" s="47">
        <f t="shared" si="1"/>
        <v>4</v>
      </c>
      <c r="AD23" s="27" t="s">
        <v>74</v>
      </c>
      <c r="AE23" s="5">
        <v>0</v>
      </c>
      <c r="AF23" s="5">
        <v>0</v>
      </c>
      <c r="AG23" s="13" t="b">
        <v>0</v>
      </c>
      <c r="AH23" s="30" t="s">
        <v>934</v>
      </c>
      <c r="AI23" s="33" t="s">
        <v>1825</v>
      </c>
    </row>
    <row r="24" spans="1:35">
      <c r="A24" s="52" t="s">
        <v>539</v>
      </c>
      <c r="B24" s="13" t="s">
        <v>215</v>
      </c>
      <c r="C24" s="27" t="s">
        <v>45</v>
      </c>
      <c r="D24" s="13" t="s">
        <v>59</v>
      </c>
      <c r="E24" s="27">
        <f>+[1]モンスター計算!E27</f>
        <v>169</v>
      </c>
      <c r="F24" s="5">
        <f>+[1]モンスター計算!F27</f>
        <v>6</v>
      </c>
      <c r="G24" s="5">
        <f>+[1]モンスター計算!G27</f>
        <v>36</v>
      </c>
      <c r="H24" s="5">
        <f>+[1]モンスター計算!H27</f>
        <v>11</v>
      </c>
      <c r="I24" s="5">
        <f>+[1]モンスター計算!I27</f>
        <v>11</v>
      </c>
      <c r="J24" s="13">
        <f>+[1]モンスター計算!J27</f>
        <v>9</v>
      </c>
      <c r="K24" s="27">
        <f>+[1]モンスター計算!K27</f>
        <v>0.06</v>
      </c>
      <c r="L24" s="13">
        <f>+[1]モンスター計算!L27</f>
        <v>2.15</v>
      </c>
      <c r="M24" s="27">
        <f>+[1]モンスター計算!M27</f>
        <v>1.65</v>
      </c>
      <c r="N24" s="5">
        <f>+[1]モンスター計算!N27</f>
        <v>0.53</v>
      </c>
      <c r="O24" s="13">
        <f>+[1]モンスター計算!O27</f>
        <v>1</v>
      </c>
      <c r="P24" s="27">
        <f>+[1]モンスター計算!P27</f>
        <v>-0.125</v>
      </c>
      <c r="Q24" s="5">
        <f>+[1]モンスター計算!Q27</f>
        <v>0.17500000000000002</v>
      </c>
      <c r="R24" s="5">
        <f>+[1]モンスター計算!R27</f>
        <v>-2.5000000000000001E-2</v>
      </c>
      <c r="S24" s="5">
        <f>+[1]モンスター計算!S27</f>
        <v>-2.5000000000000001E-2</v>
      </c>
      <c r="T24" s="5">
        <f>+[1]モンスター計算!T27</f>
        <v>-2.5000000000000001E-2</v>
      </c>
      <c r="U24" s="5">
        <f>+[1]モンスター計算!U27</f>
        <v>-2.5000000000000001E-2</v>
      </c>
      <c r="V24" s="13">
        <f>+[1]モンスター計算!V27</f>
        <v>4.4000000000000004</v>
      </c>
      <c r="W24" s="30">
        <v>11</v>
      </c>
      <c r="X24" s="27" t="s">
        <v>70</v>
      </c>
      <c r="Y24" s="33" t="s">
        <v>91</v>
      </c>
      <c r="Z24" s="13">
        <v>1.25</v>
      </c>
      <c r="AA24" s="30">
        <v>20</v>
      </c>
      <c r="AB24" s="30">
        <f t="shared" si="0"/>
        <v>31</v>
      </c>
      <c r="AC24" s="47">
        <f t="shared" si="1"/>
        <v>4</v>
      </c>
      <c r="AD24" s="27" t="s">
        <v>74</v>
      </c>
      <c r="AE24" s="5">
        <v>0</v>
      </c>
      <c r="AF24" s="5">
        <v>0</v>
      </c>
      <c r="AG24" s="13" t="b">
        <v>0</v>
      </c>
      <c r="AH24" s="30" t="s">
        <v>935</v>
      </c>
      <c r="AI24" s="33" t="s">
        <v>1825</v>
      </c>
    </row>
    <row r="25" spans="1:35" ht="19.5" thickBot="1">
      <c r="A25" s="53" t="s">
        <v>540</v>
      </c>
      <c r="B25" s="16" t="s">
        <v>216</v>
      </c>
      <c r="C25" s="28" t="s">
        <v>47</v>
      </c>
      <c r="D25" s="16" t="s">
        <v>61</v>
      </c>
      <c r="E25" s="28">
        <f>+[1]モンスター計算!E28</f>
        <v>170</v>
      </c>
      <c r="F25" s="15">
        <f>+[1]モンスター計算!F28</f>
        <v>18</v>
      </c>
      <c r="G25" s="15">
        <f>+[1]モンスター計算!G28</f>
        <v>5</v>
      </c>
      <c r="H25" s="15">
        <f>+[1]モンスター計算!H28</f>
        <v>13</v>
      </c>
      <c r="I25" s="15">
        <f>+[1]モンスター計算!I28</f>
        <v>13</v>
      </c>
      <c r="J25" s="16">
        <f>+[1]モンスター計算!J28</f>
        <v>12</v>
      </c>
      <c r="K25" s="28">
        <f>+[1]モンスター計算!K28</f>
        <v>7.0000000000000007E-2</v>
      </c>
      <c r="L25" s="16">
        <f>+[1]モンスター計算!L28</f>
        <v>1.5</v>
      </c>
      <c r="M25" s="28">
        <f>+[1]モンスター計算!M28</f>
        <v>2.8</v>
      </c>
      <c r="N25" s="15">
        <f>+[1]モンスター計算!N28</f>
        <v>1.45</v>
      </c>
      <c r="O25" s="16">
        <f>+[1]モンスター計算!O28</f>
        <v>1.55</v>
      </c>
      <c r="P25" s="28">
        <f>+[1]モンスター計算!P28</f>
        <v>0.03</v>
      </c>
      <c r="Q25" s="15">
        <f>+[1]モンスター計算!Q28</f>
        <v>0.03</v>
      </c>
      <c r="R25" s="15">
        <f>+[1]モンスター計算!R28</f>
        <v>0.03</v>
      </c>
      <c r="S25" s="15">
        <f>+[1]モンスター計算!S28</f>
        <v>0.03</v>
      </c>
      <c r="T25" s="15">
        <f>+[1]モンスター計算!T28</f>
        <v>0.23</v>
      </c>
      <c r="U25" s="15">
        <f>+[1]モンスター計算!U28</f>
        <v>-7.0000000000000007E-2</v>
      </c>
      <c r="V25" s="16">
        <f>+[1]モンスター計算!V28</f>
        <v>3.6</v>
      </c>
      <c r="W25" s="31">
        <v>15</v>
      </c>
      <c r="X25" s="28" t="s">
        <v>72</v>
      </c>
      <c r="Y25" s="34" t="s">
        <v>92</v>
      </c>
      <c r="Z25" s="16">
        <v>1.3</v>
      </c>
      <c r="AA25" s="31">
        <v>40</v>
      </c>
      <c r="AB25" s="31">
        <f t="shared" si="0"/>
        <v>48</v>
      </c>
      <c r="AC25" s="48">
        <f t="shared" si="1"/>
        <v>4</v>
      </c>
      <c r="AD25" s="28" t="s">
        <v>55</v>
      </c>
      <c r="AE25" s="15">
        <v>10</v>
      </c>
      <c r="AF25" s="15">
        <v>4</v>
      </c>
      <c r="AG25" s="16" t="b">
        <v>1</v>
      </c>
      <c r="AH25" s="31" t="s">
        <v>936</v>
      </c>
      <c r="AI25" s="34" t="s">
        <v>1825</v>
      </c>
    </row>
    <row r="26" spans="1:35">
      <c r="A26" s="51" t="s">
        <v>541</v>
      </c>
      <c r="B26" s="11" t="s">
        <v>217</v>
      </c>
      <c r="C26" s="26" t="s">
        <v>45</v>
      </c>
      <c r="D26" s="11" t="s">
        <v>61</v>
      </c>
      <c r="E26" s="26">
        <f>+[1]モンスター計算!E29</f>
        <v>133</v>
      </c>
      <c r="F26" s="10">
        <f>+[1]モンスター計算!F29</f>
        <v>34</v>
      </c>
      <c r="G26" s="10">
        <f>+[1]モンスター計算!G29</f>
        <v>15</v>
      </c>
      <c r="H26" s="10">
        <f>+[1]モンスター計算!H29</f>
        <v>43</v>
      </c>
      <c r="I26" s="10">
        <f>+[1]モンスター計算!I29</f>
        <v>10</v>
      </c>
      <c r="J26" s="11">
        <f>+[1]モンスター計算!J29</f>
        <v>11</v>
      </c>
      <c r="K26" s="26">
        <f>+[1]モンスター計算!K29</f>
        <v>0.04</v>
      </c>
      <c r="L26" s="11">
        <f>+[1]モンスター計算!L29</f>
        <v>2.2000000000000002</v>
      </c>
      <c r="M26" s="26">
        <f>+[1]モンスター計算!M29</f>
        <v>1.65</v>
      </c>
      <c r="N26" s="10">
        <f>+[1]モンスター計算!N29</f>
        <v>0.64</v>
      </c>
      <c r="O26" s="11">
        <f>+[1]モンスター計算!O29</f>
        <v>3.7</v>
      </c>
      <c r="P26" s="26">
        <f>+[1]モンスター計算!P29</f>
        <v>-0.125</v>
      </c>
      <c r="Q26" s="10">
        <f>+[1]モンスター計算!Q29</f>
        <v>0.17500000000000002</v>
      </c>
      <c r="R26" s="10">
        <f>+[1]モンスター計算!R29</f>
        <v>-2.5000000000000001E-2</v>
      </c>
      <c r="S26" s="10">
        <f>+[1]モンスター計算!S29</f>
        <v>-2.5000000000000001E-2</v>
      </c>
      <c r="T26" s="10">
        <f>+[1]モンスター計算!T29</f>
        <v>-2.5000000000000001E-2</v>
      </c>
      <c r="U26" s="10">
        <f>+[1]モンスター計算!U29</f>
        <v>-2.5000000000000001E-2</v>
      </c>
      <c r="V26" s="11">
        <f>+[1]モンスター計算!V29</f>
        <v>5</v>
      </c>
      <c r="W26" s="29">
        <v>8</v>
      </c>
      <c r="X26" s="26" t="s">
        <v>109</v>
      </c>
      <c r="Y26" s="32" t="s">
        <v>87</v>
      </c>
      <c r="Z26" s="11">
        <v>1.2</v>
      </c>
      <c r="AA26" s="29">
        <v>5</v>
      </c>
      <c r="AB26" s="29">
        <f t="shared" si="0"/>
        <v>14</v>
      </c>
      <c r="AC26" s="46">
        <f t="shared" si="1"/>
        <v>5</v>
      </c>
      <c r="AD26" s="26" t="s">
        <v>51</v>
      </c>
      <c r="AE26" s="10">
        <v>7</v>
      </c>
      <c r="AF26" s="10">
        <v>3</v>
      </c>
      <c r="AG26" s="11" t="b">
        <v>1</v>
      </c>
      <c r="AH26" s="29" t="s">
        <v>937</v>
      </c>
      <c r="AI26" s="32" t="s">
        <v>1825</v>
      </c>
    </row>
    <row r="27" spans="1:35">
      <c r="A27" s="52" t="s">
        <v>542</v>
      </c>
      <c r="B27" s="13" t="s">
        <v>218</v>
      </c>
      <c r="C27" s="27" t="s">
        <v>44</v>
      </c>
      <c r="D27" s="13" t="s">
        <v>61</v>
      </c>
      <c r="E27" s="27">
        <f>+[1]モンスター計算!E30</f>
        <v>155</v>
      </c>
      <c r="F27" s="5">
        <f>+[1]モンスター計算!F30</f>
        <v>37</v>
      </c>
      <c r="G27" s="5">
        <f>+[1]モンスター計算!G30</f>
        <v>8</v>
      </c>
      <c r="H27" s="5">
        <f>+[1]モンスター計算!H30</f>
        <v>26</v>
      </c>
      <c r="I27" s="5">
        <f>+[1]モンスター計算!I30</f>
        <v>9</v>
      </c>
      <c r="J27" s="13">
        <f>+[1]モンスター計算!J30</f>
        <v>24</v>
      </c>
      <c r="K27" s="27">
        <f>+[1]モンスター計算!K30</f>
        <v>4.4999999999999998E-2</v>
      </c>
      <c r="L27" s="13">
        <f>+[1]モンスター計算!L30</f>
        <v>1.45</v>
      </c>
      <c r="M27" s="27">
        <f>+[1]モンスター計算!M30</f>
        <v>1.9</v>
      </c>
      <c r="N27" s="5">
        <f>+[1]モンスター計算!N30</f>
        <v>0.84</v>
      </c>
      <c r="O27" s="13">
        <f>+[1]モンスター計算!O30</f>
        <v>2.65</v>
      </c>
      <c r="P27" s="27">
        <f>+[1]モンスター計算!P30</f>
        <v>0.29000000000000004</v>
      </c>
      <c r="Q27" s="5">
        <f>+[1]モンスター計算!Q30</f>
        <v>-1.0000000000000009E-2</v>
      </c>
      <c r="R27" s="5">
        <f>+[1]モンスター計算!R30</f>
        <v>0.09</v>
      </c>
      <c r="S27" s="5">
        <f>+[1]モンスター計算!S30</f>
        <v>0.09</v>
      </c>
      <c r="T27" s="5">
        <f>+[1]モンスター計算!T30</f>
        <v>0.09</v>
      </c>
      <c r="U27" s="5">
        <f>+[1]モンスター計算!U30</f>
        <v>0.09</v>
      </c>
      <c r="V27" s="13">
        <f>+[1]モンスター計算!V30</f>
        <v>4.4000000000000004</v>
      </c>
      <c r="W27" s="30">
        <v>8</v>
      </c>
      <c r="X27" s="27" t="s">
        <v>64</v>
      </c>
      <c r="Y27" s="33" t="s">
        <v>88</v>
      </c>
      <c r="Z27" s="13">
        <v>1.2</v>
      </c>
      <c r="AA27" s="30">
        <v>7</v>
      </c>
      <c r="AB27" s="30">
        <f t="shared" si="0"/>
        <v>16</v>
      </c>
      <c r="AC27" s="47">
        <f t="shared" si="1"/>
        <v>5</v>
      </c>
      <c r="AD27" s="27" t="s">
        <v>49</v>
      </c>
      <c r="AE27" s="5">
        <v>7.5</v>
      </c>
      <c r="AF27" s="5">
        <v>3</v>
      </c>
      <c r="AG27" s="13" t="b">
        <v>1</v>
      </c>
      <c r="AH27" s="30" t="s">
        <v>938</v>
      </c>
      <c r="AI27" s="33" t="s">
        <v>1825</v>
      </c>
    </row>
    <row r="28" spans="1:35">
      <c r="A28" s="52" t="s">
        <v>543</v>
      </c>
      <c r="B28" s="13" t="s">
        <v>219</v>
      </c>
      <c r="C28" s="27" t="s">
        <v>46</v>
      </c>
      <c r="D28" s="13" t="s">
        <v>61</v>
      </c>
      <c r="E28" s="27">
        <f>+[1]モンスター計算!E31</f>
        <v>81</v>
      </c>
      <c r="F28" s="5">
        <f>+[1]モンスター計算!F31</f>
        <v>32</v>
      </c>
      <c r="G28" s="5">
        <f>+[1]モンスター計算!G31</f>
        <v>15</v>
      </c>
      <c r="H28" s="5">
        <f>+[1]モンスター計算!H31</f>
        <v>42</v>
      </c>
      <c r="I28" s="5">
        <f>+[1]モンスター計算!I31</f>
        <v>17</v>
      </c>
      <c r="J28" s="13">
        <f>+[1]モンスター計算!J31</f>
        <v>26</v>
      </c>
      <c r="K28" s="27">
        <f>+[1]モンスター計算!K31</f>
        <v>0.04</v>
      </c>
      <c r="L28" s="13">
        <f>+[1]モンスター計算!L31</f>
        <v>1.38</v>
      </c>
      <c r="M28" s="27">
        <f>+[1]モンスター計算!M31</f>
        <v>2.2000000000000002</v>
      </c>
      <c r="N28" s="5">
        <f>+[1]モンスター計算!N31</f>
        <v>0.88</v>
      </c>
      <c r="O28" s="13">
        <f>+[1]モンスター計算!O31</f>
        <v>3.15</v>
      </c>
      <c r="P28" s="27">
        <f>+[1]モンスター計算!P31</f>
        <v>0.13</v>
      </c>
      <c r="Q28" s="5">
        <f>+[1]モンスター計算!Q31</f>
        <v>0.13</v>
      </c>
      <c r="R28" s="5">
        <f>+[1]モンスター計算!R31</f>
        <v>0.33</v>
      </c>
      <c r="S28" s="5">
        <f>+[1]モンスター計算!S31</f>
        <v>0.03</v>
      </c>
      <c r="T28" s="5">
        <f>+[1]モンスター計算!T31</f>
        <v>0.13</v>
      </c>
      <c r="U28" s="5">
        <f>+[1]モンスター計算!U31</f>
        <v>0.13</v>
      </c>
      <c r="V28" s="13">
        <f>+[1]モンスター計算!V31</f>
        <v>4.4800000000000004</v>
      </c>
      <c r="W28" s="30">
        <v>9</v>
      </c>
      <c r="X28" s="27" t="s">
        <v>66</v>
      </c>
      <c r="Y28" s="33" t="s">
        <v>89</v>
      </c>
      <c r="Z28" s="13">
        <v>1.22</v>
      </c>
      <c r="AA28" s="30">
        <v>10</v>
      </c>
      <c r="AB28" s="30">
        <f t="shared" si="0"/>
        <v>19</v>
      </c>
      <c r="AC28" s="47">
        <f t="shared" si="1"/>
        <v>5</v>
      </c>
      <c r="AD28" s="27" t="s">
        <v>53</v>
      </c>
      <c r="AE28" s="5">
        <v>8.5</v>
      </c>
      <c r="AF28" s="5">
        <v>3</v>
      </c>
      <c r="AG28" s="13" t="b">
        <v>1</v>
      </c>
      <c r="AH28" s="30" t="s">
        <v>939</v>
      </c>
      <c r="AI28" s="33" t="s">
        <v>1825</v>
      </c>
    </row>
    <row r="29" spans="1:35">
      <c r="A29" s="52" t="s">
        <v>544</v>
      </c>
      <c r="B29" s="13" t="s">
        <v>220</v>
      </c>
      <c r="C29" s="27" t="s">
        <v>44</v>
      </c>
      <c r="D29" s="13" t="s">
        <v>59</v>
      </c>
      <c r="E29" s="27">
        <f>+[1]モンスター計算!E32</f>
        <v>95</v>
      </c>
      <c r="F29" s="5">
        <f>+[1]モンスター計算!F32</f>
        <v>5</v>
      </c>
      <c r="G29" s="5">
        <f>+[1]モンスター計算!G32</f>
        <v>30</v>
      </c>
      <c r="H29" s="5">
        <f>+[1]モンスター計算!H32</f>
        <v>9</v>
      </c>
      <c r="I29" s="5">
        <f>+[1]モンスター計算!I32</f>
        <v>7</v>
      </c>
      <c r="J29" s="13">
        <f>+[1]モンスター計算!J32</f>
        <v>8</v>
      </c>
      <c r="K29" s="27">
        <f>+[1]モンスター計算!K32</f>
        <v>0.18</v>
      </c>
      <c r="L29" s="13">
        <f>+[1]モンスター計算!L32</f>
        <v>2.1</v>
      </c>
      <c r="M29" s="27">
        <f>+[1]モンスター計算!M32</f>
        <v>3.15</v>
      </c>
      <c r="N29" s="5">
        <f>+[1]モンスター計算!N32</f>
        <v>1.35</v>
      </c>
      <c r="O29" s="13">
        <f>+[1]モンスター計算!O32</f>
        <v>1</v>
      </c>
      <c r="P29" s="27">
        <f>+[1]モンスター計算!P32</f>
        <v>0.12000000000000001</v>
      </c>
      <c r="Q29" s="5">
        <f>+[1]モンスター計算!Q32</f>
        <v>-0.18</v>
      </c>
      <c r="R29" s="5">
        <f>+[1]モンスター計算!R32</f>
        <v>-0.08</v>
      </c>
      <c r="S29" s="5">
        <f>+[1]モンスター計算!S32</f>
        <v>-0.08</v>
      </c>
      <c r="T29" s="5">
        <f>+[1]モンスター計算!T32</f>
        <v>-0.08</v>
      </c>
      <c r="U29" s="5">
        <f>+[1]モンスター計算!U32</f>
        <v>-0.08</v>
      </c>
      <c r="V29" s="13">
        <f>+[1]モンスター計算!V32</f>
        <v>4.8</v>
      </c>
      <c r="W29" s="30">
        <v>10</v>
      </c>
      <c r="X29" s="27" t="s">
        <v>68</v>
      </c>
      <c r="Y29" s="33" t="s">
        <v>90</v>
      </c>
      <c r="Z29" s="13">
        <v>1.25</v>
      </c>
      <c r="AA29" s="30">
        <v>15</v>
      </c>
      <c r="AB29" s="30">
        <f t="shared" si="0"/>
        <v>27</v>
      </c>
      <c r="AC29" s="47">
        <f t="shared" si="1"/>
        <v>5</v>
      </c>
      <c r="AD29" s="27" t="s">
        <v>74</v>
      </c>
      <c r="AE29" s="5">
        <v>0</v>
      </c>
      <c r="AF29" s="5">
        <v>0</v>
      </c>
      <c r="AG29" s="13" t="b">
        <v>0</v>
      </c>
      <c r="AH29" s="30" t="s">
        <v>940</v>
      </c>
      <c r="AI29" s="33" t="s">
        <v>1825</v>
      </c>
    </row>
    <row r="30" spans="1:35">
      <c r="A30" s="52" t="s">
        <v>545</v>
      </c>
      <c r="B30" s="13" t="s">
        <v>221</v>
      </c>
      <c r="C30" s="27" t="s">
        <v>45</v>
      </c>
      <c r="D30" s="13" t="s">
        <v>59</v>
      </c>
      <c r="E30" s="27">
        <f>+[1]モンスター計算!E33</f>
        <v>173</v>
      </c>
      <c r="F30" s="5">
        <f>+[1]モンスター計算!F33</f>
        <v>10</v>
      </c>
      <c r="G30" s="5">
        <f>+[1]モンスター計算!G33</f>
        <v>24</v>
      </c>
      <c r="H30" s="5">
        <f>+[1]モンスター計算!H33</f>
        <v>8</v>
      </c>
      <c r="I30" s="5">
        <f>+[1]モンスター計算!I33</f>
        <v>13</v>
      </c>
      <c r="J30" s="13">
        <f>+[1]モンスター計算!J33</f>
        <v>13</v>
      </c>
      <c r="K30" s="27">
        <f>+[1]モンスター計算!K33</f>
        <v>0.04</v>
      </c>
      <c r="L30" s="13">
        <f>+[1]モンスター計算!L33</f>
        <v>1.43</v>
      </c>
      <c r="M30" s="27">
        <f>+[1]モンスター計算!M33</f>
        <v>2.15</v>
      </c>
      <c r="N30" s="5">
        <f>+[1]モンスター計算!N33</f>
        <v>0.88</v>
      </c>
      <c r="O30" s="13">
        <f>+[1]モンスター計算!O33</f>
        <v>1</v>
      </c>
      <c r="P30" s="27">
        <f>+[1]モンスター計算!P33</f>
        <v>0.09</v>
      </c>
      <c r="Q30" s="5">
        <f>+[1]モンスター計算!Q33</f>
        <v>0.39</v>
      </c>
      <c r="R30" s="5">
        <f>+[1]モンスター計算!R33</f>
        <v>0.19</v>
      </c>
      <c r="S30" s="5">
        <f>+[1]モンスター計算!S33</f>
        <v>0.19</v>
      </c>
      <c r="T30" s="5">
        <f>+[1]モンスター計算!T33</f>
        <v>0.19</v>
      </c>
      <c r="U30" s="5">
        <f>+[1]モンスター計算!U33</f>
        <v>0.19</v>
      </c>
      <c r="V30" s="13">
        <f>+[1]モンスター計算!V33</f>
        <v>3.8</v>
      </c>
      <c r="W30" s="30">
        <v>11</v>
      </c>
      <c r="X30" s="27" t="s">
        <v>70</v>
      </c>
      <c r="Y30" s="33" t="s">
        <v>91</v>
      </c>
      <c r="Z30" s="13">
        <v>1.25</v>
      </c>
      <c r="AA30" s="30">
        <v>20</v>
      </c>
      <c r="AB30" s="30">
        <f t="shared" si="0"/>
        <v>33</v>
      </c>
      <c r="AC30" s="47">
        <f t="shared" si="1"/>
        <v>5</v>
      </c>
      <c r="AD30" s="27" t="s">
        <v>74</v>
      </c>
      <c r="AE30" s="5">
        <v>0</v>
      </c>
      <c r="AF30" s="5">
        <v>0</v>
      </c>
      <c r="AG30" s="13" t="b">
        <v>0</v>
      </c>
      <c r="AH30" s="30" t="s">
        <v>941</v>
      </c>
      <c r="AI30" s="33" t="s">
        <v>1825</v>
      </c>
    </row>
    <row r="31" spans="1:35" ht="19.5" thickBot="1">
      <c r="A31" s="53" t="s">
        <v>546</v>
      </c>
      <c r="B31" s="16" t="s">
        <v>222</v>
      </c>
      <c r="C31" s="28" t="s">
        <v>47</v>
      </c>
      <c r="D31" s="16" t="s">
        <v>61</v>
      </c>
      <c r="E31" s="28">
        <f>+[1]モンスター計算!E34</f>
        <v>151</v>
      </c>
      <c r="F31" s="15">
        <f>+[1]モンスター計算!F34</f>
        <v>57</v>
      </c>
      <c r="G31" s="15">
        <f>+[1]モンスター計算!G34</f>
        <v>9</v>
      </c>
      <c r="H31" s="15">
        <f>+[1]モンスター計算!H34</f>
        <v>27</v>
      </c>
      <c r="I31" s="15">
        <f>+[1]モンスター計算!I34</f>
        <v>11</v>
      </c>
      <c r="J31" s="16">
        <f>+[1]モンスター計算!J34</f>
        <v>14</v>
      </c>
      <c r="K31" s="28">
        <f>+[1]モンスター計算!K34</f>
        <v>6.5000000000000002E-2</v>
      </c>
      <c r="L31" s="16">
        <f>+[1]モンスター計算!L34</f>
        <v>1.45</v>
      </c>
      <c r="M31" s="28">
        <f>+[1]モンスター計算!M34</f>
        <v>2.1</v>
      </c>
      <c r="N31" s="15">
        <f>+[1]モンスター計算!N34</f>
        <v>0.9</v>
      </c>
      <c r="O31" s="16">
        <f>+[1]モンスター計算!O34</f>
        <v>2.8</v>
      </c>
      <c r="P31" s="28">
        <f>+[1]モンスター計算!P34</f>
        <v>0.02</v>
      </c>
      <c r="Q31" s="15">
        <f>+[1]モンスター計算!Q34</f>
        <v>0.02</v>
      </c>
      <c r="R31" s="15">
        <f>+[1]モンスター計算!R34</f>
        <v>0.02</v>
      </c>
      <c r="S31" s="15">
        <f>+[1]モンスター計算!S34</f>
        <v>0.02</v>
      </c>
      <c r="T31" s="15">
        <f>+[1]モンスター計算!T34</f>
        <v>0.22</v>
      </c>
      <c r="U31" s="15">
        <f>+[1]モンスター計算!U34</f>
        <v>-0.08</v>
      </c>
      <c r="V31" s="16">
        <f>+[1]モンスター計算!V34</f>
        <v>4.2</v>
      </c>
      <c r="W31" s="31">
        <v>15</v>
      </c>
      <c r="X31" s="28" t="s">
        <v>72</v>
      </c>
      <c r="Y31" s="34" t="s">
        <v>92</v>
      </c>
      <c r="Z31" s="16">
        <v>1.3</v>
      </c>
      <c r="AA31" s="31">
        <v>40</v>
      </c>
      <c r="AB31" s="31">
        <f t="shared" si="0"/>
        <v>51</v>
      </c>
      <c r="AC31" s="48">
        <f t="shared" si="1"/>
        <v>5</v>
      </c>
      <c r="AD31" s="28" t="s">
        <v>55</v>
      </c>
      <c r="AE31" s="15">
        <v>10</v>
      </c>
      <c r="AF31" s="15">
        <v>4</v>
      </c>
      <c r="AG31" s="16" t="b">
        <v>1</v>
      </c>
      <c r="AH31" s="31" t="s">
        <v>942</v>
      </c>
      <c r="AI31" s="34" t="s">
        <v>1825</v>
      </c>
    </row>
    <row r="32" spans="1:35">
      <c r="A32" s="51" t="s">
        <v>547</v>
      </c>
      <c r="B32" s="11" t="s">
        <v>223</v>
      </c>
      <c r="C32" s="26" t="s">
        <v>45</v>
      </c>
      <c r="D32" s="11" t="s">
        <v>61</v>
      </c>
      <c r="E32" s="26">
        <f>+[1]モンスター計算!E35</f>
        <v>132</v>
      </c>
      <c r="F32" s="10">
        <f>+[1]モンスター計算!F35</f>
        <v>32</v>
      </c>
      <c r="G32" s="10">
        <f>+[1]モンスター計算!G35</f>
        <v>12</v>
      </c>
      <c r="H32" s="10">
        <f>+[1]モンスター計算!H35</f>
        <v>45</v>
      </c>
      <c r="I32" s="10">
        <f>+[1]モンスター計算!I35</f>
        <v>10</v>
      </c>
      <c r="J32" s="11">
        <f>+[1]モンスター計算!J35</f>
        <v>11</v>
      </c>
      <c r="K32" s="26">
        <f>+[1]モンスター計算!K35</f>
        <v>0.12</v>
      </c>
      <c r="L32" s="11">
        <f>+[1]モンスター計算!L35</f>
        <v>2.5499999999999998</v>
      </c>
      <c r="M32" s="26">
        <f>+[1]モンスター計算!M35</f>
        <v>2.2999999999999998</v>
      </c>
      <c r="N32" s="10">
        <f>+[1]モンスター計算!N35</f>
        <v>0.68</v>
      </c>
      <c r="O32" s="11">
        <f>+[1]モンスター計算!O35</f>
        <v>3.55</v>
      </c>
      <c r="P32" s="26">
        <f>+[1]モンスター計算!P35</f>
        <v>-0.155</v>
      </c>
      <c r="Q32" s="10">
        <f>+[1]モンスター計算!Q35</f>
        <v>0.14500000000000002</v>
      </c>
      <c r="R32" s="10">
        <f>+[1]モンスター計算!R35</f>
        <v>-5.5E-2</v>
      </c>
      <c r="S32" s="10">
        <f>+[1]モンスター計算!S35</f>
        <v>-5.5E-2</v>
      </c>
      <c r="T32" s="10">
        <f>+[1]モンスター計算!T35</f>
        <v>-5.5E-2</v>
      </c>
      <c r="U32" s="10">
        <f>+[1]モンスター計算!U35</f>
        <v>-5.5E-2</v>
      </c>
      <c r="V32" s="11">
        <f>+[1]モンスター計算!V35</f>
        <v>4.8</v>
      </c>
      <c r="W32" s="29">
        <v>8</v>
      </c>
      <c r="X32" s="26" t="s">
        <v>109</v>
      </c>
      <c r="Y32" s="32" t="s">
        <v>87</v>
      </c>
      <c r="Z32" s="11">
        <v>1.2</v>
      </c>
      <c r="AA32" s="29">
        <v>5</v>
      </c>
      <c r="AB32" s="29">
        <f t="shared" si="0"/>
        <v>15</v>
      </c>
      <c r="AC32" s="46">
        <f t="shared" si="1"/>
        <v>6</v>
      </c>
      <c r="AD32" s="26" t="s">
        <v>51</v>
      </c>
      <c r="AE32" s="10">
        <v>7</v>
      </c>
      <c r="AF32" s="10">
        <v>3</v>
      </c>
      <c r="AG32" s="11" t="b">
        <v>1</v>
      </c>
      <c r="AH32" s="29" t="s">
        <v>943</v>
      </c>
      <c r="AI32" s="32" t="s">
        <v>1825</v>
      </c>
    </row>
    <row r="33" spans="1:35">
      <c r="A33" s="52" t="s">
        <v>548</v>
      </c>
      <c r="B33" s="13" t="s">
        <v>224</v>
      </c>
      <c r="C33" s="27" t="s">
        <v>44</v>
      </c>
      <c r="D33" s="13" t="s">
        <v>61</v>
      </c>
      <c r="E33" s="27">
        <f>+[1]モンスター計算!E36</f>
        <v>225</v>
      </c>
      <c r="F33" s="5">
        <f>+[1]モンスター計算!F36</f>
        <v>52</v>
      </c>
      <c r="G33" s="5">
        <f>+[1]モンスター計算!G36</f>
        <v>9</v>
      </c>
      <c r="H33" s="5">
        <f>+[1]モンスター計算!H36</f>
        <v>23</v>
      </c>
      <c r="I33" s="5">
        <f>+[1]モンスター計算!I36</f>
        <v>12</v>
      </c>
      <c r="J33" s="13">
        <f>+[1]モンスター計算!J36</f>
        <v>22</v>
      </c>
      <c r="K33" s="27">
        <f>+[1]モンスター計算!K36</f>
        <v>0.115</v>
      </c>
      <c r="L33" s="13">
        <f>+[1]モンスター計算!L36</f>
        <v>1.95</v>
      </c>
      <c r="M33" s="27">
        <f>+[1]モンスター計算!M36</f>
        <v>1.2</v>
      </c>
      <c r="N33" s="5">
        <f>+[1]モンスター計算!N36</f>
        <v>0.72</v>
      </c>
      <c r="O33" s="13">
        <f>+[1]モンスター計算!O36</f>
        <v>3.3250000000000002</v>
      </c>
      <c r="P33" s="27">
        <f>+[1]モンスター計算!P36</f>
        <v>0.28000000000000003</v>
      </c>
      <c r="Q33" s="5">
        <f>+[1]モンスター計算!Q36</f>
        <v>-2.0000000000000004E-2</v>
      </c>
      <c r="R33" s="5">
        <f>+[1]モンスター計算!R36</f>
        <v>0.08</v>
      </c>
      <c r="S33" s="5">
        <f>+[1]モンスター計算!S36</f>
        <v>0.08</v>
      </c>
      <c r="T33" s="5">
        <f>+[1]モンスター計算!T36</f>
        <v>0.08</v>
      </c>
      <c r="U33" s="5">
        <f>+[1]モンスター計算!U36</f>
        <v>0.08</v>
      </c>
      <c r="V33" s="13">
        <f>+[1]モンスター計算!V36</f>
        <v>5</v>
      </c>
      <c r="W33" s="30">
        <v>8</v>
      </c>
      <c r="X33" s="27" t="s">
        <v>64</v>
      </c>
      <c r="Y33" s="33" t="s">
        <v>88</v>
      </c>
      <c r="Z33" s="13">
        <v>1.2</v>
      </c>
      <c r="AA33" s="30">
        <v>7</v>
      </c>
      <c r="AB33" s="30">
        <f t="shared" si="0"/>
        <v>17</v>
      </c>
      <c r="AC33" s="47">
        <f t="shared" si="1"/>
        <v>6</v>
      </c>
      <c r="AD33" s="27" t="s">
        <v>49</v>
      </c>
      <c r="AE33" s="5">
        <v>7.5</v>
      </c>
      <c r="AF33" s="5">
        <v>3</v>
      </c>
      <c r="AG33" s="13" t="b">
        <v>1</v>
      </c>
      <c r="AH33" s="30" t="s">
        <v>944</v>
      </c>
      <c r="AI33" s="33" t="s">
        <v>1825</v>
      </c>
    </row>
    <row r="34" spans="1:35">
      <c r="A34" s="52" t="s">
        <v>549</v>
      </c>
      <c r="B34" s="13" t="s">
        <v>225</v>
      </c>
      <c r="C34" s="27" t="s">
        <v>46</v>
      </c>
      <c r="D34" s="13" t="s">
        <v>61</v>
      </c>
      <c r="E34" s="27">
        <f>+[1]モンスター計算!E37</f>
        <v>126</v>
      </c>
      <c r="F34" s="5">
        <f>+[1]モンスター計算!F37</f>
        <v>27</v>
      </c>
      <c r="G34" s="5">
        <f>+[1]モンスター計算!G37</f>
        <v>15</v>
      </c>
      <c r="H34" s="5">
        <f>+[1]モンスター計算!H37</f>
        <v>34</v>
      </c>
      <c r="I34" s="5">
        <f>+[1]モンスター計算!I37</f>
        <v>10</v>
      </c>
      <c r="J34" s="13">
        <f>+[1]モンスター計算!J37</f>
        <v>10</v>
      </c>
      <c r="K34" s="27">
        <f>+[1]モンスター計算!K37</f>
        <v>0.11</v>
      </c>
      <c r="L34" s="13">
        <f>+[1]モンスター計算!L37</f>
        <v>1.65</v>
      </c>
      <c r="M34" s="27">
        <f>+[1]モンスター計算!M37</f>
        <v>2.2000000000000002</v>
      </c>
      <c r="N34" s="5">
        <f>+[1]モンスター計算!N37</f>
        <v>1.1000000000000001</v>
      </c>
      <c r="O34" s="13">
        <f>+[1]モンスター計算!O37</f>
        <v>2.75</v>
      </c>
      <c r="P34" s="27">
        <f>+[1]モンスター計算!P37</f>
        <v>-0.04</v>
      </c>
      <c r="Q34" s="5">
        <f>+[1]モンスター計算!Q37</f>
        <v>-0.04</v>
      </c>
      <c r="R34" s="5">
        <f>+[1]モンスター計算!R37</f>
        <v>0.16</v>
      </c>
      <c r="S34" s="5">
        <f>+[1]モンスター計算!S37</f>
        <v>-0.14000000000000001</v>
      </c>
      <c r="T34" s="5">
        <f>+[1]モンスター計算!T37</f>
        <v>-0.04</v>
      </c>
      <c r="U34" s="5">
        <f>+[1]モンスター計算!U37</f>
        <v>-0.04</v>
      </c>
      <c r="V34" s="13">
        <f>+[1]モンスター計算!V37</f>
        <v>4.2</v>
      </c>
      <c r="W34" s="30">
        <v>9</v>
      </c>
      <c r="X34" s="27" t="s">
        <v>66</v>
      </c>
      <c r="Y34" s="33" t="s">
        <v>89</v>
      </c>
      <c r="Z34" s="13">
        <v>1.22</v>
      </c>
      <c r="AA34" s="30">
        <v>10</v>
      </c>
      <c r="AB34" s="30">
        <f t="shared" si="0"/>
        <v>20</v>
      </c>
      <c r="AC34" s="47">
        <f t="shared" si="1"/>
        <v>6</v>
      </c>
      <c r="AD34" s="27" t="s">
        <v>53</v>
      </c>
      <c r="AE34" s="5">
        <v>8.5</v>
      </c>
      <c r="AF34" s="5">
        <v>3</v>
      </c>
      <c r="AG34" s="13" t="b">
        <v>1</v>
      </c>
      <c r="AH34" s="30" t="s">
        <v>945</v>
      </c>
      <c r="AI34" s="33" t="s">
        <v>1825</v>
      </c>
    </row>
    <row r="35" spans="1:35">
      <c r="A35" s="52" t="s">
        <v>550</v>
      </c>
      <c r="B35" s="13" t="s">
        <v>226</v>
      </c>
      <c r="C35" s="27" t="s">
        <v>44</v>
      </c>
      <c r="D35" s="13" t="s">
        <v>59</v>
      </c>
      <c r="E35" s="27">
        <f>+[1]モンスター計算!E38</f>
        <v>237</v>
      </c>
      <c r="F35" s="5">
        <f>+[1]モンスター計算!F38</f>
        <v>10</v>
      </c>
      <c r="G35" s="5">
        <f>+[1]モンスター計算!G38</f>
        <v>22</v>
      </c>
      <c r="H35" s="5">
        <f>+[1]モンスター計算!H38</f>
        <v>8</v>
      </c>
      <c r="I35" s="5">
        <f>+[1]モンスター計算!I38</f>
        <v>12</v>
      </c>
      <c r="J35" s="13">
        <f>+[1]モンスター計算!J38</f>
        <v>28</v>
      </c>
      <c r="K35" s="27">
        <f>+[1]モンスター計算!K38</f>
        <v>0.05</v>
      </c>
      <c r="L35" s="13">
        <f>+[1]モンスター計算!L38</f>
        <v>1.5</v>
      </c>
      <c r="M35" s="27">
        <f>+[1]モンスター計算!M38</f>
        <v>2.0499999999999998</v>
      </c>
      <c r="N35" s="5">
        <f>+[1]モンスター計算!N38</f>
        <v>0.79</v>
      </c>
      <c r="O35" s="13">
        <f>+[1]モンスター計算!O38</f>
        <v>1</v>
      </c>
      <c r="P35" s="27">
        <f>+[1]モンスター計算!P38</f>
        <v>0.27</v>
      </c>
      <c r="Q35" s="5">
        <f>+[1]モンスター計算!Q38</f>
        <v>-0.03</v>
      </c>
      <c r="R35" s="5">
        <f>+[1]モンスター計算!R38</f>
        <v>7.0000000000000007E-2</v>
      </c>
      <c r="S35" s="5">
        <f>+[1]モンスター計算!S38</f>
        <v>7.0000000000000007E-2</v>
      </c>
      <c r="T35" s="5">
        <f>+[1]モンスター計算!T38</f>
        <v>7.0000000000000007E-2</v>
      </c>
      <c r="U35" s="5">
        <f>+[1]モンスター計算!U38</f>
        <v>7.0000000000000007E-2</v>
      </c>
      <c r="V35" s="13">
        <f>+[1]モンスター計算!V38</f>
        <v>4</v>
      </c>
      <c r="W35" s="30">
        <v>10</v>
      </c>
      <c r="X35" s="27" t="s">
        <v>68</v>
      </c>
      <c r="Y35" s="33" t="s">
        <v>90</v>
      </c>
      <c r="Z35" s="13">
        <v>1.25</v>
      </c>
      <c r="AA35" s="30">
        <v>15</v>
      </c>
      <c r="AB35" s="30">
        <f t="shared" si="0"/>
        <v>29</v>
      </c>
      <c r="AC35" s="47">
        <f t="shared" si="1"/>
        <v>6</v>
      </c>
      <c r="AD35" s="27" t="s">
        <v>74</v>
      </c>
      <c r="AE35" s="5">
        <v>0</v>
      </c>
      <c r="AF35" s="5">
        <v>0</v>
      </c>
      <c r="AG35" s="13" t="b">
        <v>0</v>
      </c>
      <c r="AH35" s="30" t="s">
        <v>946</v>
      </c>
      <c r="AI35" s="33" t="s">
        <v>1825</v>
      </c>
    </row>
    <row r="36" spans="1:35">
      <c r="A36" s="52" t="s">
        <v>551</v>
      </c>
      <c r="B36" s="13" t="s">
        <v>227</v>
      </c>
      <c r="C36" s="27" t="s">
        <v>45</v>
      </c>
      <c r="D36" s="13" t="s">
        <v>59</v>
      </c>
      <c r="E36" s="27">
        <f>+[1]モンスター計算!E39</f>
        <v>330</v>
      </c>
      <c r="F36" s="5">
        <f>+[1]モンスター計算!F39</f>
        <v>6</v>
      </c>
      <c r="G36" s="5">
        <f>+[1]モンスター計算!G39</f>
        <v>26</v>
      </c>
      <c r="H36" s="5">
        <f>+[1]モンスター計算!H39</f>
        <v>11</v>
      </c>
      <c r="I36" s="5">
        <f>+[1]モンスター計算!I39</f>
        <v>20</v>
      </c>
      <c r="J36" s="13">
        <f>+[1]モンスター計算!J39</f>
        <v>17</v>
      </c>
      <c r="K36" s="27">
        <f>+[1]モンスター計算!K39</f>
        <v>2.5000000000000001E-2</v>
      </c>
      <c r="L36" s="13">
        <f>+[1]モンスター計算!L39</f>
        <v>1.35</v>
      </c>
      <c r="M36" s="27">
        <f>+[1]モンスター計算!M39</f>
        <v>1.1499999999999999</v>
      </c>
      <c r="N36" s="5">
        <f>+[1]モンスター計算!N39</f>
        <v>0.51</v>
      </c>
      <c r="O36" s="13">
        <f>+[1]モンスター計算!O39</f>
        <v>1</v>
      </c>
      <c r="P36" s="27">
        <f>+[1]モンスター計算!P39</f>
        <v>-0.05</v>
      </c>
      <c r="Q36" s="5">
        <f>+[1]モンスター計算!Q39</f>
        <v>0.25</v>
      </c>
      <c r="R36" s="5">
        <f>+[1]モンスター計算!R39</f>
        <v>0.05</v>
      </c>
      <c r="S36" s="5">
        <f>+[1]モンスター計算!S39</f>
        <v>0.05</v>
      </c>
      <c r="T36" s="5">
        <f>+[1]モンスター計算!T39</f>
        <v>0.05</v>
      </c>
      <c r="U36" s="5">
        <f>+[1]モンスター計算!U39</f>
        <v>0.05</v>
      </c>
      <c r="V36" s="13">
        <f>+[1]モンスター計算!V39</f>
        <v>3.2</v>
      </c>
      <c r="W36" s="30">
        <v>11</v>
      </c>
      <c r="X36" s="27" t="s">
        <v>70</v>
      </c>
      <c r="Y36" s="33" t="s">
        <v>91</v>
      </c>
      <c r="Z36" s="13">
        <v>1.25</v>
      </c>
      <c r="AA36" s="30">
        <v>20</v>
      </c>
      <c r="AB36" s="30">
        <f t="shared" si="0"/>
        <v>35</v>
      </c>
      <c r="AC36" s="47">
        <f t="shared" si="1"/>
        <v>6</v>
      </c>
      <c r="AD36" s="27" t="s">
        <v>74</v>
      </c>
      <c r="AE36" s="5">
        <v>0</v>
      </c>
      <c r="AF36" s="5">
        <v>0</v>
      </c>
      <c r="AG36" s="13" t="b">
        <v>0</v>
      </c>
      <c r="AH36" s="30" t="s">
        <v>947</v>
      </c>
      <c r="AI36" s="33" t="s">
        <v>1825</v>
      </c>
    </row>
    <row r="37" spans="1:35" ht="19.5" thickBot="1">
      <c r="A37" s="53" t="s">
        <v>552</v>
      </c>
      <c r="B37" s="16" t="s">
        <v>228</v>
      </c>
      <c r="C37" s="28" t="s">
        <v>47</v>
      </c>
      <c r="D37" s="16" t="s">
        <v>61</v>
      </c>
      <c r="E37" s="28">
        <f>+[1]モンスター計算!E40</f>
        <v>148</v>
      </c>
      <c r="F37" s="15">
        <f>+[1]モンスター計算!F40</f>
        <v>23</v>
      </c>
      <c r="G37" s="15">
        <f>+[1]モンスター計算!G40</f>
        <v>14</v>
      </c>
      <c r="H37" s="15">
        <f>+[1]モンスター計算!H40</f>
        <v>30</v>
      </c>
      <c r="I37" s="15">
        <f>+[1]モンスター計算!I40</f>
        <v>12</v>
      </c>
      <c r="J37" s="16">
        <f>+[1]モンスター計算!J40</f>
        <v>14</v>
      </c>
      <c r="K37" s="28">
        <f>+[1]モンスター計算!K40</f>
        <v>0.05</v>
      </c>
      <c r="L37" s="16">
        <f>+[1]モンスター計算!L40</f>
        <v>1.5</v>
      </c>
      <c r="M37" s="28">
        <f>+[1]モンスター計算!M40</f>
        <v>2</v>
      </c>
      <c r="N37" s="15">
        <f>+[1]モンスター計算!N40</f>
        <v>1.05</v>
      </c>
      <c r="O37" s="16">
        <f>+[1]モンスター計算!O40</f>
        <v>2.5</v>
      </c>
      <c r="P37" s="28">
        <f>+[1]モンスター計算!P40</f>
        <v>0</v>
      </c>
      <c r="Q37" s="15">
        <f>+[1]モンスター計算!Q40</f>
        <v>0</v>
      </c>
      <c r="R37" s="15">
        <f>+[1]モンスター計算!R40</f>
        <v>0</v>
      </c>
      <c r="S37" s="15">
        <f>+[1]モンスター計算!S40</f>
        <v>0</v>
      </c>
      <c r="T37" s="15">
        <f>+[1]モンスター計算!T40</f>
        <v>0.2</v>
      </c>
      <c r="U37" s="15">
        <f>+[1]モンスター計算!U40</f>
        <v>-0.1</v>
      </c>
      <c r="V37" s="16">
        <f>+[1]モンスター計算!V40</f>
        <v>4</v>
      </c>
      <c r="W37" s="31">
        <v>15</v>
      </c>
      <c r="X37" s="28" t="s">
        <v>72</v>
      </c>
      <c r="Y37" s="34" t="s">
        <v>92</v>
      </c>
      <c r="Z37" s="16">
        <v>1.3</v>
      </c>
      <c r="AA37" s="31">
        <v>40</v>
      </c>
      <c r="AB37" s="31">
        <f t="shared" si="0"/>
        <v>54</v>
      </c>
      <c r="AC37" s="48">
        <f t="shared" si="1"/>
        <v>6</v>
      </c>
      <c r="AD37" s="28" t="s">
        <v>55</v>
      </c>
      <c r="AE37" s="15">
        <v>10</v>
      </c>
      <c r="AF37" s="15">
        <v>4</v>
      </c>
      <c r="AG37" s="16" t="b">
        <v>1</v>
      </c>
      <c r="AH37" s="31" t="s">
        <v>948</v>
      </c>
      <c r="AI37" s="34" t="s">
        <v>1825</v>
      </c>
    </row>
    <row r="38" spans="1:35">
      <c r="A38" s="51" t="s">
        <v>553</v>
      </c>
      <c r="B38" s="11" t="s">
        <v>229</v>
      </c>
      <c r="C38" s="26" t="s">
        <v>45</v>
      </c>
      <c r="D38" s="11" t="s">
        <v>61</v>
      </c>
      <c r="E38" s="26">
        <f>+[1]モンスター計算!E41</f>
        <v>140</v>
      </c>
      <c r="F38" s="10">
        <f>+[1]モンスター計算!F41</f>
        <v>23</v>
      </c>
      <c r="G38" s="10">
        <f>+[1]モンスター計算!G41</f>
        <v>6</v>
      </c>
      <c r="H38" s="10">
        <f>+[1]モンスター計算!H41</f>
        <v>26</v>
      </c>
      <c r="I38" s="10">
        <f>+[1]モンスター計算!I41</f>
        <v>12</v>
      </c>
      <c r="J38" s="11">
        <f>+[1]モンスター計算!J41</f>
        <v>11</v>
      </c>
      <c r="K38" s="26">
        <f>+[1]モンスター計算!K41</f>
        <v>6.5000000000000002E-2</v>
      </c>
      <c r="L38" s="11">
        <f>+[1]モンスター計算!L41</f>
        <v>1.45</v>
      </c>
      <c r="M38" s="26">
        <f>+[1]モンスター計算!M41</f>
        <v>4</v>
      </c>
      <c r="N38" s="10">
        <f>+[1]モンスター計算!N41</f>
        <v>1.72</v>
      </c>
      <c r="O38" s="11">
        <f>+[1]モンスター計算!O41</f>
        <v>1.9</v>
      </c>
      <c r="P38" s="26">
        <f>+[1]モンスター計算!P41</f>
        <v>-0.17</v>
      </c>
      <c r="Q38" s="10">
        <f>+[1]モンスター計算!Q41</f>
        <v>0.13</v>
      </c>
      <c r="R38" s="10">
        <f>+[1]モンスター計算!R41</f>
        <v>-7.0000000000000007E-2</v>
      </c>
      <c r="S38" s="10">
        <f>+[1]モンスター計算!S41</f>
        <v>-7.0000000000000007E-2</v>
      </c>
      <c r="T38" s="10">
        <f>+[1]モンスター計算!T41</f>
        <v>-7.0000000000000007E-2</v>
      </c>
      <c r="U38" s="10">
        <f>+[1]モンスター計算!U41</f>
        <v>-7.0000000000000007E-2</v>
      </c>
      <c r="V38" s="11">
        <f>+[1]モンスター計算!V41</f>
        <v>5.4</v>
      </c>
      <c r="W38" s="29">
        <v>8</v>
      </c>
      <c r="X38" s="26" t="s">
        <v>109</v>
      </c>
      <c r="Y38" s="32" t="s">
        <v>87</v>
      </c>
      <c r="Z38" s="11">
        <v>1.2</v>
      </c>
      <c r="AA38" s="29">
        <v>5</v>
      </c>
      <c r="AB38" s="29">
        <f t="shared" si="0"/>
        <v>16</v>
      </c>
      <c r="AC38" s="46">
        <f t="shared" si="1"/>
        <v>7</v>
      </c>
      <c r="AD38" s="26" t="s">
        <v>51</v>
      </c>
      <c r="AE38" s="10">
        <v>7</v>
      </c>
      <c r="AF38" s="10">
        <v>3</v>
      </c>
      <c r="AG38" s="11" t="b">
        <v>1</v>
      </c>
      <c r="AH38" s="29" t="s">
        <v>949</v>
      </c>
      <c r="AI38" s="32" t="s">
        <v>1825</v>
      </c>
    </row>
    <row r="39" spans="1:35">
      <c r="A39" s="52" t="s">
        <v>554</v>
      </c>
      <c r="B39" s="13" t="s">
        <v>230</v>
      </c>
      <c r="C39" s="27" t="s">
        <v>44</v>
      </c>
      <c r="D39" s="13" t="s">
        <v>61</v>
      </c>
      <c r="E39" s="27">
        <f>+[1]モンスター計算!E42</f>
        <v>213</v>
      </c>
      <c r="F39" s="5">
        <f>+[1]モンスター計算!F42</f>
        <v>26</v>
      </c>
      <c r="G39" s="5">
        <f>+[1]モンスター計算!G42</f>
        <v>11</v>
      </c>
      <c r="H39" s="5">
        <f>+[1]モンスター計算!H42</f>
        <v>25</v>
      </c>
      <c r="I39" s="5">
        <f>+[1]モンスター計算!I42</f>
        <v>18</v>
      </c>
      <c r="J39" s="13">
        <f>+[1]モンスター計算!J42</f>
        <v>12</v>
      </c>
      <c r="K39" s="27">
        <f>+[1]モンスター計算!K42</f>
        <v>0.08</v>
      </c>
      <c r="L39" s="13">
        <f>+[1]モンスター計算!L42</f>
        <v>1.6</v>
      </c>
      <c r="M39" s="27">
        <f>+[1]モンスター計算!M42</f>
        <v>2.8</v>
      </c>
      <c r="N39" s="5">
        <f>+[1]モンスター計算!N42</f>
        <v>1</v>
      </c>
      <c r="O39" s="13">
        <f>+[1]モンスター計算!O42</f>
        <v>2.5</v>
      </c>
      <c r="P39" s="27">
        <f>+[1]モンスター計算!P42</f>
        <v>0.21500000000000002</v>
      </c>
      <c r="Q39" s="5">
        <f>+[1]モンスター計算!Q42</f>
        <v>-8.5000000000000006E-2</v>
      </c>
      <c r="R39" s="5">
        <f>+[1]モンスター計算!R42</f>
        <v>1.4999999999999999E-2</v>
      </c>
      <c r="S39" s="5">
        <f>+[1]モンスター計算!S42</f>
        <v>1.4999999999999999E-2</v>
      </c>
      <c r="T39" s="5">
        <f>+[1]モンスター計算!T42</f>
        <v>1.4999999999999999E-2</v>
      </c>
      <c r="U39" s="5">
        <f>+[1]モンスター計算!U42</f>
        <v>1.4999999999999999E-2</v>
      </c>
      <c r="V39" s="13">
        <f>+[1]モンスター計算!V42</f>
        <v>4</v>
      </c>
      <c r="W39" s="30">
        <v>8</v>
      </c>
      <c r="X39" s="27" t="s">
        <v>64</v>
      </c>
      <c r="Y39" s="33" t="s">
        <v>88</v>
      </c>
      <c r="Z39" s="13">
        <v>1.2</v>
      </c>
      <c r="AA39" s="30">
        <v>7</v>
      </c>
      <c r="AB39" s="30">
        <f t="shared" si="0"/>
        <v>18</v>
      </c>
      <c r="AC39" s="47">
        <f t="shared" si="1"/>
        <v>7</v>
      </c>
      <c r="AD39" s="27" t="s">
        <v>49</v>
      </c>
      <c r="AE39" s="5">
        <v>7.5</v>
      </c>
      <c r="AF39" s="5">
        <v>3</v>
      </c>
      <c r="AG39" s="13" t="b">
        <v>1</v>
      </c>
      <c r="AH39" s="30" t="s">
        <v>950</v>
      </c>
      <c r="AI39" s="33" t="s">
        <v>1825</v>
      </c>
    </row>
    <row r="40" spans="1:35">
      <c r="A40" s="52" t="s">
        <v>555</v>
      </c>
      <c r="B40" s="13" t="s">
        <v>231</v>
      </c>
      <c r="C40" s="27" t="s">
        <v>46</v>
      </c>
      <c r="D40" s="13" t="s">
        <v>61</v>
      </c>
      <c r="E40" s="27">
        <f>+[1]モンスター計算!E43</f>
        <v>103</v>
      </c>
      <c r="F40" s="5">
        <f>+[1]モンスター計算!F43</f>
        <v>20</v>
      </c>
      <c r="G40" s="5">
        <f>+[1]モンスター計算!G43</f>
        <v>10</v>
      </c>
      <c r="H40" s="5">
        <f>+[1]モンスター計算!H43</f>
        <v>47</v>
      </c>
      <c r="I40" s="5">
        <f>+[1]モンスター計算!I43</f>
        <v>9</v>
      </c>
      <c r="J40" s="13">
        <f>+[1]モンスター計算!J43</f>
        <v>9</v>
      </c>
      <c r="K40" s="27">
        <f>+[1]モンスター計算!K43</f>
        <v>0.08</v>
      </c>
      <c r="L40" s="13">
        <f>+[1]モンスター計算!L43</f>
        <v>1.55</v>
      </c>
      <c r="M40" s="27">
        <f>+[1]モンスター計算!M43</f>
        <v>4.2</v>
      </c>
      <c r="N40" s="5">
        <f>+[1]モンスター計算!N43</f>
        <v>1.3</v>
      </c>
      <c r="O40" s="13">
        <f>+[1]モンスター計算!O43</f>
        <v>2.5</v>
      </c>
      <c r="P40" s="27">
        <f>+[1]モンスター計算!P43</f>
        <v>-0.09</v>
      </c>
      <c r="Q40" s="5">
        <f>+[1]モンスター計算!Q43</f>
        <v>-0.09</v>
      </c>
      <c r="R40" s="5">
        <f>+[1]モンスター計算!R43</f>
        <v>0.11000000000000001</v>
      </c>
      <c r="S40" s="5">
        <f>+[1]モンスター計算!S43</f>
        <v>-0.19</v>
      </c>
      <c r="T40" s="5">
        <f>+[1]モンスター計算!T43</f>
        <v>-0.09</v>
      </c>
      <c r="U40" s="5">
        <f>+[1]モンスター計算!U43</f>
        <v>-0.09</v>
      </c>
      <c r="V40" s="13">
        <f>+[1]モンスター計算!V43</f>
        <v>4.2</v>
      </c>
      <c r="W40" s="30">
        <v>9</v>
      </c>
      <c r="X40" s="27" t="s">
        <v>66</v>
      </c>
      <c r="Y40" s="33" t="s">
        <v>89</v>
      </c>
      <c r="Z40" s="13">
        <v>1.22</v>
      </c>
      <c r="AA40" s="30">
        <v>10</v>
      </c>
      <c r="AB40" s="30">
        <f t="shared" si="0"/>
        <v>21</v>
      </c>
      <c r="AC40" s="47">
        <f t="shared" si="1"/>
        <v>7</v>
      </c>
      <c r="AD40" s="27" t="s">
        <v>53</v>
      </c>
      <c r="AE40" s="5">
        <v>8.5</v>
      </c>
      <c r="AF40" s="5">
        <v>3</v>
      </c>
      <c r="AG40" s="13" t="b">
        <v>1</v>
      </c>
      <c r="AH40" s="30" t="s">
        <v>951</v>
      </c>
      <c r="AI40" s="33" t="s">
        <v>1825</v>
      </c>
    </row>
    <row r="41" spans="1:35">
      <c r="A41" s="52" t="s">
        <v>556</v>
      </c>
      <c r="B41" s="13" t="s">
        <v>232</v>
      </c>
      <c r="C41" s="27" t="s">
        <v>44</v>
      </c>
      <c r="D41" s="13" t="s">
        <v>59</v>
      </c>
      <c r="E41" s="27">
        <f>+[1]モンスター計算!E44</f>
        <v>140</v>
      </c>
      <c r="F41" s="5">
        <f>+[1]モンスター計算!F44</f>
        <v>10</v>
      </c>
      <c r="G41" s="5">
        <f>+[1]モンスター計算!G44</f>
        <v>30</v>
      </c>
      <c r="H41" s="5">
        <f>+[1]モンスター計算!H44</f>
        <v>9</v>
      </c>
      <c r="I41" s="5">
        <f>+[1]モンスター計算!I44</f>
        <v>11</v>
      </c>
      <c r="J41" s="13">
        <f>+[1]モンスター計算!J44</f>
        <v>10</v>
      </c>
      <c r="K41" s="27">
        <f>+[1]モンスター計算!K44</f>
        <v>0.1</v>
      </c>
      <c r="L41" s="13">
        <f>+[1]モンスター計算!L44</f>
        <v>1.85</v>
      </c>
      <c r="M41" s="27">
        <f>+[1]モンスター計算!M44</f>
        <v>4</v>
      </c>
      <c r="N41" s="5">
        <f>+[1]モンスター計算!N44</f>
        <v>1.41</v>
      </c>
      <c r="O41" s="13">
        <f>+[1]モンスター計算!O44</f>
        <v>1</v>
      </c>
      <c r="P41" s="27">
        <f>+[1]モンスター計算!P44</f>
        <v>0.14500000000000002</v>
      </c>
      <c r="Q41" s="5">
        <f>+[1]モンスター計算!Q44</f>
        <v>-0.155</v>
      </c>
      <c r="R41" s="5">
        <f>+[1]モンスター計算!R44</f>
        <v>-5.5E-2</v>
      </c>
      <c r="S41" s="5">
        <f>+[1]モンスター計算!S44</f>
        <v>-5.5E-2</v>
      </c>
      <c r="T41" s="5">
        <f>+[1]モンスター計算!T44</f>
        <v>-5.5E-2</v>
      </c>
      <c r="U41" s="5">
        <f>+[1]モンスター計算!U44</f>
        <v>-5.5E-2</v>
      </c>
      <c r="V41" s="13">
        <f>+[1]モンスター計算!V44</f>
        <v>6.4</v>
      </c>
      <c r="W41" s="30">
        <v>10</v>
      </c>
      <c r="X41" s="27" t="s">
        <v>68</v>
      </c>
      <c r="Y41" s="33" t="s">
        <v>90</v>
      </c>
      <c r="Z41" s="13">
        <v>1.25</v>
      </c>
      <c r="AA41" s="30">
        <v>15</v>
      </c>
      <c r="AB41" s="30">
        <f t="shared" si="0"/>
        <v>31</v>
      </c>
      <c r="AC41" s="47">
        <f t="shared" si="1"/>
        <v>7</v>
      </c>
      <c r="AD41" s="27" t="s">
        <v>74</v>
      </c>
      <c r="AE41" s="5">
        <v>0</v>
      </c>
      <c r="AF41" s="5">
        <v>0</v>
      </c>
      <c r="AG41" s="13" t="b">
        <v>0</v>
      </c>
      <c r="AH41" s="30" t="s">
        <v>952</v>
      </c>
      <c r="AI41" s="33" t="s">
        <v>1825</v>
      </c>
    </row>
    <row r="42" spans="1:35">
      <c r="A42" s="52" t="s">
        <v>557</v>
      </c>
      <c r="B42" s="13" t="s">
        <v>233</v>
      </c>
      <c r="C42" s="27" t="s">
        <v>45</v>
      </c>
      <c r="D42" s="13" t="s">
        <v>59</v>
      </c>
      <c r="E42" s="27">
        <f>+[1]モンスター計算!E45</f>
        <v>213</v>
      </c>
      <c r="F42" s="5">
        <f>+[1]モンスター計算!F45</f>
        <v>10</v>
      </c>
      <c r="G42" s="5">
        <f>+[1]モンスター計算!G45</f>
        <v>26</v>
      </c>
      <c r="H42" s="5">
        <f>+[1]モンスター計算!H45</f>
        <v>12</v>
      </c>
      <c r="I42" s="5">
        <f>+[1]モンスター計算!I45</f>
        <v>18</v>
      </c>
      <c r="J42" s="13">
        <f>+[1]モンスター計算!J45</f>
        <v>12</v>
      </c>
      <c r="K42" s="27">
        <f>+[1]モンスター計算!K45</f>
        <v>0.08</v>
      </c>
      <c r="L42" s="13">
        <f>+[1]モンスター計算!L45</f>
        <v>1.6</v>
      </c>
      <c r="M42" s="27">
        <f>+[1]モンスター計算!M45</f>
        <v>2.8</v>
      </c>
      <c r="N42" s="5">
        <f>+[1]モンスター計算!N45</f>
        <v>1</v>
      </c>
      <c r="O42" s="13">
        <f>+[1]モンスター計算!O45</f>
        <v>1</v>
      </c>
      <c r="P42" s="27">
        <f>+[1]モンスター計算!P45</f>
        <v>-6.5000000000000002E-2</v>
      </c>
      <c r="Q42" s="5">
        <f>+[1]モンスター計算!Q45</f>
        <v>0.23500000000000001</v>
      </c>
      <c r="R42" s="5">
        <f>+[1]モンスター計算!R45</f>
        <v>3.5000000000000003E-2</v>
      </c>
      <c r="S42" s="5">
        <f>+[1]モンスター計算!S45</f>
        <v>3.5000000000000003E-2</v>
      </c>
      <c r="T42" s="5">
        <f>+[1]モンスター計算!T45</f>
        <v>3.5000000000000003E-2</v>
      </c>
      <c r="U42" s="5">
        <f>+[1]モンスター計算!U45</f>
        <v>3.5000000000000003E-2</v>
      </c>
      <c r="V42" s="13">
        <f>+[1]モンスター計算!V45</f>
        <v>4</v>
      </c>
      <c r="W42" s="30">
        <v>11</v>
      </c>
      <c r="X42" s="27" t="s">
        <v>70</v>
      </c>
      <c r="Y42" s="33" t="s">
        <v>91</v>
      </c>
      <c r="Z42" s="13">
        <v>1.25</v>
      </c>
      <c r="AA42" s="30">
        <v>20</v>
      </c>
      <c r="AB42" s="30">
        <f t="shared" si="0"/>
        <v>37</v>
      </c>
      <c r="AC42" s="47">
        <f t="shared" si="1"/>
        <v>7</v>
      </c>
      <c r="AD42" s="27" t="s">
        <v>74</v>
      </c>
      <c r="AE42" s="5">
        <v>0</v>
      </c>
      <c r="AF42" s="5">
        <v>0</v>
      </c>
      <c r="AG42" s="13" t="b">
        <v>0</v>
      </c>
      <c r="AH42" s="30" t="s">
        <v>953</v>
      </c>
      <c r="AI42" s="33" t="s">
        <v>1825</v>
      </c>
    </row>
    <row r="43" spans="1:35" ht="19.5" thickBot="1">
      <c r="A43" s="53" t="s">
        <v>558</v>
      </c>
      <c r="B43" s="16" t="s">
        <v>234</v>
      </c>
      <c r="C43" s="28" t="s">
        <v>47</v>
      </c>
      <c r="D43" s="16" t="s">
        <v>61</v>
      </c>
      <c r="E43" s="28">
        <f>+[1]モンスター計算!E46</f>
        <v>195</v>
      </c>
      <c r="F43" s="15">
        <f>+[1]モンスター計算!F46</f>
        <v>27</v>
      </c>
      <c r="G43" s="15">
        <f>+[1]モンスター計算!G46</f>
        <v>12</v>
      </c>
      <c r="H43" s="15">
        <f>+[1]モンスター計算!H46</f>
        <v>27</v>
      </c>
      <c r="I43" s="15">
        <f>+[1]モンスター計算!I46</f>
        <v>16</v>
      </c>
      <c r="J43" s="16">
        <f>+[1]モンスター計算!J46</f>
        <v>16</v>
      </c>
      <c r="K43" s="28">
        <f>+[1]モンスター計算!K46</f>
        <v>7.0000000000000007E-2</v>
      </c>
      <c r="L43" s="16">
        <f>+[1]モンスター計算!L46</f>
        <v>1.55</v>
      </c>
      <c r="M43" s="28">
        <f>+[1]モンスター計算!M46</f>
        <v>2.4</v>
      </c>
      <c r="N43" s="15">
        <f>+[1]モンスター計算!N46</f>
        <v>1</v>
      </c>
      <c r="O43" s="16">
        <f>+[1]モンスター計算!O46</f>
        <v>2.5</v>
      </c>
      <c r="P43" s="28">
        <f>+[1]モンスター計算!P46</f>
        <v>0.02</v>
      </c>
      <c r="Q43" s="15">
        <f>+[1]モンスター計算!Q46</f>
        <v>0.02</v>
      </c>
      <c r="R43" s="15">
        <f>+[1]モンスター計算!R46</f>
        <v>0.02</v>
      </c>
      <c r="S43" s="15">
        <f>+[1]モンスター計算!S46</f>
        <v>0.02</v>
      </c>
      <c r="T43" s="15">
        <f>+[1]モンスター計算!T46</f>
        <v>0.22</v>
      </c>
      <c r="U43" s="15">
        <f>+[1]モンスター計算!U46</f>
        <v>-0.08</v>
      </c>
      <c r="V43" s="16">
        <f>+[1]モンスター計算!V46</f>
        <v>4</v>
      </c>
      <c r="W43" s="31">
        <v>15</v>
      </c>
      <c r="X43" s="28" t="s">
        <v>72</v>
      </c>
      <c r="Y43" s="34" t="s">
        <v>92</v>
      </c>
      <c r="Z43" s="16">
        <v>1.3</v>
      </c>
      <c r="AA43" s="31">
        <v>40</v>
      </c>
      <c r="AB43" s="31">
        <f t="shared" si="0"/>
        <v>57</v>
      </c>
      <c r="AC43" s="48">
        <f t="shared" si="1"/>
        <v>7</v>
      </c>
      <c r="AD43" s="28" t="s">
        <v>55</v>
      </c>
      <c r="AE43" s="15">
        <v>10</v>
      </c>
      <c r="AF43" s="15">
        <v>4</v>
      </c>
      <c r="AG43" s="16" t="b">
        <v>1</v>
      </c>
      <c r="AH43" s="31" t="s">
        <v>954</v>
      </c>
      <c r="AI43" s="34" t="s">
        <v>1825</v>
      </c>
    </row>
    <row r="44" spans="1:35">
      <c r="A44" s="51" t="s">
        <v>559</v>
      </c>
      <c r="B44" s="11" t="s">
        <v>235</v>
      </c>
      <c r="C44" s="26" t="s">
        <v>45</v>
      </c>
      <c r="D44" s="11" t="s">
        <v>61</v>
      </c>
      <c r="E44" s="26">
        <f>+[1]モンスター計算!E47</f>
        <v>292</v>
      </c>
      <c r="F44" s="10">
        <f>+[1]モンスター計算!F47</f>
        <v>36</v>
      </c>
      <c r="G44" s="10">
        <f>+[1]モンスター計算!G47</f>
        <v>7</v>
      </c>
      <c r="H44" s="10">
        <f>+[1]モンスター計算!H47</f>
        <v>16</v>
      </c>
      <c r="I44" s="10">
        <f>+[1]モンスター計算!I47</f>
        <v>23</v>
      </c>
      <c r="J44" s="11">
        <f>+[1]モンスター計算!J47</f>
        <v>22</v>
      </c>
      <c r="K44" s="26">
        <f>+[1]モンスター計算!K47</f>
        <v>0.1</v>
      </c>
      <c r="L44" s="11">
        <f>+[1]モンスター計算!L47</f>
        <v>1.75</v>
      </c>
      <c r="M44" s="26">
        <f>+[1]モンスター計算!M47</f>
        <v>2.4</v>
      </c>
      <c r="N44" s="10">
        <f>+[1]モンスター計算!N47</f>
        <v>1.2</v>
      </c>
      <c r="O44" s="11">
        <f>+[1]モンスター計算!O47</f>
        <v>3</v>
      </c>
      <c r="P44" s="26">
        <f>+[1]モンスター計算!P47</f>
        <v>-2.0000000000000004E-2</v>
      </c>
      <c r="Q44" s="10">
        <f>+[1]モンスター計算!Q47</f>
        <v>0.28000000000000003</v>
      </c>
      <c r="R44" s="10">
        <f>+[1]モンスター計算!R47</f>
        <v>0.08</v>
      </c>
      <c r="S44" s="10">
        <f>+[1]モンスター計算!S47</f>
        <v>0.08</v>
      </c>
      <c r="T44" s="10">
        <f>+[1]モンスター計算!T47</f>
        <v>0.08</v>
      </c>
      <c r="U44" s="10">
        <f>+[1]モンスター計算!U47</f>
        <v>0.08</v>
      </c>
      <c r="V44" s="11">
        <f>+[1]モンスター計算!V47</f>
        <v>4</v>
      </c>
      <c r="W44" s="29">
        <v>8</v>
      </c>
      <c r="X44" s="26" t="s">
        <v>109</v>
      </c>
      <c r="Y44" s="32" t="s">
        <v>87</v>
      </c>
      <c r="Z44" s="11">
        <v>1.2</v>
      </c>
      <c r="AA44" s="29">
        <v>5</v>
      </c>
      <c r="AB44" s="29">
        <f t="shared" si="0"/>
        <v>17</v>
      </c>
      <c r="AC44" s="46">
        <f t="shared" si="1"/>
        <v>8</v>
      </c>
      <c r="AD44" s="26" t="s">
        <v>51</v>
      </c>
      <c r="AE44" s="10">
        <v>7</v>
      </c>
      <c r="AF44" s="10">
        <v>3</v>
      </c>
      <c r="AG44" s="11" t="b">
        <v>1</v>
      </c>
      <c r="AH44" s="29" t="s">
        <v>955</v>
      </c>
      <c r="AI44" s="32" t="s">
        <v>1825</v>
      </c>
    </row>
    <row r="45" spans="1:35">
      <c r="A45" s="52" t="s">
        <v>560</v>
      </c>
      <c r="B45" s="13" t="s">
        <v>236</v>
      </c>
      <c r="C45" s="27" t="s">
        <v>44</v>
      </c>
      <c r="D45" s="13" t="s">
        <v>61</v>
      </c>
      <c r="E45" s="27">
        <f>+[1]モンスター計算!E48</f>
        <v>177</v>
      </c>
      <c r="F45" s="5">
        <f>+[1]モンスター計算!F48</f>
        <v>45</v>
      </c>
      <c r="G45" s="5">
        <f>+[1]モンスター計算!G48</f>
        <v>19</v>
      </c>
      <c r="H45" s="5">
        <f>+[1]モンスター計算!H48</f>
        <v>57</v>
      </c>
      <c r="I45" s="5">
        <f>+[1]モンスター計算!I48</f>
        <v>14</v>
      </c>
      <c r="J45" s="13">
        <f>+[1]モンスター計算!J48</f>
        <v>15</v>
      </c>
      <c r="K45" s="27">
        <f>+[1]モンスター計算!K48</f>
        <v>0.04</v>
      </c>
      <c r="L45" s="13">
        <f>+[1]モンスター計算!L48</f>
        <v>2.2000000000000002</v>
      </c>
      <c r="M45" s="27">
        <f>+[1]モンスター計算!M48</f>
        <v>1.65</v>
      </c>
      <c r="N45" s="5">
        <f>+[1]モンスター計算!N48</f>
        <v>0.64</v>
      </c>
      <c r="O45" s="13">
        <f>+[1]モンスター計算!O48</f>
        <v>3.7</v>
      </c>
      <c r="P45" s="27">
        <f>+[1]モンスター計算!P48</f>
        <v>0.17500000000000002</v>
      </c>
      <c r="Q45" s="5">
        <f>+[1]モンスター計算!Q48</f>
        <v>-0.125</v>
      </c>
      <c r="R45" s="5">
        <f>+[1]モンスター計算!R48</f>
        <v>-2.5000000000000001E-2</v>
      </c>
      <c r="S45" s="5">
        <f>+[1]モンスター計算!S48</f>
        <v>-2.5000000000000001E-2</v>
      </c>
      <c r="T45" s="5">
        <f>+[1]モンスター計算!T48</f>
        <v>-2.5000000000000001E-2</v>
      </c>
      <c r="U45" s="5">
        <f>+[1]モンスター計算!U48</f>
        <v>-2.5000000000000001E-2</v>
      </c>
      <c r="V45" s="13">
        <f>+[1]モンスター計算!V48</f>
        <v>5</v>
      </c>
      <c r="W45" s="30">
        <v>8</v>
      </c>
      <c r="X45" s="27" t="s">
        <v>64</v>
      </c>
      <c r="Y45" s="33" t="s">
        <v>88</v>
      </c>
      <c r="Z45" s="13">
        <v>1.2</v>
      </c>
      <c r="AA45" s="30">
        <v>7</v>
      </c>
      <c r="AB45" s="30">
        <f t="shared" si="0"/>
        <v>19</v>
      </c>
      <c r="AC45" s="47">
        <f t="shared" si="1"/>
        <v>8</v>
      </c>
      <c r="AD45" s="27" t="s">
        <v>49</v>
      </c>
      <c r="AE45" s="5">
        <v>7.5</v>
      </c>
      <c r="AF45" s="5">
        <v>3</v>
      </c>
      <c r="AG45" s="13" t="b">
        <v>1</v>
      </c>
      <c r="AH45" s="30" t="s">
        <v>956</v>
      </c>
      <c r="AI45" s="33" t="s">
        <v>1825</v>
      </c>
    </row>
    <row r="46" spans="1:35">
      <c r="A46" s="52" t="s">
        <v>561</v>
      </c>
      <c r="B46" s="13" t="s">
        <v>237</v>
      </c>
      <c r="C46" s="27" t="s">
        <v>46</v>
      </c>
      <c r="D46" s="13" t="s">
        <v>61</v>
      </c>
      <c r="E46" s="27">
        <f>+[1]モンスター計算!E49</f>
        <v>207</v>
      </c>
      <c r="F46" s="5">
        <f>+[1]モンスター計算!F49</f>
        <v>50</v>
      </c>
      <c r="G46" s="5">
        <f>+[1]モンスター計算!G49</f>
        <v>10</v>
      </c>
      <c r="H46" s="5">
        <f>+[1]モンスター計算!H49</f>
        <v>34</v>
      </c>
      <c r="I46" s="5">
        <f>+[1]モンスター計算!I49</f>
        <v>12</v>
      </c>
      <c r="J46" s="13">
        <f>+[1]モンスター計算!J49</f>
        <v>32</v>
      </c>
      <c r="K46" s="27">
        <f>+[1]モンスター計算!K49</f>
        <v>4.4999999999999998E-2</v>
      </c>
      <c r="L46" s="13">
        <f>+[1]モンスター計算!L49</f>
        <v>1.45</v>
      </c>
      <c r="M46" s="27">
        <f>+[1]モンスター計算!M49</f>
        <v>1.9</v>
      </c>
      <c r="N46" s="5">
        <f>+[1]モンスター計算!N49</f>
        <v>0.84</v>
      </c>
      <c r="O46" s="13">
        <f>+[1]モンスター計算!O49</f>
        <v>2.65</v>
      </c>
      <c r="P46" s="27">
        <f>+[1]モンスター計算!P49</f>
        <v>0.09</v>
      </c>
      <c r="Q46" s="5">
        <f>+[1]モンスター計算!Q49</f>
        <v>0.09</v>
      </c>
      <c r="R46" s="5">
        <f>+[1]モンスター計算!R49</f>
        <v>0.29000000000000004</v>
      </c>
      <c r="S46" s="5">
        <f>+[1]モンスター計算!S49</f>
        <v>-1.0000000000000009E-2</v>
      </c>
      <c r="T46" s="5">
        <f>+[1]モンスター計算!T49</f>
        <v>0.09</v>
      </c>
      <c r="U46" s="5">
        <f>+[1]モンスター計算!U49</f>
        <v>0.09</v>
      </c>
      <c r="V46" s="13">
        <f>+[1]モンスター計算!V49</f>
        <v>4.4000000000000004</v>
      </c>
      <c r="W46" s="30">
        <v>9</v>
      </c>
      <c r="X46" s="27" t="s">
        <v>66</v>
      </c>
      <c r="Y46" s="33" t="s">
        <v>89</v>
      </c>
      <c r="Z46" s="13">
        <v>1.22</v>
      </c>
      <c r="AA46" s="30">
        <v>10</v>
      </c>
      <c r="AB46" s="30">
        <f t="shared" si="0"/>
        <v>23</v>
      </c>
      <c r="AC46" s="47">
        <f t="shared" si="1"/>
        <v>8</v>
      </c>
      <c r="AD46" s="27" t="s">
        <v>53</v>
      </c>
      <c r="AE46" s="5">
        <v>8.5</v>
      </c>
      <c r="AF46" s="5">
        <v>3</v>
      </c>
      <c r="AG46" s="13" t="b">
        <v>1</v>
      </c>
      <c r="AH46" s="30" t="s">
        <v>957</v>
      </c>
      <c r="AI46" s="33" t="s">
        <v>1825</v>
      </c>
    </row>
    <row r="47" spans="1:35">
      <c r="A47" s="52" t="s">
        <v>562</v>
      </c>
      <c r="B47" s="13" t="s">
        <v>238</v>
      </c>
      <c r="C47" s="27" t="s">
        <v>44</v>
      </c>
      <c r="D47" s="13" t="s">
        <v>59</v>
      </c>
      <c r="E47" s="27">
        <f>+[1]モンスター計算!E50</f>
        <v>148</v>
      </c>
      <c r="F47" s="5">
        <f>+[1]モンスター計算!F50</f>
        <v>8</v>
      </c>
      <c r="G47" s="5">
        <f>+[1]モンスター計算!G50</f>
        <v>55</v>
      </c>
      <c r="H47" s="5">
        <f>+[1]モンスター計算!H50</f>
        <v>15</v>
      </c>
      <c r="I47" s="5">
        <f>+[1]モンスター計算!I50</f>
        <v>12</v>
      </c>
      <c r="J47" s="13">
        <f>+[1]モンスター計算!J50</f>
        <v>11</v>
      </c>
      <c r="K47" s="27">
        <f>+[1]モンスター計算!K50</f>
        <v>9.5000000000000001E-2</v>
      </c>
      <c r="L47" s="13">
        <f>+[1]モンスター計算!L50</f>
        <v>2.4</v>
      </c>
      <c r="M47" s="27">
        <f>+[1]モンスター計算!M50</f>
        <v>3.35</v>
      </c>
      <c r="N47" s="5">
        <f>+[1]モンスター計算!N50</f>
        <v>0.86</v>
      </c>
      <c r="O47" s="13">
        <f>+[1]モンスター計算!O50</f>
        <v>1</v>
      </c>
      <c r="P47" s="27">
        <f>+[1]モンスター計算!P50</f>
        <v>0.13</v>
      </c>
      <c r="Q47" s="5">
        <f>+[1]モンスター計算!Q50</f>
        <v>-0.17</v>
      </c>
      <c r="R47" s="5">
        <f>+[1]モンスター計算!R50</f>
        <v>-7.0000000000000007E-2</v>
      </c>
      <c r="S47" s="5">
        <f>+[1]モンスター計算!S50</f>
        <v>-7.0000000000000007E-2</v>
      </c>
      <c r="T47" s="5">
        <f>+[1]モンスター計算!T50</f>
        <v>-7.0000000000000007E-2</v>
      </c>
      <c r="U47" s="5">
        <f>+[1]モンスター計算!U50</f>
        <v>-7.0000000000000007E-2</v>
      </c>
      <c r="V47" s="13">
        <f>+[1]モンスター計算!V50</f>
        <v>4.5999999999999996</v>
      </c>
      <c r="W47" s="30">
        <v>10</v>
      </c>
      <c r="X47" s="27" t="s">
        <v>68</v>
      </c>
      <c r="Y47" s="33" t="s">
        <v>90</v>
      </c>
      <c r="Z47" s="13">
        <v>1.25</v>
      </c>
      <c r="AA47" s="30">
        <v>15</v>
      </c>
      <c r="AB47" s="30">
        <f t="shared" si="0"/>
        <v>33</v>
      </c>
      <c r="AC47" s="47">
        <f t="shared" si="1"/>
        <v>8</v>
      </c>
      <c r="AD47" s="27" t="s">
        <v>74</v>
      </c>
      <c r="AE47" s="5">
        <v>0</v>
      </c>
      <c r="AF47" s="5">
        <v>0</v>
      </c>
      <c r="AG47" s="13" t="b">
        <v>0</v>
      </c>
      <c r="AH47" s="30" t="s">
        <v>958</v>
      </c>
      <c r="AI47" s="33" t="s">
        <v>1825</v>
      </c>
    </row>
    <row r="48" spans="1:35">
      <c r="A48" s="52" t="s">
        <v>563</v>
      </c>
      <c r="B48" s="13" t="s">
        <v>239</v>
      </c>
      <c r="C48" s="27" t="s">
        <v>45</v>
      </c>
      <c r="D48" s="13" t="s">
        <v>59</v>
      </c>
      <c r="E48" s="27">
        <f>+[1]モンスター計算!E51</f>
        <v>127</v>
      </c>
      <c r="F48" s="5">
        <f>+[1]モンスター計算!F51</f>
        <v>6</v>
      </c>
      <c r="G48" s="5">
        <f>+[1]モンスター計算!G51</f>
        <v>40</v>
      </c>
      <c r="H48" s="5">
        <f>+[1]モンスター計算!H51</f>
        <v>12</v>
      </c>
      <c r="I48" s="5">
        <f>+[1]モンスター計算!I51</f>
        <v>10</v>
      </c>
      <c r="J48" s="13">
        <f>+[1]モンスター計算!J51</f>
        <v>11</v>
      </c>
      <c r="K48" s="27">
        <f>+[1]モンスター計算!K51</f>
        <v>0.18</v>
      </c>
      <c r="L48" s="13">
        <f>+[1]モンスター計算!L51</f>
        <v>2.1</v>
      </c>
      <c r="M48" s="27">
        <f>+[1]モンスター計算!M51</f>
        <v>3.15</v>
      </c>
      <c r="N48" s="5">
        <f>+[1]モンスター計算!N51</f>
        <v>1.35</v>
      </c>
      <c r="O48" s="13">
        <f>+[1]モンスター計算!O51</f>
        <v>1</v>
      </c>
      <c r="P48" s="27">
        <f>+[1]モンスター計算!P51</f>
        <v>-0.18</v>
      </c>
      <c r="Q48" s="5">
        <f>+[1]モンスター計算!Q51</f>
        <v>0.12000000000000001</v>
      </c>
      <c r="R48" s="5">
        <f>+[1]モンスター計算!R51</f>
        <v>-0.08</v>
      </c>
      <c r="S48" s="5">
        <f>+[1]モンスター計算!S51</f>
        <v>-0.08</v>
      </c>
      <c r="T48" s="5">
        <f>+[1]モンスター計算!T51</f>
        <v>-0.08</v>
      </c>
      <c r="U48" s="5">
        <f>+[1]モンスター計算!U51</f>
        <v>-0.08</v>
      </c>
      <c r="V48" s="13">
        <f>+[1]モンスター計算!V51</f>
        <v>4.8</v>
      </c>
      <c r="W48" s="30">
        <v>11</v>
      </c>
      <c r="X48" s="27" t="s">
        <v>70</v>
      </c>
      <c r="Y48" s="33" t="s">
        <v>91</v>
      </c>
      <c r="Z48" s="13">
        <v>1.25</v>
      </c>
      <c r="AA48" s="30">
        <v>20</v>
      </c>
      <c r="AB48" s="30">
        <f t="shared" si="0"/>
        <v>39</v>
      </c>
      <c r="AC48" s="47">
        <f t="shared" si="1"/>
        <v>8</v>
      </c>
      <c r="AD48" s="27" t="s">
        <v>74</v>
      </c>
      <c r="AE48" s="5">
        <v>0</v>
      </c>
      <c r="AF48" s="5">
        <v>0</v>
      </c>
      <c r="AG48" s="13" t="b">
        <v>0</v>
      </c>
      <c r="AH48" s="30" t="s">
        <v>959</v>
      </c>
      <c r="AI48" s="33" t="s">
        <v>1825</v>
      </c>
    </row>
    <row r="49" spans="1:35" ht="19.5" thickBot="1">
      <c r="A49" s="53" t="s">
        <v>564</v>
      </c>
      <c r="B49" s="16" t="s">
        <v>240</v>
      </c>
      <c r="C49" s="28" t="s">
        <v>47</v>
      </c>
      <c r="D49" s="16" t="s">
        <v>61</v>
      </c>
      <c r="E49" s="28">
        <f>+[1]モンスター計算!E52</f>
        <v>187</v>
      </c>
      <c r="F49" s="15">
        <f>+[1]モンスター計算!F52</f>
        <v>31</v>
      </c>
      <c r="G49" s="15">
        <f>+[1]モンスター計算!G52</f>
        <v>10</v>
      </c>
      <c r="H49" s="15">
        <f>+[1]モンスター計算!H52</f>
        <v>37</v>
      </c>
      <c r="I49" s="15">
        <f>+[1]モンスター計算!I52</f>
        <v>13</v>
      </c>
      <c r="J49" s="16">
        <f>+[1]モンスター計算!J52</f>
        <v>14</v>
      </c>
      <c r="K49" s="28">
        <f>+[1]モンスター計算!K52</f>
        <v>0.06</v>
      </c>
      <c r="L49" s="16">
        <f>+[1]モンスター計算!L52</f>
        <v>1.6</v>
      </c>
      <c r="M49" s="28">
        <f>+[1]モンスター計算!M52</f>
        <v>2.25</v>
      </c>
      <c r="N49" s="15">
        <f>+[1]モンスター計算!N52</f>
        <v>0.91</v>
      </c>
      <c r="O49" s="16">
        <f>+[1]モンスター計算!O52</f>
        <v>4.75</v>
      </c>
      <c r="P49" s="28">
        <f>+[1]モンスター計算!P52</f>
        <v>-0.02</v>
      </c>
      <c r="Q49" s="15">
        <f>+[1]モンスター計算!Q52</f>
        <v>-0.02</v>
      </c>
      <c r="R49" s="15">
        <f>+[1]モンスター計算!R52</f>
        <v>-0.02</v>
      </c>
      <c r="S49" s="15">
        <f>+[1]モンスター計算!S52</f>
        <v>-0.02</v>
      </c>
      <c r="T49" s="15">
        <f>+[1]モンスター計算!T52</f>
        <v>0.18000000000000002</v>
      </c>
      <c r="U49" s="15">
        <f>+[1]モンスター計算!U52</f>
        <v>-0.12000000000000001</v>
      </c>
      <c r="V49" s="16">
        <f>+[1]モンスター計算!V52</f>
        <v>6.6</v>
      </c>
      <c r="W49" s="31">
        <v>15</v>
      </c>
      <c r="X49" s="28" t="s">
        <v>72</v>
      </c>
      <c r="Y49" s="34" t="s">
        <v>92</v>
      </c>
      <c r="Z49" s="16">
        <v>1.3</v>
      </c>
      <c r="AA49" s="31">
        <v>40</v>
      </c>
      <c r="AB49" s="31">
        <f t="shared" si="0"/>
        <v>60</v>
      </c>
      <c r="AC49" s="48">
        <f t="shared" si="1"/>
        <v>8</v>
      </c>
      <c r="AD49" s="28" t="s">
        <v>55</v>
      </c>
      <c r="AE49" s="15">
        <v>10</v>
      </c>
      <c r="AF49" s="15">
        <v>4</v>
      </c>
      <c r="AG49" s="16" t="b">
        <v>1</v>
      </c>
      <c r="AH49" s="31" t="s">
        <v>960</v>
      </c>
      <c r="AI49" s="34" t="s">
        <v>1825</v>
      </c>
    </row>
    <row r="50" spans="1:35">
      <c r="A50" s="51" t="s">
        <v>565</v>
      </c>
      <c r="B50" s="11" t="s">
        <v>241</v>
      </c>
      <c r="C50" s="26" t="s">
        <v>45</v>
      </c>
      <c r="D50" s="11" t="s">
        <v>61</v>
      </c>
      <c r="E50" s="26">
        <f>+[1]モンスター計算!E53</f>
        <v>144</v>
      </c>
      <c r="F50" s="10">
        <f>+[1]モンスター計算!F53</f>
        <v>34</v>
      </c>
      <c r="G50" s="10">
        <f>+[1]モンスター計算!G53</f>
        <v>16</v>
      </c>
      <c r="H50" s="10">
        <f>+[1]モンスター計算!H53</f>
        <v>68</v>
      </c>
      <c r="I50" s="10">
        <f>+[1]モンスター計算!I53</f>
        <v>11</v>
      </c>
      <c r="J50" s="11">
        <f>+[1]モンスター計算!J53</f>
        <v>14</v>
      </c>
      <c r="K50" s="26">
        <f>+[1]モンスター計算!K53</f>
        <v>0.18</v>
      </c>
      <c r="L50" s="11">
        <f>+[1]モンスター計算!L53</f>
        <v>1.85</v>
      </c>
      <c r="M50" s="26">
        <f>+[1]モンスター計算!M53</f>
        <v>2.0499999999999998</v>
      </c>
      <c r="N50" s="10">
        <f>+[1]モンスター計算!N53</f>
        <v>0.75</v>
      </c>
      <c r="O50" s="11">
        <f>+[1]モンスター計算!O53</f>
        <v>4.45</v>
      </c>
      <c r="P50" s="26">
        <f>+[1]モンスター計算!P53</f>
        <v>-0.16</v>
      </c>
      <c r="Q50" s="10">
        <f>+[1]モンスター計算!Q53</f>
        <v>0.14000000000000001</v>
      </c>
      <c r="R50" s="10">
        <f>+[1]モンスター計算!R53</f>
        <v>-0.06</v>
      </c>
      <c r="S50" s="10">
        <f>+[1]モンスター計算!S53</f>
        <v>-0.06</v>
      </c>
      <c r="T50" s="10">
        <f>+[1]モンスター計算!T53</f>
        <v>-0.06</v>
      </c>
      <c r="U50" s="10">
        <f>+[1]モンスター計算!U53</f>
        <v>-0.06</v>
      </c>
      <c r="V50" s="11">
        <f>+[1]モンスター計算!V53</f>
        <v>5.6</v>
      </c>
      <c r="W50" s="29">
        <v>8</v>
      </c>
      <c r="X50" s="26" t="s">
        <v>109</v>
      </c>
      <c r="Y50" s="32" t="s">
        <v>87</v>
      </c>
      <c r="Z50" s="11">
        <v>1.2</v>
      </c>
      <c r="AA50" s="29">
        <v>5</v>
      </c>
      <c r="AB50" s="29">
        <f t="shared" si="0"/>
        <v>18</v>
      </c>
      <c r="AC50" s="46">
        <f t="shared" si="1"/>
        <v>9</v>
      </c>
      <c r="AD50" s="26" t="s">
        <v>51</v>
      </c>
      <c r="AE50" s="10">
        <v>7</v>
      </c>
      <c r="AF50" s="10">
        <v>3</v>
      </c>
      <c r="AG50" s="11" t="b">
        <v>1</v>
      </c>
      <c r="AH50" s="29" t="s">
        <v>961</v>
      </c>
      <c r="AI50" s="32" t="s">
        <v>1825</v>
      </c>
    </row>
    <row r="51" spans="1:35">
      <c r="A51" s="52" t="s">
        <v>566</v>
      </c>
      <c r="B51" s="13" t="s">
        <v>242</v>
      </c>
      <c r="C51" s="27" t="s">
        <v>44</v>
      </c>
      <c r="D51" s="13" t="s">
        <v>61</v>
      </c>
      <c r="E51" s="27">
        <f>+[1]モンスター計算!E54</f>
        <v>176</v>
      </c>
      <c r="F51" s="5">
        <f>+[1]モンスター計算!F54</f>
        <v>42</v>
      </c>
      <c r="G51" s="5">
        <f>+[1]モンスター計算!G54</f>
        <v>16</v>
      </c>
      <c r="H51" s="5">
        <f>+[1]モンスター計算!H54</f>
        <v>60</v>
      </c>
      <c r="I51" s="5">
        <f>+[1]モンスター計算!I54</f>
        <v>14</v>
      </c>
      <c r="J51" s="13">
        <f>+[1]モンスター計算!J54</f>
        <v>15</v>
      </c>
      <c r="K51" s="27">
        <f>+[1]モンスター計算!K54</f>
        <v>0.12</v>
      </c>
      <c r="L51" s="13">
        <f>+[1]モンスター計算!L54</f>
        <v>2.5499999999999998</v>
      </c>
      <c r="M51" s="27">
        <f>+[1]モンスター計算!M54</f>
        <v>2.2999999999999998</v>
      </c>
      <c r="N51" s="5">
        <f>+[1]モンスター計算!N54</f>
        <v>0.68</v>
      </c>
      <c r="O51" s="13">
        <f>+[1]モンスター計算!O54</f>
        <v>3.55</v>
      </c>
      <c r="P51" s="27">
        <f>+[1]モンスター計算!P54</f>
        <v>0.14500000000000002</v>
      </c>
      <c r="Q51" s="5">
        <f>+[1]モンスター計算!Q54</f>
        <v>-0.155</v>
      </c>
      <c r="R51" s="5">
        <f>+[1]モンスター計算!R54</f>
        <v>-5.5E-2</v>
      </c>
      <c r="S51" s="5">
        <f>+[1]モンスター計算!S54</f>
        <v>-5.5E-2</v>
      </c>
      <c r="T51" s="5">
        <f>+[1]モンスター計算!T54</f>
        <v>-5.5E-2</v>
      </c>
      <c r="U51" s="5">
        <f>+[1]モンスター計算!U54</f>
        <v>-5.5E-2</v>
      </c>
      <c r="V51" s="13">
        <f>+[1]モンスター計算!V54</f>
        <v>4.8</v>
      </c>
      <c r="W51" s="30">
        <v>8</v>
      </c>
      <c r="X51" s="27" t="s">
        <v>64</v>
      </c>
      <c r="Y51" s="33" t="s">
        <v>88</v>
      </c>
      <c r="Z51" s="13">
        <v>1.2</v>
      </c>
      <c r="AA51" s="30">
        <v>7</v>
      </c>
      <c r="AB51" s="30">
        <f t="shared" si="0"/>
        <v>20</v>
      </c>
      <c r="AC51" s="47">
        <f t="shared" si="1"/>
        <v>9</v>
      </c>
      <c r="AD51" s="27" t="s">
        <v>49</v>
      </c>
      <c r="AE51" s="5">
        <v>7.5</v>
      </c>
      <c r="AF51" s="5">
        <v>3</v>
      </c>
      <c r="AG51" s="13" t="b">
        <v>1</v>
      </c>
      <c r="AH51" s="30" t="s">
        <v>962</v>
      </c>
      <c r="AI51" s="33" t="s">
        <v>1825</v>
      </c>
    </row>
    <row r="52" spans="1:35">
      <c r="A52" s="52" t="s">
        <v>567</v>
      </c>
      <c r="B52" s="13" t="s">
        <v>243</v>
      </c>
      <c r="C52" s="27" t="s">
        <v>46</v>
      </c>
      <c r="D52" s="13" t="s">
        <v>61</v>
      </c>
      <c r="E52" s="27">
        <f>+[1]モンスター計算!E55</f>
        <v>300</v>
      </c>
      <c r="F52" s="5">
        <f>+[1]モンスター計算!F55</f>
        <v>69</v>
      </c>
      <c r="G52" s="5">
        <f>+[1]モンスター計算!G55</f>
        <v>11</v>
      </c>
      <c r="H52" s="5">
        <f>+[1]モンスター計算!H55</f>
        <v>30</v>
      </c>
      <c r="I52" s="5">
        <f>+[1]モンスター計算!I55</f>
        <v>16</v>
      </c>
      <c r="J52" s="13">
        <f>+[1]モンスター計算!J55</f>
        <v>29</v>
      </c>
      <c r="K52" s="27">
        <f>+[1]モンスター計算!K55</f>
        <v>0.115</v>
      </c>
      <c r="L52" s="13">
        <f>+[1]モンスター計算!L55</f>
        <v>1.95</v>
      </c>
      <c r="M52" s="27">
        <f>+[1]モンスター計算!M55</f>
        <v>1.2</v>
      </c>
      <c r="N52" s="5">
        <f>+[1]モンスター計算!N55</f>
        <v>0.72</v>
      </c>
      <c r="O52" s="13">
        <f>+[1]モンスター計算!O55</f>
        <v>3.3250000000000002</v>
      </c>
      <c r="P52" s="27">
        <f>+[1]モンスター計算!P55</f>
        <v>0.08</v>
      </c>
      <c r="Q52" s="5">
        <f>+[1]モンスター計算!Q55</f>
        <v>0.08</v>
      </c>
      <c r="R52" s="5">
        <f>+[1]モンスター計算!R55</f>
        <v>0.28000000000000003</v>
      </c>
      <c r="S52" s="5">
        <f>+[1]モンスター計算!S55</f>
        <v>-2.0000000000000004E-2</v>
      </c>
      <c r="T52" s="5">
        <f>+[1]モンスター計算!T55</f>
        <v>0.08</v>
      </c>
      <c r="U52" s="5">
        <f>+[1]モンスター計算!U55</f>
        <v>0.08</v>
      </c>
      <c r="V52" s="13">
        <f>+[1]モンスター計算!V55</f>
        <v>5</v>
      </c>
      <c r="W52" s="30">
        <v>9</v>
      </c>
      <c r="X52" s="27" t="s">
        <v>66</v>
      </c>
      <c r="Y52" s="33" t="s">
        <v>89</v>
      </c>
      <c r="Z52" s="13">
        <v>1.22</v>
      </c>
      <c r="AA52" s="30">
        <v>10</v>
      </c>
      <c r="AB52" s="30">
        <f t="shared" si="0"/>
        <v>25</v>
      </c>
      <c r="AC52" s="47">
        <f t="shared" si="1"/>
        <v>9</v>
      </c>
      <c r="AD52" s="27" t="s">
        <v>53</v>
      </c>
      <c r="AE52" s="5">
        <v>8.5</v>
      </c>
      <c r="AF52" s="5">
        <v>3</v>
      </c>
      <c r="AG52" s="13" t="b">
        <v>1</v>
      </c>
      <c r="AH52" s="30" t="s">
        <v>963</v>
      </c>
      <c r="AI52" s="33" t="s">
        <v>1825</v>
      </c>
    </row>
    <row r="53" spans="1:35">
      <c r="A53" s="52" t="s">
        <v>568</v>
      </c>
      <c r="B53" s="13" t="s">
        <v>244</v>
      </c>
      <c r="C53" s="27" t="s">
        <v>44</v>
      </c>
      <c r="D53" s="13" t="s">
        <v>59</v>
      </c>
      <c r="E53" s="27">
        <f>+[1]モンスター計算!E56</f>
        <v>343</v>
      </c>
      <c r="F53" s="5">
        <f>+[1]モンスター計算!F56</f>
        <v>12</v>
      </c>
      <c r="G53" s="5">
        <f>+[1]モンスター計算!G56</f>
        <v>26</v>
      </c>
      <c r="H53" s="5">
        <f>+[1]モンスター計算!H56</f>
        <v>12</v>
      </c>
      <c r="I53" s="5">
        <f>+[1]モンスター計算!I56</f>
        <v>27</v>
      </c>
      <c r="J53" s="13">
        <f>+[1]モンスター計算!J56</f>
        <v>24</v>
      </c>
      <c r="K53" s="27">
        <f>+[1]モンスター計算!K56</f>
        <v>0.04</v>
      </c>
      <c r="L53" s="13">
        <f>+[1]モンスター計算!L56</f>
        <v>1.4</v>
      </c>
      <c r="M53" s="27">
        <f>+[1]モンスター計算!M56</f>
        <v>2.2000000000000002</v>
      </c>
      <c r="N53" s="5">
        <f>+[1]モンスター計算!N56</f>
        <v>0.82</v>
      </c>
      <c r="O53" s="13">
        <f>+[1]モンスター計算!O56</f>
        <v>1</v>
      </c>
      <c r="P53" s="27">
        <f>+[1]モンスター計算!P56</f>
        <v>0.30000000000000004</v>
      </c>
      <c r="Q53" s="5">
        <f>+[1]モンスター計算!Q56</f>
        <v>0</v>
      </c>
      <c r="R53" s="5">
        <f>+[1]モンスター計算!R56</f>
        <v>0.1</v>
      </c>
      <c r="S53" s="5">
        <f>+[1]モンスター計算!S56</f>
        <v>0.1</v>
      </c>
      <c r="T53" s="5">
        <f>+[1]モンスター計算!T56</f>
        <v>0.1</v>
      </c>
      <c r="U53" s="5">
        <f>+[1]モンスター計算!U56</f>
        <v>0.1</v>
      </c>
      <c r="V53" s="13">
        <f>+[1]モンスター計算!V56</f>
        <v>4</v>
      </c>
      <c r="W53" s="30">
        <v>10</v>
      </c>
      <c r="X53" s="27" t="s">
        <v>68</v>
      </c>
      <c r="Y53" s="33" t="s">
        <v>90</v>
      </c>
      <c r="Z53" s="13">
        <v>1.25</v>
      </c>
      <c r="AA53" s="30">
        <v>15</v>
      </c>
      <c r="AB53" s="30">
        <f t="shared" si="0"/>
        <v>35</v>
      </c>
      <c r="AC53" s="47">
        <f t="shared" si="1"/>
        <v>9</v>
      </c>
      <c r="AD53" s="27" t="s">
        <v>74</v>
      </c>
      <c r="AE53" s="5">
        <v>0</v>
      </c>
      <c r="AF53" s="5">
        <v>0</v>
      </c>
      <c r="AG53" s="13" t="b">
        <v>0</v>
      </c>
      <c r="AH53" s="30" t="s">
        <v>964</v>
      </c>
      <c r="AI53" s="33" t="s">
        <v>1825</v>
      </c>
    </row>
    <row r="54" spans="1:35">
      <c r="A54" s="52" t="s">
        <v>569</v>
      </c>
      <c r="B54" s="13" t="s">
        <v>245</v>
      </c>
      <c r="C54" s="27" t="s">
        <v>45</v>
      </c>
      <c r="D54" s="13" t="s">
        <v>59</v>
      </c>
      <c r="E54" s="27">
        <f>+[1]モンスター計算!E57</f>
        <v>315</v>
      </c>
      <c r="F54" s="5">
        <f>+[1]モンスター計算!F57</f>
        <v>14</v>
      </c>
      <c r="G54" s="5">
        <f>+[1]モンスター計算!G57</f>
        <v>29</v>
      </c>
      <c r="H54" s="5">
        <f>+[1]モンスター計算!H57</f>
        <v>10</v>
      </c>
      <c r="I54" s="5">
        <f>+[1]モンスター計算!I57</f>
        <v>16</v>
      </c>
      <c r="J54" s="13">
        <f>+[1]モンスター計算!J57</f>
        <v>38</v>
      </c>
      <c r="K54" s="27">
        <f>+[1]モンスター計算!K57</f>
        <v>0.05</v>
      </c>
      <c r="L54" s="13">
        <f>+[1]モンスター計算!L57</f>
        <v>1.5</v>
      </c>
      <c r="M54" s="27">
        <f>+[1]モンスター計算!M57</f>
        <v>2.0499999999999998</v>
      </c>
      <c r="N54" s="5">
        <f>+[1]モンスター計算!N57</f>
        <v>0.79</v>
      </c>
      <c r="O54" s="13">
        <f>+[1]モンスター計算!O57</f>
        <v>1</v>
      </c>
      <c r="P54" s="27">
        <f>+[1]モンスター計算!P57</f>
        <v>-0.03</v>
      </c>
      <c r="Q54" s="5">
        <f>+[1]モンスター計算!Q57</f>
        <v>0.27</v>
      </c>
      <c r="R54" s="5">
        <f>+[1]モンスター計算!R57</f>
        <v>7.0000000000000007E-2</v>
      </c>
      <c r="S54" s="5">
        <f>+[1]モンスター計算!S57</f>
        <v>7.0000000000000007E-2</v>
      </c>
      <c r="T54" s="5">
        <f>+[1]モンスター計算!T57</f>
        <v>7.0000000000000007E-2</v>
      </c>
      <c r="U54" s="5">
        <f>+[1]モンスター計算!U57</f>
        <v>7.0000000000000007E-2</v>
      </c>
      <c r="V54" s="13">
        <f>+[1]モンスター計算!V57</f>
        <v>4</v>
      </c>
      <c r="W54" s="30">
        <v>11</v>
      </c>
      <c r="X54" s="27" t="s">
        <v>70</v>
      </c>
      <c r="Y54" s="33" t="s">
        <v>91</v>
      </c>
      <c r="Z54" s="13">
        <v>1.25</v>
      </c>
      <c r="AA54" s="30">
        <v>20</v>
      </c>
      <c r="AB54" s="30">
        <f t="shared" si="0"/>
        <v>41</v>
      </c>
      <c r="AC54" s="47">
        <f t="shared" si="1"/>
        <v>9</v>
      </c>
      <c r="AD54" s="27" t="s">
        <v>74</v>
      </c>
      <c r="AE54" s="5">
        <v>0</v>
      </c>
      <c r="AF54" s="5">
        <v>0</v>
      </c>
      <c r="AG54" s="13" t="b">
        <v>0</v>
      </c>
      <c r="AH54" s="30" t="s">
        <v>965</v>
      </c>
      <c r="AI54" s="33" t="s">
        <v>1825</v>
      </c>
    </row>
    <row r="55" spans="1:35" ht="19.5" thickBot="1">
      <c r="A55" s="53" t="s">
        <v>570</v>
      </c>
      <c r="B55" s="16" t="s">
        <v>246</v>
      </c>
      <c r="C55" s="28" t="s">
        <v>47</v>
      </c>
      <c r="D55" s="16" t="s">
        <v>61</v>
      </c>
      <c r="E55" s="28">
        <f>+[1]モンスター計算!E58</f>
        <v>214</v>
      </c>
      <c r="F55" s="15">
        <f>+[1]モンスター計算!F58</f>
        <v>38</v>
      </c>
      <c r="G55" s="15">
        <f>+[1]モンスター計算!G58</f>
        <v>12</v>
      </c>
      <c r="H55" s="15">
        <f>+[1]モンスター計算!H58</f>
        <v>39</v>
      </c>
      <c r="I55" s="15">
        <f>+[1]モンスター計算!I58</f>
        <v>16</v>
      </c>
      <c r="J55" s="16">
        <f>+[1]モンスター計算!J58</f>
        <v>17</v>
      </c>
      <c r="K55" s="28">
        <f>+[1]モンスター計算!K58</f>
        <v>4.4999999999999998E-2</v>
      </c>
      <c r="L55" s="16">
        <f>+[1]モンスター計算!L58</f>
        <v>1.4</v>
      </c>
      <c r="M55" s="28">
        <f>+[1]モンスター計算!M58</f>
        <v>2.0499999999999998</v>
      </c>
      <c r="N55" s="15">
        <f>+[1]モンスター計算!N58</f>
        <v>0.92</v>
      </c>
      <c r="O55" s="16">
        <f>+[1]モンスター計算!O58</f>
        <v>2.6749999999999998</v>
      </c>
      <c r="P55" s="28">
        <f>+[1]モンスター計算!P58</f>
        <v>0.19</v>
      </c>
      <c r="Q55" s="15">
        <f>+[1]モンスター計算!Q58</f>
        <v>0.19</v>
      </c>
      <c r="R55" s="15">
        <f>+[1]モンスター計算!R58</f>
        <v>0.19</v>
      </c>
      <c r="S55" s="15">
        <f>+[1]モンスター計算!S58</f>
        <v>0.19</v>
      </c>
      <c r="T55" s="15">
        <f>+[1]モンスター計算!T58</f>
        <v>0.39</v>
      </c>
      <c r="U55" s="15">
        <f>+[1]モンスター計算!U58</f>
        <v>0.09</v>
      </c>
      <c r="V55" s="16">
        <f>+[1]モンスター計算!V58</f>
        <v>4</v>
      </c>
      <c r="W55" s="31">
        <v>15</v>
      </c>
      <c r="X55" s="28" t="s">
        <v>72</v>
      </c>
      <c r="Y55" s="34" t="s">
        <v>92</v>
      </c>
      <c r="Z55" s="16">
        <v>1.3</v>
      </c>
      <c r="AA55" s="31">
        <v>40</v>
      </c>
      <c r="AB55" s="31">
        <f t="shared" si="0"/>
        <v>63</v>
      </c>
      <c r="AC55" s="48">
        <f t="shared" si="1"/>
        <v>9</v>
      </c>
      <c r="AD55" s="28" t="s">
        <v>55</v>
      </c>
      <c r="AE55" s="15">
        <v>10</v>
      </c>
      <c r="AF55" s="15">
        <v>4</v>
      </c>
      <c r="AG55" s="16" t="b">
        <v>1</v>
      </c>
      <c r="AH55" s="31" t="s">
        <v>966</v>
      </c>
      <c r="AI55" s="34" t="s">
        <v>1825</v>
      </c>
    </row>
    <row r="56" spans="1:35">
      <c r="A56" s="51" t="s">
        <v>571</v>
      </c>
      <c r="B56" s="11" t="s">
        <v>247</v>
      </c>
      <c r="C56" s="26" t="s">
        <v>45</v>
      </c>
      <c r="D56" s="11" t="s">
        <v>61</v>
      </c>
      <c r="E56" s="26">
        <f>+[1]モンスター計算!E59</f>
        <v>172</v>
      </c>
      <c r="F56" s="10">
        <f>+[1]モンスター計算!F59</f>
        <v>41</v>
      </c>
      <c r="G56" s="10">
        <f>+[1]モンスター計算!G59</f>
        <v>13</v>
      </c>
      <c r="H56" s="10">
        <f>+[1]モンスター計算!H59</f>
        <v>53</v>
      </c>
      <c r="I56" s="10">
        <f>+[1]モンスター計算!I59</f>
        <v>15</v>
      </c>
      <c r="J56" s="11">
        <f>+[1]モンスター計算!J59</f>
        <v>16</v>
      </c>
      <c r="K56" s="26">
        <f>+[1]モンスター計算!K59</f>
        <v>0.26</v>
      </c>
      <c r="L56" s="11">
        <f>+[1]モンスター計算!L59</f>
        <v>1.95</v>
      </c>
      <c r="M56" s="26">
        <f>+[1]モンスター計算!M59</f>
        <v>2.75</v>
      </c>
      <c r="N56" s="10">
        <f>+[1]モンスター計算!N59</f>
        <v>0.95</v>
      </c>
      <c r="O56" s="11">
        <f>+[1]モンスター計算!O59</f>
        <v>2.8</v>
      </c>
      <c r="P56" s="26">
        <f>+[1]モンスター計算!P59</f>
        <v>-0.15000000000000002</v>
      </c>
      <c r="Q56" s="10">
        <f>+[1]モンスター計算!Q59</f>
        <v>0.15000000000000002</v>
      </c>
      <c r="R56" s="10">
        <f>+[1]モンスター計算!R59</f>
        <v>-0.05</v>
      </c>
      <c r="S56" s="10">
        <f>+[1]モンスター計算!S59</f>
        <v>-0.05</v>
      </c>
      <c r="T56" s="10">
        <f>+[1]モンスター計算!T59</f>
        <v>-0.05</v>
      </c>
      <c r="U56" s="10">
        <f>+[1]モンスター計算!U59</f>
        <v>-0.05</v>
      </c>
      <c r="V56" s="11">
        <f>+[1]モンスター計算!V59</f>
        <v>4.4000000000000004</v>
      </c>
      <c r="W56" s="29">
        <v>8</v>
      </c>
      <c r="X56" s="26" t="s">
        <v>109</v>
      </c>
      <c r="Y56" s="32" t="s">
        <v>87</v>
      </c>
      <c r="Z56" s="11">
        <v>1.2</v>
      </c>
      <c r="AA56" s="29">
        <v>5</v>
      </c>
      <c r="AB56" s="29">
        <f t="shared" si="0"/>
        <v>19</v>
      </c>
      <c r="AC56" s="46">
        <f t="shared" si="1"/>
        <v>10</v>
      </c>
      <c r="AD56" s="26" t="s">
        <v>51</v>
      </c>
      <c r="AE56" s="10">
        <v>7</v>
      </c>
      <c r="AF56" s="10">
        <v>3</v>
      </c>
      <c r="AG56" s="11" t="b">
        <v>1</v>
      </c>
      <c r="AH56" s="29" t="s">
        <v>967</v>
      </c>
      <c r="AI56" s="32" t="s">
        <v>1825</v>
      </c>
    </row>
    <row r="57" spans="1:35">
      <c r="A57" s="52" t="s">
        <v>572</v>
      </c>
      <c r="B57" s="13" t="s">
        <v>248</v>
      </c>
      <c r="C57" s="27" t="s">
        <v>44</v>
      </c>
      <c r="D57" s="13" t="s">
        <v>61</v>
      </c>
      <c r="E57" s="27">
        <f>+[1]モンスター計算!E60</f>
        <v>186</v>
      </c>
      <c r="F57" s="5">
        <f>+[1]モンスター計算!F60</f>
        <v>31</v>
      </c>
      <c r="G57" s="5">
        <f>+[1]モンスター計算!G60</f>
        <v>8</v>
      </c>
      <c r="H57" s="5">
        <f>+[1]モンスター計算!H60</f>
        <v>34</v>
      </c>
      <c r="I57" s="5">
        <f>+[1]モンスター計算!I60</f>
        <v>16</v>
      </c>
      <c r="J57" s="13">
        <f>+[1]モンスター計算!J60</f>
        <v>15</v>
      </c>
      <c r="K57" s="27">
        <f>+[1]モンスター計算!K60</f>
        <v>6.5000000000000002E-2</v>
      </c>
      <c r="L57" s="13">
        <f>+[1]モンスター計算!L60</f>
        <v>1.45</v>
      </c>
      <c r="M57" s="27">
        <f>+[1]モンスター計算!M60</f>
        <v>4</v>
      </c>
      <c r="N57" s="5">
        <f>+[1]モンスター計算!N60</f>
        <v>1.72</v>
      </c>
      <c r="O57" s="13">
        <f>+[1]モンスター計算!O60</f>
        <v>1.9</v>
      </c>
      <c r="P57" s="27">
        <f>+[1]モンスター計算!P60</f>
        <v>0.13</v>
      </c>
      <c r="Q57" s="5">
        <f>+[1]モンスター計算!Q60</f>
        <v>-0.17</v>
      </c>
      <c r="R57" s="5">
        <f>+[1]モンスター計算!R60</f>
        <v>-7.0000000000000007E-2</v>
      </c>
      <c r="S57" s="5">
        <f>+[1]モンスター計算!S60</f>
        <v>-7.0000000000000007E-2</v>
      </c>
      <c r="T57" s="5">
        <f>+[1]モンスター計算!T60</f>
        <v>-7.0000000000000007E-2</v>
      </c>
      <c r="U57" s="5">
        <f>+[1]モンスター計算!U60</f>
        <v>-7.0000000000000007E-2</v>
      </c>
      <c r="V57" s="13">
        <f>+[1]モンスター計算!V60</f>
        <v>5.4</v>
      </c>
      <c r="W57" s="30">
        <v>8</v>
      </c>
      <c r="X57" s="27" t="s">
        <v>64</v>
      </c>
      <c r="Y57" s="33" t="s">
        <v>88</v>
      </c>
      <c r="Z57" s="13">
        <v>1.2</v>
      </c>
      <c r="AA57" s="30">
        <v>7</v>
      </c>
      <c r="AB57" s="30">
        <f t="shared" si="0"/>
        <v>21</v>
      </c>
      <c r="AC57" s="47">
        <f t="shared" si="1"/>
        <v>10</v>
      </c>
      <c r="AD57" s="27" t="s">
        <v>49</v>
      </c>
      <c r="AE57" s="5">
        <v>7.5</v>
      </c>
      <c r="AF57" s="5">
        <v>3</v>
      </c>
      <c r="AG57" s="13" t="b">
        <v>1</v>
      </c>
      <c r="AH57" s="30" t="s">
        <v>968</v>
      </c>
      <c r="AI57" s="33" t="s">
        <v>1825</v>
      </c>
    </row>
    <row r="58" spans="1:35">
      <c r="A58" s="52" t="s">
        <v>573</v>
      </c>
      <c r="B58" s="13" t="s">
        <v>249</v>
      </c>
      <c r="C58" s="27" t="s">
        <v>46</v>
      </c>
      <c r="D58" s="13" t="s">
        <v>61</v>
      </c>
      <c r="E58" s="27">
        <f>+[1]モンスター計算!E61</f>
        <v>283</v>
      </c>
      <c r="F58" s="5">
        <f>+[1]モンスター計算!F61</f>
        <v>34</v>
      </c>
      <c r="G58" s="5">
        <f>+[1]モンスター計算!G61</f>
        <v>15</v>
      </c>
      <c r="H58" s="5">
        <f>+[1]モンスター計算!H61</f>
        <v>33</v>
      </c>
      <c r="I58" s="5">
        <f>+[1]モンスター計算!I61</f>
        <v>25</v>
      </c>
      <c r="J58" s="13">
        <f>+[1]モンスター計算!J61</f>
        <v>16</v>
      </c>
      <c r="K58" s="27">
        <f>+[1]モンスター計算!K61</f>
        <v>0.08</v>
      </c>
      <c r="L58" s="13">
        <f>+[1]モンスター計算!L61</f>
        <v>1.6</v>
      </c>
      <c r="M58" s="27">
        <f>+[1]モンスター計算!M61</f>
        <v>2.8</v>
      </c>
      <c r="N58" s="5">
        <f>+[1]モンスター計算!N61</f>
        <v>1</v>
      </c>
      <c r="O58" s="13">
        <f>+[1]モンスター計算!O61</f>
        <v>2.5</v>
      </c>
      <c r="P58" s="27">
        <f>+[1]モンスター計算!P61</f>
        <v>1.4999999999999999E-2</v>
      </c>
      <c r="Q58" s="5">
        <f>+[1]モンスター計算!Q61</f>
        <v>1.4999999999999999E-2</v>
      </c>
      <c r="R58" s="5">
        <f>+[1]モンスター計算!R61</f>
        <v>0.21500000000000002</v>
      </c>
      <c r="S58" s="5">
        <f>+[1]モンスター計算!S61</f>
        <v>-8.5000000000000006E-2</v>
      </c>
      <c r="T58" s="5">
        <f>+[1]モンスター計算!T61</f>
        <v>1.4999999999999999E-2</v>
      </c>
      <c r="U58" s="5">
        <f>+[1]モンスター計算!U61</f>
        <v>1.4999999999999999E-2</v>
      </c>
      <c r="V58" s="13">
        <f>+[1]モンスター計算!V61</f>
        <v>4</v>
      </c>
      <c r="W58" s="30">
        <v>9</v>
      </c>
      <c r="X58" s="27" t="s">
        <v>66</v>
      </c>
      <c r="Y58" s="33" t="s">
        <v>89</v>
      </c>
      <c r="Z58" s="13">
        <v>1.22</v>
      </c>
      <c r="AA58" s="30">
        <v>10</v>
      </c>
      <c r="AB58" s="30">
        <f t="shared" si="0"/>
        <v>27</v>
      </c>
      <c r="AC58" s="47">
        <f t="shared" si="1"/>
        <v>10</v>
      </c>
      <c r="AD58" s="27" t="s">
        <v>53</v>
      </c>
      <c r="AE58" s="5">
        <v>8.5</v>
      </c>
      <c r="AF58" s="5">
        <v>3</v>
      </c>
      <c r="AG58" s="13" t="b">
        <v>1</v>
      </c>
      <c r="AH58" s="30" t="s">
        <v>969</v>
      </c>
      <c r="AI58" s="33" t="s">
        <v>1825</v>
      </c>
    </row>
    <row r="59" spans="1:35">
      <c r="A59" s="52" t="s">
        <v>574</v>
      </c>
      <c r="B59" s="13" t="s">
        <v>250</v>
      </c>
      <c r="C59" s="27" t="s">
        <v>44</v>
      </c>
      <c r="D59" s="13" t="s">
        <v>59</v>
      </c>
      <c r="E59" s="27">
        <f>+[1]モンスター計算!E62</f>
        <v>429</v>
      </c>
      <c r="F59" s="5">
        <f>+[1]モンスター計算!F62</f>
        <v>11</v>
      </c>
      <c r="G59" s="5">
        <f>+[1]モンスター計算!G62</f>
        <v>32</v>
      </c>
      <c r="H59" s="5">
        <f>+[1]モンスター計算!H62</f>
        <v>12</v>
      </c>
      <c r="I59" s="5">
        <f>+[1]モンスター計算!I62</f>
        <v>41</v>
      </c>
      <c r="J59" s="13">
        <f>+[1]モンスター計算!J62</f>
        <v>20</v>
      </c>
      <c r="K59" s="27">
        <f>+[1]モンスター計算!K62</f>
        <v>0.03</v>
      </c>
      <c r="L59" s="13">
        <f>+[1]モンスター計算!L62</f>
        <v>1.35</v>
      </c>
      <c r="M59" s="27">
        <f>+[1]モンスター計算!M62</f>
        <v>1.5</v>
      </c>
      <c r="N59" s="5">
        <f>+[1]モンスター計算!N62</f>
        <v>0.65</v>
      </c>
      <c r="O59" s="13">
        <f>+[1]モンスター計算!O62</f>
        <v>1</v>
      </c>
      <c r="P59" s="27">
        <f>+[1]モンスター計算!P62</f>
        <v>0.30000000000000004</v>
      </c>
      <c r="Q59" s="5">
        <f>+[1]モンスター計算!Q62</f>
        <v>0</v>
      </c>
      <c r="R59" s="5">
        <f>+[1]モンスター計算!R62</f>
        <v>0.1</v>
      </c>
      <c r="S59" s="5">
        <f>+[1]モンスター計算!S62</f>
        <v>0.1</v>
      </c>
      <c r="T59" s="5">
        <f>+[1]モンスター計算!T62</f>
        <v>0.1</v>
      </c>
      <c r="U59" s="5">
        <f>+[1]モンスター計算!U62</f>
        <v>0.1</v>
      </c>
      <c r="V59" s="13">
        <f>+[1]モンスター計算!V62</f>
        <v>3.4</v>
      </c>
      <c r="W59" s="30">
        <v>10</v>
      </c>
      <c r="X59" s="27" t="s">
        <v>68</v>
      </c>
      <c r="Y59" s="33" t="s">
        <v>90</v>
      </c>
      <c r="Z59" s="13">
        <v>1.25</v>
      </c>
      <c r="AA59" s="30">
        <v>15</v>
      </c>
      <c r="AB59" s="30">
        <f t="shared" si="0"/>
        <v>37</v>
      </c>
      <c r="AC59" s="47">
        <f t="shared" si="1"/>
        <v>10</v>
      </c>
      <c r="AD59" s="27" t="s">
        <v>74</v>
      </c>
      <c r="AE59" s="5">
        <v>0</v>
      </c>
      <c r="AF59" s="5">
        <v>0</v>
      </c>
      <c r="AG59" s="13" t="b">
        <v>0</v>
      </c>
      <c r="AH59" s="30" t="s">
        <v>970</v>
      </c>
      <c r="AI59" s="33" t="s">
        <v>1825</v>
      </c>
    </row>
    <row r="60" spans="1:35">
      <c r="A60" s="52" t="s">
        <v>575</v>
      </c>
      <c r="B60" s="13" t="s">
        <v>251</v>
      </c>
      <c r="C60" s="27" t="s">
        <v>45</v>
      </c>
      <c r="D60" s="13" t="s">
        <v>59</v>
      </c>
      <c r="E60" s="27">
        <f>+[1]モンスター計算!E63</f>
        <v>186</v>
      </c>
      <c r="F60" s="5">
        <f>+[1]モンスター計算!F63</f>
        <v>13</v>
      </c>
      <c r="G60" s="5">
        <f>+[1]モンスター計算!G63</f>
        <v>40</v>
      </c>
      <c r="H60" s="5">
        <f>+[1]モンスター計算!H63</f>
        <v>13</v>
      </c>
      <c r="I60" s="5">
        <f>+[1]モンスター計算!I63</f>
        <v>15</v>
      </c>
      <c r="J60" s="13">
        <f>+[1]モンスター計算!J63</f>
        <v>14</v>
      </c>
      <c r="K60" s="27">
        <f>+[1]モンスター計算!K63</f>
        <v>0.1</v>
      </c>
      <c r="L60" s="13">
        <f>+[1]モンスター計算!L63</f>
        <v>1.85</v>
      </c>
      <c r="M60" s="27">
        <f>+[1]モンスター計算!M63</f>
        <v>4</v>
      </c>
      <c r="N60" s="5">
        <f>+[1]モンスター計算!N63</f>
        <v>1.41</v>
      </c>
      <c r="O60" s="13">
        <f>+[1]モンスター計算!O63</f>
        <v>1</v>
      </c>
      <c r="P60" s="27">
        <f>+[1]モンスター計算!P63</f>
        <v>-0.155</v>
      </c>
      <c r="Q60" s="5">
        <f>+[1]モンスター計算!Q63</f>
        <v>0.14500000000000002</v>
      </c>
      <c r="R60" s="5">
        <f>+[1]モンスター計算!R63</f>
        <v>-5.5E-2</v>
      </c>
      <c r="S60" s="5">
        <f>+[1]モンスター計算!S63</f>
        <v>-5.5E-2</v>
      </c>
      <c r="T60" s="5">
        <f>+[1]モンスター計算!T63</f>
        <v>-5.5E-2</v>
      </c>
      <c r="U60" s="5">
        <f>+[1]モンスター計算!U63</f>
        <v>-5.5E-2</v>
      </c>
      <c r="V60" s="13">
        <f>+[1]モンスター計算!V63</f>
        <v>6.4</v>
      </c>
      <c r="W60" s="30">
        <v>11</v>
      </c>
      <c r="X60" s="27" t="s">
        <v>70</v>
      </c>
      <c r="Y60" s="33" t="s">
        <v>91</v>
      </c>
      <c r="Z60" s="13">
        <v>1.25</v>
      </c>
      <c r="AA60" s="30">
        <v>20</v>
      </c>
      <c r="AB60" s="30">
        <f t="shared" si="0"/>
        <v>44</v>
      </c>
      <c r="AC60" s="47">
        <f t="shared" si="1"/>
        <v>10</v>
      </c>
      <c r="AD60" s="27" t="s">
        <v>74</v>
      </c>
      <c r="AE60" s="5">
        <v>0</v>
      </c>
      <c r="AF60" s="5">
        <v>0</v>
      </c>
      <c r="AG60" s="13" t="b">
        <v>0</v>
      </c>
      <c r="AH60" s="30" t="s">
        <v>971</v>
      </c>
      <c r="AI60" s="33" t="s">
        <v>1825</v>
      </c>
    </row>
    <row r="61" spans="1:35" ht="19.5" thickBot="1">
      <c r="A61" s="53" t="s">
        <v>576</v>
      </c>
      <c r="B61" s="16" t="s">
        <v>252</v>
      </c>
      <c r="C61" s="28" t="s">
        <v>47</v>
      </c>
      <c r="D61" s="16" t="s">
        <v>61</v>
      </c>
      <c r="E61" s="28">
        <f>+[1]モンスター計算!E64</f>
        <v>193</v>
      </c>
      <c r="F61" s="15">
        <f>+[1]モンスター計算!F64</f>
        <v>31</v>
      </c>
      <c r="G61" s="15">
        <f>+[1]モンスター計算!G64</f>
        <v>24</v>
      </c>
      <c r="H61" s="15">
        <f>+[1]モンスター計算!H64</f>
        <v>53</v>
      </c>
      <c r="I61" s="15">
        <f>+[1]モンスター計算!I64</f>
        <v>16</v>
      </c>
      <c r="J61" s="16">
        <f>+[1]モンスター計算!J64</f>
        <v>19</v>
      </c>
      <c r="K61" s="28">
        <f>+[1]モンスター計算!K64</f>
        <v>0.05</v>
      </c>
      <c r="L61" s="16">
        <f>+[1]モンスター計算!L64</f>
        <v>1.5</v>
      </c>
      <c r="M61" s="28">
        <f>+[1]モンスター計算!M64</f>
        <v>2</v>
      </c>
      <c r="N61" s="15">
        <f>+[1]モンスター計算!N64</f>
        <v>1</v>
      </c>
      <c r="O61" s="16">
        <f>+[1]モンスター計算!O64</f>
        <v>2.5</v>
      </c>
      <c r="P61" s="28">
        <f>+[1]モンスター計算!P64</f>
        <v>-0.02</v>
      </c>
      <c r="Q61" s="15">
        <f>+[1]モンスター計算!Q64</f>
        <v>-0.02</v>
      </c>
      <c r="R61" s="15">
        <f>+[1]モンスター計算!R64</f>
        <v>-0.02</v>
      </c>
      <c r="S61" s="15">
        <f>+[1]モンスター計算!S64</f>
        <v>-0.02</v>
      </c>
      <c r="T61" s="15">
        <f>+[1]モンスター計算!T64</f>
        <v>0.18000000000000002</v>
      </c>
      <c r="U61" s="15">
        <f>+[1]モンスター計算!U64</f>
        <v>-0.12000000000000001</v>
      </c>
      <c r="V61" s="16">
        <f>+[1]モンスター計算!V64</f>
        <v>4</v>
      </c>
      <c r="W61" s="31">
        <v>15</v>
      </c>
      <c r="X61" s="28" t="s">
        <v>72</v>
      </c>
      <c r="Y61" s="34" t="s">
        <v>92</v>
      </c>
      <c r="Z61" s="16">
        <v>1.3</v>
      </c>
      <c r="AA61" s="31">
        <v>40</v>
      </c>
      <c r="AB61" s="31">
        <f t="shared" si="0"/>
        <v>67</v>
      </c>
      <c r="AC61" s="48">
        <f t="shared" si="1"/>
        <v>10</v>
      </c>
      <c r="AD61" s="28" t="s">
        <v>55</v>
      </c>
      <c r="AE61" s="15">
        <v>10</v>
      </c>
      <c r="AF61" s="15">
        <v>4</v>
      </c>
      <c r="AG61" s="16" t="b">
        <v>1</v>
      </c>
      <c r="AH61" s="31" t="s">
        <v>972</v>
      </c>
      <c r="AI61" s="34" t="s">
        <v>1825</v>
      </c>
    </row>
    <row r="62" spans="1:35">
      <c r="A62" s="51" t="s">
        <v>577</v>
      </c>
      <c r="B62" s="11" t="s">
        <v>253</v>
      </c>
      <c r="C62" s="26" t="s">
        <v>45</v>
      </c>
      <c r="D62" s="11" t="s">
        <v>61</v>
      </c>
      <c r="E62" s="26">
        <f>+[1]モンスター計算!E65</f>
        <v>231</v>
      </c>
      <c r="F62" s="10">
        <f>+[1]モンスター計算!F65</f>
        <v>36</v>
      </c>
      <c r="G62" s="10">
        <f>+[1]モンスター計算!G65</f>
        <v>12</v>
      </c>
      <c r="H62" s="10">
        <f>+[1]モンスター計算!H65</f>
        <v>45</v>
      </c>
      <c r="I62" s="10">
        <f>+[1]モンスター計算!I65</f>
        <v>19</v>
      </c>
      <c r="J62" s="11">
        <f>+[1]モンスター計算!J65</f>
        <v>19</v>
      </c>
      <c r="K62" s="26">
        <f>+[1]モンスター計算!K65</f>
        <v>7.4999999999999997E-2</v>
      </c>
      <c r="L62" s="11">
        <f>+[1]モンスター計算!L65</f>
        <v>1.5</v>
      </c>
      <c r="M62" s="26">
        <f>+[1]モンスター計算!M65</f>
        <v>3.1</v>
      </c>
      <c r="N62" s="10">
        <f>+[1]モンスター計算!N65</f>
        <v>1.1499999999999999</v>
      </c>
      <c r="O62" s="11">
        <f>+[1]モンスター計算!O65</f>
        <v>3.0750000000000002</v>
      </c>
      <c r="P62" s="26">
        <f>+[1]モンスター計算!P65</f>
        <v>-0.11</v>
      </c>
      <c r="Q62" s="10">
        <f>+[1]モンスター計算!Q65</f>
        <v>0.19</v>
      </c>
      <c r="R62" s="10">
        <f>+[1]モンスター計算!R65</f>
        <v>-0.01</v>
      </c>
      <c r="S62" s="10">
        <f>+[1]モンスター計算!S65</f>
        <v>-0.01</v>
      </c>
      <c r="T62" s="10">
        <f>+[1]モンスター計算!T65</f>
        <v>-0.01</v>
      </c>
      <c r="U62" s="10">
        <f>+[1]モンスター計算!U65</f>
        <v>-0.01</v>
      </c>
      <c r="V62" s="11">
        <f>+[1]モンスター計算!V65</f>
        <v>8.6</v>
      </c>
      <c r="W62" s="29">
        <v>8</v>
      </c>
      <c r="X62" s="26" t="s">
        <v>109</v>
      </c>
      <c r="Y62" s="32" t="s">
        <v>87</v>
      </c>
      <c r="Z62" s="11">
        <v>1.2</v>
      </c>
      <c r="AA62" s="29">
        <v>5</v>
      </c>
      <c r="AB62" s="29">
        <f t="shared" si="0"/>
        <v>20</v>
      </c>
      <c r="AC62" s="46">
        <f t="shared" si="1"/>
        <v>11</v>
      </c>
      <c r="AD62" s="26" t="s">
        <v>51</v>
      </c>
      <c r="AE62" s="10">
        <v>7</v>
      </c>
      <c r="AF62" s="10">
        <v>3</v>
      </c>
      <c r="AG62" s="11" t="b">
        <v>1</v>
      </c>
      <c r="AH62" s="29" t="s">
        <v>973</v>
      </c>
      <c r="AI62" s="32" t="s">
        <v>1825</v>
      </c>
    </row>
    <row r="63" spans="1:35">
      <c r="A63" s="52" t="s">
        <v>578</v>
      </c>
      <c r="B63" s="13" t="s">
        <v>254</v>
      </c>
      <c r="C63" s="27" t="s">
        <v>44</v>
      </c>
      <c r="D63" s="13" t="s">
        <v>61</v>
      </c>
      <c r="E63" s="27">
        <f>+[1]モンスター計算!E66</f>
        <v>389</v>
      </c>
      <c r="F63" s="5">
        <f>+[1]モンスター計算!F66</f>
        <v>47</v>
      </c>
      <c r="G63" s="5">
        <f>+[1]モンスター計算!G66</f>
        <v>9</v>
      </c>
      <c r="H63" s="5">
        <f>+[1]モンスター計算!H66</f>
        <v>21</v>
      </c>
      <c r="I63" s="5">
        <f>+[1]モンスター計算!I66</f>
        <v>31</v>
      </c>
      <c r="J63" s="13">
        <f>+[1]モンスター計算!J66</f>
        <v>29</v>
      </c>
      <c r="K63" s="27">
        <f>+[1]モンスター計算!K66</f>
        <v>0.1</v>
      </c>
      <c r="L63" s="13">
        <f>+[1]モンスター計算!L66</f>
        <v>1.75</v>
      </c>
      <c r="M63" s="27">
        <f>+[1]モンスター計算!M66</f>
        <v>2.4</v>
      </c>
      <c r="N63" s="5">
        <f>+[1]モンスター計算!N66</f>
        <v>1.2</v>
      </c>
      <c r="O63" s="13">
        <f>+[1]モンスター計算!O66</f>
        <v>3</v>
      </c>
      <c r="P63" s="27">
        <f>+[1]モンスター計算!P66</f>
        <v>0.28000000000000003</v>
      </c>
      <c r="Q63" s="5">
        <f>+[1]モンスター計算!Q66</f>
        <v>-2.0000000000000004E-2</v>
      </c>
      <c r="R63" s="5">
        <f>+[1]モンスター計算!R66</f>
        <v>0.08</v>
      </c>
      <c r="S63" s="5">
        <f>+[1]モンスター計算!S66</f>
        <v>0.08</v>
      </c>
      <c r="T63" s="5">
        <f>+[1]モンスター計算!T66</f>
        <v>0.08</v>
      </c>
      <c r="U63" s="5">
        <f>+[1]モンスター計算!U66</f>
        <v>0.08</v>
      </c>
      <c r="V63" s="13">
        <f>+[1]モンスター計算!V66</f>
        <v>4</v>
      </c>
      <c r="W63" s="30">
        <v>8</v>
      </c>
      <c r="X63" s="27" t="s">
        <v>64</v>
      </c>
      <c r="Y63" s="33" t="s">
        <v>88</v>
      </c>
      <c r="Z63" s="13">
        <v>1.2</v>
      </c>
      <c r="AA63" s="30">
        <v>7</v>
      </c>
      <c r="AB63" s="30">
        <f t="shared" si="0"/>
        <v>23</v>
      </c>
      <c r="AC63" s="47">
        <f t="shared" si="1"/>
        <v>11</v>
      </c>
      <c r="AD63" s="27" t="s">
        <v>49</v>
      </c>
      <c r="AE63" s="5">
        <v>7.5</v>
      </c>
      <c r="AF63" s="5">
        <v>3</v>
      </c>
      <c r="AG63" s="13" t="b">
        <v>1</v>
      </c>
      <c r="AH63" s="30" t="s">
        <v>974</v>
      </c>
      <c r="AI63" s="33" t="s">
        <v>1825</v>
      </c>
    </row>
    <row r="64" spans="1:35">
      <c r="A64" s="52" t="s">
        <v>579</v>
      </c>
      <c r="B64" s="13" t="s">
        <v>255</v>
      </c>
      <c r="C64" s="27" t="s">
        <v>46</v>
      </c>
      <c r="D64" s="13" t="s">
        <v>61</v>
      </c>
      <c r="E64" s="27">
        <f>+[1]モンスター計算!E67</f>
        <v>236</v>
      </c>
      <c r="F64" s="5">
        <f>+[1]モンスター計算!F67</f>
        <v>61</v>
      </c>
      <c r="G64" s="5">
        <f>+[1]モンスター計算!G67</f>
        <v>26</v>
      </c>
      <c r="H64" s="5">
        <f>+[1]モンスター計算!H67</f>
        <v>76</v>
      </c>
      <c r="I64" s="5">
        <f>+[1]モンスター計算!I67</f>
        <v>18</v>
      </c>
      <c r="J64" s="13">
        <f>+[1]モンスター計算!J67</f>
        <v>20</v>
      </c>
      <c r="K64" s="27">
        <f>+[1]モンスター計算!K67</f>
        <v>0.04</v>
      </c>
      <c r="L64" s="13">
        <f>+[1]モンスター計算!L67</f>
        <v>2.2000000000000002</v>
      </c>
      <c r="M64" s="27">
        <f>+[1]モンスター計算!M67</f>
        <v>1.65</v>
      </c>
      <c r="N64" s="5">
        <f>+[1]モンスター計算!N67</f>
        <v>0.64</v>
      </c>
      <c r="O64" s="13">
        <f>+[1]モンスター計算!O67</f>
        <v>3.7</v>
      </c>
      <c r="P64" s="27">
        <f>+[1]モンスター計算!P67</f>
        <v>-2.5000000000000001E-2</v>
      </c>
      <c r="Q64" s="5">
        <f>+[1]モンスター計算!Q67</f>
        <v>-2.5000000000000001E-2</v>
      </c>
      <c r="R64" s="5">
        <f>+[1]モンスター計算!R67</f>
        <v>0.17500000000000002</v>
      </c>
      <c r="S64" s="5">
        <f>+[1]モンスター計算!S67</f>
        <v>-0.125</v>
      </c>
      <c r="T64" s="5">
        <f>+[1]モンスター計算!T67</f>
        <v>-2.5000000000000001E-2</v>
      </c>
      <c r="U64" s="5">
        <f>+[1]モンスター計算!U67</f>
        <v>-2.5000000000000001E-2</v>
      </c>
      <c r="V64" s="13">
        <f>+[1]モンスター計算!V67</f>
        <v>5</v>
      </c>
      <c r="W64" s="30">
        <v>9</v>
      </c>
      <c r="X64" s="27" t="s">
        <v>66</v>
      </c>
      <c r="Y64" s="33" t="s">
        <v>89</v>
      </c>
      <c r="Z64" s="13">
        <v>1.22</v>
      </c>
      <c r="AA64" s="30">
        <v>10</v>
      </c>
      <c r="AB64" s="30">
        <f t="shared" si="0"/>
        <v>29</v>
      </c>
      <c r="AC64" s="47">
        <f t="shared" si="1"/>
        <v>11</v>
      </c>
      <c r="AD64" s="27" t="s">
        <v>53</v>
      </c>
      <c r="AE64" s="5">
        <v>8.5</v>
      </c>
      <c r="AF64" s="5">
        <v>3</v>
      </c>
      <c r="AG64" s="13" t="b">
        <v>1</v>
      </c>
      <c r="AH64" s="30" t="s">
        <v>975</v>
      </c>
      <c r="AI64" s="33" t="s">
        <v>1825</v>
      </c>
    </row>
    <row r="65" spans="1:35">
      <c r="A65" s="52" t="s">
        <v>580</v>
      </c>
      <c r="B65" s="13" t="s">
        <v>256</v>
      </c>
      <c r="C65" s="27" t="s">
        <v>44</v>
      </c>
      <c r="D65" s="13" t="s">
        <v>59</v>
      </c>
      <c r="E65" s="27">
        <f>+[1]モンスター計算!E68</f>
        <v>290</v>
      </c>
      <c r="F65" s="5">
        <f>+[1]モンスター計算!F68</f>
        <v>16</v>
      </c>
      <c r="G65" s="5">
        <f>+[1]モンスター計算!G68</f>
        <v>39</v>
      </c>
      <c r="H65" s="5">
        <f>+[1]モンスター計算!H68</f>
        <v>14</v>
      </c>
      <c r="I65" s="5">
        <f>+[1]モンスター計算!I68</f>
        <v>26</v>
      </c>
      <c r="J65" s="13">
        <f>+[1]モンスター計算!J68</f>
        <v>26</v>
      </c>
      <c r="K65" s="27">
        <f>+[1]モンスター計算!K68</f>
        <v>0.04</v>
      </c>
      <c r="L65" s="13">
        <f>+[1]モンスター計算!L68</f>
        <v>1.4</v>
      </c>
      <c r="M65" s="27">
        <f>+[1]モンスター計算!M68</f>
        <v>2.4500000000000002</v>
      </c>
      <c r="N65" s="5">
        <f>+[1]モンスター計算!N68</f>
        <v>1.03</v>
      </c>
      <c r="O65" s="13">
        <f>+[1]モンスター計算!O68</f>
        <v>1</v>
      </c>
      <c r="P65" s="27">
        <f>+[1]モンスター計算!P68</f>
        <v>0.24000000000000002</v>
      </c>
      <c r="Q65" s="5">
        <f>+[1]モンスター計算!Q68</f>
        <v>-6.0000000000000005E-2</v>
      </c>
      <c r="R65" s="5">
        <f>+[1]モンスター計算!R68</f>
        <v>0.04</v>
      </c>
      <c r="S65" s="5">
        <f>+[1]モンスター計算!S68</f>
        <v>0.04</v>
      </c>
      <c r="T65" s="5">
        <f>+[1]モンスター計算!T68</f>
        <v>0.04</v>
      </c>
      <c r="U65" s="5">
        <f>+[1]モンスター計算!U68</f>
        <v>0.04</v>
      </c>
      <c r="V65" s="13">
        <f>+[1]モンスター計算!V68</f>
        <v>4</v>
      </c>
      <c r="W65" s="30">
        <v>10</v>
      </c>
      <c r="X65" s="27" t="s">
        <v>68</v>
      </c>
      <c r="Y65" s="33" t="s">
        <v>90</v>
      </c>
      <c r="Z65" s="13">
        <v>1.25</v>
      </c>
      <c r="AA65" s="30">
        <v>15</v>
      </c>
      <c r="AB65" s="30">
        <f t="shared" si="0"/>
        <v>39</v>
      </c>
      <c r="AC65" s="47">
        <f t="shared" si="1"/>
        <v>11</v>
      </c>
      <c r="AD65" s="27" t="s">
        <v>74</v>
      </c>
      <c r="AE65" s="5">
        <v>0</v>
      </c>
      <c r="AF65" s="5">
        <v>0</v>
      </c>
      <c r="AG65" s="13" t="b">
        <v>0</v>
      </c>
      <c r="AH65" s="30" t="s">
        <v>976</v>
      </c>
      <c r="AI65" s="33" t="s">
        <v>1825</v>
      </c>
    </row>
    <row r="66" spans="1:35">
      <c r="A66" s="52" t="s">
        <v>581</v>
      </c>
      <c r="B66" s="13" t="s">
        <v>257</v>
      </c>
      <c r="C66" s="27" t="s">
        <v>45</v>
      </c>
      <c r="D66" s="13" t="s">
        <v>59</v>
      </c>
      <c r="E66" s="27">
        <f>+[1]モンスター計算!E69</f>
        <v>197</v>
      </c>
      <c r="F66" s="5">
        <f>+[1]モンスター計算!F69</f>
        <v>10</v>
      </c>
      <c r="G66" s="5">
        <f>+[1]モンスター計算!G69</f>
        <v>73</v>
      </c>
      <c r="H66" s="5">
        <f>+[1]モンスター計算!H69</f>
        <v>20</v>
      </c>
      <c r="I66" s="5">
        <f>+[1]モンスター計算!I69</f>
        <v>16</v>
      </c>
      <c r="J66" s="13">
        <f>+[1]モンスター計算!J69</f>
        <v>15</v>
      </c>
      <c r="K66" s="27">
        <f>+[1]モンスター計算!K69</f>
        <v>9.5000000000000001E-2</v>
      </c>
      <c r="L66" s="13">
        <f>+[1]モンスター計算!L69</f>
        <v>2.4</v>
      </c>
      <c r="M66" s="27">
        <f>+[1]モンスター計算!M69</f>
        <v>3.35</v>
      </c>
      <c r="N66" s="5">
        <f>+[1]モンスター計算!N69</f>
        <v>0.86</v>
      </c>
      <c r="O66" s="13">
        <f>+[1]モンスター計算!O69</f>
        <v>1</v>
      </c>
      <c r="P66" s="27">
        <f>+[1]モンスター計算!P69</f>
        <v>-0.17</v>
      </c>
      <c r="Q66" s="5">
        <f>+[1]モンスター計算!Q69</f>
        <v>0.13</v>
      </c>
      <c r="R66" s="5">
        <f>+[1]モンスター計算!R69</f>
        <v>-7.0000000000000007E-2</v>
      </c>
      <c r="S66" s="5">
        <f>+[1]モンスター計算!S69</f>
        <v>-7.0000000000000007E-2</v>
      </c>
      <c r="T66" s="5">
        <f>+[1]モンスター計算!T69</f>
        <v>-7.0000000000000007E-2</v>
      </c>
      <c r="U66" s="5">
        <f>+[1]モンスター計算!U69</f>
        <v>-7.0000000000000007E-2</v>
      </c>
      <c r="V66" s="13">
        <f>+[1]モンスター計算!V69</f>
        <v>4.5999999999999996</v>
      </c>
      <c r="W66" s="30">
        <v>11</v>
      </c>
      <c r="X66" s="27" t="s">
        <v>70</v>
      </c>
      <c r="Y66" s="33" t="s">
        <v>91</v>
      </c>
      <c r="Z66" s="13">
        <v>1.25</v>
      </c>
      <c r="AA66" s="30">
        <v>20</v>
      </c>
      <c r="AB66" s="30">
        <f t="shared" si="0"/>
        <v>47</v>
      </c>
      <c r="AC66" s="47">
        <f t="shared" si="1"/>
        <v>11</v>
      </c>
      <c r="AD66" s="27" t="s">
        <v>74</v>
      </c>
      <c r="AE66" s="5">
        <v>0</v>
      </c>
      <c r="AF66" s="5">
        <v>0</v>
      </c>
      <c r="AG66" s="13" t="b">
        <v>0</v>
      </c>
      <c r="AH66" s="30" t="s">
        <v>977</v>
      </c>
      <c r="AI66" s="33" t="s">
        <v>1825</v>
      </c>
    </row>
    <row r="67" spans="1:35" ht="19.5" thickBot="1">
      <c r="A67" s="53" t="s">
        <v>582</v>
      </c>
      <c r="B67" s="16" t="s">
        <v>258</v>
      </c>
      <c r="C67" s="28" t="s">
        <v>47</v>
      </c>
      <c r="D67" s="16" t="s">
        <v>61</v>
      </c>
      <c r="E67" s="28">
        <f>+[1]モンスター計算!E70</f>
        <v>259</v>
      </c>
      <c r="F67" s="15">
        <f>+[1]モンスター計算!F70</f>
        <v>55</v>
      </c>
      <c r="G67" s="15">
        <f>+[1]モンスター計算!G70</f>
        <v>21</v>
      </c>
      <c r="H67" s="15">
        <f>+[1]モンスター計算!H70</f>
        <v>46</v>
      </c>
      <c r="I67" s="15">
        <f>+[1]モンスター計算!I70</f>
        <v>21</v>
      </c>
      <c r="J67" s="16">
        <f>+[1]モンスター計算!J70</f>
        <v>25</v>
      </c>
      <c r="K67" s="28">
        <f>+[1]モンスター計算!K70</f>
        <v>0.06</v>
      </c>
      <c r="L67" s="16">
        <f>+[1]モンスター計算!L70</f>
        <v>1.4</v>
      </c>
      <c r="M67" s="28">
        <f>+[1]モンスター計算!M70</f>
        <v>2.1</v>
      </c>
      <c r="N67" s="15">
        <f>+[1]モンスター計算!N70</f>
        <v>0.95</v>
      </c>
      <c r="O67" s="16">
        <f>+[1]モンスター計算!O70</f>
        <v>2.875</v>
      </c>
      <c r="P67" s="28">
        <f>+[1]モンスター計算!P70</f>
        <v>0.03</v>
      </c>
      <c r="Q67" s="15">
        <f>+[1]モンスター計算!Q70</f>
        <v>0.03</v>
      </c>
      <c r="R67" s="15">
        <f>+[1]モンスター計算!R70</f>
        <v>0.03</v>
      </c>
      <c r="S67" s="15">
        <f>+[1]モンスター計算!S70</f>
        <v>0.03</v>
      </c>
      <c r="T67" s="15">
        <f>+[1]モンスター計算!T70</f>
        <v>0.23</v>
      </c>
      <c r="U67" s="15">
        <f>+[1]モンスター計算!U70</f>
        <v>-7.0000000000000007E-2</v>
      </c>
      <c r="V67" s="16">
        <f>+[1]モンスター計算!V70</f>
        <v>4.8</v>
      </c>
      <c r="W67" s="31">
        <v>15</v>
      </c>
      <c r="X67" s="28" t="s">
        <v>72</v>
      </c>
      <c r="Y67" s="34" t="s">
        <v>92</v>
      </c>
      <c r="Z67" s="16">
        <v>1.3</v>
      </c>
      <c r="AA67" s="31">
        <v>40</v>
      </c>
      <c r="AB67" s="31">
        <f t="shared" si="0"/>
        <v>71</v>
      </c>
      <c r="AC67" s="48">
        <f t="shared" si="1"/>
        <v>11</v>
      </c>
      <c r="AD67" s="28" t="s">
        <v>55</v>
      </c>
      <c r="AE67" s="15">
        <v>10</v>
      </c>
      <c r="AF67" s="15">
        <v>4</v>
      </c>
      <c r="AG67" s="16" t="b">
        <v>1</v>
      </c>
      <c r="AH67" s="31" t="s">
        <v>978</v>
      </c>
      <c r="AI67" s="34" t="s">
        <v>1825</v>
      </c>
    </row>
    <row r="68" spans="1:35">
      <c r="A68" s="51" t="s">
        <v>583</v>
      </c>
      <c r="B68" s="11" t="s">
        <v>259</v>
      </c>
      <c r="C68" s="26" t="s">
        <v>45</v>
      </c>
      <c r="D68" s="11" t="s">
        <v>61</v>
      </c>
      <c r="E68" s="26">
        <f>+[1]モンスター計算!E71</f>
        <v>285</v>
      </c>
      <c r="F68" s="10">
        <f>+[1]モンスター計算!F71</f>
        <v>46</v>
      </c>
      <c r="G68" s="10">
        <f>+[1]モンスター計算!G71</f>
        <v>21</v>
      </c>
      <c r="H68" s="10">
        <f>+[1]モンスター計算!H71</f>
        <v>46</v>
      </c>
      <c r="I68" s="10">
        <f>+[1]モンスター計算!I71</f>
        <v>22</v>
      </c>
      <c r="J68" s="11">
        <f>+[1]モンスター計算!J71</f>
        <v>25</v>
      </c>
      <c r="K68" s="26">
        <f>+[1]モンスター計算!K71</f>
        <v>7.0000000000000007E-2</v>
      </c>
      <c r="L68" s="11">
        <f>+[1]モンスター計算!L71</f>
        <v>1.55</v>
      </c>
      <c r="M68" s="26">
        <f>+[1]モンスター計算!M71</f>
        <v>2.2999999999999998</v>
      </c>
      <c r="N68" s="10">
        <f>+[1]モンスター計算!N71</f>
        <v>1.1000000000000001</v>
      </c>
      <c r="O68" s="11">
        <f>+[1]モンスター計算!O71</f>
        <v>2.7</v>
      </c>
      <c r="P68" s="26">
        <f>+[1]モンスター計算!P71</f>
        <v>-0.13</v>
      </c>
      <c r="Q68" s="10">
        <f>+[1]モンスター計算!Q71</f>
        <v>0.17</v>
      </c>
      <c r="R68" s="10">
        <f>+[1]モンスター計算!R71</f>
        <v>-0.03</v>
      </c>
      <c r="S68" s="10">
        <f>+[1]モンスター計算!S71</f>
        <v>-0.03</v>
      </c>
      <c r="T68" s="10">
        <f>+[1]モンスター計算!T71</f>
        <v>-0.03</v>
      </c>
      <c r="U68" s="10">
        <f>+[1]モンスター計算!U71</f>
        <v>-0.03</v>
      </c>
      <c r="V68" s="11">
        <f>+[1]モンスター計算!V71</f>
        <v>4</v>
      </c>
      <c r="W68" s="29">
        <v>8</v>
      </c>
      <c r="X68" s="26" t="s">
        <v>109</v>
      </c>
      <c r="Y68" s="32" t="s">
        <v>87</v>
      </c>
      <c r="Z68" s="11">
        <v>1.2</v>
      </c>
      <c r="AA68" s="29">
        <v>5</v>
      </c>
      <c r="AB68" s="29">
        <f t="shared" si="0"/>
        <v>21</v>
      </c>
      <c r="AC68" s="46">
        <f t="shared" si="1"/>
        <v>12</v>
      </c>
      <c r="AD68" s="26" t="s">
        <v>51</v>
      </c>
      <c r="AE68" s="10">
        <v>7</v>
      </c>
      <c r="AF68" s="10">
        <v>3</v>
      </c>
      <c r="AG68" s="11" t="b">
        <v>1</v>
      </c>
      <c r="AH68" s="29" t="s">
        <v>979</v>
      </c>
      <c r="AI68" s="32" t="s">
        <v>1825</v>
      </c>
    </row>
    <row r="69" spans="1:35">
      <c r="A69" s="52" t="s">
        <v>584</v>
      </c>
      <c r="B69" s="13" t="s">
        <v>260</v>
      </c>
      <c r="C69" s="27" t="s">
        <v>44</v>
      </c>
      <c r="D69" s="13" t="s">
        <v>61</v>
      </c>
      <c r="E69" s="27">
        <f>+[1]モンスター計算!E72</f>
        <v>191</v>
      </c>
      <c r="F69" s="5">
        <f>+[1]モンスター計算!F72</f>
        <v>46</v>
      </c>
      <c r="G69" s="5">
        <f>+[1]モンスター計算!G72</f>
        <v>21</v>
      </c>
      <c r="H69" s="5">
        <f>+[1]モンスター計算!H72</f>
        <v>91</v>
      </c>
      <c r="I69" s="5">
        <f>+[1]モンスター計算!I72</f>
        <v>15</v>
      </c>
      <c r="J69" s="13">
        <f>+[1]モンスター計算!J72</f>
        <v>18</v>
      </c>
      <c r="K69" s="27">
        <f>+[1]モンスター計算!K72</f>
        <v>0.18</v>
      </c>
      <c r="L69" s="13">
        <f>+[1]モンスター計算!L72</f>
        <v>1.85</v>
      </c>
      <c r="M69" s="27">
        <f>+[1]モンスター計算!M72</f>
        <v>2.0499999999999998</v>
      </c>
      <c r="N69" s="5">
        <f>+[1]モンスター計算!N72</f>
        <v>0.75</v>
      </c>
      <c r="O69" s="13">
        <f>+[1]モンスター計算!O72</f>
        <v>4.45</v>
      </c>
      <c r="P69" s="27">
        <f>+[1]モンスター計算!P72</f>
        <v>0.14000000000000001</v>
      </c>
      <c r="Q69" s="5">
        <f>+[1]モンスター計算!Q72</f>
        <v>-0.16</v>
      </c>
      <c r="R69" s="5">
        <f>+[1]モンスター計算!R72</f>
        <v>-0.06</v>
      </c>
      <c r="S69" s="5">
        <f>+[1]モンスター計算!S72</f>
        <v>-0.06</v>
      </c>
      <c r="T69" s="5">
        <f>+[1]モンスター計算!T72</f>
        <v>-0.06</v>
      </c>
      <c r="U69" s="5">
        <f>+[1]モンスター計算!U72</f>
        <v>-0.06</v>
      </c>
      <c r="V69" s="13">
        <f>+[1]モンスター計算!V72</f>
        <v>5.6</v>
      </c>
      <c r="W69" s="30">
        <v>8</v>
      </c>
      <c r="X69" s="27" t="s">
        <v>64</v>
      </c>
      <c r="Y69" s="33" t="s">
        <v>88</v>
      </c>
      <c r="Z69" s="13">
        <v>1.2</v>
      </c>
      <c r="AA69" s="30">
        <v>7</v>
      </c>
      <c r="AB69" s="30">
        <f t="shared" si="0"/>
        <v>25</v>
      </c>
      <c r="AC69" s="47">
        <f t="shared" si="1"/>
        <v>12</v>
      </c>
      <c r="AD69" s="27" t="s">
        <v>49</v>
      </c>
      <c r="AE69" s="5">
        <v>7.5</v>
      </c>
      <c r="AF69" s="5">
        <v>3</v>
      </c>
      <c r="AG69" s="13" t="b">
        <v>1</v>
      </c>
      <c r="AH69" s="30" t="s">
        <v>980</v>
      </c>
      <c r="AI69" s="33" t="s">
        <v>1825</v>
      </c>
    </row>
    <row r="70" spans="1:35">
      <c r="A70" s="52" t="s">
        <v>585</v>
      </c>
      <c r="B70" s="13" t="s">
        <v>261</v>
      </c>
      <c r="C70" s="27" t="s">
        <v>46</v>
      </c>
      <c r="D70" s="13" t="s">
        <v>61</v>
      </c>
      <c r="E70" s="27">
        <f>+[1]モンスター計算!E73</f>
        <v>234</v>
      </c>
      <c r="F70" s="5">
        <f>+[1]モンスター計算!F73</f>
        <v>56</v>
      </c>
      <c r="G70" s="5">
        <f>+[1]モンスター計算!G73</f>
        <v>22</v>
      </c>
      <c r="H70" s="5">
        <f>+[1]モンスター計算!H73</f>
        <v>80</v>
      </c>
      <c r="I70" s="5">
        <f>+[1]モンスター計算!I73</f>
        <v>18</v>
      </c>
      <c r="J70" s="13">
        <f>+[1]モンスター計算!J73</f>
        <v>20</v>
      </c>
      <c r="K70" s="27">
        <f>+[1]モンスター計算!K73</f>
        <v>0.12</v>
      </c>
      <c r="L70" s="13">
        <f>+[1]モンスター計算!L73</f>
        <v>2.5499999999999998</v>
      </c>
      <c r="M70" s="27">
        <f>+[1]モンスター計算!M73</f>
        <v>2.2999999999999998</v>
      </c>
      <c r="N70" s="5">
        <f>+[1]モンスター計算!N73</f>
        <v>0.68</v>
      </c>
      <c r="O70" s="13">
        <f>+[1]モンスター計算!O73</f>
        <v>3.55</v>
      </c>
      <c r="P70" s="27">
        <f>+[1]モンスター計算!P73</f>
        <v>-5.5E-2</v>
      </c>
      <c r="Q70" s="5">
        <f>+[1]モンスター計算!Q73</f>
        <v>-5.5E-2</v>
      </c>
      <c r="R70" s="5">
        <f>+[1]モンスター計算!R73</f>
        <v>0.14500000000000002</v>
      </c>
      <c r="S70" s="5">
        <f>+[1]モンスター計算!S73</f>
        <v>-0.155</v>
      </c>
      <c r="T70" s="5">
        <f>+[1]モンスター計算!T73</f>
        <v>-5.5E-2</v>
      </c>
      <c r="U70" s="5">
        <f>+[1]モンスター計算!U73</f>
        <v>-5.5E-2</v>
      </c>
      <c r="V70" s="13">
        <f>+[1]モンスター計算!V73</f>
        <v>4.8</v>
      </c>
      <c r="W70" s="30">
        <v>9</v>
      </c>
      <c r="X70" s="27" t="s">
        <v>66</v>
      </c>
      <c r="Y70" s="33" t="s">
        <v>89</v>
      </c>
      <c r="Z70" s="13">
        <v>1.22</v>
      </c>
      <c r="AA70" s="30">
        <v>10</v>
      </c>
      <c r="AB70" s="30">
        <f t="shared" si="0"/>
        <v>31</v>
      </c>
      <c r="AC70" s="47">
        <f t="shared" si="1"/>
        <v>12</v>
      </c>
      <c r="AD70" s="27" t="s">
        <v>53</v>
      </c>
      <c r="AE70" s="5">
        <v>8.5</v>
      </c>
      <c r="AF70" s="5">
        <v>3</v>
      </c>
      <c r="AG70" s="13" t="b">
        <v>1</v>
      </c>
      <c r="AH70" s="30" t="s">
        <v>981</v>
      </c>
      <c r="AI70" s="33" t="s">
        <v>1825</v>
      </c>
    </row>
    <row r="71" spans="1:35">
      <c r="A71" s="52" t="s">
        <v>586</v>
      </c>
      <c r="B71" s="13" t="s">
        <v>262</v>
      </c>
      <c r="C71" s="27" t="s">
        <v>44</v>
      </c>
      <c r="D71" s="13" t="s">
        <v>59</v>
      </c>
      <c r="E71" s="27">
        <f>+[1]モンスター計算!E74</f>
        <v>431</v>
      </c>
      <c r="F71" s="5">
        <f>+[1]モンスター計算!F74</f>
        <v>16</v>
      </c>
      <c r="G71" s="5">
        <f>+[1]モンスター計算!G74</f>
        <v>44</v>
      </c>
      <c r="H71" s="5">
        <f>+[1]モンスター計算!H74</f>
        <v>15</v>
      </c>
      <c r="I71" s="5">
        <f>+[1]モンスター計算!I74</f>
        <v>39</v>
      </c>
      <c r="J71" s="13">
        <f>+[1]モンスター計算!J74</f>
        <v>21</v>
      </c>
      <c r="K71" s="27">
        <f>+[1]モンスター計算!K74</f>
        <v>3.5000000000000003E-2</v>
      </c>
      <c r="L71" s="13">
        <f>+[1]モンスター計算!L74</f>
        <v>1.43</v>
      </c>
      <c r="M71" s="27">
        <f>+[1]モンスター計算!M74</f>
        <v>1.75</v>
      </c>
      <c r="N71" s="5">
        <f>+[1]モンスター計算!N74</f>
        <v>0.73</v>
      </c>
      <c r="O71" s="13">
        <f>+[1]モンスター計算!O74</f>
        <v>1</v>
      </c>
      <c r="P71" s="27">
        <f>+[1]モンスター計算!P74</f>
        <v>0.29000000000000004</v>
      </c>
      <c r="Q71" s="5">
        <f>+[1]モンスター計算!Q74</f>
        <v>-1.0000000000000009E-2</v>
      </c>
      <c r="R71" s="5">
        <f>+[1]モンスター計算!R74</f>
        <v>0.09</v>
      </c>
      <c r="S71" s="5">
        <f>+[1]モンスター計算!S74</f>
        <v>0.09</v>
      </c>
      <c r="T71" s="5">
        <f>+[1]モンスター計算!T74</f>
        <v>0.09</v>
      </c>
      <c r="U71" s="5">
        <f>+[1]モンスター計算!U74</f>
        <v>0.09</v>
      </c>
      <c r="V71" s="13">
        <f>+[1]モンスター計算!V74</f>
        <v>4.4000000000000004</v>
      </c>
      <c r="W71" s="30">
        <v>10</v>
      </c>
      <c r="X71" s="27" t="s">
        <v>68</v>
      </c>
      <c r="Y71" s="33" t="s">
        <v>90</v>
      </c>
      <c r="Z71" s="13">
        <v>1.25</v>
      </c>
      <c r="AA71" s="30">
        <v>15</v>
      </c>
      <c r="AB71" s="30">
        <f t="shared" si="0"/>
        <v>41</v>
      </c>
      <c r="AC71" s="47">
        <f t="shared" si="1"/>
        <v>12</v>
      </c>
      <c r="AD71" s="27" t="s">
        <v>74</v>
      </c>
      <c r="AE71" s="5">
        <v>0</v>
      </c>
      <c r="AF71" s="5">
        <v>0</v>
      </c>
      <c r="AG71" s="13" t="b">
        <v>0</v>
      </c>
      <c r="AH71" s="30" t="s">
        <v>982</v>
      </c>
      <c r="AI71" s="33" t="s">
        <v>1825</v>
      </c>
    </row>
    <row r="72" spans="1:35">
      <c r="A72" s="52" t="s">
        <v>587</v>
      </c>
      <c r="B72" s="13" t="s">
        <v>263</v>
      </c>
      <c r="C72" s="27" t="s">
        <v>45</v>
      </c>
      <c r="D72" s="13" t="s">
        <v>59</v>
      </c>
      <c r="E72" s="27">
        <f>+[1]モンスター計算!E75</f>
        <v>456</v>
      </c>
      <c r="F72" s="5">
        <f>+[1]モンスター計算!F75</f>
        <v>16</v>
      </c>
      <c r="G72" s="5">
        <f>+[1]モンスター計算!G75</f>
        <v>35</v>
      </c>
      <c r="H72" s="5">
        <f>+[1]モンスター計算!H75</f>
        <v>16</v>
      </c>
      <c r="I72" s="5">
        <f>+[1]モンスター計算!I75</f>
        <v>35</v>
      </c>
      <c r="J72" s="13">
        <f>+[1]モンスター計算!J75</f>
        <v>32</v>
      </c>
      <c r="K72" s="27">
        <f>+[1]モンスター計算!K75</f>
        <v>0.04</v>
      </c>
      <c r="L72" s="13">
        <f>+[1]モンスター計算!L75</f>
        <v>1.4</v>
      </c>
      <c r="M72" s="27">
        <f>+[1]モンスター計算!M75</f>
        <v>2.2000000000000002</v>
      </c>
      <c r="N72" s="5">
        <f>+[1]モンスター計算!N75</f>
        <v>0.82</v>
      </c>
      <c r="O72" s="13">
        <f>+[1]モンスター計算!O75</f>
        <v>1</v>
      </c>
      <c r="P72" s="27">
        <f>+[1]モンスター計算!P75</f>
        <v>0</v>
      </c>
      <c r="Q72" s="5">
        <f>+[1]モンスター計算!Q75</f>
        <v>0.30000000000000004</v>
      </c>
      <c r="R72" s="5">
        <f>+[1]モンスター計算!R75</f>
        <v>0.1</v>
      </c>
      <c r="S72" s="5">
        <f>+[1]モンスター計算!S75</f>
        <v>0.1</v>
      </c>
      <c r="T72" s="5">
        <f>+[1]モンスター計算!T75</f>
        <v>0.1</v>
      </c>
      <c r="U72" s="5">
        <f>+[1]モンスター計算!U75</f>
        <v>0.1</v>
      </c>
      <c r="V72" s="13">
        <f>+[1]モンスター計算!V75</f>
        <v>4</v>
      </c>
      <c r="W72" s="30">
        <v>11</v>
      </c>
      <c r="X72" s="27" t="s">
        <v>70</v>
      </c>
      <c r="Y72" s="33" t="s">
        <v>91</v>
      </c>
      <c r="Z72" s="13">
        <v>1.25</v>
      </c>
      <c r="AA72" s="30">
        <v>20</v>
      </c>
      <c r="AB72" s="30">
        <f t="shared" si="0"/>
        <v>50</v>
      </c>
      <c r="AC72" s="47">
        <f t="shared" si="1"/>
        <v>12</v>
      </c>
      <c r="AD72" s="27" t="s">
        <v>74</v>
      </c>
      <c r="AE72" s="5">
        <v>0</v>
      </c>
      <c r="AF72" s="5">
        <v>0</v>
      </c>
      <c r="AG72" s="13" t="b">
        <v>0</v>
      </c>
      <c r="AH72" s="30" t="s">
        <v>983</v>
      </c>
      <c r="AI72" s="33" t="s">
        <v>1825</v>
      </c>
    </row>
    <row r="73" spans="1:35" ht="19.5" thickBot="1">
      <c r="A73" s="53" t="s">
        <v>588</v>
      </c>
      <c r="B73" s="16" t="s">
        <v>264</v>
      </c>
      <c r="C73" s="28" t="s">
        <v>47</v>
      </c>
      <c r="D73" s="16" t="s">
        <v>61</v>
      </c>
      <c r="E73" s="28">
        <f>+[1]モンスター計算!E76</f>
        <v>491</v>
      </c>
      <c r="F73" s="15">
        <f>+[1]モンスター計算!F76</f>
        <v>56</v>
      </c>
      <c r="G73" s="15">
        <f>+[1]モンスター計算!G76</f>
        <v>12</v>
      </c>
      <c r="H73" s="15">
        <f>+[1]モンスター計算!H76</f>
        <v>41</v>
      </c>
      <c r="I73" s="15">
        <f>+[1]モンスター計算!I76</f>
        <v>37</v>
      </c>
      <c r="J73" s="16">
        <f>+[1]モンスター計算!J76</f>
        <v>35</v>
      </c>
      <c r="K73" s="28">
        <f>+[1]モンスター計算!K76</f>
        <v>3.5000000000000003E-2</v>
      </c>
      <c r="L73" s="16">
        <f>+[1]モンスター計算!L76</f>
        <v>1.4</v>
      </c>
      <c r="M73" s="28">
        <f>+[1]モンスター計算!M76</f>
        <v>1.5</v>
      </c>
      <c r="N73" s="15">
        <f>+[1]モンスター計算!N76</f>
        <v>0.6</v>
      </c>
      <c r="O73" s="16">
        <f>+[1]モンスター計算!O76</f>
        <v>3.1</v>
      </c>
      <c r="P73" s="28">
        <f>+[1]モンスター計算!P76</f>
        <v>0.12</v>
      </c>
      <c r="Q73" s="15">
        <f>+[1]モンスター計算!Q76</f>
        <v>0.12</v>
      </c>
      <c r="R73" s="15">
        <f>+[1]モンスター計算!R76</f>
        <v>0.12</v>
      </c>
      <c r="S73" s="15">
        <f>+[1]モンスター計算!S76</f>
        <v>0.12</v>
      </c>
      <c r="T73" s="15">
        <f>+[1]モンスター計算!T76</f>
        <v>0.32</v>
      </c>
      <c r="U73" s="15">
        <f>+[1]モンスター計算!U76</f>
        <v>1.999999999999999E-2</v>
      </c>
      <c r="V73" s="16">
        <f>+[1]モンスター計算!V76</f>
        <v>4.12</v>
      </c>
      <c r="W73" s="31">
        <v>15</v>
      </c>
      <c r="X73" s="28" t="s">
        <v>72</v>
      </c>
      <c r="Y73" s="34" t="s">
        <v>92</v>
      </c>
      <c r="Z73" s="16">
        <v>1.3</v>
      </c>
      <c r="AA73" s="31">
        <v>40</v>
      </c>
      <c r="AB73" s="31">
        <f t="shared" ref="AB73:AB136" si="2">ROUNDUP(AB67*1.05,0)</f>
        <v>75</v>
      </c>
      <c r="AC73" s="48">
        <f t="shared" ref="AC73:AC136" si="3">+AC67+1</f>
        <v>12</v>
      </c>
      <c r="AD73" s="28" t="s">
        <v>55</v>
      </c>
      <c r="AE73" s="15">
        <v>10</v>
      </c>
      <c r="AF73" s="15">
        <v>4</v>
      </c>
      <c r="AG73" s="16" t="b">
        <v>1</v>
      </c>
      <c r="AH73" s="31" t="s">
        <v>984</v>
      </c>
      <c r="AI73" s="34" t="s">
        <v>1825</v>
      </c>
    </row>
    <row r="74" spans="1:35">
      <c r="A74" s="51" t="s">
        <v>589</v>
      </c>
      <c r="B74" s="11" t="s">
        <v>265</v>
      </c>
      <c r="C74" s="26" t="s">
        <v>45</v>
      </c>
      <c r="D74" s="11" t="s">
        <v>61</v>
      </c>
      <c r="E74" s="26">
        <f>+[1]モンスター計算!E77</f>
        <v>232</v>
      </c>
      <c r="F74" s="10">
        <f>+[1]モンスター計算!F77</f>
        <v>43</v>
      </c>
      <c r="G74" s="10">
        <f>+[1]モンスター計算!G77</f>
        <v>16</v>
      </c>
      <c r="H74" s="10">
        <f>+[1]モンスター計算!H77</f>
        <v>54</v>
      </c>
      <c r="I74" s="10">
        <f>+[1]モンスター計算!I77</f>
        <v>18</v>
      </c>
      <c r="J74" s="11">
        <f>+[1]モンスター計算!J77</f>
        <v>21</v>
      </c>
      <c r="K74" s="26">
        <f>+[1]モンスター計算!K77</f>
        <v>0.05</v>
      </c>
      <c r="L74" s="11">
        <f>+[1]モンスター計算!L77</f>
        <v>1.4</v>
      </c>
      <c r="M74" s="26">
        <f>+[1]モンスター計算!M77</f>
        <v>3.35</v>
      </c>
      <c r="N74" s="10">
        <f>+[1]モンスター計算!N77</f>
        <v>1.55</v>
      </c>
      <c r="O74" s="11">
        <f>+[1]モンスター計算!O77</f>
        <v>2.2999999999999998</v>
      </c>
      <c r="P74" s="26">
        <f>+[1]モンスター計算!P77</f>
        <v>-0.17</v>
      </c>
      <c r="Q74" s="10">
        <f>+[1]モンスター計算!Q77</f>
        <v>0.13</v>
      </c>
      <c r="R74" s="10">
        <f>+[1]モンスター計算!R77</f>
        <v>-7.0000000000000007E-2</v>
      </c>
      <c r="S74" s="10">
        <f>+[1]モンスター計算!S77</f>
        <v>-7.0000000000000007E-2</v>
      </c>
      <c r="T74" s="10">
        <f>+[1]モンスター計算!T77</f>
        <v>-7.0000000000000007E-2</v>
      </c>
      <c r="U74" s="10">
        <f>+[1]モンスター計算!U77</f>
        <v>-7.0000000000000007E-2</v>
      </c>
      <c r="V74" s="11">
        <f>+[1]モンスター計算!V77</f>
        <v>4</v>
      </c>
      <c r="W74" s="29">
        <v>8</v>
      </c>
      <c r="X74" s="26" t="s">
        <v>109</v>
      </c>
      <c r="Y74" s="32" t="s">
        <v>87</v>
      </c>
      <c r="Z74" s="11">
        <v>1.2</v>
      </c>
      <c r="AA74" s="29">
        <v>5</v>
      </c>
      <c r="AB74" s="29">
        <f t="shared" si="2"/>
        <v>23</v>
      </c>
      <c r="AC74" s="46">
        <f t="shared" si="3"/>
        <v>13</v>
      </c>
      <c r="AD74" s="26" t="s">
        <v>51</v>
      </c>
      <c r="AE74" s="10">
        <v>7</v>
      </c>
      <c r="AF74" s="10">
        <v>3</v>
      </c>
      <c r="AG74" s="11" t="b">
        <v>1</v>
      </c>
      <c r="AH74" s="29" t="s">
        <v>985</v>
      </c>
      <c r="AI74" s="32" t="s">
        <v>1825</v>
      </c>
    </row>
    <row r="75" spans="1:35">
      <c r="A75" s="52" t="s">
        <v>590</v>
      </c>
      <c r="B75" s="13" t="s">
        <v>266</v>
      </c>
      <c r="C75" s="27" t="s">
        <v>44</v>
      </c>
      <c r="D75" s="13" t="s">
        <v>61</v>
      </c>
      <c r="E75" s="27">
        <f>+[1]モンスター計算!E78</f>
        <v>229</v>
      </c>
      <c r="F75" s="5">
        <f>+[1]モンスター計算!F78</f>
        <v>54</v>
      </c>
      <c r="G75" s="5">
        <f>+[1]モンスター計算!G78</f>
        <v>18</v>
      </c>
      <c r="H75" s="5">
        <f>+[1]モンスター計算!H78</f>
        <v>70</v>
      </c>
      <c r="I75" s="5">
        <f>+[1]モンスター計算!I78</f>
        <v>19</v>
      </c>
      <c r="J75" s="13">
        <f>+[1]モンスター計算!J78</f>
        <v>21</v>
      </c>
      <c r="K75" s="27">
        <f>+[1]モンスター計算!K78</f>
        <v>0.26</v>
      </c>
      <c r="L75" s="13">
        <f>+[1]モンスター計算!L78</f>
        <v>1.95</v>
      </c>
      <c r="M75" s="27">
        <f>+[1]モンスター計算!M78</f>
        <v>2.75</v>
      </c>
      <c r="N75" s="5">
        <f>+[1]モンスター計算!N78</f>
        <v>0.95</v>
      </c>
      <c r="O75" s="13">
        <f>+[1]モンスター計算!O78</f>
        <v>2.8</v>
      </c>
      <c r="P75" s="27">
        <f>+[1]モンスター計算!P78</f>
        <v>0.15000000000000002</v>
      </c>
      <c r="Q75" s="5">
        <f>+[1]モンスター計算!Q78</f>
        <v>-0.15000000000000002</v>
      </c>
      <c r="R75" s="5">
        <f>+[1]モンスター計算!R78</f>
        <v>-0.05</v>
      </c>
      <c r="S75" s="5">
        <f>+[1]モンスター計算!S78</f>
        <v>-0.05</v>
      </c>
      <c r="T75" s="5">
        <f>+[1]モンスター計算!T78</f>
        <v>-0.05</v>
      </c>
      <c r="U75" s="5">
        <f>+[1]モンスター計算!U78</f>
        <v>-0.05</v>
      </c>
      <c r="V75" s="13">
        <f>+[1]モンスター計算!V78</f>
        <v>4.4000000000000004</v>
      </c>
      <c r="W75" s="30">
        <v>8</v>
      </c>
      <c r="X75" s="27" t="s">
        <v>64</v>
      </c>
      <c r="Y75" s="33" t="s">
        <v>88</v>
      </c>
      <c r="Z75" s="13">
        <v>1.2</v>
      </c>
      <c r="AA75" s="30">
        <v>7</v>
      </c>
      <c r="AB75" s="30">
        <f t="shared" si="2"/>
        <v>27</v>
      </c>
      <c r="AC75" s="47">
        <f t="shared" si="3"/>
        <v>13</v>
      </c>
      <c r="AD75" s="27" t="s">
        <v>49</v>
      </c>
      <c r="AE75" s="5">
        <v>7.5</v>
      </c>
      <c r="AF75" s="5">
        <v>3</v>
      </c>
      <c r="AG75" s="13" t="b">
        <v>1</v>
      </c>
      <c r="AH75" s="30" t="s">
        <v>986</v>
      </c>
      <c r="AI75" s="33" t="s">
        <v>1825</v>
      </c>
    </row>
    <row r="76" spans="1:35">
      <c r="A76" s="52" t="s">
        <v>591</v>
      </c>
      <c r="B76" s="13" t="s">
        <v>267</v>
      </c>
      <c r="C76" s="27" t="s">
        <v>46</v>
      </c>
      <c r="D76" s="13" t="s">
        <v>61</v>
      </c>
      <c r="E76" s="27">
        <f>+[1]モンスター計算!E79</f>
        <v>248</v>
      </c>
      <c r="F76" s="5">
        <f>+[1]モンスター計算!F79</f>
        <v>41</v>
      </c>
      <c r="G76" s="5">
        <f>+[1]モンスター計算!G79</f>
        <v>11</v>
      </c>
      <c r="H76" s="5">
        <f>+[1]モンスター計算!H79</f>
        <v>46</v>
      </c>
      <c r="I76" s="5">
        <f>+[1]モンスター計算!I79</f>
        <v>21</v>
      </c>
      <c r="J76" s="13">
        <f>+[1]モンスター計算!J79</f>
        <v>20</v>
      </c>
      <c r="K76" s="27">
        <f>+[1]モンスター計算!K79</f>
        <v>6.5000000000000002E-2</v>
      </c>
      <c r="L76" s="13">
        <f>+[1]モンスター計算!L79</f>
        <v>1.45</v>
      </c>
      <c r="M76" s="27">
        <f>+[1]モンスター計算!M79</f>
        <v>4</v>
      </c>
      <c r="N76" s="5">
        <f>+[1]モンスター計算!N79</f>
        <v>1.72</v>
      </c>
      <c r="O76" s="13">
        <f>+[1]モンスター計算!O79</f>
        <v>1.9</v>
      </c>
      <c r="P76" s="27">
        <f>+[1]モンスター計算!P79</f>
        <v>-7.0000000000000007E-2</v>
      </c>
      <c r="Q76" s="5">
        <f>+[1]モンスター計算!Q79</f>
        <v>-7.0000000000000007E-2</v>
      </c>
      <c r="R76" s="5">
        <f>+[1]モンスター計算!R79</f>
        <v>0.13</v>
      </c>
      <c r="S76" s="5">
        <f>+[1]モンスター計算!S79</f>
        <v>-0.17</v>
      </c>
      <c r="T76" s="5">
        <f>+[1]モンスター計算!T79</f>
        <v>-7.0000000000000007E-2</v>
      </c>
      <c r="U76" s="5">
        <f>+[1]モンスター計算!U79</f>
        <v>-7.0000000000000007E-2</v>
      </c>
      <c r="V76" s="13">
        <f>+[1]モンスター計算!V79</f>
        <v>5.4</v>
      </c>
      <c r="W76" s="30">
        <v>9</v>
      </c>
      <c r="X76" s="27" t="s">
        <v>66</v>
      </c>
      <c r="Y76" s="33" t="s">
        <v>89</v>
      </c>
      <c r="Z76" s="13">
        <v>1.22</v>
      </c>
      <c r="AA76" s="30">
        <v>10</v>
      </c>
      <c r="AB76" s="30">
        <f t="shared" si="2"/>
        <v>33</v>
      </c>
      <c r="AC76" s="47">
        <f t="shared" si="3"/>
        <v>13</v>
      </c>
      <c r="AD76" s="27" t="s">
        <v>53</v>
      </c>
      <c r="AE76" s="5">
        <v>8.5</v>
      </c>
      <c r="AF76" s="5">
        <v>3</v>
      </c>
      <c r="AG76" s="13" t="b">
        <v>1</v>
      </c>
      <c r="AH76" s="30" t="s">
        <v>987</v>
      </c>
      <c r="AI76" s="33" t="s">
        <v>1825</v>
      </c>
    </row>
    <row r="77" spans="1:35">
      <c r="A77" s="52" t="s">
        <v>592</v>
      </c>
      <c r="B77" s="13" t="s">
        <v>268</v>
      </c>
      <c r="C77" s="27" t="s">
        <v>44</v>
      </c>
      <c r="D77" s="13" t="s">
        <v>59</v>
      </c>
      <c r="E77" s="27">
        <f>+[1]モンスター計算!E80</f>
        <v>251</v>
      </c>
      <c r="F77" s="5">
        <f>+[1]モンスター計算!F80</f>
        <v>17</v>
      </c>
      <c r="G77" s="5">
        <f>+[1]モンスター計算!G80</f>
        <v>58</v>
      </c>
      <c r="H77" s="5">
        <f>+[1]モンスター計算!H80</f>
        <v>26</v>
      </c>
      <c r="I77" s="5">
        <f>+[1]モンスター計算!I80</f>
        <v>20</v>
      </c>
      <c r="J77" s="13">
        <f>+[1]モンスター計算!J80</f>
        <v>20</v>
      </c>
      <c r="K77" s="27">
        <f>+[1]モンスター計算!K80</f>
        <v>0.08</v>
      </c>
      <c r="L77" s="13">
        <f>+[1]モンスター計算!L80</f>
        <v>1.55</v>
      </c>
      <c r="M77" s="27">
        <f>+[1]モンスター計算!M80</f>
        <v>3.3</v>
      </c>
      <c r="N77" s="5">
        <f>+[1]モンスター計算!N80</f>
        <v>1.32</v>
      </c>
      <c r="O77" s="13">
        <f>+[1]モンスター計算!O80</f>
        <v>1</v>
      </c>
      <c r="P77" s="27">
        <f>+[1]モンスター計算!P80</f>
        <v>0.16</v>
      </c>
      <c r="Q77" s="5">
        <f>+[1]モンスター計算!Q80</f>
        <v>-0.14000000000000001</v>
      </c>
      <c r="R77" s="5">
        <f>+[1]モンスター計算!R80</f>
        <v>-0.04</v>
      </c>
      <c r="S77" s="5">
        <f>+[1]モンスター計算!S80</f>
        <v>-0.04</v>
      </c>
      <c r="T77" s="5">
        <f>+[1]モンスター計算!T80</f>
        <v>-0.04</v>
      </c>
      <c r="U77" s="5">
        <f>+[1]モンスター計算!U80</f>
        <v>-0.04</v>
      </c>
      <c r="V77" s="13">
        <f>+[1]モンスター計算!V80</f>
        <v>4.8</v>
      </c>
      <c r="W77" s="30">
        <v>10</v>
      </c>
      <c r="X77" s="27" t="s">
        <v>68</v>
      </c>
      <c r="Y77" s="33" t="s">
        <v>90</v>
      </c>
      <c r="Z77" s="13">
        <v>1.25</v>
      </c>
      <c r="AA77" s="30">
        <v>15</v>
      </c>
      <c r="AB77" s="30">
        <f t="shared" si="2"/>
        <v>44</v>
      </c>
      <c r="AC77" s="47">
        <f t="shared" si="3"/>
        <v>13</v>
      </c>
      <c r="AD77" s="27" t="s">
        <v>74</v>
      </c>
      <c r="AE77" s="5">
        <v>0</v>
      </c>
      <c r="AF77" s="5">
        <v>0</v>
      </c>
      <c r="AG77" s="13" t="b">
        <v>0</v>
      </c>
      <c r="AH77" s="30" t="s">
        <v>988</v>
      </c>
      <c r="AI77" s="33" t="s">
        <v>1825</v>
      </c>
    </row>
    <row r="78" spans="1:35">
      <c r="A78" s="52" t="s">
        <v>593</v>
      </c>
      <c r="B78" s="13" t="s">
        <v>269</v>
      </c>
      <c r="C78" s="27" t="s">
        <v>45</v>
      </c>
      <c r="D78" s="13" t="s">
        <v>59</v>
      </c>
      <c r="E78" s="27">
        <f>+[1]モンスター計算!E81</f>
        <v>571</v>
      </c>
      <c r="F78" s="5">
        <f>+[1]モンスター計算!F81</f>
        <v>15</v>
      </c>
      <c r="G78" s="5">
        <f>+[1]モンスター計算!G81</f>
        <v>42</v>
      </c>
      <c r="H78" s="5">
        <f>+[1]モンスター計算!H81</f>
        <v>16</v>
      </c>
      <c r="I78" s="5">
        <f>+[1]モンスター計算!I81</f>
        <v>54</v>
      </c>
      <c r="J78" s="13">
        <f>+[1]モンスター計算!J81</f>
        <v>27</v>
      </c>
      <c r="K78" s="27">
        <f>+[1]モンスター計算!K81</f>
        <v>0.03</v>
      </c>
      <c r="L78" s="13">
        <f>+[1]モンスター計算!L81</f>
        <v>1.35</v>
      </c>
      <c r="M78" s="27">
        <f>+[1]モンスター計算!M81</f>
        <v>1.5</v>
      </c>
      <c r="N78" s="5">
        <f>+[1]モンスター計算!N81</f>
        <v>0.65</v>
      </c>
      <c r="O78" s="13">
        <f>+[1]モンスター計算!O81</f>
        <v>1</v>
      </c>
      <c r="P78" s="27">
        <f>+[1]モンスター計算!P81</f>
        <v>0</v>
      </c>
      <c r="Q78" s="5">
        <f>+[1]モンスター計算!Q81</f>
        <v>0.30000000000000004</v>
      </c>
      <c r="R78" s="5">
        <f>+[1]モンスター計算!R81</f>
        <v>0.1</v>
      </c>
      <c r="S78" s="5">
        <f>+[1]モンスター計算!S81</f>
        <v>0.1</v>
      </c>
      <c r="T78" s="5">
        <f>+[1]モンスター計算!T81</f>
        <v>0.1</v>
      </c>
      <c r="U78" s="5">
        <f>+[1]モンスター計算!U81</f>
        <v>0.1</v>
      </c>
      <c r="V78" s="13">
        <f>+[1]モンスター計算!V81</f>
        <v>3.4</v>
      </c>
      <c r="W78" s="30">
        <v>11</v>
      </c>
      <c r="X78" s="27" t="s">
        <v>70</v>
      </c>
      <c r="Y78" s="33" t="s">
        <v>91</v>
      </c>
      <c r="Z78" s="13">
        <v>1.25</v>
      </c>
      <c r="AA78" s="30">
        <v>20</v>
      </c>
      <c r="AB78" s="30">
        <f t="shared" si="2"/>
        <v>53</v>
      </c>
      <c r="AC78" s="47">
        <f t="shared" si="3"/>
        <v>13</v>
      </c>
      <c r="AD78" s="27" t="s">
        <v>74</v>
      </c>
      <c r="AE78" s="5">
        <v>0</v>
      </c>
      <c r="AF78" s="5">
        <v>0</v>
      </c>
      <c r="AG78" s="13" t="b">
        <v>0</v>
      </c>
      <c r="AH78" s="30" t="s">
        <v>989</v>
      </c>
      <c r="AI78" s="33" t="s">
        <v>1825</v>
      </c>
    </row>
    <row r="79" spans="1:35" ht="19.5" thickBot="1">
      <c r="A79" s="53" t="s">
        <v>594</v>
      </c>
      <c r="B79" s="16" t="s">
        <v>270</v>
      </c>
      <c r="C79" s="28" t="s">
        <v>47</v>
      </c>
      <c r="D79" s="16" t="s">
        <v>61</v>
      </c>
      <c r="E79" s="28">
        <f>+[1]モンスター計算!E82</f>
        <v>352</v>
      </c>
      <c r="F79" s="15">
        <f>+[1]モンスター計算!F82</f>
        <v>62</v>
      </c>
      <c r="G79" s="15">
        <f>+[1]モンスター計算!G82</f>
        <v>15</v>
      </c>
      <c r="H79" s="15">
        <f>+[1]モンスター計算!H82</f>
        <v>52</v>
      </c>
      <c r="I79" s="15">
        <f>+[1]モンスター計算!I82</f>
        <v>49</v>
      </c>
      <c r="J79" s="16">
        <f>+[1]モンスター計算!J82</f>
        <v>18</v>
      </c>
      <c r="K79" s="28">
        <f>+[1]モンスター計算!K82</f>
        <v>5.5E-2</v>
      </c>
      <c r="L79" s="16">
        <f>+[1]モンスター計算!L82</f>
        <v>1.5</v>
      </c>
      <c r="M79" s="28">
        <f>+[1]モンスター計算!M82</f>
        <v>1.85</v>
      </c>
      <c r="N79" s="15">
        <f>+[1]モンスター計算!N82</f>
        <v>0.87</v>
      </c>
      <c r="O79" s="16">
        <f>+[1]モンスター計算!O82</f>
        <v>2.35</v>
      </c>
      <c r="P79" s="28">
        <f>+[1]モンスター計算!P82</f>
        <v>6.5000000000000002E-2</v>
      </c>
      <c r="Q79" s="15">
        <f>+[1]モンスター計算!Q82</f>
        <v>6.5000000000000002E-2</v>
      </c>
      <c r="R79" s="15">
        <f>+[1]モンスター計算!R82</f>
        <v>6.5000000000000002E-2</v>
      </c>
      <c r="S79" s="15">
        <f>+[1]モンスター計算!S82</f>
        <v>6.5000000000000002E-2</v>
      </c>
      <c r="T79" s="15">
        <f>+[1]モンスター計算!T82</f>
        <v>0.26500000000000001</v>
      </c>
      <c r="U79" s="15">
        <f>+[1]モンスター計算!U82</f>
        <v>-3.5000000000000003E-2</v>
      </c>
      <c r="V79" s="16">
        <f>+[1]モンスター計算!V82</f>
        <v>4.2</v>
      </c>
      <c r="W79" s="31">
        <v>15</v>
      </c>
      <c r="X79" s="28" t="s">
        <v>72</v>
      </c>
      <c r="Y79" s="34" t="s">
        <v>92</v>
      </c>
      <c r="Z79" s="16">
        <v>1.3</v>
      </c>
      <c r="AA79" s="31">
        <v>40</v>
      </c>
      <c r="AB79" s="31">
        <f t="shared" si="2"/>
        <v>79</v>
      </c>
      <c r="AC79" s="48">
        <f t="shared" si="3"/>
        <v>13</v>
      </c>
      <c r="AD79" s="28" t="s">
        <v>55</v>
      </c>
      <c r="AE79" s="15">
        <v>10</v>
      </c>
      <c r="AF79" s="15">
        <v>4</v>
      </c>
      <c r="AG79" s="16" t="b">
        <v>1</v>
      </c>
      <c r="AH79" s="31" t="s">
        <v>990</v>
      </c>
      <c r="AI79" s="34" t="s">
        <v>1825</v>
      </c>
    </row>
    <row r="80" spans="1:35">
      <c r="A80" s="51" t="s">
        <v>595</v>
      </c>
      <c r="B80" s="11" t="s">
        <v>271</v>
      </c>
      <c r="C80" s="26" t="s">
        <v>45</v>
      </c>
      <c r="D80" s="11" t="s">
        <v>61</v>
      </c>
      <c r="E80" s="26">
        <f>+[1]モンスター計算!E83</f>
        <v>442</v>
      </c>
      <c r="F80" s="10">
        <f>+[1]モンスター計算!F83</f>
        <v>48</v>
      </c>
      <c r="G80" s="10">
        <f>+[1]モンスター計算!G83</f>
        <v>13</v>
      </c>
      <c r="H80" s="10">
        <f>+[1]モンスター計算!H83</f>
        <v>33</v>
      </c>
      <c r="I80" s="10">
        <f>+[1]モンスター計算!I83</f>
        <v>34</v>
      </c>
      <c r="J80" s="11">
        <f>+[1]モンスター計算!J83</f>
        <v>31</v>
      </c>
      <c r="K80" s="26">
        <f>+[1]モンスター計算!K83</f>
        <v>7.0000000000000007E-2</v>
      </c>
      <c r="L80" s="11">
        <f>+[1]モンスター計算!L83</f>
        <v>1.5</v>
      </c>
      <c r="M80" s="26">
        <f>+[1]モンスター計算!M83</f>
        <v>2.8</v>
      </c>
      <c r="N80" s="10">
        <f>+[1]モンスター計算!N83</f>
        <v>1.45</v>
      </c>
      <c r="O80" s="11">
        <f>+[1]モンスター計算!O83</f>
        <v>1.55</v>
      </c>
      <c r="P80" s="26">
        <f>+[1]モンスター計算!P83</f>
        <v>-7.0000000000000007E-2</v>
      </c>
      <c r="Q80" s="10">
        <f>+[1]モンスター計算!Q83</f>
        <v>0.23</v>
      </c>
      <c r="R80" s="10">
        <f>+[1]モンスター計算!R83</f>
        <v>0.03</v>
      </c>
      <c r="S80" s="10">
        <f>+[1]モンスター計算!S83</f>
        <v>0.03</v>
      </c>
      <c r="T80" s="10">
        <f>+[1]モンスター計算!T83</f>
        <v>0.03</v>
      </c>
      <c r="U80" s="10">
        <f>+[1]モンスター計算!U83</f>
        <v>0.03</v>
      </c>
      <c r="V80" s="11">
        <f>+[1]モンスター計算!V83</f>
        <v>3.6</v>
      </c>
      <c r="W80" s="29">
        <v>8</v>
      </c>
      <c r="X80" s="26" t="s">
        <v>109</v>
      </c>
      <c r="Y80" s="32" t="s">
        <v>87</v>
      </c>
      <c r="Z80" s="11">
        <v>1.2</v>
      </c>
      <c r="AA80" s="29">
        <v>5</v>
      </c>
      <c r="AB80" s="29">
        <f t="shared" si="2"/>
        <v>25</v>
      </c>
      <c r="AC80" s="46">
        <f t="shared" si="3"/>
        <v>14</v>
      </c>
      <c r="AD80" s="26" t="s">
        <v>51</v>
      </c>
      <c r="AE80" s="10">
        <v>7</v>
      </c>
      <c r="AF80" s="10">
        <v>3</v>
      </c>
      <c r="AG80" s="11" t="b">
        <v>1</v>
      </c>
      <c r="AH80" s="29" t="s">
        <v>991</v>
      </c>
      <c r="AI80" s="32" t="s">
        <v>1825</v>
      </c>
    </row>
    <row r="81" spans="1:35">
      <c r="A81" s="52" t="s">
        <v>596</v>
      </c>
      <c r="B81" s="13" t="s">
        <v>272</v>
      </c>
      <c r="C81" s="27" t="s">
        <v>44</v>
      </c>
      <c r="D81" s="13" t="s">
        <v>61</v>
      </c>
      <c r="E81" s="27">
        <f>+[1]モンスター計算!E84</f>
        <v>307</v>
      </c>
      <c r="F81" s="5">
        <f>+[1]モンスター計算!F84</f>
        <v>48</v>
      </c>
      <c r="G81" s="5">
        <f>+[1]モンスター計算!G84</f>
        <v>16</v>
      </c>
      <c r="H81" s="5">
        <f>+[1]モンスター計算!H84</f>
        <v>60</v>
      </c>
      <c r="I81" s="5">
        <f>+[1]モンスター計算!I84</f>
        <v>25</v>
      </c>
      <c r="J81" s="13">
        <f>+[1]モンスター計算!J84</f>
        <v>25</v>
      </c>
      <c r="K81" s="27">
        <f>+[1]モンスター計算!K84</f>
        <v>7.4999999999999997E-2</v>
      </c>
      <c r="L81" s="13">
        <f>+[1]モンスター計算!L84</f>
        <v>1.5</v>
      </c>
      <c r="M81" s="27">
        <f>+[1]モンスター計算!M84</f>
        <v>3.1</v>
      </c>
      <c r="N81" s="5">
        <f>+[1]モンスター計算!N84</f>
        <v>1.1499999999999999</v>
      </c>
      <c r="O81" s="13">
        <f>+[1]モンスター計算!O84</f>
        <v>3.0750000000000002</v>
      </c>
      <c r="P81" s="27">
        <f>+[1]モンスター計算!P84</f>
        <v>0.19</v>
      </c>
      <c r="Q81" s="5">
        <f>+[1]モンスター計算!Q84</f>
        <v>-0.11</v>
      </c>
      <c r="R81" s="5">
        <f>+[1]モンスター計算!R84</f>
        <v>-0.01</v>
      </c>
      <c r="S81" s="5">
        <f>+[1]モンスター計算!S84</f>
        <v>-0.01</v>
      </c>
      <c r="T81" s="5">
        <f>+[1]モンスター計算!T84</f>
        <v>-0.01</v>
      </c>
      <c r="U81" s="5">
        <f>+[1]モンスター計算!U84</f>
        <v>-0.01</v>
      </c>
      <c r="V81" s="13">
        <f>+[1]モンスター計算!V84</f>
        <v>8.6</v>
      </c>
      <c r="W81" s="30">
        <v>8</v>
      </c>
      <c r="X81" s="27" t="s">
        <v>64</v>
      </c>
      <c r="Y81" s="33" t="s">
        <v>88</v>
      </c>
      <c r="Z81" s="13">
        <v>1.2</v>
      </c>
      <c r="AA81" s="30">
        <v>7</v>
      </c>
      <c r="AB81" s="30">
        <f t="shared" si="2"/>
        <v>29</v>
      </c>
      <c r="AC81" s="47">
        <f t="shared" si="3"/>
        <v>14</v>
      </c>
      <c r="AD81" s="27" t="s">
        <v>49</v>
      </c>
      <c r="AE81" s="5">
        <v>7.5</v>
      </c>
      <c r="AF81" s="5">
        <v>3</v>
      </c>
      <c r="AG81" s="13" t="b">
        <v>1</v>
      </c>
      <c r="AH81" s="30" t="s">
        <v>992</v>
      </c>
      <c r="AI81" s="33" t="s">
        <v>1825</v>
      </c>
    </row>
    <row r="82" spans="1:35">
      <c r="A82" s="52" t="s">
        <v>597</v>
      </c>
      <c r="B82" s="13" t="s">
        <v>273</v>
      </c>
      <c r="C82" s="27" t="s">
        <v>46</v>
      </c>
      <c r="D82" s="13" t="s">
        <v>61</v>
      </c>
      <c r="E82" s="27">
        <f>+[1]モンスター計算!E85</f>
        <v>518</v>
      </c>
      <c r="F82" s="5">
        <f>+[1]モンスター計算!F85</f>
        <v>63</v>
      </c>
      <c r="G82" s="5">
        <f>+[1]モンスター計算!G85</f>
        <v>13</v>
      </c>
      <c r="H82" s="5">
        <f>+[1]モンスター計算!H85</f>
        <v>28</v>
      </c>
      <c r="I82" s="5">
        <f>+[1]モンスター計算!I85</f>
        <v>41</v>
      </c>
      <c r="J82" s="13">
        <f>+[1]モンスター計算!J85</f>
        <v>39</v>
      </c>
      <c r="K82" s="27">
        <f>+[1]モンスター計算!K85</f>
        <v>0.1</v>
      </c>
      <c r="L82" s="13">
        <f>+[1]モンスター計算!L85</f>
        <v>1.75</v>
      </c>
      <c r="M82" s="27">
        <f>+[1]モンスター計算!M85</f>
        <v>2.4</v>
      </c>
      <c r="N82" s="5">
        <f>+[1]モンスター計算!N85</f>
        <v>1.2</v>
      </c>
      <c r="O82" s="13">
        <f>+[1]モンスター計算!O85</f>
        <v>3</v>
      </c>
      <c r="P82" s="27">
        <f>+[1]モンスター計算!P85</f>
        <v>0.08</v>
      </c>
      <c r="Q82" s="5">
        <f>+[1]モンスター計算!Q85</f>
        <v>0.08</v>
      </c>
      <c r="R82" s="5">
        <f>+[1]モンスター計算!R85</f>
        <v>0.28000000000000003</v>
      </c>
      <c r="S82" s="5">
        <f>+[1]モンスター計算!S85</f>
        <v>-2.0000000000000004E-2</v>
      </c>
      <c r="T82" s="5">
        <f>+[1]モンスター計算!T85</f>
        <v>0.08</v>
      </c>
      <c r="U82" s="5">
        <f>+[1]モンスター計算!U85</f>
        <v>0.08</v>
      </c>
      <c r="V82" s="13">
        <f>+[1]モンスター計算!V85</f>
        <v>4</v>
      </c>
      <c r="W82" s="30">
        <v>9</v>
      </c>
      <c r="X82" s="27" t="s">
        <v>66</v>
      </c>
      <c r="Y82" s="33" t="s">
        <v>89</v>
      </c>
      <c r="Z82" s="13">
        <v>1.22</v>
      </c>
      <c r="AA82" s="30">
        <v>10</v>
      </c>
      <c r="AB82" s="30">
        <f t="shared" si="2"/>
        <v>35</v>
      </c>
      <c r="AC82" s="47">
        <f t="shared" si="3"/>
        <v>14</v>
      </c>
      <c r="AD82" s="27" t="s">
        <v>53</v>
      </c>
      <c r="AE82" s="5">
        <v>8.5</v>
      </c>
      <c r="AF82" s="5">
        <v>3</v>
      </c>
      <c r="AG82" s="13" t="b">
        <v>1</v>
      </c>
      <c r="AH82" s="30" t="s">
        <v>993</v>
      </c>
      <c r="AI82" s="33" t="s">
        <v>1825</v>
      </c>
    </row>
    <row r="83" spans="1:35">
      <c r="A83" s="52" t="s">
        <v>598</v>
      </c>
      <c r="B83" s="13" t="s">
        <v>274</v>
      </c>
      <c r="C83" s="27" t="s">
        <v>44</v>
      </c>
      <c r="D83" s="13" t="s">
        <v>59</v>
      </c>
      <c r="E83" s="27">
        <f>+[1]モンスター計算!E86</f>
        <v>242</v>
      </c>
      <c r="F83" s="5">
        <f>+[1]モンスター計算!F86</f>
        <v>19</v>
      </c>
      <c r="G83" s="5">
        <f>+[1]モンスター計算!G86</f>
        <v>74</v>
      </c>
      <c r="H83" s="5">
        <f>+[1]モンスター計算!H86</f>
        <v>25</v>
      </c>
      <c r="I83" s="5">
        <f>+[1]モンスター計算!I86</f>
        <v>21</v>
      </c>
      <c r="J83" s="13">
        <f>+[1]モンスター計算!J86</f>
        <v>22</v>
      </c>
      <c r="K83" s="27">
        <f>+[1]モンスター計算!K86</f>
        <v>0.11</v>
      </c>
      <c r="L83" s="13">
        <f>+[1]モンスター計算!L86</f>
        <v>1.58</v>
      </c>
      <c r="M83" s="27">
        <f>+[1]モンスター計算!M86</f>
        <v>4.45</v>
      </c>
      <c r="N83" s="5">
        <f>+[1]モンスター計算!N86</f>
        <v>1.3</v>
      </c>
      <c r="O83" s="13">
        <f>+[1]モンスター計算!O86</f>
        <v>1</v>
      </c>
      <c r="P83" s="27">
        <f>+[1]モンスター計算!P86</f>
        <v>0.14000000000000001</v>
      </c>
      <c r="Q83" s="5">
        <f>+[1]モンスター計算!Q86</f>
        <v>-0.16</v>
      </c>
      <c r="R83" s="5">
        <f>+[1]モンスター計算!R86</f>
        <v>-0.06</v>
      </c>
      <c r="S83" s="5">
        <f>+[1]モンスター計算!S86</f>
        <v>-0.06</v>
      </c>
      <c r="T83" s="5">
        <f>+[1]モンスター計算!T86</f>
        <v>-0.06</v>
      </c>
      <c r="U83" s="5">
        <f>+[1]モンスター計算!U86</f>
        <v>-0.06</v>
      </c>
      <c r="V83" s="13">
        <f>+[1]モンスター計算!V86</f>
        <v>5.6</v>
      </c>
      <c r="W83" s="30">
        <v>10</v>
      </c>
      <c r="X83" s="27" t="s">
        <v>68</v>
      </c>
      <c r="Y83" s="33" t="s">
        <v>90</v>
      </c>
      <c r="Z83" s="13">
        <v>1.25</v>
      </c>
      <c r="AA83" s="30">
        <v>15</v>
      </c>
      <c r="AB83" s="30">
        <f t="shared" si="2"/>
        <v>47</v>
      </c>
      <c r="AC83" s="47">
        <f t="shared" si="3"/>
        <v>14</v>
      </c>
      <c r="AD83" s="27" t="s">
        <v>74</v>
      </c>
      <c r="AE83" s="5">
        <v>0</v>
      </c>
      <c r="AF83" s="5">
        <v>0</v>
      </c>
      <c r="AG83" s="13" t="b">
        <v>0</v>
      </c>
      <c r="AH83" s="30" t="s">
        <v>994</v>
      </c>
      <c r="AI83" s="33" t="s">
        <v>1825</v>
      </c>
    </row>
    <row r="84" spans="1:35">
      <c r="A84" s="52" t="s">
        <v>599</v>
      </c>
      <c r="B84" s="13" t="s">
        <v>275</v>
      </c>
      <c r="C84" s="27" t="s">
        <v>45</v>
      </c>
      <c r="D84" s="13" t="s">
        <v>59</v>
      </c>
      <c r="E84" s="27">
        <f>+[1]モンスター計算!E87</f>
        <v>387</v>
      </c>
      <c r="F84" s="5">
        <f>+[1]モンスター計算!F87</f>
        <v>21</v>
      </c>
      <c r="G84" s="5">
        <f>+[1]モンスター計算!G87</f>
        <v>52</v>
      </c>
      <c r="H84" s="5">
        <f>+[1]モンスター計算!H87</f>
        <v>18</v>
      </c>
      <c r="I84" s="5">
        <f>+[1]モンスター計算!I87</f>
        <v>35</v>
      </c>
      <c r="J84" s="13">
        <f>+[1]モンスター計算!J87</f>
        <v>34</v>
      </c>
      <c r="K84" s="27">
        <f>+[1]モンスター計算!K87</f>
        <v>0.04</v>
      </c>
      <c r="L84" s="13">
        <f>+[1]モンスター計算!L87</f>
        <v>1.4</v>
      </c>
      <c r="M84" s="27">
        <f>+[1]モンスター計算!M87</f>
        <v>2.4500000000000002</v>
      </c>
      <c r="N84" s="5">
        <f>+[1]モンスター計算!N87</f>
        <v>1.03</v>
      </c>
      <c r="O84" s="13">
        <f>+[1]モンスター計算!O87</f>
        <v>1</v>
      </c>
      <c r="P84" s="27">
        <f>+[1]モンスター計算!P87</f>
        <v>-6.0000000000000005E-2</v>
      </c>
      <c r="Q84" s="5">
        <f>+[1]モンスター計算!Q87</f>
        <v>0.24000000000000002</v>
      </c>
      <c r="R84" s="5">
        <f>+[1]モンスター計算!R87</f>
        <v>0.04</v>
      </c>
      <c r="S84" s="5">
        <f>+[1]モンスター計算!S87</f>
        <v>0.04</v>
      </c>
      <c r="T84" s="5">
        <f>+[1]モンスター計算!T87</f>
        <v>0.04</v>
      </c>
      <c r="U84" s="5">
        <f>+[1]モンスター計算!U87</f>
        <v>0.04</v>
      </c>
      <c r="V84" s="13">
        <f>+[1]モンスター計算!V87</f>
        <v>4</v>
      </c>
      <c r="W84" s="30">
        <v>11</v>
      </c>
      <c r="X84" s="27" t="s">
        <v>70</v>
      </c>
      <c r="Y84" s="33" t="s">
        <v>91</v>
      </c>
      <c r="Z84" s="13">
        <v>1.25</v>
      </c>
      <c r="AA84" s="30">
        <v>20</v>
      </c>
      <c r="AB84" s="30">
        <f t="shared" si="2"/>
        <v>56</v>
      </c>
      <c r="AC84" s="47">
        <f t="shared" si="3"/>
        <v>14</v>
      </c>
      <c r="AD84" s="27" t="s">
        <v>74</v>
      </c>
      <c r="AE84" s="5">
        <v>0</v>
      </c>
      <c r="AF84" s="5">
        <v>0</v>
      </c>
      <c r="AG84" s="13" t="b">
        <v>0</v>
      </c>
      <c r="AH84" s="30" t="s">
        <v>995</v>
      </c>
      <c r="AI84" s="33" t="s">
        <v>1825</v>
      </c>
    </row>
    <row r="85" spans="1:35" ht="19.5" thickBot="1">
      <c r="A85" s="53" t="s">
        <v>600</v>
      </c>
      <c r="B85" s="16" t="s">
        <v>276</v>
      </c>
      <c r="C85" s="28" t="s">
        <v>47</v>
      </c>
      <c r="D85" s="16" t="s">
        <v>61</v>
      </c>
      <c r="E85" s="28">
        <f>+[1]モンスター計算!E88</f>
        <v>190</v>
      </c>
      <c r="F85" s="15">
        <f>+[1]モンスター計算!F88</f>
        <v>76</v>
      </c>
      <c r="G85" s="15">
        <f>+[1]モンスター計算!G88</f>
        <v>36</v>
      </c>
      <c r="H85" s="15">
        <f>+[1]モンスター計算!H88</f>
        <v>99</v>
      </c>
      <c r="I85" s="15">
        <f>+[1]モンスター計算!I88</f>
        <v>40</v>
      </c>
      <c r="J85" s="16">
        <f>+[1]モンスター計算!J88</f>
        <v>62</v>
      </c>
      <c r="K85" s="28">
        <f>+[1]モンスター計算!K88</f>
        <v>0.04</v>
      </c>
      <c r="L85" s="16">
        <f>+[1]モンスター計算!L88</f>
        <v>1.38</v>
      </c>
      <c r="M85" s="28">
        <f>+[1]モンスター計算!M88</f>
        <v>2.2000000000000002</v>
      </c>
      <c r="N85" s="15">
        <f>+[1]モンスター計算!N88</f>
        <v>0.88</v>
      </c>
      <c r="O85" s="16">
        <f>+[1]モンスター計算!O88</f>
        <v>3.15</v>
      </c>
      <c r="P85" s="28">
        <f>+[1]モンスター計算!P88</f>
        <v>0.13</v>
      </c>
      <c r="Q85" s="15">
        <f>+[1]モンスター計算!Q88</f>
        <v>0.13</v>
      </c>
      <c r="R85" s="15">
        <f>+[1]モンスター計算!R88</f>
        <v>0.13</v>
      </c>
      <c r="S85" s="15">
        <f>+[1]モンスター計算!S88</f>
        <v>0.13</v>
      </c>
      <c r="T85" s="15">
        <f>+[1]モンスター計算!T88</f>
        <v>0.33</v>
      </c>
      <c r="U85" s="15">
        <f>+[1]モンスター計算!U88</f>
        <v>0.03</v>
      </c>
      <c r="V85" s="16">
        <f>+[1]モンスター計算!V88</f>
        <v>4.4800000000000004</v>
      </c>
      <c r="W85" s="31">
        <v>15</v>
      </c>
      <c r="X85" s="28" t="s">
        <v>72</v>
      </c>
      <c r="Y85" s="34" t="s">
        <v>92</v>
      </c>
      <c r="Z85" s="16">
        <v>1.3</v>
      </c>
      <c r="AA85" s="31">
        <v>40</v>
      </c>
      <c r="AB85" s="31">
        <f t="shared" si="2"/>
        <v>83</v>
      </c>
      <c r="AC85" s="48">
        <f t="shared" si="3"/>
        <v>14</v>
      </c>
      <c r="AD85" s="28" t="s">
        <v>55</v>
      </c>
      <c r="AE85" s="15">
        <v>10</v>
      </c>
      <c r="AF85" s="15">
        <v>4</v>
      </c>
      <c r="AG85" s="16" t="b">
        <v>1</v>
      </c>
      <c r="AH85" s="31" t="s">
        <v>996</v>
      </c>
      <c r="AI85" s="34" t="s">
        <v>1825</v>
      </c>
    </row>
    <row r="86" spans="1:35">
      <c r="A86" s="51" t="s">
        <v>601</v>
      </c>
      <c r="B86" s="11" t="s">
        <v>277</v>
      </c>
      <c r="C86" s="26" t="s">
        <v>45</v>
      </c>
      <c r="D86" s="11" t="s">
        <v>61</v>
      </c>
      <c r="E86" s="26">
        <f>+[1]モンスター計算!E89</f>
        <v>391</v>
      </c>
      <c r="F86" s="10">
        <f>+[1]モンスター計算!F89</f>
        <v>147</v>
      </c>
      <c r="G86" s="10">
        <f>+[1]モンスター計算!G89</f>
        <v>22</v>
      </c>
      <c r="H86" s="10">
        <f>+[1]モンスター計算!H89</f>
        <v>70</v>
      </c>
      <c r="I86" s="10">
        <f>+[1]モンスター計算!I89</f>
        <v>29</v>
      </c>
      <c r="J86" s="11">
        <f>+[1]モンスター計算!J89</f>
        <v>36</v>
      </c>
      <c r="K86" s="26">
        <f>+[1]モンスター計算!K89</f>
        <v>6.5000000000000002E-2</v>
      </c>
      <c r="L86" s="11">
        <f>+[1]モンスター計算!L89</f>
        <v>1.45</v>
      </c>
      <c r="M86" s="26">
        <f>+[1]モンスター計算!M89</f>
        <v>2.1</v>
      </c>
      <c r="N86" s="10">
        <f>+[1]モンスター計算!N89</f>
        <v>0.9</v>
      </c>
      <c r="O86" s="11">
        <f>+[1]モンスター計算!O89</f>
        <v>2.8</v>
      </c>
      <c r="P86" s="26">
        <f>+[1]モンスター計算!P89</f>
        <v>-0.08</v>
      </c>
      <c r="Q86" s="10">
        <f>+[1]モンスター計算!Q89</f>
        <v>0.22</v>
      </c>
      <c r="R86" s="10">
        <f>+[1]モンスター計算!R89</f>
        <v>0.02</v>
      </c>
      <c r="S86" s="10">
        <f>+[1]モンスター計算!S89</f>
        <v>0.02</v>
      </c>
      <c r="T86" s="10">
        <f>+[1]モンスター計算!T89</f>
        <v>0.02</v>
      </c>
      <c r="U86" s="10">
        <f>+[1]モンスター計算!U89</f>
        <v>0.02</v>
      </c>
      <c r="V86" s="11">
        <f>+[1]モンスター計算!V89</f>
        <v>4.2</v>
      </c>
      <c r="W86" s="29">
        <v>8</v>
      </c>
      <c r="X86" s="26" t="s">
        <v>109</v>
      </c>
      <c r="Y86" s="32" t="s">
        <v>87</v>
      </c>
      <c r="Z86" s="11">
        <v>1.2</v>
      </c>
      <c r="AA86" s="29">
        <v>5</v>
      </c>
      <c r="AB86" s="29">
        <f t="shared" si="2"/>
        <v>27</v>
      </c>
      <c r="AC86" s="46">
        <f t="shared" si="3"/>
        <v>15</v>
      </c>
      <c r="AD86" s="26" t="s">
        <v>51</v>
      </c>
      <c r="AE86" s="10">
        <v>7</v>
      </c>
      <c r="AF86" s="10">
        <v>3</v>
      </c>
      <c r="AG86" s="11" t="b">
        <v>1</v>
      </c>
      <c r="AH86" s="29" t="s">
        <v>997</v>
      </c>
      <c r="AI86" s="32" t="s">
        <v>1825</v>
      </c>
    </row>
    <row r="87" spans="1:35">
      <c r="A87" s="52" t="s">
        <v>602</v>
      </c>
      <c r="B87" s="13" t="s">
        <v>278</v>
      </c>
      <c r="C87" s="27" t="s">
        <v>44</v>
      </c>
      <c r="D87" s="13" t="s">
        <v>61</v>
      </c>
      <c r="E87" s="27">
        <f>+[1]モンスター計算!E90</f>
        <v>380</v>
      </c>
      <c r="F87" s="5">
        <f>+[1]モンスター計算!F90</f>
        <v>61</v>
      </c>
      <c r="G87" s="5">
        <f>+[1]モンスター計算!G90</f>
        <v>27</v>
      </c>
      <c r="H87" s="5">
        <f>+[1]モンスター計算!H90</f>
        <v>61</v>
      </c>
      <c r="I87" s="5">
        <f>+[1]モンスター計算!I90</f>
        <v>29</v>
      </c>
      <c r="J87" s="13">
        <f>+[1]モンスター計算!J90</f>
        <v>33</v>
      </c>
      <c r="K87" s="27">
        <f>+[1]モンスター計算!K90</f>
        <v>7.0000000000000007E-2</v>
      </c>
      <c r="L87" s="13">
        <f>+[1]モンスター計算!L90</f>
        <v>1.55</v>
      </c>
      <c r="M87" s="27">
        <f>+[1]モンスター計算!M90</f>
        <v>2.2999999999999998</v>
      </c>
      <c r="N87" s="5">
        <f>+[1]モンスター計算!N90</f>
        <v>1.1000000000000001</v>
      </c>
      <c r="O87" s="13">
        <f>+[1]モンスター計算!O90</f>
        <v>2.7</v>
      </c>
      <c r="P87" s="27">
        <f>+[1]モンスター計算!P90</f>
        <v>0.17</v>
      </c>
      <c r="Q87" s="5">
        <f>+[1]モンスター計算!Q90</f>
        <v>-0.13</v>
      </c>
      <c r="R87" s="5">
        <f>+[1]モンスター計算!R90</f>
        <v>-0.03</v>
      </c>
      <c r="S87" s="5">
        <f>+[1]モンスター計算!S90</f>
        <v>-0.03</v>
      </c>
      <c r="T87" s="5">
        <f>+[1]モンスター計算!T90</f>
        <v>-0.03</v>
      </c>
      <c r="U87" s="5">
        <f>+[1]モンスター計算!U90</f>
        <v>-0.03</v>
      </c>
      <c r="V87" s="13">
        <f>+[1]モンスター計算!V90</f>
        <v>4</v>
      </c>
      <c r="W87" s="30">
        <v>8</v>
      </c>
      <c r="X87" s="27" t="s">
        <v>64</v>
      </c>
      <c r="Y87" s="33" t="s">
        <v>88</v>
      </c>
      <c r="Z87" s="13">
        <v>1.2</v>
      </c>
      <c r="AA87" s="30">
        <v>7</v>
      </c>
      <c r="AB87" s="30">
        <f t="shared" si="2"/>
        <v>31</v>
      </c>
      <c r="AC87" s="47">
        <f t="shared" si="3"/>
        <v>15</v>
      </c>
      <c r="AD87" s="27" t="s">
        <v>49</v>
      </c>
      <c r="AE87" s="5">
        <v>7.5</v>
      </c>
      <c r="AF87" s="5">
        <v>3</v>
      </c>
      <c r="AG87" s="13" t="b">
        <v>1</v>
      </c>
      <c r="AH87" s="30" t="s">
        <v>998</v>
      </c>
      <c r="AI87" s="33" t="s">
        <v>1825</v>
      </c>
    </row>
    <row r="88" spans="1:35">
      <c r="A88" s="52" t="s">
        <v>603</v>
      </c>
      <c r="B88" s="13" t="s">
        <v>279</v>
      </c>
      <c r="C88" s="27" t="s">
        <v>46</v>
      </c>
      <c r="D88" s="13" t="s">
        <v>61</v>
      </c>
      <c r="E88" s="27">
        <f>+[1]モンスター計算!E91</f>
        <v>254</v>
      </c>
      <c r="F88" s="5">
        <f>+[1]モンスター計算!F91</f>
        <v>61</v>
      </c>
      <c r="G88" s="5">
        <f>+[1]モンスター計算!G91</f>
        <v>28</v>
      </c>
      <c r="H88" s="5">
        <f>+[1]モンスター計算!H91</f>
        <v>121</v>
      </c>
      <c r="I88" s="5">
        <f>+[1]モンスター計算!I91</f>
        <v>20</v>
      </c>
      <c r="J88" s="13">
        <f>+[1]モンスター計算!J91</f>
        <v>24</v>
      </c>
      <c r="K88" s="27">
        <f>+[1]モンスター計算!K91</f>
        <v>0.18</v>
      </c>
      <c r="L88" s="13">
        <f>+[1]モンスター計算!L91</f>
        <v>1.85</v>
      </c>
      <c r="M88" s="27">
        <f>+[1]モンスター計算!M91</f>
        <v>2.0499999999999998</v>
      </c>
      <c r="N88" s="5">
        <f>+[1]モンスター計算!N91</f>
        <v>0.75</v>
      </c>
      <c r="O88" s="13">
        <f>+[1]モンスター計算!O91</f>
        <v>4.45</v>
      </c>
      <c r="P88" s="27">
        <f>+[1]モンスター計算!P91</f>
        <v>-0.06</v>
      </c>
      <c r="Q88" s="5">
        <f>+[1]モンスター計算!Q91</f>
        <v>-0.06</v>
      </c>
      <c r="R88" s="5">
        <f>+[1]モンスター計算!R91</f>
        <v>0.14000000000000001</v>
      </c>
      <c r="S88" s="5">
        <f>+[1]モンスター計算!S91</f>
        <v>-0.16</v>
      </c>
      <c r="T88" s="5">
        <f>+[1]モンスター計算!T91</f>
        <v>-0.06</v>
      </c>
      <c r="U88" s="5">
        <f>+[1]モンスター計算!U91</f>
        <v>-0.06</v>
      </c>
      <c r="V88" s="13">
        <f>+[1]モンスター計算!V91</f>
        <v>5.6</v>
      </c>
      <c r="W88" s="30">
        <v>9</v>
      </c>
      <c r="X88" s="27" t="s">
        <v>66</v>
      </c>
      <c r="Y88" s="33" t="s">
        <v>89</v>
      </c>
      <c r="Z88" s="13">
        <v>1.22</v>
      </c>
      <c r="AA88" s="30">
        <v>10</v>
      </c>
      <c r="AB88" s="30">
        <f t="shared" si="2"/>
        <v>37</v>
      </c>
      <c r="AC88" s="47">
        <f t="shared" si="3"/>
        <v>15</v>
      </c>
      <c r="AD88" s="27" t="s">
        <v>53</v>
      </c>
      <c r="AE88" s="5">
        <v>8.5</v>
      </c>
      <c r="AF88" s="5">
        <v>3</v>
      </c>
      <c r="AG88" s="13" t="b">
        <v>1</v>
      </c>
      <c r="AH88" s="30" t="s">
        <v>999</v>
      </c>
      <c r="AI88" s="33" t="s">
        <v>1825</v>
      </c>
    </row>
    <row r="89" spans="1:35">
      <c r="A89" s="52" t="s">
        <v>604</v>
      </c>
      <c r="B89" s="13" t="s">
        <v>280</v>
      </c>
      <c r="C89" s="27" t="s">
        <v>44</v>
      </c>
      <c r="D89" s="13" t="s">
        <v>59</v>
      </c>
      <c r="E89" s="27">
        <f>+[1]モンスター計算!E92</f>
        <v>220</v>
      </c>
      <c r="F89" s="5">
        <f>+[1]モンスター計算!F92</f>
        <v>12</v>
      </c>
      <c r="G89" s="5">
        <f>+[1]モンスター計算!G92</f>
        <v>125</v>
      </c>
      <c r="H89" s="5">
        <f>+[1]モンスター計算!H92</f>
        <v>28</v>
      </c>
      <c r="I89" s="5">
        <f>+[1]モンスター計算!I92</f>
        <v>17</v>
      </c>
      <c r="J89" s="13">
        <f>+[1]モンスター計算!J92</f>
        <v>17</v>
      </c>
      <c r="K89" s="27">
        <f>+[1]モンスター計算!K92</f>
        <v>0.08</v>
      </c>
      <c r="L89" s="13">
        <f>+[1]モンスター計算!L92</f>
        <v>1.95</v>
      </c>
      <c r="M89" s="27">
        <f>+[1]モンスター計算!M92</f>
        <v>2.85</v>
      </c>
      <c r="N89" s="5">
        <f>+[1]モンスター計算!N92</f>
        <v>1.0900000000000001</v>
      </c>
      <c r="O89" s="13">
        <f>+[1]モンスター計算!O92</f>
        <v>1</v>
      </c>
      <c r="P89" s="27">
        <f>+[1]モンスター計算!P92</f>
        <v>8.5000000000000006E-2</v>
      </c>
      <c r="Q89" s="5">
        <f>+[1]モンスター計算!Q92</f>
        <v>-0.21500000000000002</v>
      </c>
      <c r="R89" s="5">
        <f>+[1]モンスター計算!R92</f>
        <v>-0.115</v>
      </c>
      <c r="S89" s="5">
        <f>+[1]モンスター計算!S92</f>
        <v>-0.115</v>
      </c>
      <c r="T89" s="5">
        <f>+[1]モンスター計算!T92</f>
        <v>-0.115</v>
      </c>
      <c r="U89" s="5">
        <f>+[1]モンスター計算!U92</f>
        <v>-0.115</v>
      </c>
      <c r="V89" s="13">
        <f>+[1]モンスター計算!V92</f>
        <v>4.4000000000000004</v>
      </c>
      <c r="W89" s="30">
        <v>10</v>
      </c>
      <c r="X89" s="27" t="s">
        <v>68</v>
      </c>
      <c r="Y89" s="33" t="s">
        <v>90</v>
      </c>
      <c r="Z89" s="13">
        <v>1.25</v>
      </c>
      <c r="AA89" s="30">
        <v>15</v>
      </c>
      <c r="AB89" s="30">
        <f t="shared" si="2"/>
        <v>50</v>
      </c>
      <c r="AC89" s="47">
        <f t="shared" si="3"/>
        <v>15</v>
      </c>
      <c r="AD89" s="27" t="s">
        <v>74</v>
      </c>
      <c r="AE89" s="5">
        <v>0</v>
      </c>
      <c r="AF89" s="5">
        <v>0</v>
      </c>
      <c r="AG89" s="13" t="b">
        <v>0</v>
      </c>
      <c r="AH89" s="30" t="s">
        <v>1000</v>
      </c>
      <c r="AI89" s="33" t="s">
        <v>1825</v>
      </c>
    </row>
    <row r="90" spans="1:35">
      <c r="A90" s="52" t="s">
        <v>605</v>
      </c>
      <c r="B90" s="13" t="s">
        <v>281</v>
      </c>
      <c r="C90" s="27" t="s">
        <v>45</v>
      </c>
      <c r="D90" s="13" t="s">
        <v>59</v>
      </c>
      <c r="E90" s="27">
        <f>+[1]モンスター計算!E93</f>
        <v>573</v>
      </c>
      <c r="F90" s="5">
        <f>+[1]モンスター計算!F93</f>
        <v>21</v>
      </c>
      <c r="G90" s="5">
        <f>+[1]モンスター計算!G93</f>
        <v>58</v>
      </c>
      <c r="H90" s="5">
        <f>+[1]モンスター計算!H93</f>
        <v>20</v>
      </c>
      <c r="I90" s="5">
        <f>+[1]モンスター計算!I93</f>
        <v>51</v>
      </c>
      <c r="J90" s="13">
        <f>+[1]モンスター計算!J93</f>
        <v>29</v>
      </c>
      <c r="K90" s="27">
        <f>+[1]モンスター計算!K93</f>
        <v>3.5000000000000003E-2</v>
      </c>
      <c r="L90" s="13">
        <f>+[1]モンスター計算!L93</f>
        <v>1.43</v>
      </c>
      <c r="M90" s="27">
        <f>+[1]モンスター計算!M93</f>
        <v>1.75</v>
      </c>
      <c r="N90" s="5">
        <f>+[1]モンスター計算!N93</f>
        <v>0.73</v>
      </c>
      <c r="O90" s="13">
        <f>+[1]モンスター計算!O93</f>
        <v>1</v>
      </c>
      <c r="P90" s="27">
        <f>+[1]モンスター計算!P93</f>
        <v>-1.0000000000000009E-2</v>
      </c>
      <c r="Q90" s="5">
        <f>+[1]モンスター計算!Q93</f>
        <v>0.29000000000000004</v>
      </c>
      <c r="R90" s="5">
        <f>+[1]モンスター計算!R93</f>
        <v>0.09</v>
      </c>
      <c r="S90" s="5">
        <f>+[1]モンスター計算!S93</f>
        <v>0.09</v>
      </c>
      <c r="T90" s="5">
        <f>+[1]モンスター計算!T93</f>
        <v>0.09</v>
      </c>
      <c r="U90" s="5">
        <f>+[1]モンスター計算!U93</f>
        <v>0.09</v>
      </c>
      <c r="V90" s="13">
        <f>+[1]モンスター計算!V93</f>
        <v>4.4000000000000004</v>
      </c>
      <c r="W90" s="30">
        <v>11</v>
      </c>
      <c r="X90" s="27" t="s">
        <v>70</v>
      </c>
      <c r="Y90" s="33" t="s">
        <v>91</v>
      </c>
      <c r="Z90" s="13">
        <v>1.25</v>
      </c>
      <c r="AA90" s="30">
        <v>20</v>
      </c>
      <c r="AB90" s="30">
        <f t="shared" si="2"/>
        <v>59</v>
      </c>
      <c r="AC90" s="47">
        <f t="shared" si="3"/>
        <v>15</v>
      </c>
      <c r="AD90" s="27" t="s">
        <v>74</v>
      </c>
      <c r="AE90" s="5">
        <v>0</v>
      </c>
      <c r="AF90" s="5">
        <v>0</v>
      </c>
      <c r="AG90" s="13" t="b">
        <v>0</v>
      </c>
      <c r="AH90" s="30" t="s">
        <v>1001</v>
      </c>
      <c r="AI90" s="33" t="s">
        <v>1825</v>
      </c>
    </row>
    <row r="91" spans="1:35" ht="19.5" thickBot="1">
      <c r="A91" s="53" t="s">
        <v>606</v>
      </c>
      <c r="B91" s="16" t="s">
        <v>282</v>
      </c>
      <c r="C91" s="28" t="s">
        <v>47</v>
      </c>
      <c r="D91" s="16" t="s">
        <v>61</v>
      </c>
      <c r="E91" s="28">
        <f>+[1]モンスター計算!E94</f>
        <v>296</v>
      </c>
      <c r="F91" s="15">
        <f>+[1]モンスター計算!F94</f>
        <v>64</v>
      </c>
      <c r="G91" s="15">
        <f>+[1]モンスター計算!G94</f>
        <v>36</v>
      </c>
      <c r="H91" s="15">
        <f>+[1]モンスター計算!H94</f>
        <v>80</v>
      </c>
      <c r="I91" s="15">
        <f>+[1]モンスター計算!I94</f>
        <v>23</v>
      </c>
      <c r="J91" s="16">
        <f>+[1]モンスター計算!J94</f>
        <v>24</v>
      </c>
      <c r="K91" s="28">
        <f>+[1]モンスター計算!K94</f>
        <v>0.11</v>
      </c>
      <c r="L91" s="16">
        <f>+[1]モンスター計算!L94</f>
        <v>1.65</v>
      </c>
      <c r="M91" s="28">
        <f>+[1]モンスター計算!M94</f>
        <v>2.2000000000000002</v>
      </c>
      <c r="N91" s="15">
        <f>+[1]モンスター計算!N94</f>
        <v>1.1000000000000001</v>
      </c>
      <c r="O91" s="16">
        <f>+[1]モンスター計算!O94</f>
        <v>2.75</v>
      </c>
      <c r="P91" s="28">
        <f>+[1]モンスター計算!P94</f>
        <v>-0.04</v>
      </c>
      <c r="Q91" s="15">
        <f>+[1]モンスター計算!Q94</f>
        <v>-0.04</v>
      </c>
      <c r="R91" s="15">
        <f>+[1]モンスター計算!R94</f>
        <v>-0.04</v>
      </c>
      <c r="S91" s="15">
        <f>+[1]モンスター計算!S94</f>
        <v>-0.04</v>
      </c>
      <c r="T91" s="15">
        <f>+[1]モンスター計算!T94</f>
        <v>0.16</v>
      </c>
      <c r="U91" s="15">
        <f>+[1]モンスター計算!U94</f>
        <v>-0.14000000000000001</v>
      </c>
      <c r="V91" s="16">
        <f>+[1]モンスター計算!V94</f>
        <v>4.2</v>
      </c>
      <c r="W91" s="31">
        <v>15</v>
      </c>
      <c r="X91" s="28" t="s">
        <v>72</v>
      </c>
      <c r="Y91" s="34" t="s">
        <v>92</v>
      </c>
      <c r="Z91" s="16">
        <v>1.3</v>
      </c>
      <c r="AA91" s="31">
        <v>40</v>
      </c>
      <c r="AB91" s="31">
        <f t="shared" si="2"/>
        <v>88</v>
      </c>
      <c r="AC91" s="48">
        <f t="shared" si="3"/>
        <v>15</v>
      </c>
      <c r="AD91" s="28" t="s">
        <v>55</v>
      </c>
      <c r="AE91" s="15">
        <v>10</v>
      </c>
      <c r="AF91" s="15">
        <v>4</v>
      </c>
      <c r="AG91" s="16" t="b">
        <v>1</v>
      </c>
      <c r="AH91" s="31" t="s">
        <v>1002</v>
      </c>
      <c r="AI91" s="34" t="s">
        <v>1825</v>
      </c>
    </row>
    <row r="92" spans="1:35">
      <c r="A92" s="51" t="s">
        <v>607</v>
      </c>
      <c r="B92" s="11" t="s">
        <v>283</v>
      </c>
      <c r="C92" s="26" t="s">
        <v>45</v>
      </c>
      <c r="D92" s="11" t="s">
        <v>61</v>
      </c>
      <c r="E92" s="26">
        <f>+[1]モンスター計算!E95</f>
        <v>384</v>
      </c>
      <c r="F92" s="10">
        <f>+[1]モンスター計算!F95</f>
        <v>61</v>
      </c>
      <c r="G92" s="10">
        <f>+[1]モンスター計算!G95</f>
        <v>35</v>
      </c>
      <c r="H92" s="10">
        <f>+[1]モンスター計算!H95</f>
        <v>77</v>
      </c>
      <c r="I92" s="10">
        <f>+[1]モンスター計算!I95</f>
        <v>32</v>
      </c>
      <c r="J92" s="11">
        <f>+[1]モンスター計算!J95</f>
        <v>35</v>
      </c>
      <c r="K92" s="26">
        <f>+[1]モンスター計算!K95</f>
        <v>0.05</v>
      </c>
      <c r="L92" s="11">
        <f>+[1]モンスター計算!L95</f>
        <v>1.5</v>
      </c>
      <c r="M92" s="26">
        <f>+[1]モンスター計算!M95</f>
        <v>2</v>
      </c>
      <c r="N92" s="10">
        <f>+[1]モンスター計算!N95</f>
        <v>1.05</v>
      </c>
      <c r="O92" s="11">
        <f>+[1]モンスター計算!O95</f>
        <v>2.5</v>
      </c>
      <c r="P92" s="26">
        <f>+[1]モンスター計算!P95</f>
        <v>-0.1</v>
      </c>
      <c r="Q92" s="10">
        <f>+[1]モンスター計算!Q95</f>
        <v>0.2</v>
      </c>
      <c r="R92" s="10">
        <f>+[1]モンスター計算!R95</f>
        <v>0</v>
      </c>
      <c r="S92" s="10">
        <f>+[1]モンスター計算!S95</f>
        <v>0</v>
      </c>
      <c r="T92" s="10">
        <f>+[1]モンスター計算!T95</f>
        <v>0</v>
      </c>
      <c r="U92" s="10">
        <f>+[1]モンスター計算!U95</f>
        <v>0</v>
      </c>
      <c r="V92" s="11">
        <f>+[1]モンスター計算!V95</f>
        <v>4</v>
      </c>
      <c r="W92" s="29">
        <v>8</v>
      </c>
      <c r="X92" s="26" t="s">
        <v>109</v>
      </c>
      <c r="Y92" s="32" t="s">
        <v>87</v>
      </c>
      <c r="Z92" s="11">
        <v>1.2</v>
      </c>
      <c r="AA92" s="29">
        <v>5</v>
      </c>
      <c r="AB92" s="29">
        <f t="shared" si="2"/>
        <v>29</v>
      </c>
      <c r="AC92" s="46">
        <f t="shared" si="3"/>
        <v>16</v>
      </c>
      <c r="AD92" s="26" t="s">
        <v>51</v>
      </c>
      <c r="AE92" s="10">
        <v>7</v>
      </c>
      <c r="AF92" s="10">
        <v>3</v>
      </c>
      <c r="AG92" s="11" t="b">
        <v>1</v>
      </c>
      <c r="AH92" s="29" t="s">
        <v>1003</v>
      </c>
      <c r="AI92" s="32" t="s">
        <v>1825</v>
      </c>
    </row>
    <row r="93" spans="1:35">
      <c r="A93" s="52" t="s">
        <v>608</v>
      </c>
      <c r="B93" s="13" t="s">
        <v>284</v>
      </c>
      <c r="C93" s="27" t="s">
        <v>44</v>
      </c>
      <c r="D93" s="13" t="s">
        <v>61</v>
      </c>
      <c r="E93" s="27">
        <f>+[1]モンスター計算!E96</f>
        <v>309</v>
      </c>
      <c r="F93" s="5">
        <f>+[1]モンスター計算!F96</f>
        <v>58</v>
      </c>
      <c r="G93" s="5">
        <f>+[1]モンスター計算!G96</f>
        <v>21</v>
      </c>
      <c r="H93" s="5">
        <f>+[1]モンスター計算!H96</f>
        <v>72</v>
      </c>
      <c r="I93" s="5">
        <f>+[1]モンスター計算!I96</f>
        <v>24</v>
      </c>
      <c r="J93" s="13">
        <f>+[1]モンスター計算!J96</f>
        <v>28</v>
      </c>
      <c r="K93" s="27">
        <f>+[1]モンスター計算!K96</f>
        <v>0.05</v>
      </c>
      <c r="L93" s="13">
        <f>+[1]モンスター計算!L96</f>
        <v>1.4</v>
      </c>
      <c r="M93" s="27">
        <f>+[1]モンスター計算!M96</f>
        <v>3.35</v>
      </c>
      <c r="N93" s="5">
        <f>+[1]モンスター計算!N96</f>
        <v>1.55</v>
      </c>
      <c r="O93" s="13">
        <f>+[1]モンスター計算!O96</f>
        <v>2.2999999999999998</v>
      </c>
      <c r="P93" s="27">
        <f>+[1]モンスター計算!P96</f>
        <v>0.13</v>
      </c>
      <c r="Q93" s="5">
        <f>+[1]モンスター計算!Q96</f>
        <v>-0.17</v>
      </c>
      <c r="R93" s="5">
        <f>+[1]モンスター計算!R96</f>
        <v>-7.0000000000000007E-2</v>
      </c>
      <c r="S93" s="5">
        <f>+[1]モンスター計算!S96</f>
        <v>-7.0000000000000007E-2</v>
      </c>
      <c r="T93" s="5">
        <f>+[1]モンスター計算!T96</f>
        <v>-7.0000000000000007E-2</v>
      </c>
      <c r="U93" s="5">
        <f>+[1]モンスター計算!U96</f>
        <v>-7.0000000000000007E-2</v>
      </c>
      <c r="V93" s="13">
        <f>+[1]モンスター計算!V96</f>
        <v>4</v>
      </c>
      <c r="W93" s="30">
        <v>8</v>
      </c>
      <c r="X93" s="27" t="s">
        <v>64</v>
      </c>
      <c r="Y93" s="33" t="s">
        <v>88</v>
      </c>
      <c r="Z93" s="13">
        <v>1.2</v>
      </c>
      <c r="AA93" s="30">
        <v>7</v>
      </c>
      <c r="AB93" s="30">
        <f t="shared" si="2"/>
        <v>33</v>
      </c>
      <c r="AC93" s="47">
        <f t="shared" si="3"/>
        <v>16</v>
      </c>
      <c r="AD93" s="27" t="s">
        <v>49</v>
      </c>
      <c r="AE93" s="5">
        <v>7.5</v>
      </c>
      <c r="AF93" s="5">
        <v>3</v>
      </c>
      <c r="AG93" s="13" t="b">
        <v>1</v>
      </c>
      <c r="AH93" s="30" t="s">
        <v>1004</v>
      </c>
      <c r="AI93" s="33" t="s">
        <v>1825</v>
      </c>
    </row>
    <row r="94" spans="1:35">
      <c r="A94" s="52" t="s">
        <v>609</v>
      </c>
      <c r="B94" s="13" t="s">
        <v>285</v>
      </c>
      <c r="C94" s="27" t="s">
        <v>46</v>
      </c>
      <c r="D94" s="13" t="s">
        <v>61</v>
      </c>
      <c r="E94" s="27">
        <f>+[1]モンスター計算!E97</f>
        <v>305</v>
      </c>
      <c r="F94" s="5">
        <f>+[1]モンスター計算!F97</f>
        <v>72</v>
      </c>
      <c r="G94" s="5">
        <f>+[1]モンスター計算!G97</f>
        <v>23</v>
      </c>
      <c r="H94" s="5">
        <f>+[1]モンスター計算!H97</f>
        <v>93</v>
      </c>
      <c r="I94" s="5">
        <f>+[1]モンスター計算!I97</f>
        <v>26</v>
      </c>
      <c r="J94" s="13">
        <f>+[1]モンスター計算!J97</f>
        <v>28</v>
      </c>
      <c r="K94" s="27">
        <f>+[1]モンスター計算!K97</f>
        <v>0.26</v>
      </c>
      <c r="L94" s="13">
        <f>+[1]モンスター計算!L97</f>
        <v>1.95</v>
      </c>
      <c r="M94" s="27">
        <f>+[1]モンスター計算!M97</f>
        <v>2.75</v>
      </c>
      <c r="N94" s="5">
        <f>+[1]モンスター計算!N97</f>
        <v>0.95</v>
      </c>
      <c r="O94" s="13">
        <f>+[1]モンスター計算!O97</f>
        <v>2.8</v>
      </c>
      <c r="P94" s="27">
        <f>+[1]モンスター計算!P97</f>
        <v>-0.05</v>
      </c>
      <c r="Q94" s="5">
        <f>+[1]モンスター計算!Q97</f>
        <v>-0.05</v>
      </c>
      <c r="R94" s="5">
        <f>+[1]モンスター計算!R97</f>
        <v>0.15000000000000002</v>
      </c>
      <c r="S94" s="5">
        <f>+[1]モンスター計算!S97</f>
        <v>-0.15000000000000002</v>
      </c>
      <c r="T94" s="5">
        <f>+[1]モンスター計算!T97</f>
        <v>-0.05</v>
      </c>
      <c r="U94" s="5">
        <f>+[1]モンスター計算!U97</f>
        <v>-0.05</v>
      </c>
      <c r="V94" s="13">
        <f>+[1]モンスター計算!V97</f>
        <v>4.4000000000000004</v>
      </c>
      <c r="W94" s="30">
        <v>9</v>
      </c>
      <c r="X94" s="27" t="s">
        <v>66</v>
      </c>
      <c r="Y94" s="33" t="s">
        <v>89</v>
      </c>
      <c r="Z94" s="13">
        <v>1.22</v>
      </c>
      <c r="AA94" s="30">
        <v>10</v>
      </c>
      <c r="AB94" s="30">
        <f t="shared" si="2"/>
        <v>39</v>
      </c>
      <c r="AC94" s="47">
        <f t="shared" si="3"/>
        <v>16</v>
      </c>
      <c r="AD94" s="27" t="s">
        <v>53</v>
      </c>
      <c r="AE94" s="5">
        <v>8.5</v>
      </c>
      <c r="AF94" s="5">
        <v>3</v>
      </c>
      <c r="AG94" s="13" t="b">
        <v>1</v>
      </c>
      <c r="AH94" s="30" t="s">
        <v>1005</v>
      </c>
      <c r="AI94" s="33" t="s">
        <v>1825</v>
      </c>
    </row>
    <row r="95" spans="1:35">
      <c r="A95" s="52" t="s">
        <v>610</v>
      </c>
      <c r="B95" s="13" t="s">
        <v>286</v>
      </c>
      <c r="C95" s="27" t="s">
        <v>44</v>
      </c>
      <c r="D95" s="13" t="s">
        <v>59</v>
      </c>
      <c r="E95" s="27">
        <f>+[1]モンスター計算!E98</f>
        <v>334</v>
      </c>
      <c r="F95" s="5">
        <f>+[1]モンスター計算!F98</f>
        <v>28</v>
      </c>
      <c r="G95" s="5">
        <f>+[1]モンスター計算!G98</f>
        <v>80</v>
      </c>
      <c r="H95" s="5">
        <f>+[1]モンスター計算!H98</f>
        <v>25</v>
      </c>
      <c r="I95" s="5">
        <f>+[1]モンスター計算!I98</f>
        <v>26</v>
      </c>
      <c r="J95" s="13">
        <f>+[1]モンスター計算!J98</f>
        <v>28</v>
      </c>
      <c r="K95" s="27">
        <f>+[1]モンスター計算!K98</f>
        <v>6.5000000000000002E-2</v>
      </c>
      <c r="L95" s="13">
        <f>+[1]モンスター計算!L98</f>
        <v>1.46</v>
      </c>
      <c r="M95" s="27">
        <f>+[1]モンスター計算!M98</f>
        <v>3.88</v>
      </c>
      <c r="N95" s="5">
        <f>+[1]モンスター計算!N98</f>
        <v>1.29</v>
      </c>
      <c r="O95" s="13">
        <f>+[1]モンスター計算!O98</f>
        <v>1</v>
      </c>
      <c r="P95" s="27">
        <f>+[1]モンスター計算!P98</f>
        <v>0.16</v>
      </c>
      <c r="Q95" s="5">
        <f>+[1]モンスター計算!Q98</f>
        <v>-0.14000000000000001</v>
      </c>
      <c r="R95" s="5">
        <f>+[1]モンスター計算!R98</f>
        <v>-0.04</v>
      </c>
      <c r="S95" s="5">
        <f>+[1]モンスター計算!S98</f>
        <v>-0.04</v>
      </c>
      <c r="T95" s="5">
        <f>+[1]モンスター計算!T98</f>
        <v>-0.04</v>
      </c>
      <c r="U95" s="5">
        <f>+[1]モンスター計算!U98</f>
        <v>-0.04</v>
      </c>
      <c r="V95" s="13">
        <f>+[1]モンスター計算!V98</f>
        <v>9.1999999999999993</v>
      </c>
      <c r="W95" s="30">
        <v>10</v>
      </c>
      <c r="X95" s="27" t="s">
        <v>68</v>
      </c>
      <c r="Y95" s="33" t="s">
        <v>90</v>
      </c>
      <c r="Z95" s="13">
        <v>1.25</v>
      </c>
      <c r="AA95" s="30">
        <v>15</v>
      </c>
      <c r="AB95" s="30">
        <f t="shared" si="2"/>
        <v>53</v>
      </c>
      <c r="AC95" s="47">
        <f t="shared" si="3"/>
        <v>16</v>
      </c>
      <c r="AD95" s="27" t="s">
        <v>74</v>
      </c>
      <c r="AE95" s="5">
        <v>0</v>
      </c>
      <c r="AF95" s="5">
        <v>0</v>
      </c>
      <c r="AG95" s="13" t="b">
        <v>0</v>
      </c>
      <c r="AH95" s="30" t="s">
        <v>1006</v>
      </c>
      <c r="AI95" s="33" t="s">
        <v>1825</v>
      </c>
    </row>
    <row r="96" spans="1:35">
      <c r="A96" s="52" t="s">
        <v>611</v>
      </c>
      <c r="B96" s="13" t="s">
        <v>287</v>
      </c>
      <c r="C96" s="27" t="s">
        <v>45</v>
      </c>
      <c r="D96" s="13" t="s">
        <v>59</v>
      </c>
      <c r="E96" s="27">
        <f>+[1]モンスター計算!E99</f>
        <v>334</v>
      </c>
      <c r="F96" s="5">
        <f>+[1]モンスター計算!F99</f>
        <v>23</v>
      </c>
      <c r="G96" s="5">
        <f>+[1]モンスター計算!G99</f>
        <v>77</v>
      </c>
      <c r="H96" s="5">
        <f>+[1]モンスター計算!H99</f>
        <v>35</v>
      </c>
      <c r="I96" s="5">
        <f>+[1]モンスター計算!I99</f>
        <v>27</v>
      </c>
      <c r="J96" s="13">
        <f>+[1]モンスター計算!J99</f>
        <v>27</v>
      </c>
      <c r="K96" s="27">
        <f>+[1]モンスター計算!K99</f>
        <v>0.08</v>
      </c>
      <c r="L96" s="13">
        <f>+[1]モンスター計算!L99</f>
        <v>1.55</v>
      </c>
      <c r="M96" s="27">
        <f>+[1]モンスター計算!M99</f>
        <v>3.3</v>
      </c>
      <c r="N96" s="5">
        <f>+[1]モンスター計算!N99</f>
        <v>1.32</v>
      </c>
      <c r="O96" s="13">
        <f>+[1]モンスター計算!O99</f>
        <v>1</v>
      </c>
      <c r="P96" s="27">
        <f>+[1]モンスター計算!P99</f>
        <v>-0.14000000000000001</v>
      </c>
      <c r="Q96" s="5">
        <f>+[1]モンスター計算!Q99</f>
        <v>0.16</v>
      </c>
      <c r="R96" s="5">
        <f>+[1]モンスター計算!R99</f>
        <v>-0.04</v>
      </c>
      <c r="S96" s="5">
        <f>+[1]モンスター計算!S99</f>
        <v>-0.04</v>
      </c>
      <c r="T96" s="5">
        <f>+[1]モンスター計算!T99</f>
        <v>-0.04</v>
      </c>
      <c r="U96" s="5">
        <f>+[1]モンスター計算!U99</f>
        <v>-0.04</v>
      </c>
      <c r="V96" s="13">
        <f>+[1]モンスター計算!V99</f>
        <v>4.8</v>
      </c>
      <c r="W96" s="30">
        <v>11</v>
      </c>
      <c r="X96" s="27" t="s">
        <v>70</v>
      </c>
      <c r="Y96" s="33" t="s">
        <v>91</v>
      </c>
      <c r="Z96" s="13">
        <v>1.25</v>
      </c>
      <c r="AA96" s="30">
        <v>20</v>
      </c>
      <c r="AB96" s="30">
        <f t="shared" si="2"/>
        <v>62</v>
      </c>
      <c r="AC96" s="47">
        <f t="shared" si="3"/>
        <v>16</v>
      </c>
      <c r="AD96" s="27" t="s">
        <v>74</v>
      </c>
      <c r="AE96" s="5">
        <v>0</v>
      </c>
      <c r="AF96" s="5">
        <v>0</v>
      </c>
      <c r="AG96" s="13" t="b">
        <v>0</v>
      </c>
      <c r="AH96" s="30" t="s">
        <v>1007</v>
      </c>
      <c r="AI96" s="33" t="s">
        <v>1825</v>
      </c>
    </row>
    <row r="97" spans="1:35" ht="19.5" thickBot="1">
      <c r="A97" s="53" t="s">
        <v>612</v>
      </c>
      <c r="B97" s="16" t="s">
        <v>288</v>
      </c>
      <c r="C97" s="28" t="s">
        <v>47</v>
      </c>
      <c r="D97" s="16" t="s">
        <v>61</v>
      </c>
      <c r="E97" s="28">
        <f>+[1]モンスター計算!E100</f>
        <v>242</v>
      </c>
      <c r="F97" s="15">
        <f>+[1]モンスター計算!F100</f>
        <v>48</v>
      </c>
      <c r="G97" s="15">
        <f>+[1]モンスター計算!G100</f>
        <v>24</v>
      </c>
      <c r="H97" s="15">
        <f>+[1]モンスター計算!H100</f>
        <v>110</v>
      </c>
      <c r="I97" s="15">
        <f>+[1]モンスター計算!I100</f>
        <v>21</v>
      </c>
      <c r="J97" s="16">
        <f>+[1]モンスター計算!J100</f>
        <v>22</v>
      </c>
      <c r="K97" s="28">
        <f>+[1]モンスター計算!K100</f>
        <v>0.08</v>
      </c>
      <c r="L97" s="16">
        <f>+[1]モンスター計算!L100</f>
        <v>1.55</v>
      </c>
      <c r="M97" s="28">
        <f>+[1]モンスター計算!M100</f>
        <v>4.2</v>
      </c>
      <c r="N97" s="15">
        <f>+[1]モンスター計算!N100</f>
        <v>1.3</v>
      </c>
      <c r="O97" s="16">
        <f>+[1]モンスター計算!O100</f>
        <v>2.5</v>
      </c>
      <c r="P97" s="28">
        <f>+[1]モンスター計算!P100</f>
        <v>-0.09</v>
      </c>
      <c r="Q97" s="15">
        <f>+[1]モンスター計算!Q100</f>
        <v>-0.09</v>
      </c>
      <c r="R97" s="15">
        <f>+[1]モンスター計算!R100</f>
        <v>-0.09</v>
      </c>
      <c r="S97" s="15">
        <f>+[1]モンスター計算!S100</f>
        <v>-0.09</v>
      </c>
      <c r="T97" s="15">
        <f>+[1]モンスター計算!T100</f>
        <v>0.11000000000000001</v>
      </c>
      <c r="U97" s="15">
        <f>+[1]モンスター計算!U100</f>
        <v>-0.19</v>
      </c>
      <c r="V97" s="16">
        <f>+[1]モンスター計算!V100</f>
        <v>4.2</v>
      </c>
      <c r="W97" s="31">
        <v>15</v>
      </c>
      <c r="X97" s="28" t="s">
        <v>72</v>
      </c>
      <c r="Y97" s="34" t="s">
        <v>92</v>
      </c>
      <c r="Z97" s="16">
        <v>1.3</v>
      </c>
      <c r="AA97" s="31">
        <v>40</v>
      </c>
      <c r="AB97" s="31">
        <f t="shared" si="2"/>
        <v>93</v>
      </c>
      <c r="AC97" s="48">
        <f t="shared" si="3"/>
        <v>16</v>
      </c>
      <c r="AD97" s="28" t="s">
        <v>55</v>
      </c>
      <c r="AE97" s="15">
        <v>10</v>
      </c>
      <c r="AF97" s="15">
        <v>4</v>
      </c>
      <c r="AG97" s="16" t="b">
        <v>1</v>
      </c>
      <c r="AH97" s="31" t="s">
        <v>1008</v>
      </c>
      <c r="AI97" s="34" t="s">
        <v>1825</v>
      </c>
    </row>
    <row r="98" spans="1:35">
      <c r="A98" s="51" t="s">
        <v>613</v>
      </c>
      <c r="B98" s="11" t="s">
        <v>289</v>
      </c>
      <c r="C98" s="26" t="s">
        <v>45</v>
      </c>
      <c r="D98" s="11" t="s">
        <v>61</v>
      </c>
      <c r="E98" s="26">
        <f>+[1]モンスター計算!E101</f>
        <v>505</v>
      </c>
      <c r="F98" s="10">
        <f>+[1]モンスター計算!F101</f>
        <v>70</v>
      </c>
      <c r="G98" s="10">
        <f>+[1]モンスター計算!G101</f>
        <v>32</v>
      </c>
      <c r="H98" s="10">
        <f>+[1]モンスター計算!H101</f>
        <v>72</v>
      </c>
      <c r="I98" s="10">
        <f>+[1]モンスター計算!I101</f>
        <v>40</v>
      </c>
      <c r="J98" s="11">
        <f>+[1]モンスター計算!J101</f>
        <v>40</v>
      </c>
      <c r="K98" s="26">
        <f>+[1]モンスター計算!K101</f>
        <v>7.0000000000000007E-2</v>
      </c>
      <c r="L98" s="11">
        <f>+[1]モンスター計算!L101</f>
        <v>1.55</v>
      </c>
      <c r="M98" s="26">
        <f>+[1]モンスター計算!M101</f>
        <v>2.4</v>
      </c>
      <c r="N98" s="10">
        <f>+[1]モンスター計算!N101</f>
        <v>1</v>
      </c>
      <c r="O98" s="11">
        <f>+[1]モンスター計算!O101</f>
        <v>2.5</v>
      </c>
      <c r="P98" s="26">
        <f>+[1]モンスター計算!P101</f>
        <v>-0.08</v>
      </c>
      <c r="Q98" s="10">
        <f>+[1]モンスター計算!Q101</f>
        <v>0.22</v>
      </c>
      <c r="R98" s="10">
        <f>+[1]モンスター計算!R101</f>
        <v>0.02</v>
      </c>
      <c r="S98" s="10">
        <f>+[1]モンスター計算!S101</f>
        <v>0.02</v>
      </c>
      <c r="T98" s="10">
        <f>+[1]モンスター計算!T101</f>
        <v>0.02</v>
      </c>
      <c r="U98" s="10">
        <f>+[1]モンスター計算!U101</f>
        <v>0.02</v>
      </c>
      <c r="V98" s="11">
        <f>+[1]モンスター計算!V101</f>
        <v>4</v>
      </c>
      <c r="W98" s="29">
        <v>8</v>
      </c>
      <c r="X98" s="26" t="s">
        <v>109</v>
      </c>
      <c r="Y98" s="32" t="s">
        <v>87</v>
      </c>
      <c r="Z98" s="11">
        <v>1.2</v>
      </c>
      <c r="AA98" s="29">
        <v>5</v>
      </c>
      <c r="AB98" s="29">
        <f t="shared" si="2"/>
        <v>31</v>
      </c>
      <c r="AC98" s="46">
        <f t="shared" si="3"/>
        <v>17</v>
      </c>
      <c r="AD98" s="26" t="s">
        <v>51</v>
      </c>
      <c r="AE98" s="10">
        <v>7</v>
      </c>
      <c r="AF98" s="10">
        <v>3</v>
      </c>
      <c r="AG98" s="11" t="b">
        <v>1</v>
      </c>
      <c r="AH98" s="29" t="s">
        <v>1009</v>
      </c>
      <c r="AI98" s="32" t="s">
        <v>1825</v>
      </c>
    </row>
    <row r="99" spans="1:35">
      <c r="A99" s="52" t="s">
        <v>614</v>
      </c>
      <c r="B99" s="13" t="s">
        <v>290</v>
      </c>
      <c r="C99" s="27" t="s">
        <v>44</v>
      </c>
      <c r="D99" s="13" t="s">
        <v>61</v>
      </c>
      <c r="E99" s="27">
        <f>+[1]モンスター計算!E102</f>
        <v>588</v>
      </c>
      <c r="F99" s="5">
        <f>+[1]モンスター計算!F102</f>
        <v>64</v>
      </c>
      <c r="G99" s="5">
        <f>+[1]モンスター計算!G102</f>
        <v>17</v>
      </c>
      <c r="H99" s="5">
        <f>+[1]モンスター計算!H102</f>
        <v>44</v>
      </c>
      <c r="I99" s="5">
        <f>+[1]モンスター計算!I102</f>
        <v>45</v>
      </c>
      <c r="J99" s="13">
        <f>+[1]モンスター計算!J102</f>
        <v>41</v>
      </c>
      <c r="K99" s="27">
        <f>+[1]モンスター計算!K102</f>
        <v>7.0000000000000007E-2</v>
      </c>
      <c r="L99" s="13">
        <f>+[1]モンスター計算!L102</f>
        <v>1.5</v>
      </c>
      <c r="M99" s="27">
        <f>+[1]モンスター計算!M102</f>
        <v>2.8</v>
      </c>
      <c r="N99" s="5">
        <f>+[1]モンスター計算!N102</f>
        <v>1.45</v>
      </c>
      <c r="O99" s="13">
        <f>+[1]モンスター計算!O102</f>
        <v>1.55</v>
      </c>
      <c r="P99" s="27">
        <f>+[1]モンスター計算!P102</f>
        <v>0.23</v>
      </c>
      <c r="Q99" s="5">
        <f>+[1]モンスター計算!Q102</f>
        <v>-7.0000000000000007E-2</v>
      </c>
      <c r="R99" s="5">
        <f>+[1]モンスター計算!R102</f>
        <v>0.03</v>
      </c>
      <c r="S99" s="5">
        <f>+[1]モンスター計算!S102</f>
        <v>0.03</v>
      </c>
      <c r="T99" s="5">
        <f>+[1]モンスター計算!T102</f>
        <v>0.03</v>
      </c>
      <c r="U99" s="5">
        <f>+[1]モンスター計算!U102</f>
        <v>0.03</v>
      </c>
      <c r="V99" s="13">
        <f>+[1]モンスター計算!V102</f>
        <v>3.6</v>
      </c>
      <c r="W99" s="30">
        <v>8</v>
      </c>
      <c r="X99" s="27" t="s">
        <v>64</v>
      </c>
      <c r="Y99" s="33" t="s">
        <v>88</v>
      </c>
      <c r="Z99" s="13">
        <v>1.2</v>
      </c>
      <c r="AA99" s="30">
        <v>7</v>
      </c>
      <c r="AB99" s="30">
        <f t="shared" si="2"/>
        <v>35</v>
      </c>
      <c r="AC99" s="47">
        <f t="shared" si="3"/>
        <v>17</v>
      </c>
      <c r="AD99" s="27" t="s">
        <v>49</v>
      </c>
      <c r="AE99" s="5">
        <v>7.5</v>
      </c>
      <c r="AF99" s="5">
        <v>3</v>
      </c>
      <c r="AG99" s="13" t="b">
        <v>1</v>
      </c>
      <c r="AH99" s="30" t="s">
        <v>1010</v>
      </c>
      <c r="AI99" s="33" t="s">
        <v>1825</v>
      </c>
    </row>
    <row r="100" spans="1:35">
      <c r="A100" s="52" t="s">
        <v>615</v>
      </c>
      <c r="B100" s="13" t="s">
        <v>291</v>
      </c>
      <c r="C100" s="27" t="s">
        <v>46</v>
      </c>
      <c r="D100" s="13" t="s">
        <v>61</v>
      </c>
      <c r="E100" s="27">
        <f>+[1]モンスター計算!E103</f>
        <v>409</v>
      </c>
      <c r="F100" s="5">
        <f>+[1]モンスター計算!F103</f>
        <v>64</v>
      </c>
      <c r="G100" s="5">
        <f>+[1]モンスター計算!G103</f>
        <v>21</v>
      </c>
      <c r="H100" s="5">
        <f>+[1]モンスター計算!H103</f>
        <v>79</v>
      </c>
      <c r="I100" s="5">
        <f>+[1]モンスター計算!I103</f>
        <v>34</v>
      </c>
      <c r="J100" s="13">
        <f>+[1]モンスター計算!J103</f>
        <v>33</v>
      </c>
      <c r="K100" s="27">
        <f>+[1]モンスター計算!K103</f>
        <v>7.4999999999999997E-2</v>
      </c>
      <c r="L100" s="13">
        <f>+[1]モンスター計算!L103</f>
        <v>1.5</v>
      </c>
      <c r="M100" s="27">
        <f>+[1]モンスター計算!M103</f>
        <v>3.1</v>
      </c>
      <c r="N100" s="5">
        <f>+[1]モンスター計算!N103</f>
        <v>1.1499999999999999</v>
      </c>
      <c r="O100" s="13">
        <f>+[1]モンスター計算!O103</f>
        <v>3.0750000000000002</v>
      </c>
      <c r="P100" s="27">
        <f>+[1]モンスター計算!P103</f>
        <v>-0.01</v>
      </c>
      <c r="Q100" s="5">
        <f>+[1]モンスター計算!Q103</f>
        <v>-0.01</v>
      </c>
      <c r="R100" s="5">
        <f>+[1]モンスター計算!R103</f>
        <v>0.19</v>
      </c>
      <c r="S100" s="5">
        <f>+[1]モンスター計算!S103</f>
        <v>-0.11</v>
      </c>
      <c r="T100" s="5">
        <f>+[1]モンスター計算!T103</f>
        <v>-0.01</v>
      </c>
      <c r="U100" s="5">
        <f>+[1]モンスター計算!U103</f>
        <v>-0.01</v>
      </c>
      <c r="V100" s="13">
        <f>+[1]モンスター計算!V103</f>
        <v>8.6</v>
      </c>
      <c r="W100" s="30">
        <v>9</v>
      </c>
      <c r="X100" s="27" t="s">
        <v>66</v>
      </c>
      <c r="Y100" s="33" t="s">
        <v>89</v>
      </c>
      <c r="Z100" s="13">
        <v>1.22</v>
      </c>
      <c r="AA100" s="30">
        <v>10</v>
      </c>
      <c r="AB100" s="30">
        <f t="shared" si="2"/>
        <v>41</v>
      </c>
      <c r="AC100" s="47">
        <f t="shared" si="3"/>
        <v>17</v>
      </c>
      <c r="AD100" s="27" t="s">
        <v>53</v>
      </c>
      <c r="AE100" s="5">
        <v>8.5</v>
      </c>
      <c r="AF100" s="5">
        <v>3</v>
      </c>
      <c r="AG100" s="13" t="b">
        <v>1</v>
      </c>
      <c r="AH100" s="30" t="s">
        <v>1011</v>
      </c>
      <c r="AI100" s="33" t="s">
        <v>1825</v>
      </c>
    </row>
    <row r="101" spans="1:35">
      <c r="A101" s="52" t="s">
        <v>616</v>
      </c>
      <c r="B101" s="13" t="s">
        <v>292</v>
      </c>
      <c r="C101" s="27" t="s">
        <v>44</v>
      </c>
      <c r="D101" s="13" t="s">
        <v>59</v>
      </c>
      <c r="E101" s="27">
        <f>+[1]モンスター計算!E104</f>
        <v>414</v>
      </c>
      <c r="F101" s="5">
        <f>+[1]モンスター計算!F104</f>
        <v>24</v>
      </c>
      <c r="G101" s="5">
        <f>+[1]モンスター計算!G104</f>
        <v>79</v>
      </c>
      <c r="H101" s="5">
        <f>+[1]モンスター計算!H104</f>
        <v>36</v>
      </c>
      <c r="I101" s="5">
        <f>+[1]モンスター計算!I104</f>
        <v>33</v>
      </c>
      <c r="J101" s="13">
        <f>+[1]モンスター計算!J104</f>
        <v>33</v>
      </c>
      <c r="K101" s="27">
        <f>+[1]モンスター計算!K104</f>
        <v>0.11</v>
      </c>
      <c r="L101" s="13">
        <f>+[1]モンスター計算!L104</f>
        <v>1.75</v>
      </c>
      <c r="M101" s="27">
        <f>+[1]モンスター計算!M104</f>
        <v>3</v>
      </c>
      <c r="N101" s="5">
        <f>+[1]モンスター計算!N104</f>
        <v>1.18</v>
      </c>
      <c r="O101" s="13">
        <f>+[1]モンスター計算!O104</f>
        <v>1</v>
      </c>
      <c r="P101" s="27">
        <f>+[1]モンスター計算!P104</f>
        <v>0.17</v>
      </c>
      <c r="Q101" s="5">
        <f>+[1]モンスター計算!Q104</f>
        <v>-0.13</v>
      </c>
      <c r="R101" s="5">
        <f>+[1]モンスター計算!R104</f>
        <v>-0.03</v>
      </c>
      <c r="S101" s="5">
        <f>+[1]モンスター計算!S104</f>
        <v>-0.03</v>
      </c>
      <c r="T101" s="5">
        <f>+[1]モンスター計算!T104</f>
        <v>-0.03</v>
      </c>
      <c r="U101" s="5">
        <f>+[1]モンスター計算!U104</f>
        <v>-0.03</v>
      </c>
      <c r="V101" s="13">
        <f>+[1]モンスター計算!V104</f>
        <v>4.2</v>
      </c>
      <c r="W101" s="30">
        <v>10</v>
      </c>
      <c r="X101" s="27" t="s">
        <v>68</v>
      </c>
      <c r="Y101" s="33" t="s">
        <v>90</v>
      </c>
      <c r="Z101" s="13">
        <v>1.25</v>
      </c>
      <c r="AA101" s="30">
        <v>15</v>
      </c>
      <c r="AB101" s="30">
        <f t="shared" si="2"/>
        <v>56</v>
      </c>
      <c r="AC101" s="47">
        <f t="shared" si="3"/>
        <v>17</v>
      </c>
      <c r="AD101" s="27" t="s">
        <v>74</v>
      </c>
      <c r="AE101" s="5">
        <v>0</v>
      </c>
      <c r="AF101" s="5">
        <v>0</v>
      </c>
      <c r="AG101" s="13" t="b">
        <v>0</v>
      </c>
      <c r="AH101" s="30" t="s">
        <v>1012</v>
      </c>
      <c r="AI101" s="33" t="s">
        <v>1825</v>
      </c>
    </row>
    <row r="102" spans="1:35">
      <c r="A102" s="52" t="s">
        <v>617</v>
      </c>
      <c r="B102" s="13" t="s">
        <v>293</v>
      </c>
      <c r="C102" s="27" t="s">
        <v>45</v>
      </c>
      <c r="D102" s="13" t="s">
        <v>59</v>
      </c>
      <c r="E102" s="27">
        <f>+[1]モンスター計算!E105</f>
        <v>322</v>
      </c>
      <c r="F102" s="5">
        <f>+[1]モンスター計算!F105</f>
        <v>25</v>
      </c>
      <c r="G102" s="5">
        <f>+[1]モンスター計算!G105</f>
        <v>98</v>
      </c>
      <c r="H102" s="5">
        <f>+[1]モンスター計算!H105</f>
        <v>33</v>
      </c>
      <c r="I102" s="5">
        <f>+[1]モンスター計算!I105</f>
        <v>28</v>
      </c>
      <c r="J102" s="13">
        <f>+[1]モンスター計算!J105</f>
        <v>29</v>
      </c>
      <c r="K102" s="27">
        <f>+[1]モンスター計算!K105</f>
        <v>0.11</v>
      </c>
      <c r="L102" s="13">
        <f>+[1]モンスター計算!L105</f>
        <v>1.58</v>
      </c>
      <c r="M102" s="27">
        <f>+[1]モンスター計算!M105</f>
        <v>4.45</v>
      </c>
      <c r="N102" s="5">
        <f>+[1]モンスター計算!N105</f>
        <v>1.3</v>
      </c>
      <c r="O102" s="13">
        <f>+[1]モンスター計算!O105</f>
        <v>1</v>
      </c>
      <c r="P102" s="27">
        <f>+[1]モンスター計算!P105</f>
        <v>-0.16</v>
      </c>
      <c r="Q102" s="5">
        <f>+[1]モンスター計算!Q105</f>
        <v>0.14000000000000001</v>
      </c>
      <c r="R102" s="5">
        <f>+[1]モンスター計算!R105</f>
        <v>-0.06</v>
      </c>
      <c r="S102" s="5">
        <f>+[1]モンスター計算!S105</f>
        <v>-0.06</v>
      </c>
      <c r="T102" s="5">
        <f>+[1]モンスター計算!T105</f>
        <v>-0.06</v>
      </c>
      <c r="U102" s="5">
        <f>+[1]モンスター計算!U105</f>
        <v>-0.06</v>
      </c>
      <c r="V102" s="13">
        <f>+[1]モンスター計算!V105</f>
        <v>5.6</v>
      </c>
      <c r="W102" s="30">
        <v>11</v>
      </c>
      <c r="X102" s="27" t="s">
        <v>70</v>
      </c>
      <c r="Y102" s="33" t="s">
        <v>91</v>
      </c>
      <c r="Z102" s="13">
        <v>1.25</v>
      </c>
      <c r="AA102" s="30">
        <v>20</v>
      </c>
      <c r="AB102" s="30">
        <f t="shared" si="2"/>
        <v>66</v>
      </c>
      <c r="AC102" s="47">
        <f t="shared" si="3"/>
        <v>17</v>
      </c>
      <c r="AD102" s="27" t="s">
        <v>74</v>
      </c>
      <c r="AE102" s="5">
        <v>0</v>
      </c>
      <c r="AF102" s="5">
        <v>0</v>
      </c>
      <c r="AG102" s="13" t="b">
        <v>0</v>
      </c>
      <c r="AH102" s="30" t="s">
        <v>1013</v>
      </c>
      <c r="AI102" s="33" t="s">
        <v>1825</v>
      </c>
    </row>
    <row r="103" spans="1:35" ht="19.5" thickBot="1">
      <c r="A103" s="53" t="s">
        <v>618</v>
      </c>
      <c r="B103" s="16" t="s">
        <v>294</v>
      </c>
      <c r="C103" s="28" t="s">
        <v>47</v>
      </c>
      <c r="D103" s="16" t="s">
        <v>61</v>
      </c>
      <c r="E103" s="28">
        <f>+[1]モンスター計算!E106</f>
        <v>487</v>
      </c>
      <c r="F103" s="15">
        <f>+[1]モンスター計算!F106</f>
        <v>117</v>
      </c>
      <c r="G103" s="15">
        <f>+[1]モンスター計算!G106</f>
        <v>24</v>
      </c>
      <c r="H103" s="15">
        <f>+[1]モンスター計算!H106</f>
        <v>81</v>
      </c>
      <c r="I103" s="15">
        <f>+[1]モンスター計算!I106</f>
        <v>28</v>
      </c>
      <c r="J103" s="16">
        <f>+[1]モンスター計算!J106</f>
        <v>75</v>
      </c>
      <c r="K103" s="28">
        <f>+[1]モンスター計算!K106</f>
        <v>4.4999999999999998E-2</v>
      </c>
      <c r="L103" s="16">
        <f>+[1]モンスター計算!L106</f>
        <v>1.45</v>
      </c>
      <c r="M103" s="28">
        <f>+[1]モンスター計算!M106</f>
        <v>1.9</v>
      </c>
      <c r="N103" s="15">
        <f>+[1]モンスター計算!N106</f>
        <v>0.84</v>
      </c>
      <c r="O103" s="16">
        <f>+[1]モンスター計算!O106</f>
        <v>2.65</v>
      </c>
      <c r="P103" s="28">
        <f>+[1]モンスター計算!P106</f>
        <v>0.09</v>
      </c>
      <c r="Q103" s="15">
        <f>+[1]モンスター計算!Q106</f>
        <v>0.09</v>
      </c>
      <c r="R103" s="15">
        <f>+[1]モンスター計算!R106</f>
        <v>0.09</v>
      </c>
      <c r="S103" s="15">
        <f>+[1]モンスター計算!S106</f>
        <v>0.09</v>
      </c>
      <c r="T103" s="15">
        <f>+[1]モンスター計算!T106</f>
        <v>0.29000000000000004</v>
      </c>
      <c r="U103" s="15">
        <f>+[1]モンスター計算!U106</f>
        <v>-1.0000000000000009E-2</v>
      </c>
      <c r="V103" s="16">
        <f>+[1]モンスター計算!V106</f>
        <v>4.4000000000000004</v>
      </c>
      <c r="W103" s="31">
        <v>15</v>
      </c>
      <c r="X103" s="28" t="s">
        <v>72</v>
      </c>
      <c r="Y103" s="34" t="s">
        <v>92</v>
      </c>
      <c r="Z103" s="16">
        <v>1.3</v>
      </c>
      <c r="AA103" s="31">
        <v>40</v>
      </c>
      <c r="AB103" s="31">
        <f t="shared" si="2"/>
        <v>98</v>
      </c>
      <c r="AC103" s="48">
        <f t="shared" si="3"/>
        <v>17</v>
      </c>
      <c r="AD103" s="28" t="s">
        <v>55</v>
      </c>
      <c r="AE103" s="15">
        <v>10</v>
      </c>
      <c r="AF103" s="15">
        <v>4</v>
      </c>
      <c r="AG103" s="16" t="b">
        <v>1</v>
      </c>
      <c r="AH103" s="31" t="s">
        <v>1014</v>
      </c>
      <c r="AI103" s="34" t="s">
        <v>1825</v>
      </c>
    </row>
    <row r="104" spans="1:35">
      <c r="A104" s="51" t="s">
        <v>619</v>
      </c>
      <c r="B104" s="11" t="s">
        <v>295</v>
      </c>
      <c r="C104" s="26" t="s">
        <v>45</v>
      </c>
      <c r="D104" s="11" t="s">
        <v>61</v>
      </c>
      <c r="E104" s="26">
        <f>+[1]モンスター計算!E107</f>
        <v>485</v>
      </c>
      <c r="F104" s="10">
        <f>+[1]モンスター計算!F107</f>
        <v>81</v>
      </c>
      <c r="G104" s="10">
        <f>+[1]モンスター計算!G107</f>
        <v>27</v>
      </c>
      <c r="H104" s="10">
        <f>+[1]モンスター計算!H107</f>
        <v>96</v>
      </c>
      <c r="I104" s="10">
        <f>+[1]モンスター計算!I107</f>
        <v>33</v>
      </c>
      <c r="J104" s="11">
        <f>+[1]モンスター計算!J107</f>
        <v>37</v>
      </c>
      <c r="K104" s="26">
        <f>+[1]モンスター計算!K107</f>
        <v>0.06</v>
      </c>
      <c r="L104" s="11">
        <f>+[1]モンスター計算!L107</f>
        <v>1.6</v>
      </c>
      <c r="M104" s="26">
        <f>+[1]モンスター計算!M107</f>
        <v>2.25</v>
      </c>
      <c r="N104" s="10">
        <f>+[1]モンスター計算!N107</f>
        <v>0.91</v>
      </c>
      <c r="O104" s="11">
        <f>+[1]モンスター計算!O107</f>
        <v>4.75</v>
      </c>
      <c r="P104" s="26">
        <f>+[1]モンスター計算!P107</f>
        <v>-0.12000000000000001</v>
      </c>
      <c r="Q104" s="10">
        <f>+[1]モンスター計算!Q107</f>
        <v>0.18000000000000002</v>
      </c>
      <c r="R104" s="10">
        <f>+[1]モンスター計算!R107</f>
        <v>-0.02</v>
      </c>
      <c r="S104" s="10">
        <f>+[1]モンスター計算!S107</f>
        <v>-0.02</v>
      </c>
      <c r="T104" s="10">
        <f>+[1]モンスター計算!T107</f>
        <v>-0.02</v>
      </c>
      <c r="U104" s="10">
        <f>+[1]モンスター計算!U107</f>
        <v>-0.02</v>
      </c>
      <c r="V104" s="11">
        <f>+[1]モンスター計算!V107</f>
        <v>6.6</v>
      </c>
      <c r="W104" s="29">
        <v>8</v>
      </c>
      <c r="X104" s="26" t="s">
        <v>109</v>
      </c>
      <c r="Y104" s="32" t="s">
        <v>87</v>
      </c>
      <c r="Z104" s="11">
        <v>1.2</v>
      </c>
      <c r="AA104" s="29">
        <v>5</v>
      </c>
      <c r="AB104" s="29">
        <f t="shared" si="2"/>
        <v>33</v>
      </c>
      <c r="AC104" s="46">
        <f t="shared" si="3"/>
        <v>18</v>
      </c>
      <c r="AD104" s="26" t="s">
        <v>51</v>
      </c>
      <c r="AE104" s="10">
        <v>7</v>
      </c>
      <c r="AF104" s="10">
        <v>3</v>
      </c>
      <c r="AG104" s="11" t="b">
        <v>1</v>
      </c>
      <c r="AH104" s="29" t="s">
        <v>1015</v>
      </c>
      <c r="AI104" s="32" t="s">
        <v>1825</v>
      </c>
    </row>
    <row r="105" spans="1:35">
      <c r="A105" s="52" t="s">
        <v>620</v>
      </c>
      <c r="B105" s="13" t="s">
        <v>296</v>
      </c>
      <c r="C105" s="27" t="s">
        <v>44</v>
      </c>
      <c r="D105" s="13" t="s">
        <v>61</v>
      </c>
      <c r="E105" s="27">
        <f>+[1]モンスター計算!E108</f>
        <v>521</v>
      </c>
      <c r="F105" s="5">
        <f>+[1]モンスター計算!F108</f>
        <v>195</v>
      </c>
      <c r="G105" s="5">
        <f>+[1]モンスター計算!G108</f>
        <v>29</v>
      </c>
      <c r="H105" s="5">
        <f>+[1]モンスター計算!H108</f>
        <v>93</v>
      </c>
      <c r="I105" s="5">
        <f>+[1]モンスター計算!I108</f>
        <v>39</v>
      </c>
      <c r="J105" s="13">
        <f>+[1]モンスター計算!J108</f>
        <v>48</v>
      </c>
      <c r="K105" s="27">
        <f>+[1]モンスター計算!K108</f>
        <v>6.5000000000000002E-2</v>
      </c>
      <c r="L105" s="13">
        <f>+[1]モンスター計算!L108</f>
        <v>1.45</v>
      </c>
      <c r="M105" s="27">
        <f>+[1]モンスター計算!M108</f>
        <v>2.1</v>
      </c>
      <c r="N105" s="5">
        <f>+[1]モンスター計算!N108</f>
        <v>0.9</v>
      </c>
      <c r="O105" s="13">
        <f>+[1]モンスター計算!O108</f>
        <v>2.8</v>
      </c>
      <c r="P105" s="27">
        <f>+[1]モンスター計算!P108</f>
        <v>0.22</v>
      </c>
      <c r="Q105" s="5">
        <f>+[1]モンスター計算!Q108</f>
        <v>-0.08</v>
      </c>
      <c r="R105" s="5">
        <f>+[1]モンスター計算!R108</f>
        <v>0.02</v>
      </c>
      <c r="S105" s="5">
        <f>+[1]モンスター計算!S108</f>
        <v>0.02</v>
      </c>
      <c r="T105" s="5">
        <f>+[1]モンスター計算!T108</f>
        <v>0.02</v>
      </c>
      <c r="U105" s="5">
        <f>+[1]モンスター計算!U108</f>
        <v>0.02</v>
      </c>
      <c r="V105" s="13">
        <f>+[1]モンスター計算!V108</f>
        <v>4.2</v>
      </c>
      <c r="W105" s="30">
        <v>8</v>
      </c>
      <c r="X105" s="27" t="s">
        <v>64</v>
      </c>
      <c r="Y105" s="33" t="s">
        <v>88</v>
      </c>
      <c r="Z105" s="13">
        <v>1.2</v>
      </c>
      <c r="AA105" s="30">
        <v>7</v>
      </c>
      <c r="AB105" s="30">
        <f t="shared" si="2"/>
        <v>37</v>
      </c>
      <c r="AC105" s="47">
        <f t="shared" si="3"/>
        <v>18</v>
      </c>
      <c r="AD105" s="27" t="s">
        <v>49</v>
      </c>
      <c r="AE105" s="5">
        <v>7.5</v>
      </c>
      <c r="AF105" s="5">
        <v>3</v>
      </c>
      <c r="AG105" s="13" t="b">
        <v>1</v>
      </c>
      <c r="AH105" s="30" t="s">
        <v>1016</v>
      </c>
      <c r="AI105" s="33" t="s">
        <v>1825</v>
      </c>
    </row>
    <row r="106" spans="1:35">
      <c r="A106" s="52" t="s">
        <v>621</v>
      </c>
      <c r="B106" s="13" t="s">
        <v>297</v>
      </c>
      <c r="C106" s="27" t="s">
        <v>46</v>
      </c>
      <c r="D106" s="13" t="s">
        <v>61</v>
      </c>
      <c r="E106" s="27">
        <f>+[1]モンスター計算!E109</f>
        <v>505</v>
      </c>
      <c r="F106" s="5">
        <f>+[1]モンスター計算!F109</f>
        <v>81</v>
      </c>
      <c r="G106" s="5">
        <f>+[1]モンスター計算!G109</f>
        <v>36</v>
      </c>
      <c r="H106" s="5">
        <f>+[1]モンスター計算!H109</f>
        <v>81</v>
      </c>
      <c r="I106" s="5">
        <f>+[1]モンスター計算!I109</f>
        <v>38</v>
      </c>
      <c r="J106" s="13">
        <f>+[1]モンスター計算!J109</f>
        <v>44</v>
      </c>
      <c r="K106" s="27">
        <f>+[1]モンスター計算!K109</f>
        <v>7.0000000000000007E-2</v>
      </c>
      <c r="L106" s="13">
        <f>+[1]モンスター計算!L109</f>
        <v>1.55</v>
      </c>
      <c r="M106" s="27">
        <f>+[1]モンスター計算!M109</f>
        <v>2.2999999999999998</v>
      </c>
      <c r="N106" s="5">
        <f>+[1]モンスター計算!N109</f>
        <v>1.1000000000000001</v>
      </c>
      <c r="O106" s="13">
        <f>+[1]モンスター計算!O109</f>
        <v>2.7</v>
      </c>
      <c r="P106" s="27">
        <f>+[1]モンスター計算!P109</f>
        <v>-0.03</v>
      </c>
      <c r="Q106" s="5">
        <f>+[1]モンスター計算!Q109</f>
        <v>-0.03</v>
      </c>
      <c r="R106" s="5">
        <f>+[1]モンスター計算!R109</f>
        <v>0.17</v>
      </c>
      <c r="S106" s="5">
        <f>+[1]モンスター計算!S109</f>
        <v>-0.13</v>
      </c>
      <c r="T106" s="5">
        <f>+[1]モンスター計算!T109</f>
        <v>-0.03</v>
      </c>
      <c r="U106" s="5">
        <f>+[1]モンスター計算!U109</f>
        <v>-0.03</v>
      </c>
      <c r="V106" s="13">
        <f>+[1]モンスター計算!V109</f>
        <v>4</v>
      </c>
      <c r="W106" s="30">
        <v>9</v>
      </c>
      <c r="X106" s="27" t="s">
        <v>66</v>
      </c>
      <c r="Y106" s="33" t="s">
        <v>89</v>
      </c>
      <c r="Z106" s="13">
        <v>1.22</v>
      </c>
      <c r="AA106" s="30">
        <v>10</v>
      </c>
      <c r="AB106" s="30">
        <f t="shared" si="2"/>
        <v>44</v>
      </c>
      <c r="AC106" s="47">
        <f t="shared" si="3"/>
        <v>18</v>
      </c>
      <c r="AD106" s="27" t="s">
        <v>53</v>
      </c>
      <c r="AE106" s="5">
        <v>8.5</v>
      </c>
      <c r="AF106" s="5">
        <v>3</v>
      </c>
      <c r="AG106" s="13" t="b">
        <v>1</v>
      </c>
      <c r="AH106" s="30" t="s">
        <v>1017</v>
      </c>
      <c r="AI106" s="33" t="s">
        <v>1825</v>
      </c>
    </row>
    <row r="107" spans="1:35">
      <c r="A107" s="52" t="s">
        <v>622</v>
      </c>
      <c r="B107" s="13" t="s">
        <v>298</v>
      </c>
      <c r="C107" s="27" t="s">
        <v>44</v>
      </c>
      <c r="D107" s="13" t="s">
        <v>59</v>
      </c>
      <c r="E107" s="27">
        <f>+[1]モンスター計算!E110</f>
        <v>409</v>
      </c>
      <c r="F107" s="5">
        <f>+[1]モンスター計算!F110</f>
        <v>26</v>
      </c>
      <c r="G107" s="5">
        <f>+[1]モンスター計算!G110</f>
        <v>71</v>
      </c>
      <c r="H107" s="5">
        <f>+[1]モンスター計算!H110</f>
        <v>22</v>
      </c>
      <c r="I107" s="5">
        <f>+[1]モンスター計算!I110</f>
        <v>30</v>
      </c>
      <c r="J107" s="13">
        <f>+[1]モンスター計算!J110</f>
        <v>32</v>
      </c>
      <c r="K107" s="27">
        <f>+[1]モンスター計算!K110</f>
        <v>7.0000000000000007E-2</v>
      </c>
      <c r="L107" s="13">
        <f>+[1]モンスター計算!L110</f>
        <v>1.45</v>
      </c>
      <c r="M107" s="27">
        <f>+[1]モンスター計算!M110</f>
        <v>3.35</v>
      </c>
      <c r="N107" s="5">
        <f>+[1]モンスター計算!N110</f>
        <v>1.77</v>
      </c>
      <c r="O107" s="13">
        <f>+[1]モンスター計算!O110</f>
        <v>1</v>
      </c>
      <c r="P107" s="27">
        <f>+[1]モンスター計算!P110</f>
        <v>0.13500000000000001</v>
      </c>
      <c r="Q107" s="5">
        <f>+[1]モンスター計算!Q110</f>
        <v>-0.16500000000000001</v>
      </c>
      <c r="R107" s="5">
        <f>+[1]モンスター計算!R110</f>
        <v>-6.5000000000000002E-2</v>
      </c>
      <c r="S107" s="5">
        <f>+[1]モンスター計算!S110</f>
        <v>-6.5000000000000002E-2</v>
      </c>
      <c r="T107" s="5">
        <f>+[1]モンスター計算!T110</f>
        <v>-6.5000000000000002E-2</v>
      </c>
      <c r="U107" s="5">
        <f>+[1]モンスター計算!U110</f>
        <v>-6.5000000000000002E-2</v>
      </c>
      <c r="V107" s="13">
        <f>+[1]モンスター計算!V110</f>
        <v>5</v>
      </c>
      <c r="W107" s="30">
        <v>10</v>
      </c>
      <c r="X107" s="27" t="s">
        <v>68</v>
      </c>
      <c r="Y107" s="33" t="s">
        <v>90</v>
      </c>
      <c r="Z107" s="13">
        <v>1.25</v>
      </c>
      <c r="AA107" s="30">
        <v>15</v>
      </c>
      <c r="AB107" s="30">
        <f t="shared" si="2"/>
        <v>59</v>
      </c>
      <c r="AC107" s="47">
        <f t="shared" si="3"/>
        <v>18</v>
      </c>
      <c r="AD107" s="27" t="s">
        <v>74</v>
      </c>
      <c r="AE107" s="5">
        <v>0</v>
      </c>
      <c r="AF107" s="5">
        <v>0</v>
      </c>
      <c r="AG107" s="13" t="b">
        <v>0</v>
      </c>
      <c r="AH107" s="30" t="s">
        <v>1018</v>
      </c>
      <c r="AI107" s="33" t="s">
        <v>1825</v>
      </c>
    </row>
    <row r="108" spans="1:35">
      <c r="A108" s="52" t="s">
        <v>623</v>
      </c>
      <c r="B108" s="13" t="s">
        <v>299</v>
      </c>
      <c r="C108" s="27" t="s">
        <v>45</v>
      </c>
      <c r="D108" s="13" t="s">
        <v>59</v>
      </c>
      <c r="E108" s="27">
        <f>+[1]モンスター計算!E111</f>
        <v>293</v>
      </c>
      <c r="F108" s="5">
        <f>+[1]モンスター計算!F111</f>
        <v>16</v>
      </c>
      <c r="G108" s="5">
        <f>+[1]モンスター計算!G111</f>
        <v>167</v>
      </c>
      <c r="H108" s="5">
        <f>+[1]モンスター計算!H111</f>
        <v>38</v>
      </c>
      <c r="I108" s="5">
        <f>+[1]モンスター計算!I111</f>
        <v>22</v>
      </c>
      <c r="J108" s="13">
        <f>+[1]モンスター計算!J111</f>
        <v>23</v>
      </c>
      <c r="K108" s="27">
        <f>+[1]モンスター計算!K111</f>
        <v>0.08</v>
      </c>
      <c r="L108" s="13">
        <f>+[1]モンスター計算!L111</f>
        <v>1.95</v>
      </c>
      <c r="M108" s="27">
        <f>+[1]モンスター計算!M111</f>
        <v>2.85</v>
      </c>
      <c r="N108" s="5">
        <f>+[1]モンスター計算!N111</f>
        <v>1.0900000000000001</v>
      </c>
      <c r="O108" s="13">
        <f>+[1]モンスター計算!O111</f>
        <v>1</v>
      </c>
      <c r="P108" s="27">
        <f>+[1]モンスター計算!P111</f>
        <v>-0.21500000000000002</v>
      </c>
      <c r="Q108" s="5">
        <f>+[1]モンスター計算!Q111</f>
        <v>8.5000000000000006E-2</v>
      </c>
      <c r="R108" s="5">
        <f>+[1]モンスター計算!R111</f>
        <v>-0.115</v>
      </c>
      <c r="S108" s="5">
        <f>+[1]モンスター計算!S111</f>
        <v>-0.115</v>
      </c>
      <c r="T108" s="5">
        <f>+[1]モンスター計算!T111</f>
        <v>-0.115</v>
      </c>
      <c r="U108" s="5">
        <f>+[1]モンスター計算!U111</f>
        <v>-0.115</v>
      </c>
      <c r="V108" s="13">
        <f>+[1]モンスター計算!V111</f>
        <v>4.4000000000000004</v>
      </c>
      <c r="W108" s="30">
        <v>11</v>
      </c>
      <c r="X108" s="27" t="s">
        <v>70</v>
      </c>
      <c r="Y108" s="33" t="s">
        <v>91</v>
      </c>
      <c r="Z108" s="13">
        <v>1.25</v>
      </c>
      <c r="AA108" s="30">
        <v>20</v>
      </c>
      <c r="AB108" s="30">
        <f t="shared" si="2"/>
        <v>70</v>
      </c>
      <c r="AC108" s="47">
        <f t="shared" si="3"/>
        <v>18</v>
      </c>
      <c r="AD108" s="27" t="s">
        <v>74</v>
      </c>
      <c r="AE108" s="5">
        <v>0</v>
      </c>
      <c r="AF108" s="5">
        <v>0</v>
      </c>
      <c r="AG108" s="13" t="b">
        <v>0</v>
      </c>
      <c r="AH108" s="30" t="s">
        <v>1019</v>
      </c>
      <c r="AI108" s="33" t="s">
        <v>1825</v>
      </c>
    </row>
    <row r="109" spans="1:35" ht="19.5" thickBot="1">
      <c r="A109" s="53" t="s">
        <v>624</v>
      </c>
      <c r="B109" s="16" t="s">
        <v>300</v>
      </c>
      <c r="C109" s="28" t="s">
        <v>47</v>
      </c>
      <c r="D109" s="16" t="s">
        <v>61</v>
      </c>
      <c r="E109" s="28">
        <f>+[1]モンスター計算!E112</f>
        <v>708</v>
      </c>
      <c r="F109" s="15">
        <f>+[1]モンスター計算!F112</f>
        <v>162</v>
      </c>
      <c r="G109" s="15">
        <f>+[1]モンスター計算!G112</f>
        <v>27</v>
      </c>
      <c r="H109" s="15">
        <f>+[1]モンスター計算!H112</f>
        <v>72</v>
      </c>
      <c r="I109" s="15">
        <f>+[1]モンスター計算!I112</f>
        <v>38</v>
      </c>
      <c r="J109" s="16">
        <f>+[1]モンスター計算!J112</f>
        <v>68</v>
      </c>
      <c r="K109" s="28">
        <f>+[1]モンスター計算!K112</f>
        <v>0.115</v>
      </c>
      <c r="L109" s="16">
        <f>+[1]モンスター計算!L112</f>
        <v>1.95</v>
      </c>
      <c r="M109" s="28">
        <f>+[1]モンスター計算!M112</f>
        <v>1.2</v>
      </c>
      <c r="N109" s="15">
        <f>+[1]モンスター計算!N112</f>
        <v>0.72</v>
      </c>
      <c r="O109" s="16">
        <f>+[1]モンスター計算!O112</f>
        <v>3.3250000000000002</v>
      </c>
      <c r="P109" s="28">
        <f>+[1]モンスター計算!P112</f>
        <v>0.08</v>
      </c>
      <c r="Q109" s="15">
        <f>+[1]モンスター計算!Q112</f>
        <v>0.08</v>
      </c>
      <c r="R109" s="15">
        <f>+[1]モンスター計算!R112</f>
        <v>0.08</v>
      </c>
      <c r="S109" s="15">
        <f>+[1]モンスター計算!S112</f>
        <v>0.08</v>
      </c>
      <c r="T109" s="15">
        <f>+[1]モンスター計算!T112</f>
        <v>0.28000000000000003</v>
      </c>
      <c r="U109" s="15">
        <f>+[1]モンスター計算!U112</f>
        <v>-2.0000000000000004E-2</v>
      </c>
      <c r="V109" s="16">
        <f>+[1]モンスター計算!V112</f>
        <v>5</v>
      </c>
      <c r="W109" s="31">
        <v>15</v>
      </c>
      <c r="X109" s="28" t="s">
        <v>72</v>
      </c>
      <c r="Y109" s="34" t="s">
        <v>92</v>
      </c>
      <c r="Z109" s="16">
        <v>1.3</v>
      </c>
      <c r="AA109" s="31">
        <v>40</v>
      </c>
      <c r="AB109" s="31">
        <f t="shared" si="2"/>
        <v>103</v>
      </c>
      <c r="AC109" s="48">
        <f t="shared" si="3"/>
        <v>18</v>
      </c>
      <c r="AD109" s="28" t="s">
        <v>55</v>
      </c>
      <c r="AE109" s="15">
        <v>10</v>
      </c>
      <c r="AF109" s="15">
        <v>4</v>
      </c>
      <c r="AG109" s="16" t="b">
        <v>1</v>
      </c>
      <c r="AH109" s="31" t="s">
        <v>1020</v>
      </c>
      <c r="AI109" s="34" t="s">
        <v>1825</v>
      </c>
    </row>
    <row r="110" spans="1:35">
      <c r="A110" s="51" t="s">
        <v>625</v>
      </c>
      <c r="B110" s="11" t="s">
        <v>301</v>
      </c>
      <c r="C110" s="26" t="s">
        <v>45</v>
      </c>
      <c r="D110" s="11" t="s">
        <v>61</v>
      </c>
      <c r="E110" s="26">
        <f>+[1]モンスター計算!E113</f>
        <v>556</v>
      </c>
      <c r="F110" s="10">
        <f>+[1]モンスター計算!F113</f>
        <v>97</v>
      </c>
      <c r="G110" s="10">
        <f>+[1]モンスター計算!G113</f>
        <v>32</v>
      </c>
      <c r="H110" s="10">
        <f>+[1]モンスター計算!H113</f>
        <v>100</v>
      </c>
      <c r="I110" s="10">
        <f>+[1]モンスター計算!I113</f>
        <v>43</v>
      </c>
      <c r="J110" s="11">
        <f>+[1]モンスター計算!J113</f>
        <v>45</v>
      </c>
      <c r="K110" s="26">
        <f>+[1]モンスター計算!K113</f>
        <v>4.4999999999999998E-2</v>
      </c>
      <c r="L110" s="11">
        <f>+[1]モンスター計算!L113</f>
        <v>1.4</v>
      </c>
      <c r="M110" s="26">
        <f>+[1]モンスター計算!M113</f>
        <v>2.0499999999999998</v>
      </c>
      <c r="N110" s="10">
        <f>+[1]モンスター計算!N113</f>
        <v>0.92</v>
      </c>
      <c r="O110" s="11">
        <f>+[1]モンスター計算!O113</f>
        <v>2.6749999999999998</v>
      </c>
      <c r="P110" s="26">
        <f>+[1]モンスター計算!P113</f>
        <v>0.09</v>
      </c>
      <c r="Q110" s="10">
        <f>+[1]モンスター計算!Q113</f>
        <v>0.39</v>
      </c>
      <c r="R110" s="10">
        <f>+[1]モンスター計算!R113</f>
        <v>0.19</v>
      </c>
      <c r="S110" s="10">
        <f>+[1]モンスター計算!S113</f>
        <v>0.19</v>
      </c>
      <c r="T110" s="10">
        <f>+[1]モンスター計算!T113</f>
        <v>0.19</v>
      </c>
      <c r="U110" s="10">
        <f>+[1]モンスター計算!U113</f>
        <v>0.19</v>
      </c>
      <c r="V110" s="11">
        <f>+[1]モンスター計算!V113</f>
        <v>4</v>
      </c>
      <c r="W110" s="29">
        <v>8</v>
      </c>
      <c r="X110" s="26" t="s">
        <v>109</v>
      </c>
      <c r="Y110" s="32" t="s">
        <v>87</v>
      </c>
      <c r="Z110" s="11">
        <v>1.2</v>
      </c>
      <c r="AA110" s="29">
        <v>5</v>
      </c>
      <c r="AB110" s="29">
        <f t="shared" si="2"/>
        <v>35</v>
      </c>
      <c r="AC110" s="46">
        <f t="shared" si="3"/>
        <v>19</v>
      </c>
      <c r="AD110" s="26" t="s">
        <v>51</v>
      </c>
      <c r="AE110" s="10">
        <v>7</v>
      </c>
      <c r="AF110" s="10">
        <v>3</v>
      </c>
      <c r="AG110" s="11" t="b">
        <v>1</v>
      </c>
      <c r="AH110" s="29" t="s">
        <v>1021</v>
      </c>
      <c r="AI110" s="32" t="s">
        <v>1825</v>
      </c>
    </row>
    <row r="111" spans="1:35">
      <c r="A111" s="52" t="s">
        <v>626</v>
      </c>
      <c r="B111" s="13" t="s">
        <v>302</v>
      </c>
      <c r="C111" s="27" t="s">
        <v>44</v>
      </c>
      <c r="D111" s="13" t="s">
        <v>61</v>
      </c>
      <c r="E111" s="27">
        <f>+[1]モンスター計算!E114</f>
        <v>512</v>
      </c>
      <c r="F111" s="5">
        <f>+[1]モンスター計算!F114</f>
        <v>81</v>
      </c>
      <c r="G111" s="5">
        <f>+[1]モンスター計算!G114</f>
        <v>46</v>
      </c>
      <c r="H111" s="5">
        <f>+[1]モンスター計算!H114</f>
        <v>103</v>
      </c>
      <c r="I111" s="5">
        <f>+[1]モンスター計算!I114</f>
        <v>42</v>
      </c>
      <c r="J111" s="13">
        <f>+[1]モンスター計算!J114</f>
        <v>47</v>
      </c>
      <c r="K111" s="27">
        <f>+[1]モンスター計算!K114</f>
        <v>0.05</v>
      </c>
      <c r="L111" s="13">
        <f>+[1]モンスター計算!L114</f>
        <v>1.5</v>
      </c>
      <c r="M111" s="27">
        <f>+[1]モンスター計算!M114</f>
        <v>2</v>
      </c>
      <c r="N111" s="5">
        <f>+[1]モンスター計算!N114</f>
        <v>1.05</v>
      </c>
      <c r="O111" s="13">
        <f>+[1]モンスター計算!O114</f>
        <v>2.5</v>
      </c>
      <c r="P111" s="27">
        <f>+[1]モンスター計算!P114</f>
        <v>0.2</v>
      </c>
      <c r="Q111" s="5">
        <f>+[1]モンスター計算!Q114</f>
        <v>-0.1</v>
      </c>
      <c r="R111" s="5">
        <f>+[1]モンスター計算!R114</f>
        <v>0</v>
      </c>
      <c r="S111" s="5">
        <f>+[1]モンスター計算!S114</f>
        <v>0</v>
      </c>
      <c r="T111" s="5">
        <f>+[1]モンスター計算!T114</f>
        <v>0</v>
      </c>
      <c r="U111" s="5">
        <f>+[1]モンスター計算!U114</f>
        <v>0</v>
      </c>
      <c r="V111" s="13">
        <f>+[1]モンスター計算!V114</f>
        <v>4</v>
      </c>
      <c r="W111" s="30">
        <v>8</v>
      </c>
      <c r="X111" s="27" t="s">
        <v>64</v>
      </c>
      <c r="Y111" s="33" t="s">
        <v>88</v>
      </c>
      <c r="Z111" s="13">
        <v>1.2</v>
      </c>
      <c r="AA111" s="30">
        <v>7</v>
      </c>
      <c r="AB111" s="30">
        <f t="shared" si="2"/>
        <v>39</v>
      </c>
      <c r="AC111" s="47">
        <f t="shared" si="3"/>
        <v>19</v>
      </c>
      <c r="AD111" s="27" t="s">
        <v>49</v>
      </c>
      <c r="AE111" s="5">
        <v>7.5</v>
      </c>
      <c r="AF111" s="5">
        <v>3</v>
      </c>
      <c r="AG111" s="13" t="b">
        <v>1</v>
      </c>
      <c r="AH111" s="30" t="s">
        <v>1022</v>
      </c>
      <c r="AI111" s="33" t="s">
        <v>1825</v>
      </c>
    </row>
    <row r="112" spans="1:35">
      <c r="A112" s="52" t="s">
        <v>627</v>
      </c>
      <c r="B112" s="13" t="s">
        <v>303</v>
      </c>
      <c r="C112" s="27" t="s">
        <v>46</v>
      </c>
      <c r="D112" s="13" t="s">
        <v>61</v>
      </c>
      <c r="E112" s="27">
        <f>+[1]モンスター計算!E115</f>
        <v>411</v>
      </c>
      <c r="F112" s="5">
        <f>+[1]モンスター計算!F115</f>
        <v>77</v>
      </c>
      <c r="G112" s="5">
        <f>+[1]モンスター計算!G115</f>
        <v>28</v>
      </c>
      <c r="H112" s="5">
        <f>+[1]モンスター計算!H115</f>
        <v>96</v>
      </c>
      <c r="I112" s="5">
        <f>+[1]モンスター計算!I115</f>
        <v>32</v>
      </c>
      <c r="J112" s="13">
        <f>+[1]モンスター計算!J115</f>
        <v>37</v>
      </c>
      <c r="K112" s="27">
        <f>+[1]モンスター計算!K115</f>
        <v>0.05</v>
      </c>
      <c r="L112" s="13">
        <f>+[1]モンスター計算!L115</f>
        <v>1.4</v>
      </c>
      <c r="M112" s="27">
        <f>+[1]モンスター計算!M115</f>
        <v>3.35</v>
      </c>
      <c r="N112" s="5">
        <f>+[1]モンスター計算!N115</f>
        <v>1.55</v>
      </c>
      <c r="O112" s="13">
        <f>+[1]モンスター計算!O115</f>
        <v>2.2999999999999998</v>
      </c>
      <c r="P112" s="27">
        <f>+[1]モンスター計算!P115</f>
        <v>-7.0000000000000007E-2</v>
      </c>
      <c r="Q112" s="5">
        <f>+[1]モンスター計算!Q115</f>
        <v>-7.0000000000000007E-2</v>
      </c>
      <c r="R112" s="5">
        <f>+[1]モンスター計算!R115</f>
        <v>0.13</v>
      </c>
      <c r="S112" s="5">
        <f>+[1]モンスター計算!S115</f>
        <v>-0.17</v>
      </c>
      <c r="T112" s="5">
        <f>+[1]モンスター計算!T115</f>
        <v>-7.0000000000000007E-2</v>
      </c>
      <c r="U112" s="5">
        <f>+[1]モンスター計算!U115</f>
        <v>-7.0000000000000007E-2</v>
      </c>
      <c r="V112" s="13">
        <f>+[1]モンスター計算!V115</f>
        <v>4</v>
      </c>
      <c r="W112" s="30">
        <v>9</v>
      </c>
      <c r="X112" s="27" t="s">
        <v>66</v>
      </c>
      <c r="Y112" s="33" t="s">
        <v>89</v>
      </c>
      <c r="Z112" s="13">
        <v>1.22</v>
      </c>
      <c r="AA112" s="30">
        <v>10</v>
      </c>
      <c r="AB112" s="30">
        <f t="shared" si="2"/>
        <v>47</v>
      </c>
      <c r="AC112" s="47">
        <f t="shared" si="3"/>
        <v>19</v>
      </c>
      <c r="AD112" s="27" t="s">
        <v>53</v>
      </c>
      <c r="AE112" s="5">
        <v>8.5</v>
      </c>
      <c r="AF112" s="5">
        <v>3</v>
      </c>
      <c r="AG112" s="13" t="b">
        <v>1</v>
      </c>
      <c r="AH112" s="30" t="s">
        <v>1023</v>
      </c>
      <c r="AI112" s="33" t="s">
        <v>1825</v>
      </c>
    </row>
    <row r="113" spans="1:35">
      <c r="A113" s="52" t="s">
        <v>628</v>
      </c>
      <c r="B113" s="13" t="s">
        <v>304</v>
      </c>
      <c r="C113" s="27" t="s">
        <v>44</v>
      </c>
      <c r="D113" s="13" t="s">
        <v>59</v>
      </c>
      <c r="E113" s="27">
        <f>+[1]モンスター計算!E116</f>
        <v>367</v>
      </c>
      <c r="F113" s="5">
        <f>+[1]モンスター計算!F116</f>
        <v>22</v>
      </c>
      <c r="G113" s="5">
        <f>+[1]モンスター計算!G116</f>
        <v>98</v>
      </c>
      <c r="H113" s="5">
        <f>+[1]モンスター計算!H116</f>
        <v>24</v>
      </c>
      <c r="I113" s="5">
        <f>+[1]モンスター計算!I116</f>
        <v>31</v>
      </c>
      <c r="J113" s="13">
        <f>+[1]モンスター計算!J116</f>
        <v>32</v>
      </c>
      <c r="K113" s="27">
        <f>+[1]モンスター計算!K116</f>
        <v>0.21</v>
      </c>
      <c r="L113" s="13">
        <f>+[1]モンスター計算!L116</f>
        <v>1.78</v>
      </c>
      <c r="M113" s="27">
        <f>+[1]モンスター計算!M116</f>
        <v>4.05</v>
      </c>
      <c r="N113" s="5">
        <f>+[1]モンスター計算!N116</f>
        <v>1.56</v>
      </c>
      <c r="O113" s="13">
        <f>+[1]モンスター計算!O116</f>
        <v>1</v>
      </c>
      <c r="P113" s="27">
        <f>+[1]モンスター計算!P116</f>
        <v>0.12000000000000001</v>
      </c>
      <c r="Q113" s="5">
        <f>+[1]モンスター計算!Q116</f>
        <v>-0.18</v>
      </c>
      <c r="R113" s="5">
        <f>+[1]モンスター計算!R116</f>
        <v>-0.08</v>
      </c>
      <c r="S113" s="5">
        <f>+[1]モンスター計算!S116</f>
        <v>-0.08</v>
      </c>
      <c r="T113" s="5">
        <f>+[1]モンスター計算!T116</f>
        <v>-0.08</v>
      </c>
      <c r="U113" s="5">
        <f>+[1]モンスター計算!U116</f>
        <v>-0.08</v>
      </c>
      <c r="V113" s="13">
        <f>+[1]モンスター計算!V116</f>
        <v>5</v>
      </c>
      <c r="W113" s="30">
        <v>10</v>
      </c>
      <c r="X113" s="27" t="s">
        <v>68</v>
      </c>
      <c r="Y113" s="33" t="s">
        <v>90</v>
      </c>
      <c r="Z113" s="13">
        <v>1.25</v>
      </c>
      <c r="AA113" s="30">
        <v>15</v>
      </c>
      <c r="AB113" s="30">
        <f t="shared" si="2"/>
        <v>62</v>
      </c>
      <c r="AC113" s="47">
        <f t="shared" si="3"/>
        <v>19</v>
      </c>
      <c r="AD113" s="27" t="s">
        <v>74</v>
      </c>
      <c r="AE113" s="5">
        <v>0</v>
      </c>
      <c r="AF113" s="5">
        <v>0</v>
      </c>
      <c r="AG113" s="13" t="b">
        <v>0</v>
      </c>
      <c r="AH113" s="30" t="s">
        <v>1024</v>
      </c>
      <c r="AI113" s="33" t="s">
        <v>1825</v>
      </c>
    </row>
    <row r="114" spans="1:35">
      <c r="A114" s="52" t="s">
        <v>629</v>
      </c>
      <c r="B114" s="13" t="s">
        <v>305</v>
      </c>
      <c r="C114" s="27" t="s">
        <v>45</v>
      </c>
      <c r="D114" s="13" t="s">
        <v>59</v>
      </c>
      <c r="E114" s="27">
        <f>+[1]モンスター計算!E117</f>
        <v>445</v>
      </c>
      <c r="F114" s="5">
        <f>+[1]モンスター計算!F117</f>
        <v>38</v>
      </c>
      <c r="G114" s="5">
        <f>+[1]モンスター計算!G117</f>
        <v>107</v>
      </c>
      <c r="H114" s="5">
        <f>+[1]モンスター計算!H117</f>
        <v>34</v>
      </c>
      <c r="I114" s="5">
        <f>+[1]モンスター計算!I117</f>
        <v>34</v>
      </c>
      <c r="J114" s="13">
        <f>+[1]モンスター計算!J117</f>
        <v>37</v>
      </c>
      <c r="K114" s="27">
        <f>+[1]モンスター計算!K117</f>
        <v>6.5000000000000002E-2</v>
      </c>
      <c r="L114" s="13">
        <f>+[1]モンスター計算!L117</f>
        <v>1.46</v>
      </c>
      <c r="M114" s="27">
        <f>+[1]モンスター計算!M117</f>
        <v>3.88</v>
      </c>
      <c r="N114" s="5">
        <f>+[1]モンスター計算!N117</f>
        <v>1.29</v>
      </c>
      <c r="O114" s="13">
        <f>+[1]モンスター計算!O117</f>
        <v>1</v>
      </c>
      <c r="P114" s="27">
        <f>+[1]モンスター計算!P117</f>
        <v>-0.14000000000000001</v>
      </c>
      <c r="Q114" s="5">
        <f>+[1]モンスター計算!Q117</f>
        <v>0.16</v>
      </c>
      <c r="R114" s="5">
        <f>+[1]モンスター計算!R117</f>
        <v>-0.04</v>
      </c>
      <c r="S114" s="5">
        <f>+[1]モンスター計算!S117</f>
        <v>-0.04</v>
      </c>
      <c r="T114" s="5">
        <f>+[1]モンスター計算!T117</f>
        <v>-0.04</v>
      </c>
      <c r="U114" s="5">
        <f>+[1]モンスター計算!U117</f>
        <v>-0.04</v>
      </c>
      <c r="V114" s="13">
        <f>+[1]モンスター計算!V117</f>
        <v>9.1999999999999993</v>
      </c>
      <c r="W114" s="30">
        <v>11</v>
      </c>
      <c r="X114" s="27" t="s">
        <v>70</v>
      </c>
      <c r="Y114" s="33" t="s">
        <v>91</v>
      </c>
      <c r="Z114" s="13">
        <v>1.25</v>
      </c>
      <c r="AA114" s="30">
        <v>20</v>
      </c>
      <c r="AB114" s="30">
        <f t="shared" si="2"/>
        <v>74</v>
      </c>
      <c r="AC114" s="47">
        <f t="shared" si="3"/>
        <v>19</v>
      </c>
      <c r="AD114" s="27" t="s">
        <v>74</v>
      </c>
      <c r="AE114" s="5">
        <v>0</v>
      </c>
      <c r="AF114" s="5">
        <v>0</v>
      </c>
      <c r="AG114" s="13" t="b">
        <v>0</v>
      </c>
      <c r="AH114" s="30" t="s">
        <v>1025</v>
      </c>
      <c r="AI114" s="33" t="s">
        <v>1825</v>
      </c>
    </row>
    <row r="115" spans="1:35" ht="19.5" thickBot="1">
      <c r="A115" s="53" t="s">
        <v>630</v>
      </c>
      <c r="B115" s="16" t="s">
        <v>306</v>
      </c>
      <c r="C115" s="28" t="s">
        <v>47</v>
      </c>
      <c r="D115" s="16" t="s">
        <v>61</v>
      </c>
      <c r="E115" s="28">
        <f>+[1]モンスター計算!E118</f>
        <v>667</v>
      </c>
      <c r="F115" s="15">
        <f>+[1]モンスター計算!F118</f>
        <v>81</v>
      </c>
      <c r="G115" s="15">
        <f>+[1]モンスター計算!G118</f>
        <v>36</v>
      </c>
      <c r="H115" s="15">
        <f>+[1]モンスター計算!H118</f>
        <v>79</v>
      </c>
      <c r="I115" s="15">
        <f>+[1]モンスター計算!I118</f>
        <v>58</v>
      </c>
      <c r="J115" s="16">
        <f>+[1]モンスター計算!J118</f>
        <v>38</v>
      </c>
      <c r="K115" s="28">
        <f>+[1]モンスター計算!K118</f>
        <v>0.08</v>
      </c>
      <c r="L115" s="16">
        <f>+[1]モンスター計算!L118</f>
        <v>1.6</v>
      </c>
      <c r="M115" s="28">
        <f>+[1]モンスター計算!M118</f>
        <v>2.8</v>
      </c>
      <c r="N115" s="15">
        <f>+[1]モンスター計算!N118</f>
        <v>1</v>
      </c>
      <c r="O115" s="16">
        <f>+[1]モンスター計算!O118</f>
        <v>2.5</v>
      </c>
      <c r="P115" s="28">
        <f>+[1]モンスター計算!P118</f>
        <v>1.4999999999999999E-2</v>
      </c>
      <c r="Q115" s="15">
        <f>+[1]モンスター計算!Q118</f>
        <v>1.4999999999999999E-2</v>
      </c>
      <c r="R115" s="15">
        <f>+[1]モンスター計算!R118</f>
        <v>1.4999999999999999E-2</v>
      </c>
      <c r="S115" s="15">
        <f>+[1]モンスター計算!S118</f>
        <v>1.4999999999999999E-2</v>
      </c>
      <c r="T115" s="15">
        <f>+[1]モンスター計算!T118</f>
        <v>0.21500000000000002</v>
      </c>
      <c r="U115" s="15">
        <f>+[1]モンスター計算!U118</f>
        <v>-8.5000000000000006E-2</v>
      </c>
      <c r="V115" s="16">
        <f>+[1]モンスター計算!V118</f>
        <v>4</v>
      </c>
      <c r="W115" s="31">
        <v>15</v>
      </c>
      <c r="X115" s="28" t="s">
        <v>72</v>
      </c>
      <c r="Y115" s="34" t="s">
        <v>92</v>
      </c>
      <c r="Z115" s="16">
        <v>1.3</v>
      </c>
      <c r="AA115" s="31">
        <v>40</v>
      </c>
      <c r="AB115" s="31">
        <f t="shared" si="2"/>
        <v>109</v>
      </c>
      <c r="AC115" s="48">
        <f t="shared" si="3"/>
        <v>19</v>
      </c>
      <c r="AD115" s="28" t="s">
        <v>55</v>
      </c>
      <c r="AE115" s="15">
        <v>10</v>
      </c>
      <c r="AF115" s="15">
        <v>4</v>
      </c>
      <c r="AG115" s="16" t="b">
        <v>1</v>
      </c>
      <c r="AH115" s="31" t="s">
        <v>1026</v>
      </c>
      <c r="AI115" s="34" t="s">
        <v>1825</v>
      </c>
    </row>
    <row r="116" spans="1:35">
      <c r="A116" s="51" t="s">
        <v>631</v>
      </c>
      <c r="B116" s="11" t="s">
        <v>307</v>
      </c>
      <c r="C116" s="26" t="s">
        <v>45</v>
      </c>
      <c r="D116" s="11" t="s">
        <v>61</v>
      </c>
      <c r="E116" s="26">
        <f>+[1]モンスター計算!E119</f>
        <v>502</v>
      </c>
      <c r="F116" s="10">
        <f>+[1]モンスター計算!F119</f>
        <v>80</v>
      </c>
      <c r="G116" s="10">
        <f>+[1]モンスター計算!G119</f>
        <v>62</v>
      </c>
      <c r="H116" s="10">
        <f>+[1]モンスター計算!H119</f>
        <v>137</v>
      </c>
      <c r="I116" s="10">
        <f>+[1]モンスター計算!I119</f>
        <v>42</v>
      </c>
      <c r="J116" s="11">
        <f>+[1]モンスター計算!J119</f>
        <v>49</v>
      </c>
      <c r="K116" s="26">
        <f>+[1]モンスター計算!K119</f>
        <v>0.05</v>
      </c>
      <c r="L116" s="11">
        <f>+[1]モンスター計算!L119</f>
        <v>1.5</v>
      </c>
      <c r="M116" s="26">
        <f>+[1]モンスター計算!M119</f>
        <v>2</v>
      </c>
      <c r="N116" s="10">
        <f>+[1]モンスター計算!N119</f>
        <v>1</v>
      </c>
      <c r="O116" s="11">
        <f>+[1]モンスター計算!O119</f>
        <v>2.5</v>
      </c>
      <c r="P116" s="26">
        <f>+[1]モンスター計算!P119</f>
        <v>-0.12000000000000001</v>
      </c>
      <c r="Q116" s="10">
        <f>+[1]モンスター計算!Q119</f>
        <v>0.18000000000000002</v>
      </c>
      <c r="R116" s="10">
        <f>+[1]モンスター計算!R119</f>
        <v>-0.02</v>
      </c>
      <c r="S116" s="10">
        <f>+[1]モンスター計算!S119</f>
        <v>-0.02</v>
      </c>
      <c r="T116" s="10">
        <f>+[1]モンスター計算!T119</f>
        <v>-0.02</v>
      </c>
      <c r="U116" s="10">
        <f>+[1]モンスター計算!U119</f>
        <v>-0.02</v>
      </c>
      <c r="V116" s="11">
        <f>+[1]モンスター計算!V119</f>
        <v>4</v>
      </c>
      <c r="W116" s="29">
        <v>8</v>
      </c>
      <c r="X116" s="26" t="s">
        <v>109</v>
      </c>
      <c r="Y116" s="32" t="s">
        <v>87</v>
      </c>
      <c r="Z116" s="11">
        <v>1.2</v>
      </c>
      <c r="AA116" s="29">
        <v>5</v>
      </c>
      <c r="AB116" s="29">
        <f t="shared" si="2"/>
        <v>37</v>
      </c>
      <c r="AC116" s="46">
        <f t="shared" si="3"/>
        <v>20</v>
      </c>
      <c r="AD116" s="26" t="s">
        <v>51</v>
      </c>
      <c r="AE116" s="10">
        <v>7</v>
      </c>
      <c r="AF116" s="10">
        <v>3</v>
      </c>
      <c r="AG116" s="11" t="b">
        <v>1</v>
      </c>
      <c r="AH116" s="29" t="s">
        <v>1027</v>
      </c>
      <c r="AI116" s="32" t="s">
        <v>1825</v>
      </c>
    </row>
    <row r="117" spans="1:35">
      <c r="A117" s="52" t="s">
        <v>632</v>
      </c>
      <c r="B117" s="13" t="s">
        <v>308</v>
      </c>
      <c r="C117" s="27" t="s">
        <v>44</v>
      </c>
      <c r="D117" s="13" t="s">
        <v>61</v>
      </c>
      <c r="E117" s="27">
        <f>+[1]モンスター計算!E120</f>
        <v>673</v>
      </c>
      <c r="F117" s="5">
        <f>+[1]モンスター計算!F120</f>
        <v>94</v>
      </c>
      <c r="G117" s="5">
        <f>+[1]モンスター計算!G120</f>
        <v>43</v>
      </c>
      <c r="H117" s="5">
        <f>+[1]モンスター計算!H120</f>
        <v>95</v>
      </c>
      <c r="I117" s="5">
        <f>+[1]モンスター計算!I120</f>
        <v>54</v>
      </c>
      <c r="J117" s="13">
        <f>+[1]モンスター計算!J120</f>
        <v>54</v>
      </c>
      <c r="K117" s="27">
        <f>+[1]モンスター計算!K120</f>
        <v>7.0000000000000007E-2</v>
      </c>
      <c r="L117" s="13">
        <f>+[1]モンスター計算!L120</f>
        <v>1.55</v>
      </c>
      <c r="M117" s="27">
        <f>+[1]モンスター計算!M120</f>
        <v>2.4</v>
      </c>
      <c r="N117" s="5">
        <f>+[1]モンスター計算!N120</f>
        <v>1</v>
      </c>
      <c r="O117" s="13">
        <f>+[1]モンスター計算!O120</f>
        <v>2.5</v>
      </c>
      <c r="P117" s="27">
        <f>+[1]モンスター計算!P120</f>
        <v>0.22</v>
      </c>
      <c r="Q117" s="5">
        <f>+[1]モンスター計算!Q120</f>
        <v>-0.08</v>
      </c>
      <c r="R117" s="5">
        <f>+[1]モンスター計算!R120</f>
        <v>0.02</v>
      </c>
      <c r="S117" s="5">
        <f>+[1]モンスター計算!S120</f>
        <v>0.02</v>
      </c>
      <c r="T117" s="5">
        <f>+[1]モンスター計算!T120</f>
        <v>0.02</v>
      </c>
      <c r="U117" s="5">
        <f>+[1]モンスター計算!U120</f>
        <v>0.02</v>
      </c>
      <c r="V117" s="13">
        <f>+[1]モンスター計算!V120</f>
        <v>4</v>
      </c>
      <c r="W117" s="30">
        <v>8</v>
      </c>
      <c r="X117" s="27" t="s">
        <v>64</v>
      </c>
      <c r="Y117" s="33" t="s">
        <v>88</v>
      </c>
      <c r="Z117" s="13">
        <v>1.2</v>
      </c>
      <c r="AA117" s="30">
        <v>7</v>
      </c>
      <c r="AB117" s="30">
        <f t="shared" si="2"/>
        <v>41</v>
      </c>
      <c r="AC117" s="47">
        <f t="shared" si="3"/>
        <v>20</v>
      </c>
      <c r="AD117" s="27" t="s">
        <v>49</v>
      </c>
      <c r="AE117" s="5">
        <v>7.5</v>
      </c>
      <c r="AF117" s="5">
        <v>3</v>
      </c>
      <c r="AG117" s="13" t="b">
        <v>1</v>
      </c>
      <c r="AH117" s="30" t="s">
        <v>1028</v>
      </c>
      <c r="AI117" s="33" t="s">
        <v>1825</v>
      </c>
    </row>
    <row r="118" spans="1:35">
      <c r="A118" s="52" t="s">
        <v>633</v>
      </c>
      <c r="B118" s="13" t="s">
        <v>309</v>
      </c>
      <c r="C118" s="27" t="s">
        <v>46</v>
      </c>
      <c r="D118" s="13" t="s">
        <v>61</v>
      </c>
      <c r="E118" s="27">
        <f>+[1]モンスター計算!E121</f>
        <v>783</v>
      </c>
      <c r="F118" s="5">
        <f>+[1]モンスター計算!F121</f>
        <v>85</v>
      </c>
      <c r="G118" s="5">
        <f>+[1]モンスター計算!G121</f>
        <v>22</v>
      </c>
      <c r="H118" s="5">
        <f>+[1]モンスター計算!H121</f>
        <v>58</v>
      </c>
      <c r="I118" s="5">
        <f>+[1]モンスター計算!I121</f>
        <v>60</v>
      </c>
      <c r="J118" s="13">
        <f>+[1]モンスター計算!J121</f>
        <v>55</v>
      </c>
      <c r="K118" s="27">
        <f>+[1]モンスター計算!K121</f>
        <v>7.0000000000000007E-2</v>
      </c>
      <c r="L118" s="13">
        <f>+[1]モンスター計算!L121</f>
        <v>1.5</v>
      </c>
      <c r="M118" s="27">
        <f>+[1]モンスター計算!M121</f>
        <v>2.8</v>
      </c>
      <c r="N118" s="5">
        <f>+[1]モンスター計算!N121</f>
        <v>1.45</v>
      </c>
      <c r="O118" s="13">
        <f>+[1]モンスター計算!O121</f>
        <v>1.55</v>
      </c>
      <c r="P118" s="27">
        <f>+[1]モンスター計算!P121</f>
        <v>0.03</v>
      </c>
      <c r="Q118" s="5">
        <f>+[1]モンスター計算!Q121</f>
        <v>0.03</v>
      </c>
      <c r="R118" s="5">
        <f>+[1]モンスター計算!R121</f>
        <v>0.23</v>
      </c>
      <c r="S118" s="5">
        <f>+[1]モンスター計算!S121</f>
        <v>-7.0000000000000007E-2</v>
      </c>
      <c r="T118" s="5">
        <f>+[1]モンスター計算!T121</f>
        <v>0.03</v>
      </c>
      <c r="U118" s="5">
        <f>+[1]モンスター計算!U121</f>
        <v>0.03</v>
      </c>
      <c r="V118" s="13">
        <f>+[1]モンスター計算!V121</f>
        <v>3.6</v>
      </c>
      <c r="W118" s="30">
        <v>9</v>
      </c>
      <c r="X118" s="27" t="s">
        <v>66</v>
      </c>
      <c r="Y118" s="33" t="s">
        <v>89</v>
      </c>
      <c r="Z118" s="13">
        <v>1.22</v>
      </c>
      <c r="AA118" s="30">
        <v>10</v>
      </c>
      <c r="AB118" s="30">
        <f t="shared" si="2"/>
        <v>50</v>
      </c>
      <c r="AC118" s="47">
        <f t="shared" si="3"/>
        <v>20</v>
      </c>
      <c r="AD118" s="27" t="s">
        <v>53</v>
      </c>
      <c r="AE118" s="5">
        <v>8.5</v>
      </c>
      <c r="AF118" s="5">
        <v>3</v>
      </c>
      <c r="AG118" s="13" t="b">
        <v>1</v>
      </c>
      <c r="AH118" s="30" t="s">
        <v>1029</v>
      </c>
      <c r="AI118" s="33" t="s">
        <v>1825</v>
      </c>
    </row>
    <row r="119" spans="1:35">
      <c r="A119" s="52" t="s">
        <v>634</v>
      </c>
      <c r="B119" s="13" t="s">
        <v>310</v>
      </c>
      <c r="C119" s="27" t="s">
        <v>44</v>
      </c>
      <c r="D119" s="13" t="s">
        <v>59</v>
      </c>
      <c r="E119" s="27">
        <f>+[1]モンスター計算!E122</f>
        <v>734</v>
      </c>
      <c r="F119" s="5">
        <f>+[1]モンスター計算!F122</f>
        <v>44</v>
      </c>
      <c r="G119" s="5">
        <f>+[1]モンスター計算!G122</f>
        <v>84</v>
      </c>
      <c r="H119" s="5">
        <f>+[1]モンスター計算!H122</f>
        <v>31</v>
      </c>
      <c r="I119" s="5">
        <f>+[1]モンスター計算!I122</f>
        <v>37</v>
      </c>
      <c r="J119" s="13">
        <f>+[1]モンスター計算!J122</f>
        <v>103</v>
      </c>
      <c r="K119" s="27">
        <f>+[1]モンスター計算!K122</f>
        <v>0.05</v>
      </c>
      <c r="L119" s="13">
        <f>+[1]モンスター計算!L122</f>
        <v>1.47</v>
      </c>
      <c r="M119" s="27">
        <f>+[1]モンスター計算!M122</f>
        <v>2.4500000000000002</v>
      </c>
      <c r="N119" s="5">
        <f>+[1]モンスター計算!N122</f>
        <v>1</v>
      </c>
      <c r="O119" s="13">
        <f>+[1]モンスター計算!O122</f>
        <v>1</v>
      </c>
      <c r="P119" s="27">
        <f>+[1]モンスター計算!P122</f>
        <v>0.26500000000000001</v>
      </c>
      <c r="Q119" s="5">
        <f>+[1]モンスター計算!Q122</f>
        <v>-3.5000000000000003E-2</v>
      </c>
      <c r="R119" s="5">
        <f>+[1]モンスター計算!R122</f>
        <v>6.5000000000000002E-2</v>
      </c>
      <c r="S119" s="5">
        <f>+[1]モンスター計算!S122</f>
        <v>6.5000000000000002E-2</v>
      </c>
      <c r="T119" s="5">
        <f>+[1]モンスター計算!T122</f>
        <v>6.5000000000000002E-2</v>
      </c>
      <c r="U119" s="5">
        <f>+[1]モンスター計算!U122</f>
        <v>6.5000000000000002E-2</v>
      </c>
      <c r="V119" s="13">
        <f>+[1]モンスター計算!V122</f>
        <v>4.2</v>
      </c>
      <c r="W119" s="30">
        <v>10</v>
      </c>
      <c r="X119" s="27" t="s">
        <v>68</v>
      </c>
      <c r="Y119" s="33" t="s">
        <v>90</v>
      </c>
      <c r="Z119" s="13">
        <v>1.25</v>
      </c>
      <c r="AA119" s="30">
        <v>15</v>
      </c>
      <c r="AB119" s="30">
        <f t="shared" si="2"/>
        <v>66</v>
      </c>
      <c r="AC119" s="47">
        <f t="shared" si="3"/>
        <v>20</v>
      </c>
      <c r="AD119" s="27" t="s">
        <v>74</v>
      </c>
      <c r="AE119" s="5">
        <v>0</v>
      </c>
      <c r="AF119" s="5">
        <v>0</v>
      </c>
      <c r="AG119" s="13" t="b">
        <v>0</v>
      </c>
      <c r="AH119" s="30" t="s">
        <v>1030</v>
      </c>
      <c r="AI119" s="33" t="s">
        <v>1825</v>
      </c>
    </row>
    <row r="120" spans="1:35">
      <c r="A120" s="52" t="s">
        <v>635</v>
      </c>
      <c r="B120" s="13" t="s">
        <v>311</v>
      </c>
      <c r="C120" s="27" t="s">
        <v>45</v>
      </c>
      <c r="D120" s="13" t="s">
        <v>59</v>
      </c>
      <c r="E120" s="27">
        <f>+[1]モンスター計算!E123</f>
        <v>550</v>
      </c>
      <c r="F120" s="5">
        <f>+[1]モンスター計算!F123</f>
        <v>32</v>
      </c>
      <c r="G120" s="5">
        <f>+[1]モンスター計算!G123</f>
        <v>105</v>
      </c>
      <c r="H120" s="5">
        <f>+[1]モンスター計算!H123</f>
        <v>47</v>
      </c>
      <c r="I120" s="5">
        <f>+[1]モンスター計算!I123</f>
        <v>44</v>
      </c>
      <c r="J120" s="13">
        <f>+[1]モンスター計算!J123</f>
        <v>44</v>
      </c>
      <c r="K120" s="27">
        <f>+[1]モンスター計算!K123</f>
        <v>0.11</v>
      </c>
      <c r="L120" s="13">
        <f>+[1]モンスター計算!L123</f>
        <v>1.75</v>
      </c>
      <c r="M120" s="27">
        <f>+[1]モンスター計算!M123</f>
        <v>3</v>
      </c>
      <c r="N120" s="5">
        <f>+[1]モンスター計算!N123</f>
        <v>1.18</v>
      </c>
      <c r="O120" s="13">
        <f>+[1]モンスター計算!O123</f>
        <v>1</v>
      </c>
      <c r="P120" s="27">
        <f>+[1]モンスター計算!P123</f>
        <v>-0.13</v>
      </c>
      <c r="Q120" s="5">
        <f>+[1]モンスター計算!Q123</f>
        <v>0.17</v>
      </c>
      <c r="R120" s="5">
        <f>+[1]モンスター計算!R123</f>
        <v>-0.03</v>
      </c>
      <c r="S120" s="5">
        <f>+[1]モンスター計算!S123</f>
        <v>-0.03</v>
      </c>
      <c r="T120" s="5">
        <f>+[1]モンスター計算!T123</f>
        <v>-0.03</v>
      </c>
      <c r="U120" s="5">
        <f>+[1]モンスター計算!U123</f>
        <v>-0.03</v>
      </c>
      <c r="V120" s="13">
        <f>+[1]モンスター計算!V123</f>
        <v>4.2</v>
      </c>
      <c r="W120" s="30">
        <v>11</v>
      </c>
      <c r="X120" s="27" t="s">
        <v>70</v>
      </c>
      <c r="Y120" s="33" t="s">
        <v>91</v>
      </c>
      <c r="Z120" s="13">
        <v>1.25</v>
      </c>
      <c r="AA120" s="30">
        <v>20</v>
      </c>
      <c r="AB120" s="30">
        <f t="shared" si="2"/>
        <v>78</v>
      </c>
      <c r="AC120" s="47">
        <f t="shared" si="3"/>
        <v>20</v>
      </c>
      <c r="AD120" s="27" t="s">
        <v>74</v>
      </c>
      <c r="AE120" s="5">
        <v>0</v>
      </c>
      <c r="AF120" s="5">
        <v>0</v>
      </c>
      <c r="AG120" s="13" t="b">
        <v>0</v>
      </c>
      <c r="AH120" s="30" t="s">
        <v>1031</v>
      </c>
      <c r="AI120" s="33" t="s">
        <v>1825</v>
      </c>
    </row>
    <row r="121" spans="1:35" ht="19.5" thickBot="1">
      <c r="A121" s="53" t="s">
        <v>636</v>
      </c>
      <c r="B121" s="16" t="s">
        <v>312</v>
      </c>
      <c r="C121" s="28" t="s">
        <v>47</v>
      </c>
      <c r="D121" s="16" t="s">
        <v>61</v>
      </c>
      <c r="E121" s="28">
        <f>+[1]モンスター計算!E124</f>
        <v>557</v>
      </c>
      <c r="F121" s="15">
        <f>+[1]モンスター計算!F124</f>
        <v>143</v>
      </c>
      <c r="G121" s="15">
        <f>+[1]モンスター計算!G124</f>
        <v>60</v>
      </c>
      <c r="H121" s="15">
        <f>+[1]モンスター計算!H124</f>
        <v>179</v>
      </c>
      <c r="I121" s="15">
        <f>+[1]モンスター計算!I124</f>
        <v>43</v>
      </c>
      <c r="J121" s="16">
        <f>+[1]モンスター計算!J124</f>
        <v>46</v>
      </c>
      <c r="K121" s="28">
        <f>+[1]モンスター計算!K124</f>
        <v>0.04</v>
      </c>
      <c r="L121" s="16">
        <f>+[1]モンスター計算!L124</f>
        <v>2.2000000000000002</v>
      </c>
      <c r="M121" s="28">
        <f>+[1]モンスター計算!M124</f>
        <v>1.65</v>
      </c>
      <c r="N121" s="15">
        <f>+[1]モンスター計算!N124</f>
        <v>0.64</v>
      </c>
      <c r="O121" s="16">
        <f>+[1]モンスター計算!O124</f>
        <v>3.7</v>
      </c>
      <c r="P121" s="28">
        <f>+[1]モンスター計算!P124</f>
        <v>-2.5000000000000001E-2</v>
      </c>
      <c r="Q121" s="15">
        <f>+[1]モンスター計算!Q124</f>
        <v>-2.5000000000000001E-2</v>
      </c>
      <c r="R121" s="15">
        <f>+[1]モンスター計算!R124</f>
        <v>-2.5000000000000001E-2</v>
      </c>
      <c r="S121" s="15">
        <f>+[1]モンスター計算!S124</f>
        <v>-2.5000000000000001E-2</v>
      </c>
      <c r="T121" s="15">
        <f>+[1]モンスター計算!T124</f>
        <v>0.17500000000000002</v>
      </c>
      <c r="U121" s="15">
        <f>+[1]モンスター計算!U124</f>
        <v>-0.125</v>
      </c>
      <c r="V121" s="16">
        <f>+[1]モンスター計算!V124</f>
        <v>5</v>
      </c>
      <c r="W121" s="31">
        <v>15</v>
      </c>
      <c r="X121" s="28" t="s">
        <v>72</v>
      </c>
      <c r="Y121" s="34" t="s">
        <v>92</v>
      </c>
      <c r="Z121" s="16">
        <v>1.3</v>
      </c>
      <c r="AA121" s="31">
        <v>40</v>
      </c>
      <c r="AB121" s="31">
        <f t="shared" si="2"/>
        <v>115</v>
      </c>
      <c r="AC121" s="48">
        <f t="shared" si="3"/>
        <v>20</v>
      </c>
      <c r="AD121" s="28" t="s">
        <v>55</v>
      </c>
      <c r="AE121" s="15">
        <v>10</v>
      </c>
      <c r="AF121" s="15">
        <v>4</v>
      </c>
      <c r="AG121" s="16" t="b">
        <v>1</v>
      </c>
      <c r="AH121" s="31" t="s">
        <v>1032</v>
      </c>
      <c r="AI121" s="34" t="s">
        <v>1825</v>
      </c>
    </row>
    <row r="122" spans="1:35">
      <c r="A122" s="51" t="s">
        <v>637</v>
      </c>
      <c r="B122" s="11" t="s">
        <v>313</v>
      </c>
      <c r="C122" s="26" t="s">
        <v>45</v>
      </c>
      <c r="D122" s="11" t="s">
        <v>61</v>
      </c>
      <c r="E122" s="26">
        <f>+[1]モンスター計算!E125</f>
        <v>673</v>
      </c>
      <c r="F122" s="10">
        <f>+[1]モンスター計算!F125</f>
        <v>142</v>
      </c>
      <c r="G122" s="10">
        <f>+[1]モンスター計算!G125</f>
        <v>54</v>
      </c>
      <c r="H122" s="10">
        <f>+[1]モンスター計算!H125</f>
        <v>120</v>
      </c>
      <c r="I122" s="10">
        <f>+[1]モンスター計算!I125</f>
        <v>54</v>
      </c>
      <c r="J122" s="11">
        <f>+[1]モンスター計算!J125</f>
        <v>65</v>
      </c>
      <c r="K122" s="26">
        <f>+[1]モンスター計算!K125</f>
        <v>0.06</v>
      </c>
      <c r="L122" s="11">
        <f>+[1]モンスター計算!L125</f>
        <v>1.4</v>
      </c>
      <c r="M122" s="26">
        <f>+[1]モンスター計算!M125</f>
        <v>2.1</v>
      </c>
      <c r="N122" s="10">
        <f>+[1]モンスター計算!N125</f>
        <v>0.95</v>
      </c>
      <c r="O122" s="11">
        <f>+[1]モンスター計算!O125</f>
        <v>2.875</v>
      </c>
      <c r="P122" s="26">
        <f>+[1]モンスター計算!P125</f>
        <v>-7.0000000000000007E-2</v>
      </c>
      <c r="Q122" s="10">
        <f>+[1]モンスター計算!Q125</f>
        <v>0.23</v>
      </c>
      <c r="R122" s="10">
        <f>+[1]モンスター計算!R125</f>
        <v>0.03</v>
      </c>
      <c r="S122" s="10">
        <f>+[1]モンスター計算!S125</f>
        <v>0.03</v>
      </c>
      <c r="T122" s="10">
        <f>+[1]モンスター計算!T125</f>
        <v>0.03</v>
      </c>
      <c r="U122" s="10">
        <f>+[1]モンスター計算!U125</f>
        <v>0.03</v>
      </c>
      <c r="V122" s="11">
        <f>+[1]モンスター計算!V125</f>
        <v>4.8</v>
      </c>
      <c r="W122" s="29">
        <v>8</v>
      </c>
      <c r="X122" s="26" t="s">
        <v>109</v>
      </c>
      <c r="Y122" s="32" t="s">
        <v>87</v>
      </c>
      <c r="Z122" s="11">
        <v>1.2</v>
      </c>
      <c r="AA122" s="29">
        <v>5</v>
      </c>
      <c r="AB122" s="29">
        <f t="shared" si="2"/>
        <v>39</v>
      </c>
      <c r="AC122" s="46">
        <f t="shared" si="3"/>
        <v>21</v>
      </c>
      <c r="AD122" s="26" t="s">
        <v>51</v>
      </c>
      <c r="AE122" s="10">
        <v>7</v>
      </c>
      <c r="AF122" s="10">
        <v>3</v>
      </c>
      <c r="AG122" s="11" t="b">
        <v>1</v>
      </c>
      <c r="AH122" s="29" t="s">
        <v>1033</v>
      </c>
      <c r="AI122" s="32" t="s">
        <v>1825</v>
      </c>
    </row>
    <row r="123" spans="1:35">
      <c r="A123" s="52" t="s">
        <v>638</v>
      </c>
      <c r="B123" s="13" t="s">
        <v>314</v>
      </c>
      <c r="C123" s="27" t="s">
        <v>44</v>
      </c>
      <c r="D123" s="13" t="s">
        <v>61</v>
      </c>
      <c r="E123" s="27">
        <f>+[1]モンスター計算!E126</f>
        <v>646</v>
      </c>
      <c r="F123" s="5">
        <f>+[1]モンスター計算!F126</f>
        <v>108</v>
      </c>
      <c r="G123" s="5">
        <f>+[1]モンスター計算!G126</f>
        <v>36</v>
      </c>
      <c r="H123" s="5">
        <f>+[1]モンスター計算!H126</f>
        <v>128</v>
      </c>
      <c r="I123" s="5">
        <f>+[1]モンスター計算!I126</f>
        <v>44</v>
      </c>
      <c r="J123" s="13">
        <f>+[1]モンスター計算!J126</f>
        <v>49</v>
      </c>
      <c r="K123" s="27">
        <f>+[1]モンスター計算!K126</f>
        <v>0.06</v>
      </c>
      <c r="L123" s="13">
        <f>+[1]モンスター計算!L126</f>
        <v>1.6</v>
      </c>
      <c r="M123" s="27">
        <f>+[1]モンスター計算!M126</f>
        <v>2.25</v>
      </c>
      <c r="N123" s="5">
        <f>+[1]モンスター計算!N126</f>
        <v>0.91</v>
      </c>
      <c r="O123" s="13">
        <f>+[1]モンスター計算!O126</f>
        <v>4.75</v>
      </c>
      <c r="P123" s="27">
        <f>+[1]モンスター計算!P126</f>
        <v>0.18000000000000002</v>
      </c>
      <c r="Q123" s="5">
        <f>+[1]モンスター計算!Q126</f>
        <v>-0.12000000000000001</v>
      </c>
      <c r="R123" s="5">
        <f>+[1]モンスター計算!R126</f>
        <v>-0.02</v>
      </c>
      <c r="S123" s="5">
        <f>+[1]モンスター計算!S126</f>
        <v>-0.02</v>
      </c>
      <c r="T123" s="5">
        <f>+[1]モンスター計算!T126</f>
        <v>-0.02</v>
      </c>
      <c r="U123" s="5">
        <f>+[1]モンスター計算!U126</f>
        <v>-0.02</v>
      </c>
      <c r="V123" s="13">
        <f>+[1]モンスター計算!V126</f>
        <v>6.6</v>
      </c>
      <c r="W123" s="30">
        <v>8</v>
      </c>
      <c r="X123" s="27" t="s">
        <v>64</v>
      </c>
      <c r="Y123" s="33" t="s">
        <v>88</v>
      </c>
      <c r="Z123" s="13">
        <v>1.2</v>
      </c>
      <c r="AA123" s="30">
        <v>7</v>
      </c>
      <c r="AB123" s="30">
        <f t="shared" si="2"/>
        <v>44</v>
      </c>
      <c r="AC123" s="47">
        <f t="shared" si="3"/>
        <v>21</v>
      </c>
      <c r="AD123" s="27" t="s">
        <v>49</v>
      </c>
      <c r="AE123" s="5">
        <v>7.5</v>
      </c>
      <c r="AF123" s="5">
        <v>3</v>
      </c>
      <c r="AG123" s="13" t="b">
        <v>1</v>
      </c>
      <c r="AH123" s="30" t="s">
        <v>1034</v>
      </c>
      <c r="AI123" s="33" t="s">
        <v>1825</v>
      </c>
    </row>
    <row r="124" spans="1:35">
      <c r="A124" s="52" t="s">
        <v>639</v>
      </c>
      <c r="B124" s="13" t="s">
        <v>315</v>
      </c>
      <c r="C124" s="27" t="s">
        <v>46</v>
      </c>
      <c r="D124" s="13" t="s">
        <v>61</v>
      </c>
      <c r="E124" s="27">
        <f>+[1]モンスター計算!E127</f>
        <v>693</v>
      </c>
      <c r="F124" s="5">
        <f>+[1]モンスター計算!F127</f>
        <v>260</v>
      </c>
      <c r="G124" s="5">
        <f>+[1]モンスター計算!G127</f>
        <v>39</v>
      </c>
      <c r="H124" s="5">
        <f>+[1]モンスター計算!H127</f>
        <v>124</v>
      </c>
      <c r="I124" s="5">
        <f>+[1]モンスター計算!I127</f>
        <v>52</v>
      </c>
      <c r="J124" s="13">
        <f>+[1]モンスター計算!J127</f>
        <v>64</v>
      </c>
      <c r="K124" s="27">
        <f>+[1]モンスター計算!K127</f>
        <v>6.5000000000000002E-2</v>
      </c>
      <c r="L124" s="13">
        <f>+[1]モンスター計算!L127</f>
        <v>1.45</v>
      </c>
      <c r="M124" s="27">
        <f>+[1]モンスター計算!M127</f>
        <v>2.1</v>
      </c>
      <c r="N124" s="5">
        <f>+[1]モンスター計算!N127</f>
        <v>0.9</v>
      </c>
      <c r="O124" s="13">
        <f>+[1]モンスター計算!O127</f>
        <v>2.8</v>
      </c>
      <c r="P124" s="27">
        <f>+[1]モンスター計算!P127</f>
        <v>0.02</v>
      </c>
      <c r="Q124" s="5">
        <f>+[1]モンスター計算!Q127</f>
        <v>0.02</v>
      </c>
      <c r="R124" s="5">
        <f>+[1]モンスター計算!R127</f>
        <v>0.22</v>
      </c>
      <c r="S124" s="5">
        <f>+[1]モンスター計算!S127</f>
        <v>-0.08</v>
      </c>
      <c r="T124" s="5">
        <f>+[1]モンスター計算!T127</f>
        <v>0.02</v>
      </c>
      <c r="U124" s="5">
        <f>+[1]モンスター計算!U127</f>
        <v>0.02</v>
      </c>
      <c r="V124" s="13">
        <f>+[1]モンスター計算!V127</f>
        <v>4.2</v>
      </c>
      <c r="W124" s="30">
        <v>9</v>
      </c>
      <c r="X124" s="27" t="s">
        <v>66</v>
      </c>
      <c r="Y124" s="33" t="s">
        <v>89</v>
      </c>
      <c r="Z124" s="13">
        <v>1.22</v>
      </c>
      <c r="AA124" s="30">
        <v>10</v>
      </c>
      <c r="AB124" s="30">
        <f t="shared" si="2"/>
        <v>53</v>
      </c>
      <c r="AC124" s="47">
        <f t="shared" si="3"/>
        <v>21</v>
      </c>
      <c r="AD124" s="27" t="s">
        <v>53</v>
      </c>
      <c r="AE124" s="5">
        <v>8.5</v>
      </c>
      <c r="AF124" s="5">
        <v>3</v>
      </c>
      <c r="AG124" s="13" t="b">
        <v>1</v>
      </c>
      <c r="AH124" s="30" t="s">
        <v>1035</v>
      </c>
      <c r="AI124" s="33" t="s">
        <v>1825</v>
      </c>
    </row>
    <row r="125" spans="1:35">
      <c r="A125" s="52" t="s">
        <v>640</v>
      </c>
      <c r="B125" s="13" t="s">
        <v>316</v>
      </c>
      <c r="C125" s="27" t="s">
        <v>44</v>
      </c>
      <c r="D125" s="13" t="s">
        <v>59</v>
      </c>
      <c r="E125" s="27">
        <f>+[1]モンスター計算!E128</f>
        <v>619</v>
      </c>
      <c r="F125" s="5">
        <f>+[1]モンスター計算!F128</f>
        <v>44</v>
      </c>
      <c r="G125" s="5">
        <f>+[1]モンスター計算!G128</f>
        <v>129</v>
      </c>
      <c r="H125" s="5">
        <f>+[1]モンスター計算!H128</f>
        <v>58</v>
      </c>
      <c r="I125" s="5">
        <f>+[1]モンスター計算!I128</f>
        <v>51</v>
      </c>
      <c r="J125" s="13">
        <f>+[1]モンスター計算!J128</f>
        <v>57</v>
      </c>
      <c r="K125" s="27">
        <f>+[1]モンスター計算!K128</f>
        <v>0.05</v>
      </c>
      <c r="L125" s="13">
        <f>+[1]モンスター計算!L128</f>
        <v>1.5</v>
      </c>
      <c r="M125" s="27">
        <f>+[1]モンスター計算!M128</f>
        <v>2</v>
      </c>
      <c r="N125" s="5">
        <f>+[1]モンスター計算!N128</f>
        <v>1.05</v>
      </c>
      <c r="O125" s="13">
        <f>+[1]モンスター計算!O128</f>
        <v>1</v>
      </c>
      <c r="P125" s="27">
        <f>+[1]モンスター計算!P128</f>
        <v>0.21000000000000002</v>
      </c>
      <c r="Q125" s="5">
        <f>+[1]モンスター計算!Q128</f>
        <v>-9.0000000000000011E-2</v>
      </c>
      <c r="R125" s="5">
        <f>+[1]モンスター計算!R128</f>
        <v>0.01</v>
      </c>
      <c r="S125" s="5">
        <f>+[1]モンスター計算!S128</f>
        <v>0.01</v>
      </c>
      <c r="T125" s="5">
        <f>+[1]モンスター計算!T128</f>
        <v>0.01</v>
      </c>
      <c r="U125" s="5">
        <f>+[1]モンスター計算!U128</f>
        <v>0.01</v>
      </c>
      <c r="V125" s="13">
        <f>+[1]モンスター計算!V128</f>
        <v>4</v>
      </c>
      <c r="W125" s="30">
        <v>10</v>
      </c>
      <c r="X125" s="27" t="s">
        <v>68</v>
      </c>
      <c r="Y125" s="33" t="s">
        <v>90</v>
      </c>
      <c r="Z125" s="13">
        <v>1.25</v>
      </c>
      <c r="AA125" s="30">
        <v>15</v>
      </c>
      <c r="AB125" s="30">
        <f t="shared" si="2"/>
        <v>70</v>
      </c>
      <c r="AC125" s="47">
        <f t="shared" si="3"/>
        <v>21</v>
      </c>
      <c r="AD125" s="27" t="s">
        <v>74</v>
      </c>
      <c r="AE125" s="5">
        <v>0</v>
      </c>
      <c r="AF125" s="5">
        <v>0</v>
      </c>
      <c r="AG125" s="13" t="b">
        <v>0</v>
      </c>
      <c r="AH125" s="30" t="s">
        <v>1036</v>
      </c>
      <c r="AI125" s="33" t="s">
        <v>1825</v>
      </c>
    </row>
    <row r="126" spans="1:35">
      <c r="A126" s="52" t="s">
        <v>641</v>
      </c>
      <c r="B126" s="13" t="s">
        <v>317</v>
      </c>
      <c r="C126" s="27" t="s">
        <v>45</v>
      </c>
      <c r="D126" s="13" t="s">
        <v>59</v>
      </c>
      <c r="E126" s="27">
        <f>+[1]モンスター計算!E129</f>
        <v>545</v>
      </c>
      <c r="F126" s="5">
        <f>+[1]モンスター計算!F129</f>
        <v>34</v>
      </c>
      <c r="G126" s="5">
        <f>+[1]モンスター計算!G129</f>
        <v>94</v>
      </c>
      <c r="H126" s="5">
        <f>+[1]モンスター計算!H129</f>
        <v>30</v>
      </c>
      <c r="I126" s="5">
        <f>+[1]モンスター計算!I129</f>
        <v>40</v>
      </c>
      <c r="J126" s="13">
        <f>+[1]モンスター計算!J129</f>
        <v>43</v>
      </c>
      <c r="K126" s="27">
        <f>+[1]モンスター計算!K129</f>
        <v>7.0000000000000007E-2</v>
      </c>
      <c r="L126" s="13">
        <f>+[1]モンスター計算!L129</f>
        <v>1.45</v>
      </c>
      <c r="M126" s="27">
        <f>+[1]モンスター計算!M129</f>
        <v>3.35</v>
      </c>
      <c r="N126" s="5">
        <f>+[1]モンスター計算!N129</f>
        <v>1.77</v>
      </c>
      <c r="O126" s="13">
        <f>+[1]モンスター計算!O129</f>
        <v>1</v>
      </c>
      <c r="P126" s="27">
        <f>+[1]モンスター計算!P129</f>
        <v>-0.16500000000000001</v>
      </c>
      <c r="Q126" s="5">
        <f>+[1]モンスター計算!Q129</f>
        <v>0.13500000000000001</v>
      </c>
      <c r="R126" s="5">
        <f>+[1]モンスター計算!R129</f>
        <v>-6.5000000000000002E-2</v>
      </c>
      <c r="S126" s="5">
        <f>+[1]モンスター計算!S129</f>
        <v>-6.5000000000000002E-2</v>
      </c>
      <c r="T126" s="5">
        <f>+[1]モンスター計算!T129</f>
        <v>-6.5000000000000002E-2</v>
      </c>
      <c r="U126" s="5">
        <f>+[1]モンスター計算!U129</f>
        <v>-6.5000000000000002E-2</v>
      </c>
      <c r="V126" s="13">
        <f>+[1]モンスター計算!V129</f>
        <v>5</v>
      </c>
      <c r="W126" s="30">
        <v>11</v>
      </c>
      <c r="X126" s="27" t="s">
        <v>70</v>
      </c>
      <c r="Y126" s="33" t="s">
        <v>91</v>
      </c>
      <c r="Z126" s="13">
        <v>1.25</v>
      </c>
      <c r="AA126" s="30">
        <v>20</v>
      </c>
      <c r="AB126" s="30">
        <f t="shared" si="2"/>
        <v>82</v>
      </c>
      <c r="AC126" s="47">
        <f t="shared" si="3"/>
        <v>21</v>
      </c>
      <c r="AD126" s="27" t="s">
        <v>74</v>
      </c>
      <c r="AE126" s="5">
        <v>0</v>
      </c>
      <c r="AF126" s="5">
        <v>0</v>
      </c>
      <c r="AG126" s="13" t="b">
        <v>0</v>
      </c>
      <c r="AH126" s="30" t="s">
        <v>1037</v>
      </c>
      <c r="AI126" s="33" t="s">
        <v>1825</v>
      </c>
    </row>
    <row r="127" spans="1:35" ht="19.5" thickBot="1">
      <c r="A127" s="53" t="s">
        <v>642</v>
      </c>
      <c r="B127" s="16" t="s">
        <v>318</v>
      </c>
      <c r="C127" s="28" t="s">
        <v>47</v>
      </c>
      <c r="D127" s="16" t="s">
        <v>61</v>
      </c>
      <c r="E127" s="28">
        <f>+[1]モンスター計算!E130</f>
        <v>552</v>
      </c>
      <c r="F127" s="15">
        <f>+[1]モンスター計算!F130</f>
        <v>132</v>
      </c>
      <c r="G127" s="15">
        <f>+[1]モンスター計算!G130</f>
        <v>51</v>
      </c>
      <c r="H127" s="15">
        <f>+[1]モンスター計算!H130</f>
        <v>188</v>
      </c>
      <c r="I127" s="15">
        <f>+[1]モンスター計算!I130</f>
        <v>44</v>
      </c>
      <c r="J127" s="16">
        <f>+[1]モンスター計算!J130</f>
        <v>47</v>
      </c>
      <c r="K127" s="28">
        <f>+[1]モンスター計算!K130</f>
        <v>0.12</v>
      </c>
      <c r="L127" s="16">
        <f>+[1]モンスター計算!L130</f>
        <v>2.5499999999999998</v>
      </c>
      <c r="M127" s="28">
        <f>+[1]モンスター計算!M130</f>
        <v>2.2999999999999998</v>
      </c>
      <c r="N127" s="15">
        <f>+[1]モンスター計算!N130</f>
        <v>0.68</v>
      </c>
      <c r="O127" s="16">
        <f>+[1]モンスター計算!O130</f>
        <v>3.55</v>
      </c>
      <c r="P127" s="28">
        <f>+[1]モンスター計算!P130</f>
        <v>-5.5E-2</v>
      </c>
      <c r="Q127" s="15">
        <f>+[1]モンスター計算!Q130</f>
        <v>-5.5E-2</v>
      </c>
      <c r="R127" s="15">
        <f>+[1]モンスター計算!R130</f>
        <v>-5.5E-2</v>
      </c>
      <c r="S127" s="15">
        <f>+[1]モンスター計算!S130</f>
        <v>-5.5E-2</v>
      </c>
      <c r="T127" s="15">
        <f>+[1]モンスター計算!T130</f>
        <v>0.14500000000000002</v>
      </c>
      <c r="U127" s="15">
        <f>+[1]モンスター計算!U130</f>
        <v>-0.155</v>
      </c>
      <c r="V127" s="16">
        <f>+[1]モンスター計算!V130</f>
        <v>4.8</v>
      </c>
      <c r="W127" s="31">
        <v>15</v>
      </c>
      <c r="X127" s="28" t="s">
        <v>72</v>
      </c>
      <c r="Y127" s="34" t="s">
        <v>92</v>
      </c>
      <c r="Z127" s="16">
        <v>1.3</v>
      </c>
      <c r="AA127" s="31">
        <v>40</v>
      </c>
      <c r="AB127" s="31">
        <f t="shared" si="2"/>
        <v>121</v>
      </c>
      <c r="AC127" s="48">
        <f t="shared" si="3"/>
        <v>21</v>
      </c>
      <c r="AD127" s="28" t="s">
        <v>55</v>
      </c>
      <c r="AE127" s="15">
        <v>10</v>
      </c>
      <c r="AF127" s="15">
        <v>4</v>
      </c>
      <c r="AG127" s="16" t="b">
        <v>1</v>
      </c>
      <c r="AH127" s="31" t="s">
        <v>1038</v>
      </c>
      <c r="AI127" s="34" t="s">
        <v>1825</v>
      </c>
    </row>
    <row r="128" spans="1:35">
      <c r="A128" s="51" t="s">
        <v>643</v>
      </c>
      <c r="B128" s="11" t="s">
        <v>319</v>
      </c>
      <c r="C128" s="26" t="s">
        <v>45</v>
      </c>
      <c r="D128" s="11" t="s">
        <v>61</v>
      </c>
      <c r="E128" s="26">
        <f>+[1]モンスター計算!E131</f>
        <v>1273</v>
      </c>
      <c r="F128" s="10">
        <f>+[1]モンスター計算!F131</f>
        <v>146</v>
      </c>
      <c r="G128" s="10">
        <f>+[1]モンスター計算!G131</f>
        <v>31</v>
      </c>
      <c r="H128" s="10">
        <f>+[1]モンスター計算!H131</f>
        <v>105</v>
      </c>
      <c r="I128" s="10">
        <f>+[1]モンスター計算!I131</f>
        <v>97</v>
      </c>
      <c r="J128" s="11">
        <f>+[1]モンスター計算!J131</f>
        <v>92</v>
      </c>
      <c r="K128" s="26">
        <f>+[1]モンスター計算!K131</f>
        <v>3.5000000000000003E-2</v>
      </c>
      <c r="L128" s="11">
        <f>+[1]モンスター計算!L131</f>
        <v>1.4</v>
      </c>
      <c r="M128" s="26">
        <f>+[1]モンスター計算!M131</f>
        <v>1.5</v>
      </c>
      <c r="N128" s="10">
        <f>+[1]モンスター計算!N131</f>
        <v>0.6</v>
      </c>
      <c r="O128" s="11">
        <f>+[1]モンスター計算!O131</f>
        <v>3.1</v>
      </c>
      <c r="P128" s="26">
        <f>+[1]モンスター計算!P131</f>
        <v>1.999999999999999E-2</v>
      </c>
      <c r="Q128" s="10">
        <f>+[1]モンスター計算!Q131</f>
        <v>0.32</v>
      </c>
      <c r="R128" s="10">
        <f>+[1]モンスター計算!R131</f>
        <v>0.12</v>
      </c>
      <c r="S128" s="10">
        <f>+[1]モンスター計算!S131</f>
        <v>0.12</v>
      </c>
      <c r="T128" s="10">
        <f>+[1]モンスター計算!T131</f>
        <v>0.12</v>
      </c>
      <c r="U128" s="10">
        <f>+[1]モンスター計算!U131</f>
        <v>0.12</v>
      </c>
      <c r="V128" s="11">
        <f>+[1]モンスター計算!V131</f>
        <v>4.12</v>
      </c>
      <c r="W128" s="29">
        <v>8</v>
      </c>
      <c r="X128" s="26" t="s">
        <v>109</v>
      </c>
      <c r="Y128" s="32" t="s">
        <v>87</v>
      </c>
      <c r="Z128" s="11">
        <v>1.2</v>
      </c>
      <c r="AA128" s="29">
        <v>5</v>
      </c>
      <c r="AB128" s="29">
        <f t="shared" si="2"/>
        <v>41</v>
      </c>
      <c r="AC128" s="46">
        <f t="shared" si="3"/>
        <v>22</v>
      </c>
      <c r="AD128" s="26" t="s">
        <v>51</v>
      </c>
      <c r="AE128" s="10">
        <v>7</v>
      </c>
      <c r="AF128" s="10">
        <v>3</v>
      </c>
      <c r="AG128" s="11" t="b">
        <v>1</v>
      </c>
      <c r="AH128" s="29" t="s">
        <v>1039</v>
      </c>
      <c r="AI128" s="32" t="s">
        <v>1825</v>
      </c>
    </row>
    <row r="129" spans="1:35">
      <c r="A129" s="52" t="s">
        <v>644</v>
      </c>
      <c r="B129" s="13" t="s">
        <v>320</v>
      </c>
      <c r="C129" s="27" t="s">
        <v>44</v>
      </c>
      <c r="D129" s="13" t="s">
        <v>61</v>
      </c>
      <c r="E129" s="27">
        <f>+[1]モンスター計算!E132</f>
        <v>740</v>
      </c>
      <c r="F129" s="5">
        <f>+[1]モンスター計算!F132</f>
        <v>129</v>
      </c>
      <c r="G129" s="5">
        <f>+[1]モンスター計算!G132</f>
        <v>42</v>
      </c>
      <c r="H129" s="5">
        <f>+[1]モンスター計算!H132</f>
        <v>133</v>
      </c>
      <c r="I129" s="5">
        <f>+[1]モンスター計算!I132</f>
        <v>57</v>
      </c>
      <c r="J129" s="13">
        <f>+[1]モンスター計算!J132</f>
        <v>60</v>
      </c>
      <c r="K129" s="27">
        <f>+[1]モンスター計算!K132</f>
        <v>4.4999999999999998E-2</v>
      </c>
      <c r="L129" s="13">
        <f>+[1]モンスター計算!L132</f>
        <v>1.4</v>
      </c>
      <c r="M129" s="27">
        <f>+[1]モンスター計算!M132</f>
        <v>2.0499999999999998</v>
      </c>
      <c r="N129" s="5">
        <f>+[1]モンスター計算!N132</f>
        <v>0.92</v>
      </c>
      <c r="O129" s="13">
        <f>+[1]モンスター計算!O132</f>
        <v>2.6749999999999998</v>
      </c>
      <c r="P129" s="27">
        <f>+[1]モンスター計算!P132</f>
        <v>0.39</v>
      </c>
      <c r="Q129" s="5">
        <f>+[1]モンスター計算!Q132</f>
        <v>0.09</v>
      </c>
      <c r="R129" s="5">
        <f>+[1]モンスター計算!R132</f>
        <v>0.19</v>
      </c>
      <c r="S129" s="5">
        <f>+[1]モンスター計算!S132</f>
        <v>0.19</v>
      </c>
      <c r="T129" s="5">
        <f>+[1]モンスター計算!T132</f>
        <v>0.19</v>
      </c>
      <c r="U129" s="5">
        <f>+[1]モンスター計算!U132</f>
        <v>0.19</v>
      </c>
      <c r="V129" s="13">
        <f>+[1]モンスター計算!V132</f>
        <v>4</v>
      </c>
      <c r="W129" s="30">
        <v>8</v>
      </c>
      <c r="X129" s="27" t="s">
        <v>64</v>
      </c>
      <c r="Y129" s="33" t="s">
        <v>88</v>
      </c>
      <c r="Z129" s="13">
        <v>1.2</v>
      </c>
      <c r="AA129" s="30">
        <v>7</v>
      </c>
      <c r="AB129" s="30">
        <f t="shared" si="2"/>
        <v>47</v>
      </c>
      <c r="AC129" s="47">
        <f t="shared" si="3"/>
        <v>22</v>
      </c>
      <c r="AD129" s="27" t="s">
        <v>49</v>
      </c>
      <c r="AE129" s="5">
        <v>7.5</v>
      </c>
      <c r="AF129" s="5">
        <v>3</v>
      </c>
      <c r="AG129" s="13" t="b">
        <v>1</v>
      </c>
      <c r="AH129" s="30" t="s">
        <v>1040</v>
      </c>
      <c r="AI129" s="33" t="s">
        <v>1825</v>
      </c>
    </row>
    <row r="130" spans="1:35">
      <c r="A130" s="52" t="s">
        <v>645</v>
      </c>
      <c r="B130" s="13" t="s">
        <v>321</v>
      </c>
      <c r="C130" s="27" t="s">
        <v>46</v>
      </c>
      <c r="D130" s="13" t="s">
        <v>61</v>
      </c>
      <c r="E130" s="27">
        <f>+[1]モンスター計算!E133</f>
        <v>681</v>
      </c>
      <c r="F130" s="5">
        <f>+[1]モンスター計算!F133</f>
        <v>108</v>
      </c>
      <c r="G130" s="5">
        <f>+[1]モンスター計算!G133</f>
        <v>62</v>
      </c>
      <c r="H130" s="5">
        <f>+[1]モンスター計算!H133</f>
        <v>137</v>
      </c>
      <c r="I130" s="5">
        <f>+[1]モンスター計算!I133</f>
        <v>56</v>
      </c>
      <c r="J130" s="13">
        <f>+[1]モンスター計算!J133</f>
        <v>62</v>
      </c>
      <c r="K130" s="27">
        <f>+[1]モンスター計算!K133</f>
        <v>0.05</v>
      </c>
      <c r="L130" s="13">
        <f>+[1]モンスター計算!L133</f>
        <v>1.5</v>
      </c>
      <c r="M130" s="27">
        <f>+[1]モンスター計算!M133</f>
        <v>2</v>
      </c>
      <c r="N130" s="5">
        <f>+[1]モンスター計算!N133</f>
        <v>1.05</v>
      </c>
      <c r="O130" s="13">
        <f>+[1]モンスター計算!O133</f>
        <v>2.5</v>
      </c>
      <c r="P130" s="27">
        <f>+[1]モンスター計算!P133</f>
        <v>0</v>
      </c>
      <c r="Q130" s="5">
        <f>+[1]モンスター計算!Q133</f>
        <v>0</v>
      </c>
      <c r="R130" s="5">
        <f>+[1]モンスター計算!R133</f>
        <v>0.2</v>
      </c>
      <c r="S130" s="5">
        <f>+[1]モンスター計算!S133</f>
        <v>-0.1</v>
      </c>
      <c r="T130" s="5">
        <f>+[1]モンスター計算!T133</f>
        <v>0</v>
      </c>
      <c r="U130" s="5">
        <f>+[1]モンスター計算!U133</f>
        <v>0</v>
      </c>
      <c r="V130" s="13">
        <f>+[1]モンスター計算!V133</f>
        <v>4</v>
      </c>
      <c r="W130" s="30">
        <v>9</v>
      </c>
      <c r="X130" s="27" t="s">
        <v>66</v>
      </c>
      <c r="Y130" s="33" t="s">
        <v>89</v>
      </c>
      <c r="Z130" s="13">
        <v>1.22</v>
      </c>
      <c r="AA130" s="30">
        <v>10</v>
      </c>
      <c r="AB130" s="30">
        <f t="shared" si="2"/>
        <v>56</v>
      </c>
      <c r="AC130" s="47">
        <f t="shared" si="3"/>
        <v>22</v>
      </c>
      <c r="AD130" s="27" t="s">
        <v>53</v>
      </c>
      <c r="AE130" s="5">
        <v>8.5</v>
      </c>
      <c r="AF130" s="5">
        <v>3</v>
      </c>
      <c r="AG130" s="13" t="b">
        <v>1</v>
      </c>
      <c r="AH130" s="30" t="s">
        <v>1041</v>
      </c>
      <c r="AI130" s="33" t="s">
        <v>1825</v>
      </c>
    </row>
    <row r="131" spans="1:35">
      <c r="A131" s="52" t="s">
        <v>646</v>
      </c>
      <c r="B131" s="13" t="s">
        <v>322</v>
      </c>
      <c r="C131" s="27" t="s">
        <v>44</v>
      </c>
      <c r="D131" s="13" t="s">
        <v>59</v>
      </c>
      <c r="E131" s="27">
        <f>+[1]モンスター計算!E134</f>
        <v>592</v>
      </c>
      <c r="F131" s="5">
        <f>+[1]モンスター計算!F134</f>
        <v>36</v>
      </c>
      <c r="G131" s="5">
        <f>+[1]モンスター計算!G134</f>
        <v>163</v>
      </c>
      <c r="H131" s="5">
        <f>+[1]モンスター計算!H134</f>
        <v>56</v>
      </c>
      <c r="I131" s="5">
        <f>+[1]モンスター計算!I134</f>
        <v>49</v>
      </c>
      <c r="J131" s="13">
        <f>+[1]モンスター計算!J134</f>
        <v>45</v>
      </c>
      <c r="K131" s="27">
        <f>+[1]モンスター計算!K134</f>
        <v>0.13</v>
      </c>
      <c r="L131" s="13">
        <f>+[1]モンスター計算!L134</f>
        <v>1.7</v>
      </c>
      <c r="M131" s="27">
        <f>+[1]モンスター計算!M134</f>
        <v>3</v>
      </c>
      <c r="N131" s="5">
        <f>+[1]モンスター計算!N134</f>
        <v>1.06</v>
      </c>
      <c r="O131" s="13">
        <f>+[1]モンスター計算!O134</f>
        <v>1</v>
      </c>
      <c r="P131" s="27">
        <f>+[1]モンスター計算!P134</f>
        <v>0.15500000000000003</v>
      </c>
      <c r="Q131" s="5">
        <f>+[1]モンスター計算!Q134</f>
        <v>-0.14500000000000002</v>
      </c>
      <c r="R131" s="5">
        <f>+[1]モンスター計算!R134</f>
        <v>-4.4999999999999998E-2</v>
      </c>
      <c r="S131" s="5">
        <f>+[1]モンスター計算!S134</f>
        <v>-4.4999999999999998E-2</v>
      </c>
      <c r="T131" s="5">
        <f>+[1]モンスター計算!T134</f>
        <v>-4.4999999999999998E-2</v>
      </c>
      <c r="U131" s="5">
        <f>+[1]モンスター計算!U134</f>
        <v>-4.4999999999999998E-2</v>
      </c>
      <c r="V131" s="13">
        <f>+[1]モンスター計算!V134</f>
        <v>5.2</v>
      </c>
      <c r="W131" s="30">
        <v>10</v>
      </c>
      <c r="X131" s="27" t="s">
        <v>68</v>
      </c>
      <c r="Y131" s="33" t="s">
        <v>90</v>
      </c>
      <c r="Z131" s="13">
        <v>1.25</v>
      </c>
      <c r="AA131" s="30">
        <v>15</v>
      </c>
      <c r="AB131" s="30">
        <f t="shared" si="2"/>
        <v>74</v>
      </c>
      <c r="AC131" s="47">
        <f t="shared" si="3"/>
        <v>22</v>
      </c>
      <c r="AD131" s="27" t="s">
        <v>74</v>
      </c>
      <c r="AE131" s="5">
        <v>0</v>
      </c>
      <c r="AF131" s="5">
        <v>0</v>
      </c>
      <c r="AG131" s="13" t="b">
        <v>0</v>
      </c>
      <c r="AH131" s="30" t="s">
        <v>1042</v>
      </c>
      <c r="AI131" s="33" t="s">
        <v>1825</v>
      </c>
    </row>
    <row r="132" spans="1:35">
      <c r="A132" s="52" t="s">
        <v>647</v>
      </c>
      <c r="B132" s="13" t="s">
        <v>323</v>
      </c>
      <c r="C132" s="27" t="s">
        <v>45</v>
      </c>
      <c r="D132" s="13" t="s">
        <v>59</v>
      </c>
      <c r="E132" s="27">
        <f>+[1]モンスター計算!E135</f>
        <v>488</v>
      </c>
      <c r="F132" s="5">
        <f>+[1]モンスター計算!F135</f>
        <v>29</v>
      </c>
      <c r="G132" s="5">
        <f>+[1]モンスター計算!G135</f>
        <v>131</v>
      </c>
      <c r="H132" s="5">
        <f>+[1]モンスター計算!H135</f>
        <v>32</v>
      </c>
      <c r="I132" s="5">
        <f>+[1]モンスター計算!I135</f>
        <v>41</v>
      </c>
      <c r="J132" s="13">
        <f>+[1]モンスター計算!J135</f>
        <v>42</v>
      </c>
      <c r="K132" s="27">
        <f>+[1]モンスター計算!K135</f>
        <v>0.21</v>
      </c>
      <c r="L132" s="13">
        <f>+[1]モンスター計算!L135</f>
        <v>1.78</v>
      </c>
      <c r="M132" s="27">
        <f>+[1]モンスター計算!M135</f>
        <v>4.05</v>
      </c>
      <c r="N132" s="5">
        <f>+[1]モンスター計算!N135</f>
        <v>1.56</v>
      </c>
      <c r="O132" s="13">
        <f>+[1]モンスター計算!O135</f>
        <v>1</v>
      </c>
      <c r="P132" s="27">
        <f>+[1]モンスター計算!P135</f>
        <v>-0.18</v>
      </c>
      <c r="Q132" s="5">
        <f>+[1]モンスター計算!Q135</f>
        <v>0.12000000000000001</v>
      </c>
      <c r="R132" s="5">
        <f>+[1]モンスター計算!R135</f>
        <v>-0.08</v>
      </c>
      <c r="S132" s="5">
        <f>+[1]モンスター計算!S135</f>
        <v>-0.08</v>
      </c>
      <c r="T132" s="5">
        <f>+[1]モンスター計算!T135</f>
        <v>-0.08</v>
      </c>
      <c r="U132" s="5">
        <f>+[1]モンスター計算!U135</f>
        <v>-0.08</v>
      </c>
      <c r="V132" s="13">
        <f>+[1]モンスター計算!V135</f>
        <v>5</v>
      </c>
      <c r="W132" s="30">
        <v>11</v>
      </c>
      <c r="X132" s="27" t="s">
        <v>70</v>
      </c>
      <c r="Y132" s="33" t="s">
        <v>91</v>
      </c>
      <c r="Z132" s="13">
        <v>1.25</v>
      </c>
      <c r="AA132" s="30">
        <v>20</v>
      </c>
      <c r="AB132" s="30">
        <f t="shared" si="2"/>
        <v>87</v>
      </c>
      <c r="AC132" s="47">
        <f t="shared" si="3"/>
        <v>22</v>
      </c>
      <c r="AD132" s="27" t="s">
        <v>74</v>
      </c>
      <c r="AE132" s="5">
        <v>0</v>
      </c>
      <c r="AF132" s="5">
        <v>0</v>
      </c>
      <c r="AG132" s="13" t="b">
        <v>0</v>
      </c>
      <c r="AH132" s="30" t="s">
        <v>1043</v>
      </c>
      <c r="AI132" s="33" t="s">
        <v>1825</v>
      </c>
    </row>
    <row r="133" spans="1:35" ht="19.5" thickBot="1">
      <c r="A133" s="53" t="s">
        <v>648</v>
      </c>
      <c r="B133" s="16" t="s">
        <v>324</v>
      </c>
      <c r="C133" s="28" t="s">
        <v>47</v>
      </c>
      <c r="D133" s="16" t="s">
        <v>61</v>
      </c>
      <c r="E133" s="28">
        <f>+[1]モンスター計算!E136</f>
        <v>585</v>
      </c>
      <c r="F133" s="15">
        <f>+[1]モンスター計算!F136</f>
        <v>97</v>
      </c>
      <c r="G133" s="15">
        <f>+[1]モンスター計算!G136</f>
        <v>26</v>
      </c>
      <c r="H133" s="15">
        <f>+[1]モンスター計算!H136</f>
        <v>107</v>
      </c>
      <c r="I133" s="15">
        <f>+[1]モンスター計算!I136</f>
        <v>50</v>
      </c>
      <c r="J133" s="16">
        <f>+[1]モンスター計算!J136</f>
        <v>48</v>
      </c>
      <c r="K133" s="28">
        <f>+[1]モンスター計算!K136</f>
        <v>6.5000000000000002E-2</v>
      </c>
      <c r="L133" s="16">
        <f>+[1]モンスター計算!L136</f>
        <v>1.45</v>
      </c>
      <c r="M133" s="28">
        <f>+[1]モンスター計算!M136</f>
        <v>4</v>
      </c>
      <c r="N133" s="15">
        <f>+[1]モンスター計算!N136</f>
        <v>1.72</v>
      </c>
      <c r="O133" s="16">
        <f>+[1]モンスター計算!O136</f>
        <v>1.9</v>
      </c>
      <c r="P133" s="28">
        <f>+[1]モンスター計算!P136</f>
        <v>-7.0000000000000007E-2</v>
      </c>
      <c r="Q133" s="15">
        <f>+[1]モンスター計算!Q136</f>
        <v>-7.0000000000000007E-2</v>
      </c>
      <c r="R133" s="15">
        <f>+[1]モンスター計算!R136</f>
        <v>-7.0000000000000007E-2</v>
      </c>
      <c r="S133" s="15">
        <f>+[1]モンスター計算!S136</f>
        <v>-7.0000000000000007E-2</v>
      </c>
      <c r="T133" s="15">
        <f>+[1]モンスター計算!T136</f>
        <v>0.13</v>
      </c>
      <c r="U133" s="15">
        <f>+[1]モンスター計算!U136</f>
        <v>-0.17</v>
      </c>
      <c r="V133" s="16">
        <f>+[1]モンスター計算!V136</f>
        <v>5.4</v>
      </c>
      <c r="W133" s="31">
        <v>15</v>
      </c>
      <c r="X133" s="28" t="s">
        <v>72</v>
      </c>
      <c r="Y133" s="34" t="s">
        <v>92</v>
      </c>
      <c r="Z133" s="16">
        <v>1.3</v>
      </c>
      <c r="AA133" s="31">
        <v>40</v>
      </c>
      <c r="AB133" s="31">
        <f t="shared" si="2"/>
        <v>128</v>
      </c>
      <c r="AC133" s="48">
        <f t="shared" si="3"/>
        <v>22</v>
      </c>
      <c r="AD133" s="28" t="s">
        <v>55</v>
      </c>
      <c r="AE133" s="15">
        <v>10</v>
      </c>
      <c r="AF133" s="15">
        <v>4</v>
      </c>
      <c r="AG133" s="16" t="b">
        <v>1</v>
      </c>
      <c r="AH133" s="31" t="s">
        <v>1044</v>
      </c>
      <c r="AI133" s="34" t="s">
        <v>1825</v>
      </c>
    </row>
    <row r="134" spans="1:35">
      <c r="A134" s="51" t="s">
        <v>649</v>
      </c>
      <c r="B134" s="11" t="s">
        <v>325</v>
      </c>
      <c r="C134" s="26" t="s">
        <v>45</v>
      </c>
      <c r="D134" s="11" t="s">
        <v>61</v>
      </c>
      <c r="E134" s="26">
        <f>+[1]モンスター計算!E137</f>
        <v>912</v>
      </c>
      <c r="F134" s="10">
        <f>+[1]モンスター計算!F137</f>
        <v>160</v>
      </c>
      <c r="G134" s="10">
        <f>+[1]モンスター計算!G137</f>
        <v>40</v>
      </c>
      <c r="H134" s="10">
        <f>+[1]モンスター計算!H137</f>
        <v>135</v>
      </c>
      <c r="I134" s="10">
        <f>+[1]モンスター計算!I137</f>
        <v>127</v>
      </c>
      <c r="J134" s="11">
        <f>+[1]モンスター計算!J137</f>
        <v>47</v>
      </c>
      <c r="K134" s="26">
        <f>+[1]モンスター計算!K137</f>
        <v>5.5E-2</v>
      </c>
      <c r="L134" s="11">
        <f>+[1]モンスター計算!L137</f>
        <v>1.5</v>
      </c>
      <c r="M134" s="26">
        <f>+[1]モンスター計算!M137</f>
        <v>1.85</v>
      </c>
      <c r="N134" s="10">
        <f>+[1]モンスター計算!N137</f>
        <v>0.87</v>
      </c>
      <c r="O134" s="11">
        <f>+[1]モンスター計算!O137</f>
        <v>2.35</v>
      </c>
      <c r="P134" s="26">
        <f>+[1]モンスター計算!P137</f>
        <v>-3.5000000000000003E-2</v>
      </c>
      <c r="Q134" s="10">
        <f>+[1]モンスター計算!Q137</f>
        <v>0.26500000000000001</v>
      </c>
      <c r="R134" s="10">
        <f>+[1]モンスター計算!R137</f>
        <v>6.5000000000000002E-2</v>
      </c>
      <c r="S134" s="10">
        <f>+[1]モンスター計算!S137</f>
        <v>6.5000000000000002E-2</v>
      </c>
      <c r="T134" s="10">
        <f>+[1]モンスター計算!T137</f>
        <v>6.5000000000000002E-2</v>
      </c>
      <c r="U134" s="10">
        <f>+[1]モンスター計算!U137</f>
        <v>6.5000000000000002E-2</v>
      </c>
      <c r="V134" s="11">
        <f>+[1]モンスター計算!V137</f>
        <v>4.2</v>
      </c>
      <c r="W134" s="29">
        <v>8</v>
      </c>
      <c r="X134" s="26" t="s">
        <v>109</v>
      </c>
      <c r="Y134" s="32" t="s">
        <v>87</v>
      </c>
      <c r="Z134" s="11">
        <v>1.2</v>
      </c>
      <c r="AA134" s="29">
        <v>5</v>
      </c>
      <c r="AB134" s="29">
        <f t="shared" si="2"/>
        <v>44</v>
      </c>
      <c r="AC134" s="46">
        <f t="shared" si="3"/>
        <v>23</v>
      </c>
      <c r="AD134" s="26" t="s">
        <v>51</v>
      </c>
      <c r="AE134" s="10">
        <v>7</v>
      </c>
      <c r="AF134" s="10">
        <v>3</v>
      </c>
      <c r="AG134" s="11" t="b">
        <v>1</v>
      </c>
      <c r="AH134" s="29" t="s">
        <v>1045</v>
      </c>
      <c r="AI134" s="32" t="s">
        <v>1825</v>
      </c>
    </row>
    <row r="135" spans="1:35">
      <c r="A135" s="52" t="s">
        <v>650</v>
      </c>
      <c r="B135" s="13" t="s">
        <v>326</v>
      </c>
      <c r="C135" s="27" t="s">
        <v>44</v>
      </c>
      <c r="D135" s="13" t="s">
        <v>61</v>
      </c>
      <c r="E135" s="27">
        <f>+[1]モンスター計算!E138</f>
        <v>668</v>
      </c>
      <c r="F135" s="5">
        <f>+[1]モンスター計算!F138</f>
        <v>107</v>
      </c>
      <c r="G135" s="5">
        <f>+[1]モンスター計算!G138</f>
        <v>82</v>
      </c>
      <c r="H135" s="5">
        <f>+[1]モンスター計算!H138</f>
        <v>182</v>
      </c>
      <c r="I135" s="5">
        <f>+[1]モンスター計算!I138</f>
        <v>55</v>
      </c>
      <c r="J135" s="13">
        <f>+[1]モンスター計算!J138</f>
        <v>65</v>
      </c>
      <c r="K135" s="27">
        <f>+[1]モンスター計算!K138</f>
        <v>0.05</v>
      </c>
      <c r="L135" s="13">
        <f>+[1]モンスター計算!L138</f>
        <v>1.5</v>
      </c>
      <c r="M135" s="27">
        <f>+[1]モンスター計算!M138</f>
        <v>2</v>
      </c>
      <c r="N135" s="5">
        <f>+[1]モンスター計算!N138</f>
        <v>1</v>
      </c>
      <c r="O135" s="13">
        <f>+[1]モンスター計算!O138</f>
        <v>2.5</v>
      </c>
      <c r="P135" s="27">
        <f>+[1]モンスター計算!P138</f>
        <v>0.18000000000000002</v>
      </c>
      <c r="Q135" s="5">
        <f>+[1]モンスター計算!Q138</f>
        <v>-0.12000000000000001</v>
      </c>
      <c r="R135" s="5">
        <f>+[1]モンスター計算!R138</f>
        <v>-0.02</v>
      </c>
      <c r="S135" s="5">
        <f>+[1]モンスター計算!S138</f>
        <v>-0.02</v>
      </c>
      <c r="T135" s="5">
        <f>+[1]モンスター計算!T138</f>
        <v>-0.02</v>
      </c>
      <c r="U135" s="5">
        <f>+[1]モンスター計算!U138</f>
        <v>-0.02</v>
      </c>
      <c r="V135" s="13">
        <f>+[1]モンスター計算!V138</f>
        <v>4</v>
      </c>
      <c r="W135" s="30">
        <v>8</v>
      </c>
      <c r="X135" s="27" t="s">
        <v>64</v>
      </c>
      <c r="Y135" s="33" t="s">
        <v>88</v>
      </c>
      <c r="Z135" s="13">
        <v>1.2</v>
      </c>
      <c r="AA135" s="30">
        <v>7</v>
      </c>
      <c r="AB135" s="30">
        <f t="shared" si="2"/>
        <v>50</v>
      </c>
      <c r="AC135" s="47">
        <f t="shared" si="3"/>
        <v>23</v>
      </c>
      <c r="AD135" s="27" t="s">
        <v>49</v>
      </c>
      <c r="AE135" s="5">
        <v>7.5</v>
      </c>
      <c r="AF135" s="5">
        <v>3</v>
      </c>
      <c r="AG135" s="13" t="b">
        <v>1</v>
      </c>
      <c r="AH135" s="30" t="s">
        <v>1046</v>
      </c>
      <c r="AI135" s="33" t="s">
        <v>1825</v>
      </c>
    </row>
    <row r="136" spans="1:35">
      <c r="A136" s="52" t="s">
        <v>651</v>
      </c>
      <c r="B136" s="13" t="s">
        <v>327</v>
      </c>
      <c r="C136" s="27" t="s">
        <v>46</v>
      </c>
      <c r="D136" s="13" t="s">
        <v>61</v>
      </c>
      <c r="E136" s="27">
        <f>+[1]モンスター計算!E139</f>
        <v>895</v>
      </c>
      <c r="F136" s="5">
        <f>+[1]モンスター計算!F139</f>
        <v>125</v>
      </c>
      <c r="G136" s="5">
        <f>+[1]モンスター計算!G139</f>
        <v>57</v>
      </c>
      <c r="H136" s="5">
        <f>+[1]モンスター計算!H139</f>
        <v>126</v>
      </c>
      <c r="I136" s="5">
        <f>+[1]モンスター計算!I139</f>
        <v>72</v>
      </c>
      <c r="J136" s="13">
        <f>+[1]モンスター計算!J139</f>
        <v>72</v>
      </c>
      <c r="K136" s="27">
        <f>+[1]モンスター計算!K139</f>
        <v>7.0000000000000007E-2</v>
      </c>
      <c r="L136" s="13">
        <f>+[1]モンスター計算!L139</f>
        <v>1.55</v>
      </c>
      <c r="M136" s="27">
        <f>+[1]モンスター計算!M139</f>
        <v>2.4</v>
      </c>
      <c r="N136" s="5">
        <f>+[1]モンスター計算!N139</f>
        <v>1</v>
      </c>
      <c r="O136" s="13">
        <f>+[1]モンスター計算!O139</f>
        <v>2.5</v>
      </c>
      <c r="P136" s="27">
        <f>+[1]モンスター計算!P139</f>
        <v>0.02</v>
      </c>
      <c r="Q136" s="5">
        <f>+[1]モンスター計算!Q139</f>
        <v>0.02</v>
      </c>
      <c r="R136" s="5">
        <f>+[1]モンスター計算!R139</f>
        <v>0.22</v>
      </c>
      <c r="S136" s="5">
        <f>+[1]モンスター計算!S139</f>
        <v>-0.08</v>
      </c>
      <c r="T136" s="5">
        <f>+[1]モンスター計算!T139</f>
        <v>0.02</v>
      </c>
      <c r="U136" s="5">
        <f>+[1]モンスター計算!U139</f>
        <v>0.02</v>
      </c>
      <c r="V136" s="13">
        <f>+[1]モンスター計算!V139</f>
        <v>4</v>
      </c>
      <c r="W136" s="30">
        <v>9</v>
      </c>
      <c r="X136" s="27" t="s">
        <v>66</v>
      </c>
      <c r="Y136" s="33" t="s">
        <v>89</v>
      </c>
      <c r="Z136" s="13">
        <v>1.22</v>
      </c>
      <c r="AA136" s="30">
        <v>10</v>
      </c>
      <c r="AB136" s="30">
        <f t="shared" si="2"/>
        <v>59</v>
      </c>
      <c r="AC136" s="47">
        <f t="shared" si="3"/>
        <v>23</v>
      </c>
      <c r="AD136" s="27" t="s">
        <v>53</v>
      </c>
      <c r="AE136" s="5">
        <v>8.5</v>
      </c>
      <c r="AF136" s="5">
        <v>3</v>
      </c>
      <c r="AG136" s="13" t="b">
        <v>1</v>
      </c>
      <c r="AH136" s="30" t="s">
        <v>1047</v>
      </c>
      <c r="AI136" s="33" t="s">
        <v>1825</v>
      </c>
    </row>
    <row r="137" spans="1:35">
      <c r="A137" s="52" t="s">
        <v>652</v>
      </c>
      <c r="B137" s="13" t="s">
        <v>328</v>
      </c>
      <c r="C137" s="27" t="s">
        <v>44</v>
      </c>
      <c r="D137" s="13" t="s">
        <v>59</v>
      </c>
      <c r="E137" s="27">
        <f>+[1]モンスター計算!E140</f>
        <v>749</v>
      </c>
      <c r="F137" s="5">
        <f>+[1]モンスター計算!F140</f>
        <v>47</v>
      </c>
      <c r="G137" s="5">
        <f>+[1]モンスター計算!G140</f>
        <v>180</v>
      </c>
      <c r="H137" s="5">
        <f>+[1]モンスター計算!H140</f>
        <v>65</v>
      </c>
      <c r="I137" s="5">
        <f>+[1]モンスター計算!I140</f>
        <v>60</v>
      </c>
      <c r="J137" s="13">
        <f>+[1]モンスター計算!J140</f>
        <v>55</v>
      </c>
      <c r="K137" s="27">
        <f>+[1]モンスター計算!K140</f>
        <v>7.0000000000000007E-2</v>
      </c>
      <c r="L137" s="13">
        <f>+[1]モンスター計算!L140</f>
        <v>1.6</v>
      </c>
      <c r="M137" s="27">
        <f>+[1]モンスター計算!M140</f>
        <v>2.4500000000000002</v>
      </c>
      <c r="N137" s="5">
        <f>+[1]モンスター計算!N140</f>
        <v>0.94</v>
      </c>
      <c r="O137" s="13">
        <f>+[1]モンスター計算!O140</f>
        <v>1</v>
      </c>
      <c r="P137" s="27">
        <f>+[1]モンスター計算!P140</f>
        <v>0.16500000000000001</v>
      </c>
      <c r="Q137" s="5">
        <f>+[1]モンスター計算!Q140</f>
        <v>-0.13500000000000001</v>
      </c>
      <c r="R137" s="5">
        <f>+[1]モンスター計算!R140</f>
        <v>-3.5000000000000003E-2</v>
      </c>
      <c r="S137" s="5">
        <f>+[1]モンスター計算!S140</f>
        <v>-3.5000000000000003E-2</v>
      </c>
      <c r="T137" s="5">
        <f>+[1]モンスター計算!T140</f>
        <v>-3.5000000000000003E-2</v>
      </c>
      <c r="U137" s="5">
        <f>+[1]モンスター計算!U140</f>
        <v>-3.5000000000000003E-2</v>
      </c>
      <c r="V137" s="13">
        <f>+[1]モンスター計算!V140</f>
        <v>5.6</v>
      </c>
      <c r="W137" s="30">
        <v>10</v>
      </c>
      <c r="X137" s="27" t="s">
        <v>68</v>
      </c>
      <c r="Y137" s="33" t="s">
        <v>90</v>
      </c>
      <c r="Z137" s="13">
        <v>1.25</v>
      </c>
      <c r="AA137" s="30">
        <v>15</v>
      </c>
      <c r="AB137" s="30">
        <f t="shared" ref="AB137:AB200" si="4">ROUNDUP(AB131*1.05,0)</f>
        <v>78</v>
      </c>
      <c r="AC137" s="47">
        <f t="shared" ref="AC137:AC200" si="5">+AC131+1</f>
        <v>23</v>
      </c>
      <c r="AD137" s="27" t="s">
        <v>74</v>
      </c>
      <c r="AE137" s="5">
        <v>0</v>
      </c>
      <c r="AF137" s="5">
        <v>0</v>
      </c>
      <c r="AG137" s="13" t="b">
        <v>0</v>
      </c>
      <c r="AH137" s="30" t="s">
        <v>1048</v>
      </c>
      <c r="AI137" s="33" t="s">
        <v>1825</v>
      </c>
    </row>
    <row r="138" spans="1:35">
      <c r="A138" s="52" t="s">
        <v>653</v>
      </c>
      <c r="B138" s="13" t="s">
        <v>329</v>
      </c>
      <c r="C138" s="27" t="s">
        <v>45</v>
      </c>
      <c r="D138" s="13" t="s">
        <v>59</v>
      </c>
      <c r="E138" s="27">
        <f>+[1]モンスター計算!E141</f>
        <v>977</v>
      </c>
      <c r="F138" s="5">
        <f>+[1]モンスター計算!F141</f>
        <v>59</v>
      </c>
      <c r="G138" s="5">
        <f>+[1]モンスター計算!G141</f>
        <v>112</v>
      </c>
      <c r="H138" s="5">
        <f>+[1]モンスター計算!H141</f>
        <v>42</v>
      </c>
      <c r="I138" s="5">
        <f>+[1]モンスター計算!I141</f>
        <v>49</v>
      </c>
      <c r="J138" s="13">
        <f>+[1]モンスター計算!J141</f>
        <v>137</v>
      </c>
      <c r="K138" s="27">
        <f>+[1]モンスター計算!K141</f>
        <v>0.05</v>
      </c>
      <c r="L138" s="13">
        <f>+[1]モンスター計算!L141</f>
        <v>1.47</v>
      </c>
      <c r="M138" s="27">
        <f>+[1]モンスター計算!M141</f>
        <v>2.4500000000000002</v>
      </c>
      <c r="N138" s="5">
        <f>+[1]モンスター計算!N141</f>
        <v>1</v>
      </c>
      <c r="O138" s="13">
        <f>+[1]モンスター計算!O141</f>
        <v>1</v>
      </c>
      <c r="P138" s="27">
        <f>+[1]モンスター計算!P141</f>
        <v>-3.5000000000000003E-2</v>
      </c>
      <c r="Q138" s="5">
        <f>+[1]モンスター計算!Q141</f>
        <v>0.26500000000000001</v>
      </c>
      <c r="R138" s="5">
        <f>+[1]モンスター計算!R141</f>
        <v>6.5000000000000002E-2</v>
      </c>
      <c r="S138" s="5">
        <f>+[1]モンスター計算!S141</f>
        <v>6.5000000000000002E-2</v>
      </c>
      <c r="T138" s="5">
        <f>+[1]モンスター計算!T141</f>
        <v>6.5000000000000002E-2</v>
      </c>
      <c r="U138" s="5">
        <f>+[1]モンスター計算!U141</f>
        <v>6.5000000000000002E-2</v>
      </c>
      <c r="V138" s="13">
        <f>+[1]モンスター計算!V141</f>
        <v>4.2</v>
      </c>
      <c r="W138" s="30">
        <v>11</v>
      </c>
      <c r="X138" s="27" t="s">
        <v>70</v>
      </c>
      <c r="Y138" s="33" t="s">
        <v>91</v>
      </c>
      <c r="Z138" s="13">
        <v>1.25</v>
      </c>
      <c r="AA138" s="30">
        <v>20</v>
      </c>
      <c r="AB138" s="30">
        <f t="shared" si="4"/>
        <v>92</v>
      </c>
      <c r="AC138" s="47">
        <f t="shared" si="5"/>
        <v>23</v>
      </c>
      <c r="AD138" s="27" t="s">
        <v>74</v>
      </c>
      <c r="AE138" s="5">
        <v>0</v>
      </c>
      <c r="AF138" s="5">
        <v>0</v>
      </c>
      <c r="AG138" s="13" t="b">
        <v>0</v>
      </c>
      <c r="AH138" s="30" t="s">
        <v>1049</v>
      </c>
      <c r="AI138" s="33" t="s">
        <v>1825</v>
      </c>
    </row>
    <row r="139" spans="1:35" ht="19.5" thickBot="1">
      <c r="A139" s="53" t="s">
        <v>654</v>
      </c>
      <c r="B139" s="16" t="s">
        <v>330</v>
      </c>
      <c r="C139" s="28" t="s">
        <v>47</v>
      </c>
      <c r="D139" s="16" t="s">
        <v>61</v>
      </c>
      <c r="E139" s="28">
        <f>+[1]モンスター計算!E142</f>
        <v>1221</v>
      </c>
      <c r="F139" s="15">
        <f>+[1]モンスター計算!F142</f>
        <v>148</v>
      </c>
      <c r="G139" s="15">
        <f>+[1]モンスター計算!G142</f>
        <v>30</v>
      </c>
      <c r="H139" s="15">
        <f>+[1]モンスター計算!H142</f>
        <v>66</v>
      </c>
      <c r="I139" s="15">
        <f>+[1]モンスター計算!I142</f>
        <v>98</v>
      </c>
      <c r="J139" s="16">
        <f>+[1]モンスター計算!J142</f>
        <v>91</v>
      </c>
      <c r="K139" s="28">
        <f>+[1]モンスター計算!K142</f>
        <v>0.1</v>
      </c>
      <c r="L139" s="16">
        <f>+[1]モンスター計算!L142</f>
        <v>1.75</v>
      </c>
      <c r="M139" s="28">
        <f>+[1]モンスター計算!M142</f>
        <v>2.4</v>
      </c>
      <c r="N139" s="15">
        <f>+[1]モンスター計算!N142</f>
        <v>1.2</v>
      </c>
      <c r="O139" s="16">
        <f>+[1]モンスター計算!O142</f>
        <v>3</v>
      </c>
      <c r="P139" s="28">
        <f>+[1]モンスター計算!P142</f>
        <v>0.08</v>
      </c>
      <c r="Q139" s="15">
        <f>+[1]モンスター計算!Q142</f>
        <v>0.08</v>
      </c>
      <c r="R139" s="15">
        <f>+[1]モンスター計算!R142</f>
        <v>0.08</v>
      </c>
      <c r="S139" s="15">
        <f>+[1]モンスター計算!S142</f>
        <v>0.08</v>
      </c>
      <c r="T139" s="15">
        <f>+[1]モンスター計算!T142</f>
        <v>0.28000000000000003</v>
      </c>
      <c r="U139" s="15">
        <f>+[1]モンスター計算!U142</f>
        <v>-2.0000000000000004E-2</v>
      </c>
      <c r="V139" s="16">
        <f>+[1]モンスター計算!V142</f>
        <v>4</v>
      </c>
      <c r="W139" s="31">
        <v>15</v>
      </c>
      <c r="X139" s="28" t="s">
        <v>72</v>
      </c>
      <c r="Y139" s="34" t="s">
        <v>92</v>
      </c>
      <c r="Z139" s="16">
        <v>1.3</v>
      </c>
      <c r="AA139" s="31">
        <v>40</v>
      </c>
      <c r="AB139" s="31">
        <f t="shared" si="4"/>
        <v>135</v>
      </c>
      <c r="AC139" s="48">
        <f t="shared" si="5"/>
        <v>23</v>
      </c>
      <c r="AD139" s="28" t="s">
        <v>55</v>
      </c>
      <c r="AE139" s="15">
        <v>10</v>
      </c>
      <c r="AF139" s="15">
        <v>4</v>
      </c>
      <c r="AG139" s="16" t="b">
        <v>1</v>
      </c>
      <c r="AH139" s="31" t="s">
        <v>1050</v>
      </c>
      <c r="AI139" s="34" t="s">
        <v>1825</v>
      </c>
    </row>
    <row r="140" spans="1:35">
      <c r="A140" s="51" t="s">
        <v>655</v>
      </c>
      <c r="B140" s="11" t="s">
        <v>331</v>
      </c>
      <c r="C140" s="26" t="s">
        <v>45</v>
      </c>
      <c r="D140" s="11" t="s">
        <v>61</v>
      </c>
      <c r="E140" s="26">
        <f>+[1]モンスター計算!E143</f>
        <v>492</v>
      </c>
      <c r="F140" s="10">
        <f>+[1]モンスター計算!F143</f>
        <v>196</v>
      </c>
      <c r="G140" s="10">
        <f>+[1]モンスター計算!G143</f>
        <v>92</v>
      </c>
      <c r="H140" s="10">
        <f>+[1]モンスター計算!H143</f>
        <v>256</v>
      </c>
      <c r="I140" s="10">
        <f>+[1]モンスター計算!I143</f>
        <v>104</v>
      </c>
      <c r="J140" s="11">
        <f>+[1]モンスター計算!J143</f>
        <v>161</v>
      </c>
      <c r="K140" s="26">
        <f>+[1]モンスター計算!K143</f>
        <v>0.04</v>
      </c>
      <c r="L140" s="11">
        <f>+[1]モンスター計算!L143</f>
        <v>1.38</v>
      </c>
      <c r="M140" s="26">
        <f>+[1]モンスター計算!M143</f>
        <v>2.2000000000000002</v>
      </c>
      <c r="N140" s="10">
        <f>+[1]モンスター計算!N143</f>
        <v>0.88</v>
      </c>
      <c r="O140" s="11">
        <f>+[1]モンスター計算!O143</f>
        <v>3.15</v>
      </c>
      <c r="P140" s="26">
        <f>+[1]モンスター計算!P143</f>
        <v>0.03</v>
      </c>
      <c r="Q140" s="10">
        <f>+[1]モンスター計算!Q143</f>
        <v>0.33</v>
      </c>
      <c r="R140" s="10">
        <f>+[1]モンスター計算!R143</f>
        <v>0.13</v>
      </c>
      <c r="S140" s="10">
        <f>+[1]モンスター計算!S143</f>
        <v>0.13</v>
      </c>
      <c r="T140" s="10">
        <f>+[1]モンスター計算!T143</f>
        <v>0.13</v>
      </c>
      <c r="U140" s="10">
        <f>+[1]モンスター計算!U143</f>
        <v>0.13</v>
      </c>
      <c r="V140" s="11">
        <f>+[1]モンスター計算!V143</f>
        <v>4.4800000000000004</v>
      </c>
      <c r="W140" s="29">
        <v>8</v>
      </c>
      <c r="X140" s="26" t="s">
        <v>109</v>
      </c>
      <c r="Y140" s="32" t="s">
        <v>87</v>
      </c>
      <c r="Z140" s="11">
        <v>1.2</v>
      </c>
      <c r="AA140" s="29">
        <v>5</v>
      </c>
      <c r="AB140" s="29">
        <f t="shared" si="4"/>
        <v>47</v>
      </c>
      <c r="AC140" s="46">
        <f t="shared" si="5"/>
        <v>24</v>
      </c>
      <c r="AD140" s="26" t="s">
        <v>51</v>
      </c>
      <c r="AE140" s="10">
        <v>7</v>
      </c>
      <c r="AF140" s="10">
        <v>3</v>
      </c>
      <c r="AG140" s="11" t="b">
        <v>1</v>
      </c>
      <c r="AH140" s="29" t="s">
        <v>1051</v>
      </c>
      <c r="AI140" s="32" t="s">
        <v>1825</v>
      </c>
    </row>
    <row r="141" spans="1:35">
      <c r="A141" s="52" t="s">
        <v>656</v>
      </c>
      <c r="B141" s="13" t="s">
        <v>332</v>
      </c>
      <c r="C141" s="27" t="s">
        <v>44</v>
      </c>
      <c r="D141" s="13" t="s">
        <v>61</v>
      </c>
      <c r="E141" s="27">
        <f>+[1]モンスター計算!E144</f>
        <v>895</v>
      </c>
      <c r="F141" s="5">
        <f>+[1]モンスター計算!F144</f>
        <v>189</v>
      </c>
      <c r="G141" s="5">
        <f>+[1]モンスター計算!G144</f>
        <v>72</v>
      </c>
      <c r="H141" s="5">
        <f>+[1]モンスター計算!H144</f>
        <v>160</v>
      </c>
      <c r="I141" s="5">
        <f>+[1]モンスター計算!I144</f>
        <v>72</v>
      </c>
      <c r="J141" s="13">
        <f>+[1]モンスター計算!J144</f>
        <v>86</v>
      </c>
      <c r="K141" s="27">
        <f>+[1]モンスター計算!K144</f>
        <v>0.06</v>
      </c>
      <c r="L141" s="13">
        <f>+[1]モンスター計算!L144</f>
        <v>1.4</v>
      </c>
      <c r="M141" s="27">
        <f>+[1]モンスター計算!M144</f>
        <v>2.1</v>
      </c>
      <c r="N141" s="5">
        <f>+[1]モンスター計算!N144</f>
        <v>0.95</v>
      </c>
      <c r="O141" s="13">
        <f>+[1]モンスター計算!O144</f>
        <v>2.875</v>
      </c>
      <c r="P141" s="27">
        <f>+[1]モンスター計算!P144</f>
        <v>0.23</v>
      </c>
      <c r="Q141" s="5">
        <f>+[1]モンスター計算!Q144</f>
        <v>-7.0000000000000007E-2</v>
      </c>
      <c r="R141" s="5">
        <f>+[1]モンスター計算!R144</f>
        <v>0.03</v>
      </c>
      <c r="S141" s="5">
        <f>+[1]モンスター計算!S144</f>
        <v>0.03</v>
      </c>
      <c r="T141" s="5">
        <f>+[1]モンスター計算!T144</f>
        <v>0.03</v>
      </c>
      <c r="U141" s="5">
        <f>+[1]モンスター計算!U144</f>
        <v>0.03</v>
      </c>
      <c r="V141" s="13">
        <f>+[1]モンスター計算!V144</f>
        <v>4.8</v>
      </c>
      <c r="W141" s="30">
        <v>8</v>
      </c>
      <c r="X141" s="27" t="s">
        <v>64</v>
      </c>
      <c r="Y141" s="33" t="s">
        <v>88</v>
      </c>
      <c r="Z141" s="13">
        <v>1.2</v>
      </c>
      <c r="AA141" s="30">
        <v>7</v>
      </c>
      <c r="AB141" s="30">
        <f t="shared" si="4"/>
        <v>53</v>
      </c>
      <c r="AC141" s="47">
        <f t="shared" si="5"/>
        <v>24</v>
      </c>
      <c r="AD141" s="27" t="s">
        <v>49</v>
      </c>
      <c r="AE141" s="5">
        <v>7.5</v>
      </c>
      <c r="AF141" s="5">
        <v>3</v>
      </c>
      <c r="AG141" s="13" t="b">
        <v>1</v>
      </c>
      <c r="AH141" s="30" t="s">
        <v>1052</v>
      </c>
      <c r="AI141" s="33" t="s">
        <v>1825</v>
      </c>
    </row>
    <row r="142" spans="1:35">
      <c r="A142" s="52" t="s">
        <v>657</v>
      </c>
      <c r="B142" s="13" t="s">
        <v>333</v>
      </c>
      <c r="C142" s="27" t="s">
        <v>46</v>
      </c>
      <c r="D142" s="13" t="s">
        <v>61</v>
      </c>
      <c r="E142" s="27">
        <f>+[1]モンスター計算!E145</f>
        <v>860</v>
      </c>
      <c r="F142" s="5">
        <f>+[1]モンスター計算!F145</f>
        <v>144</v>
      </c>
      <c r="G142" s="5">
        <f>+[1]モンスター計算!G145</f>
        <v>47</v>
      </c>
      <c r="H142" s="5">
        <f>+[1]モンスター計算!H145</f>
        <v>170</v>
      </c>
      <c r="I142" s="5">
        <f>+[1]モンスター計算!I145</f>
        <v>59</v>
      </c>
      <c r="J142" s="13">
        <f>+[1]モンスター計算!J145</f>
        <v>65</v>
      </c>
      <c r="K142" s="27">
        <f>+[1]モンスター計算!K145</f>
        <v>0.06</v>
      </c>
      <c r="L142" s="13">
        <f>+[1]モンスター計算!L145</f>
        <v>1.6</v>
      </c>
      <c r="M142" s="27">
        <f>+[1]モンスター計算!M145</f>
        <v>2.25</v>
      </c>
      <c r="N142" s="5">
        <f>+[1]モンスター計算!N145</f>
        <v>0.91</v>
      </c>
      <c r="O142" s="13">
        <f>+[1]モンスター計算!O145</f>
        <v>4.75</v>
      </c>
      <c r="P142" s="27">
        <f>+[1]モンスター計算!P145</f>
        <v>-0.02</v>
      </c>
      <c r="Q142" s="5">
        <f>+[1]モンスター計算!Q145</f>
        <v>-0.02</v>
      </c>
      <c r="R142" s="5">
        <f>+[1]モンスター計算!R145</f>
        <v>0.18000000000000002</v>
      </c>
      <c r="S142" s="5">
        <f>+[1]モンスター計算!S145</f>
        <v>-0.12000000000000001</v>
      </c>
      <c r="T142" s="5">
        <f>+[1]モンスター計算!T145</f>
        <v>-0.02</v>
      </c>
      <c r="U142" s="5">
        <f>+[1]モンスター計算!U145</f>
        <v>-0.02</v>
      </c>
      <c r="V142" s="13">
        <f>+[1]モンスター計算!V145</f>
        <v>6.6</v>
      </c>
      <c r="W142" s="30">
        <v>9</v>
      </c>
      <c r="X142" s="27" t="s">
        <v>66</v>
      </c>
      <c r="Y142" s="33" t="s">
        <v>89</v>
      </c>
      <c r="Z142" s="13">
        <v>1.22</v>
      </c>
      <c r="AA142" s="30">
        <v>10</v>
      </c>
      <c r="AB142" s="30">
        <f t="shared" si="4"/>
        <v>62</v>
      </c>
      <c r="AC142" s="47">
        <f t="shared" si="5"/>
        <v>24</v>
      </c>
      <c r="AD142" s="27" t="s">
        <v>53</v>
      </c>
      <c r="AE142" s="5">
        <v>8.5</v>
      </c>
      <c r="AF142" s="5">
        <v>3</v>
      </c>
      <c r="AG142" s="13" t="b">
        <v>1</v>
      </c>
      <c r="AH142" s="30" t="s">
        <v>1053</v>
      </c>
      <c r="AI142" s="33" t="s">
        <v>1825</v>
      </c>
    </row>
    <row r="143" spans="1:35">
      <c r="A143" s="52" t="s">
        <v>658</v>
      </c>
      <c r="B143" s="13" t="s">
        <v>334</v>
      </c>
      <c r="C143" s="27" t="s">
        <v>44</v>
      </c>
      <c r="D143" s="13" t="s">
        <v>59</v>
      </c>
      <c r="E143" s="27">
        <f>+[1]モンスター計算!E146</f>
        <v>779</v>
      </c>
      <c r="F143" s="5">
        <f>+[1]モンスター計算!F146</f>
        <v>42</v>
      </c>
      <c r="G143" s="5">
        <f>+[1]モンスター計算!G146</f>
        <v>158</v>
      </c>
      <c r="H143" s="5">
        <f>+[1]モンスター計算!H146</f>
        <v>46</v>
      </c>
      <c r="I143" s="5">
        <f>+[1]モンスター計算!I146</f>
        <v>62</v>
      </c>
      <c r="J143" s="13">
        <f>+[1]モンスター計算!J146</f>
        <v>55</v>
      </c>
      <c r="K143" s="27">
        <f>+[1]モンスター計算!K146</f>
        <v>0.27</v>
      </c>
      <c r="L143" s="13">
        <f>+[1]モンスター計算!L146</f>
        <v>2.0299999999999998</v>
      </c>
      <c r="M143" s="27">
        <f>+[1]モンスター計算!M146</f>
        <v>2.75</v>
      </c>
      <c r="N143" s="5">
        <f>+[1]モンスター計算!N146</f>
        <v>1.04</v>
      </c>
      <c r="O143" s="13">
        <f>+[1]モンスター計算!O146</f>
        <v>1</v>
      </c>
      <c r="P143" s="27">
        <f>+[1]モンスター計算!P146</f>
        <v>0.14000000000000001</v>
      </c>
      <c r="Q143" s="5">
        <f>+[1]モンスター計算!Q146</f>
        <v>-0.16</v>
      </c>
      <c r="R143" s="5">
        <f>+[1]モンスター計算!R146</f>
        <v>-0.06</v>
      </c>
      <c r="S143" s="5">
        <f>+[1]モンスター計算!S146</f>
        <v>-0.06</v>
      </c>
      <c r="T143" s="5">
        <f>+[1]モンスター計算!T146</f>
        <v>-0.06</v>
      </c>
      <c r="U143" s="5">
        <f>+[1]モンスター計算!U146</f>
        <v>-0.06</v>
      </c>
      <c r="V143" s="13">
        <f>+[1]モンスター計算!V146</f>
        <v>4.2</v>
      </c>
      <c r="W143" s="30">
        <v>10</v>
      </c>
      <c r="X143" s="27" t="s">
        <v>68</v>
      </c>
      <c r="Y143" s="33" t="s">
        <v>90</v>
      </c>
      <c r="Z143" s="13">
        <v>1.25</v>
      </c>
      <c r="AA143" s="30">
        <v>15</v>
      </c>
      <c r="AB143" s="30">
        <f t="shared" si="4"/>
        <v>82</v>
      </c>
      <c r="AC143" s="47">
        <f t="shared" si="5"/>
        <v>24</v>
      </c>
      <c r="AD143" s="27" t="s">
        <v>74</v>
      </c>
      <c r="AE143" s="5">
        <v>0</v>
      </c>
      <c r="AF143" s="5">
        <v>0</v>
      </c>
      <c r="AG143" s="13" t="b">
        <v>0</v>
      </c>
      <c r="AH143" s="30" t="s">
        <v>1054</v>
      </c>
      <c r="AI143" s="33" t="s">
        <v>1825</v>
      </c>
    </row>
    <row r="144" spans="1:35">
      <c r="A144" s="52" t="s">
        <v>659</v>
      </c>
      <c r="B144" s="13" t="s">
        <v>335</v>
      </c>
      <c r="C144" s="27" t="s">
        <v>45</v>
      </c>
      <c r="D144" s="13" t="s">
        <v>59</v>
      </c>
      <c r="E144" s="27">
        <f>+[1]モンスター計算!E147</f>
        <v>824</v>
      </c>
      <c r="F144" s="5">
        <f>+[1]モンスター計算!F147</f>
        <v>58</v>
      </c>
      <c r="G144" s="5">
        <f>+[1]モンスター計算!G147</f>
        <v>172</v>
      </c>
      <c r="H144" s="5">
        <f>+[1]モンスター計算!H147</f>
        <v>77</v>
      </c>
      <c r="I144" s="5">
        <f>+[1]モンスター計算!I147</f>
        <v>68</v>
      </c>
      <c r="J144" s="13">
        <f>+[1]モンスター計算!J147</f>
        <v>75</v>
      </c>
      <c r="K144" s="27">
        <f>+[1]モンスター計算!K147</f>
        <v>0.05</v>
      </c>
      <c r="L144" s="13">
        <f>+[1]モンスター計算!L147</f>
        <v>1.5</v>
      </c>
      <c r="M144" s="27">
        <f>+[1]モンスター計算!M147</f>
        <v>2</v>
      </c>
      <c r="N144" s="5">
        <f>+[1]モンスター計算!N147</f>
        <v>1.05</v>
      </c>
      <c r="O144" s="13">
        <f>+[1]モンスター計算!O147</f>
        <v>1</v>
      </c>
      <c r="P144" s="27">
        <f>+[1]モンスター計算!P147</f>
        <v>-9.0000000000000011E-2</v>
      </c>
      <c r="Q144" s="5">
        <f>+[1]モンスター計算!Q147</f>
        <v>0.21000000000000002</v>
      </c>
      <c r="R144" s="5">
        <f>+[1]モンスター計算!R147</f>
        <v>0.01</v>
      </c>
      <c r="S144" s="5">
        <f>+[1]モンスター計算!S147</f>
        <v>0.01</v>
      </c>
      <c r="T144" s="5">
        <f>+[1]モンスター計算!T147</f>
        <v>0.01</v>
      </c>
      <c r="U144" s="5">
        <f>+[1]モンスター計算!U147</f>
        <v>0.01</v>
      </c>
      <c r="V144" s="13">
        <f>+[1]モンスター計算!V147</f>
        <v>4</v>
      </c>
      <c r="W144" s="30">
        <v>11</v>
      </c>
      <c r="X144" s="27" t="s">
        <v>70</v>
      </c>
      <c r="Y144" s="33" t="s">
        <v>91</v>
      </c>
      <c r="Z144" s="13">
        <v>1.25</v>
      </c>
      <c r="AA144" s="30">
        <v>20</v>
      </c>
      <c r="AB144" s="30">
        <f t="shared" si="4"/>
        <v>97</v>
      </c>
      <c r="AC144" s="47">
        <f t="shared" si="5"/>
        <v>24</v>
      </c>
      <c r="AD144" s="27" t="s">
        <v>74</v>
      </c>
      <c r="AE144" s="5">
        <v>0</v>
      </c>
      <c r="AF144" s="5">
        <v>0</v>
      </c>
      <c r="AG144" s="13" t="b">
        <v>0</v>
      </c>
      <c r="AH144" s="30" t="s">
        <v>1055</v>
      </c>
      <c r="AI144" s="33" t="s">
        <v>1825</v>
      </c>
    </row>
    <row r="145" spans="1:35" ht="19.5" thickBot="1">
      <c r="A145" s="53" t="s">
        <v>660</v>
      </c>
      <c r="B145" s="16" t="s">
        <v>336</v>
      </c>
      <c r="C145" s="28" t="s">
        <v>47</v>
      </c>
      <c r="D145" s="16" t="s">
        <v>61</v>
      </c>
      <c r="E145" s="28">
        <f>+[1]モンスター計算!E148</f>
        <v>600</v>
      </c>
      <c r="F145" s="15">
        <f>+[1]モンスター計算!F148</f>
        <v>144</v>
      </c>
      <c r="G145" s="15">
        <f>+[1]モンスター計算!G148</f>
        <v>66</v>
      </c>
      <c r="H145" s="15">
        <f>+[1]モンスター計算!H148</f>
        <v>284</v>
      </c>
      <c r="I145" s="15">
        <f>+[1]モンスター計算!I148</f>
        <v>47</v>
      </c>
      <c r="J145" s="16">
        <f>+[1]モンスター計算!J148</f>
        <v>57</v>
      </c>
      <c r="K145" s="28">
        <f>+[1]モンスター計算!K148</f>
        <v>0.18</v>
      </c>
      <c r="L145" s="16">
        <f>+[1]モンスター計算!L148</f>
        <v>1.85</v>
      </c>
      <c r="M145" s="28">
        <f>+[1]モンスター計算!M148</f>
        <v>2.0499999999999998</v>
      </c>
      <c r="N145" s="15">
        <f>+[1]モンスター計算!N148</f>
        <v>0.75</v>
      </c>
      <c r="O145" s="16">
        <f>+[1]モンスター計算!O148</f>
        <v>4.45</v>
      </c>
      <c r="P145" s="28">
        <f>+[1]モンスター計算!P148</f>
        <v>-0.06</v>
      </c>
      <c r="Q145" s="15">
        <f>+[1]モンスター計算!Q148</f>
        <v>-0.06</v>
      </c>
      <c r="R145" s="15">
        <f>+[1]モンスター計算!R148</f>
        <v>-0.06</v>
      </c>
      <c r="S145" s="15">
        <f>+[1]モンスター計算!S148</f>
        <v>-0.06</v>
      </c>
      <c r="T145" s="15">
        <f>+[1]モンスター計算!T148</f>
        <v>0.14000000000000001</v>
      </c>
      <c r="U145" s="15">
        <f>+[1]モンスター計算!U148</f>
        <v>-0.16</v>
      </c>
      <c r="V145" s="16">
        <f>+[1]モンスター計算!V148</f>
        <v>5.6</v>
      </c>
      <c r="W145" s="31">
        <v>15</v>
      </c>
      <c r="X145" s="28" t="s">
        <v>72</v>
      </c>
      <c r="Y145" s="34" t="s">
        <v>92</v>
      </c>
      <c r="Z145" s="16">
        <v>1.3</v>
      </c>
      <c r="AA145" s="31">
        <v>40</v>
      </c>
      <c r="AB145" s="31">
        <f t="shared" si="4"/>
        <v>142</v>
      </c>
      <c r="AC145" s="48">
        <f t="shared" si="5"/>
        <v>24</v>
      </c>
      <c r="AD145" s="28" t="s">
        <v>55</v>
      </c>
      <c r="AE145" s="15">
        <v>10</v>
      </c>
      <c r="AF145" s="15">
        <v>4</v>
      </c>
      <c r="AG145" s="16" t="b">
        <v>1</v>
      </c>
      <c r="AH145" s="31" t="s">
        <v>1056</v>
      </c>
      <c r="AI145" s="34" t="s">
        <v>1825</v>
      </c>
    </row>
    <row r="146" spans="1:35">
      <c r="A146" s="51" t="s">
        <v>661</v>
      </c>
      <c r="B146" s="11" t="s">
        <v>337</v>
      </c>
      <c r="C146" s="26" t="s">
        <v>45</v>
      </c>
      <c r="D146" s="11" t="s">
        <v>61</v>
      </c>
      <c r="E146" s="26">
        <f>+[1]モンスター計算!E149</f>
        <v>768</v>
      </c>
      <c r="F146" s="10">
        <f>+[1]モンスター計算!F149</f>
        <v>165</v>
      </c>
      <c r="G146" s="10">
        <f>+[1]モンスター計算!G149</f>
        <v>94</v>
      </c>
      <c r="H146" s="10">
        <f>+[1]モンスター計算!H149</f>
        <v>208</v>
      </c>
      <c r="I146" s="10">
        <f>+[1]モンスター計算!I149</f>
        <v>59</v>
      </c>
      <c r="J146" s="11">
        <f>+[1]モンスター計算!J149</f>
        <v>63</v>
      </c>
      <c r="K146" s="26">
        <f>+[1]モンスター計算!K149</f>
        <v>0.11</v>
      </c>
      <c r="L146" s="11">
        <f>+[1]モンスター計算!L149</f>
        <v>1.65</v>
      </c>
      <c r="M146" s="26">
        <f>+[1]モンスター計算!M149</f>
        <v>2.2000000000000002</v>
      </c>
      <c r="N146" s="10">
        <f>+[1]モンスター計算!N149</f>
        <v>1.1000000000000001</v>
      </c>
      <c r="O146" s="11">
        <f>+[1]モンスター計算!O149</f>
        <v>2.75</v>
      </c>
      <c r="P146" s="26">
        <f>+[1]モンスター計算!P149</f>
        <v>-0.14000000000000001</v>
      </c>
      <c r="Q146" s="10">
        <f>+[1]モンスター計算!Q149</f>
        <v>0.16</v>
      </c>
      <c r="R146" s="10">
        <f>+[1]モンスター計算!R149</f>
        <v>-0.04</v>
      </c>
      <c r="S146" s="10">
        <f>+[1]モンスター計算!S149</f>
        <v>-0.04</v>
      </c>
      <c r="T146" s="10">
        <f>+[1]モンスター計算!T149</f>
        <v>-0.04</v>
      </c>
      <c r="U146" s="10">
        <f>+[1]モンスター計算!U149</f>
        <v>-0.04</v>
      </c>
      <c r="V146" s="11">
        <f>+[1]モンスター計算!V149</f>
        <v>4.2</v>
      </c>
      <c r="W146" s="29">
        <v>8</v>
      </c>
      <c r="X146" s="26" t="s">
        <v>109</v>
      </c>
      <c r="Y146" s="32" t="s">
        <v>87</v>
      </c>
      <c r="Z146" s="11">
        <v>1.2</v>
      </c>
      <c r="AA146" s="29">
        <v>5</v>
      </c>
      <c r="AB146" s="29">
        <f t="shared" si="4"/>
        <v>50</v>
      </c>
      <c r="AC146" s="46">
        <f t="shared" si="5"/>
        <v>25</v>
      </c>
      <c r="AD146" s="26" t="s">
        <v>51</v>
      </c>
      <c r="AE146" s="10">
        <v>7</v>
      </c>
      <c r="AF146" s="10">
        <v>3</v>
      </c>
      <c r="AG146" s="11" t="b">
        <v>1</v>
      </c>
      <c r="AH146" s="29" t="s">
        <v>1057</v>
      </c>
      <c r="AI146" s="32" t="s">
        <v>1825</v>
      </c>
    </row>
    <row r="147" spans="1:35">
      <c r="A147" s="52" t="s">
        <v>662</v>
      </c>
      <c r="B147" s="13" t="s">
        <v>338</v>
      </c>
      <c r="C147" s="27" t="s">
        <v>44</v>
      </c>
      <c r="D147" s="13" t="s">
        <v>61</v>
      </c>
      <c r="E147" s="27">
        <f>+[1]モンスター計算!E150</f>
        <v>1694</v>
      </c>
      <c r="F147" s="5">
        <f>+[1]モンスター計算!F150</f>
        <v>194</v>
      </c>
      <c r="G147" s="5">
        <f>+[1]モンスター計算!G150</f>
        <v>41</v>
      </c>
      <c r="H147" s="5">
        <f>+[1]モンスター計算!H150</f>
        <v>140</v>
      </c>
      <c r="I147" s="5">
        <f>+[1]モンスター計算!I150</f>
        <v>129</v>
      </c>
      <c r="J147" s="13">
        <f>+[1]モンスター計算!J150</f>
        <v>122</v>
      </c>
      <c r="K147" s="27">
        <f>+[1]モンスター計算!K150</f>
        <v>3.5000000000000003E-2</v>
      </c>
      <c r="L147" s="13">
        <f>+[1]モンスター計算!L150</f>
        <v>1.4</v>
      </c>
      <c r="M147" s="27">
        <f>+[1]モンスター計算!M150</f>
        <v>1.5</v>
      </c>
      <c r="N147" s="5">
        <f>+[1]モンスター計算!N150</f>
        <v>0.6</v>
      </c>
      <c r="O147" s="13">
        <f>+[1]モンスター計算!O150</f>
        <v>3.1</v>
      </c>
      <c r="P147" s="27">
        <f>+[1]モンスター計算!P150</f>
        <v>0.32</v>
      </c>
      <c r="Q147" s="5">
        <f>+[1]モンスター計算!Q150</f>
        <v>1.999999999999999E-2</v>
      </c>
      <c r="R147" s="5">
        <f>+[1]モンスター計算!R150</f>
        <v>0.12</v>
      </c>
      <c r="S147" s="5">
        <f>+[1]モンスター計算!S150</f>
        <v>0.12</v>
      </c>
      <c r="T147" s="5">
        <f>+[1]モンスター計算!T150</f>
        <v>0.12</v>
      </c>
      <c r="U147" s="5">
        <f>+[1]モンスター計算!U150</f>
        <v>0.12</v>
      </c>
      <c r="V147" s="13">
        <f>+[1]モンスター計算!V150</f>
        <v>4.12</v>
      </c>
      <c r="W147" s="30">
        <v>8</v>
      </c>
      <c r="X147" s="27" t="s">
        <v>64</v>
      </c>
      <c r="Y147" s="33" t="s">
        <v>88</v>
      </c>
      <c r="Z147" s="13">
        <v>1.2</v>
      </c>
      <c r="AA147" s="30">
        <v>7</v>
      </c>
      <c r="AB147" s="30">
        <f t="shared" si="4"/>
        <v>56</v>
      </c>
      <c r="AC147" s="47">
        <f t="shared" si="5"/>
        <v>25</v>
      </c>
      <c r="AD147" s="27" t="s">
        <v>49</v>
      </c>
      <c r="AE147" s="5">
        <v>7.5</v>
      </c>
      <c r="AF147" s="5">
        <v>3</v>
      </c>
      <c r="AG147" s="13" t="b">
        <v>1</v>
      </c>
      <c r="AH147" s="30" t="s">
        <v>1058</v>
      </c>
      <c r="AI147" s="33" t="s">
        <v>1825</v>
      </c>
    </row>
    <row r="148" spans="1:35">
      <c r="A148" s="52" t="s">
        <v>663</v>
      </c>
      <c r="B148" s="13" t="s">
        <v>339</v>
      </c>
      <c r="C148" s="27" t="s">
        <v>46</v>
      </c>
      <c r="D148" s="13" t="s">
        <v>61</v>
      </c>
      <c r="E148" s="27">
        <f>+[1]モンスター計算!E151</f>
        <v>985</v>
      </c>
      <c r="F148" s="5">
        <f>+[1]モンスター計算!F151</f>
        <v>172</v>
      </c>
      <c r="G148" s="5">
        <f>+[1]モンスター計算!G151</f>
        <v>55</v>
      </c>
      <c r="H148" s="5">
        <f>+[1]モンスター計算!H151</f>
        <v>176</v>
      </c>
      <c r="I148" s="5">
        <f>+[1]モンスター計算!I151</f>
        <v>76</v>
      </c>
      <c r="J148" s="13">
        <f>+[1]モンスター計算!J151</f>
        <v>80</v>
      </c>
      <c r="K148" s="27">
        <f>+[1]モンスター計算!K151</f>
        <v>4.4999999999999998E-2</v>
      </c>
      <c r="L148" s="13">
        <f>+[1]モンスター計算!L151</f>
        <v>1.4</v>
      </c>
      <c r="M148" s="27">
        <f>+[1]モンスター計算!M151</f>
        <v>2.0499999999999998</v>
      </c>
      <c r="N148" s="5">
        <f>+[1]モンスター計算!N151</f>
        <v>0.92</v>
      </c>
      <c r="O148" s="13">
        <f>+[1]モンスター計算!O151</f>
        <v>2.6749999999999998</v>
      </c>
      <c r="P148" s="27">
        <f>+[1]モンスター計算!P151</f>
        <v>0.19</v>
      </c>
      <c r="Q148" s="5">
        <f>+[1]モンスター計算!Q151</f>
        <v>0.19</v>
      </c>
      <c r="R148" s="5">
        <f>+[1]モンスター計算!R151</f>
        <v>0.39</v>
      </c>
      <c r="S148" s="5">
        <f>+[1]モンスター計算!S151</f>
        <v>0.09</v>
      </c>
      <c r="T148" s="5">
        <f>+[1]モンスター計算!T151</f>
        <v>0.19</v>
      </c>
      <c r="U148" s="5">
        <f>+[1]モンスター計算!U151</f>
        <v>0.19</v>
      </c>
      <c r="V148" s="13">
        <f>+[1]モンスター計算!V151</f>
        <v>4</v>
      </c>
      <c r="W148" s="30">
        <v>9</v>
      </c>
      <c r="X148" s="27" t="s">
        <v>66</v>
      </c>
      <c r="Y148" s="33" t="s">
        <v>89</v>
      </c>
      <c r="Z148" s="13">
        <v>1.22</v>
      </c>
      <c r="AA148" s="30">
        <v>10</v>
      </c>
      <c r="AB148" s="30">
        <f t="shared" si="4"/>
        <v>66</v>
      </c>
      <c r="AC148" s="47">
        <f t="shared" si="5"/>
        <v>25</v>
      </c>
      <c r="AD148" s="27" t="s">
        <v>53</v>
      </c>
      <c r="AE148" s="5">
        <v>8.5</v>
      </c>
      <c r="AF148" s="5">
        <v>3</v>
      </c>
      <c r="AG148" s="13" t="b">
        <v>1</v>
      </c>
      <c r="AH148" s="30" t="s">
        <v>1059</v>
      </c>
      <c r="AI148" s="33" t="s">
        <v>1825</v>
      </c>
    </row>
    <row r="149" spans="1:35">
      <c r="A149" s="52" t="s">
        <v>664</v>
      </c>
      <c r="B149" s="13" t="s">
        <v>340</v>
      </c>
      <c r="C149" s="27" t="s">
        <v>44</v>
      </c>
      <c r="D149" s="13" t="s">
        <v>59</v>
      </c>
      <c r="E149" s="27">
        <f>+[1]モンスター計算!E152</f>
        <v>1330</v>
      </c>
      <c r="F149" s="5">
        <f>+[1]モンスター計算!F152</f>
        <v>57</v>
      </c>
      <c r="G149" s="5">
        <f>+[1]モンスター計算!G152</f>
        <v>117</v>
      </c>
      <c r="H149" s="5">
        <f>+[1]モンスター計算!H152</f>
        <v>53</v>
      </c>
      <c r="I149" s="5">
        <f>+[1]モンスター計算!I152</f>
        <v>110</v>
      </c>
      <c r="J149" s="13">
        <f>+[1]モンスター計算!J152</f>
        <v>79</v>
      </c>
      <c r="K149" s="27">
        <f>+[1]モンスター計算!K152</f>
        <v>0.08</v>
      </c>
      <c r="L149" s="13">
        <f>+[1]モンスター計算!L152</f>
        <v>1.6</v>
      </c>
      <c r="M149" s="27">
        <f>+[1]モンスター計算!M152</f>
        <v>2.7</v>
      </c>
      <c r="N149" s="5">
        <f>+[1]モンスター計算!N152</f>
        <v>1.05</v>
      </c>
      <c r="O149" s="13">
        <f>+[1]モンスター計算!O152</f>
        <v>1</v>
      </c>
      <c r="P149" s="27">
        <f>+[1]モンスター計算!P152</f>
        <v>0.26500000000000001</v>
      </c>
      <c r="Q149" s="5">
        <f>+[1]モンスター計算!Q152</f>
        <v>-3.5000000000000003E-2</v>
      </c>
      <c r="R149" s="5">
        <f>+[1]モンスター計算!R152</f>
        <v>6.5000000000000002E-2</v>
      </c>
      <c r="S149" s="5">
        <f>+[1]モンスター計算!S152</f>
        <v>6.5000000000000002E-2</v>
      </c>
      <c r="T149" s="5">
        <f>+[1]モンスター計算!T152</f>
        <v>6.5000000000000002E-2</v>
      </c>
      <c r="U149" s="5">
        <f>+[1]モンスター計算!U152</f>
        <v>6.5000000000000002E-2</v>
      </c>
      <c r="V149" s="13">
        <f>+[1]モンスター計算!V152</f>
        <v>4</v>
      </c>
      <c r="W149" s="30">
        <v>10</v>
      </c>
      <c r="X149" s="27" t="s">
        <v>68</v>
      </c>
      <c r="Y149" s="33" t="s">
        <v>90</v>
      </c>
      <c r="Z149" s="13">
        <v>1.25</v>
      </c>
      <c r="AA149" s="30">
        <v>15</v>
      </c>
      <c r="AB149" s="30">
        <f t="shared" si="4"/>
        <v>87</v>
      </c>
      <c r="AC149" s="47">
        <f t="shared" si="5"/>
        <v>25</v>
      </c>
      <c r="AD149" s="27" t="s">
        <v>74</v>
      </c>
      <c r="AE149" s="5">
        <v>0</v>
      </c>
      <c r="AF149" s="5">
        <v>0</v>
      </c>
      <c r="AG149" s="13" t="b">
        <v>0</v>
      </c>
      <c r="AH149" s="30" t="s">
        <v>1060</v>
      </c>
      <c r="AI149" s="33" t="s">
        <v>1825</v>
      </c>
    </row>
    <row r="150" spans="1:35">
      <c r="A150" s="52" t="s">
        <v>665</v>
      </c>
      <c r="B150" s="13" t="s">
        <v>341</v>
      </c>
      <c r="C150" s="27" t="s">
        <v>45</v>
      </c>
      <c r="D150" s="13" t="s">
        <v>59</v>
      </c>
      <c r="E150" s="27">
        <f>+[1]モンスター計算!E153</f>
        <v>788</v>
      </c>
      <c r="F150" s="5">
        <f>+[1]モンスター計算!F153</f>
        <v>48</v>
      </c>
      <c r="G150" s="5">
        <f>+[1]モンスター計算!G153</f>
        <v>218</v>
      </c>
      <c r="H150" s="5">
        <f>+[1]モンスター計算!H153</f>
        <v>75</v>
      </c>
      <c r="I150" s="5">
        <f>+[1]モンスター計算!I153</f>
        <v>65</v>
      </c>
      <c r="J150" s="13">
        <f>+[1]モンスター計算!J153</f>
        <v>60</v>
      </c>
      <c r="K150" s="27">
        <f>+[1]モンスター計算!K153</f>
        <v>0.13</v>
      </c>
      <c r="L150" s="13">
        <f>+[1]モンスター計算!L153</f>
        <v>1.7</v>
      </c>
      <c r="M150" s="27">
        <f>+[1]モンスター計算!M153</f>
        <v>3</v>
      </c>
      <c r="N150" s="5">
        <f>+[1]モンスター計算!N153</f>
        <v>1.06</v>
      </c>
      <c r="O150" s="13">
        <f>+[1]モンスター計算!O153</f>
        <v>1</v>
      </c>
      <c r="P150" s="27">
        <f>+[1]モンスター計算!P153</f>
        <v>-0.14500000000000002</v>
      </c>
      <c r="Q150" s="5">
        <f>+[1]モンスター計算!Q153</f>
        <v>0.15500000000000003</v>
      </c>
      <c r="R150" s="5">
        <f>+[1]モンスター計算!R153</f>
        <v>-4.4999999999999998E-2</v>
      </c>
      <c r="S150" s="5">
        <f>+[1]モンスター計算!S153</f>
        <v>-4.4999999999999998E-2</v>
      </c>
      <c r="T150" s="5">
        <f>+[1]モンスター計算!T153</f>
        <v>-4.4999999999999998E-2</v>
      </c>
      <c r="U150" s="5">
        <f>+[1]モンスター計算!U153</f>
        <v>-4.4999999999999998E-2</v>
      </c>
      <c r="V150" s="13">
        <f>+[1]モンスター計算!V153</f>
        <v>5.2</v>
      </c>
      <c r="W150" s="30">
        <v>11</v>
      </c>
      <c r="X150" s="27" t="s">
        <v>70</v>
      </c>
      <c r="Y150" s="33" t="s">
        <v>91</v>
      </c>
      <c r="Z150" s="13">
        <v>1.25</v>
      </c>
      <c r="AA150" s="30">
        <v>20</v>
      </c>
      <c r="AB150" s="30">
        <f t="shared" si="4"/>
        <v>102</v>
      </c>
      <c r="AC150" s="47">
        <f t="shared" si="5"/>
        <v>25</v>
      </c>
      <c r="AD150" s="27" t="s">
        <v>74</v>
      </c>
      <c r="AE150" s="5">
        <v>0</v>
      </c>
      <c r="AF150" s="5">
        <v>0</v>
      </c>
      <c r="AG150" s="13" t="b">
        <v>0</v>
      </c>
      <c r="AH150" s="30" t="s">
        <v>1061</v>
      </c>
      <c r="AI150" s="33" t="s">
        <v>1825</v>
      </c>
    </row>
    <row r="151" spans="1:35" ht="19.5" thickBot="1">
      <c r="A151" s="53" t="s">
        <v>666</v>
      </c>
      <c r="B151" s="16" t="s">
        <v>342</v>
      </c>
      <c r="C151" s="28" t="s">
        <v>47</v>
      </c>
      <c r="D151" s="16" t="s">
        <v>61</v>
      </c>
      <c r="E151" s="28">
        <f>+[1]モンスター計算!E154</f>
        <v>719</v>
      </c>
      <c r="F151" s="15">
        <f>+[1]モンスター計算!F154</f>
        <v>169</v>
      </c>
      <c r="G151" s="15">
        <f>+[1]モンスター計算!G154</f>
        <v>55</v>
      </c>
      <c r="H151" s="15">
        <f>+[1]モンスター計算!H154</f>
        <v>220</v>
      </c>
      <c r="I151" s="15">
        <f>+[1]モンスター計算!I154</f>
        <v>61</v>
      </c>
      <c r="J151" s="16">
        <f>+[1]モンスター計算!J154</f>
        <v>67</v>
      </c>
      <c r="K151" s="28">
        <f>+[1]モンスター計算!K154</f>
        <v>0.26</v>
      </c>
      <c r="L151" s="16">
        <f>+[1]モンスター計算!L154</f>
        <v>1.95</v>
      </c>
      <c r="M151" s="28">
        <f>+[1]モンスター計算!M154</f>
        <v>2.75</v>
      </c>
      <c r="N151" s="15">
        <f>+[1]モンスター計算!N154</f>
        <v>0.95</v>
      </c>
      <c r="O151" s="16">
        <f>+[1]モンスター計算!O154</f>
        <v>2.8</v>
      </c>
      <c r="P151" s="28">
        <f>+[1]モンスター計算!P154</f>
        <v>-0.05</v>
      </c>
      <c r="Q151" s="15">
        <f>+[1]モンスター計算!Q154</f>
        <v>-0.05</v>
      </c>
      <c r="R151" s="15">
        <f>+[1]モンスター計算!R154</f>
        <v>-0.05</v>
      </c>
      <c r="S151" s="15">
        <f>+[1]モンスター計算!S154</f>
        <v>-0.05</v>
      </c>
      <c r="T151" s="15">
        <f>+[1]モンスター計算!T154</f>
        <v>0.15000000000000002</v>
      </c>
      <c r="U151" s="15">
        <f>+[1]モンスター計算!U154</f>
        <v>-0.15000000000000002</v>
      </c>
      <c r="V151" s="16">
        <f>+[1]モンスター計算!V154</f>
        <v>4.4000000000000004</v>
      </c>
      <c r="W151" s="31">
        <v>15</v>
      </c>
      <c r="X151" s="28" t="s">
        <v>72</v>
      </c>
      <c r="Y151" s="34" t="s">
        <v>92</v>
      </c>
      <c r="Z151" s="16">
        <v>1.3</v>
      </c>
      <c r="AA151" s="31">
        <v>40</v>
      </c>
      <c r="AB151" s="31">
        <f t="shared" si="4"/>
        <v>150</v>
      </c>
      <c r="AC151" s="48">
        <f t="shared" si="5"/>
        <v>25</v>
      </c>
      <c r="AD151" s="28" t="s">
        <v>55</v>
      </c>
      <c r="AE151" s="15">
        <v>10</v>
      </c>
      <c r="AF151" s="15">
        <v>4</v>
      </c>
      <c r="AG151" s="16" t="b">
        <v>1</v>
      </c>
      <c r="AH151" s="31" t="s">
        <v>1062</v>
      </c>
      <c r="AI151" s="34" t="s">
        <v>1825</v>
      </c>
    </row>
    <row r="152" spans="1:35">
      <c r="A152" s="51" t="s">
        <v>667</v>
      </c>
      <c r="B152" s="11" t="s">
        <v>343</v>
      </c>
      <c r="C152" s="26" t="s">
        <v>45</v>
      </c>
      <c r="D152" s="11" t="s">
        <v>61</v>
      </c>
      <c r="E152" s="26">
        <f>+[1]モンスター計算!E155</f>
        <v>628</v>
      </c>
      <c r="F152" s="10">
        <f>+[1]モンスター計算!F155</f>
        <v>123</v>
      </c>
      <c r="G152" s="10">
        <f>+[1]モンスター計算!G155</f>
        <v>62</v>
      </c>
      <c r="H152" s="10">
        <f>+[1]モンスター計算!H155</f>
        <v>287</v>
      </c>
      <c r="I152" s="10">
        <f>+[1]モンスター計算!I155</f>
        <v>55</v>
      </c>
      <c r="J152" s="11">
        <f>+[1]モンスター計算!J155</f>
        <v>56</v>
      </c>
      <c r="K152" s="26">
        <f>+[1]モンスター計算!K155</f>
        <v>0.08</v>
      </c>
      <c r="L152" s="11">
        <f>+[1]モンスター計算!L155</f>
        <v>1.55</v>
      </c>
      <c r="M152" s="26">
        <f>+[1]モンスター計算!M155</f>
        <v>4.2</v>
      </c>
      <c r="N152" s="10">
        <f>+[1]モンスター計算!N155</f>
        <v>1.3</v>
      </c>
      <c r="O152" s="11">
        <f>+[1]モンスター計算!O155</f>
        <v>2.5</v>
      </c>
      <c r="P152" s="26">
        <f>+[1]モンスター計算!P155</f>
        <v>-0.19</v>
      </c>
      <c r="Q152" s="10">
        <f>+[1]モンスター計算!Q155</f>
        <v>0.11000000000000001</v>
      </c>
      <c r="R152" s="10">
        <f>+[1]モンスター計算!R155</f>
        <v>-0.09</v>
      </c>
      <c r="S152" s="10">
        <f>+[1]モンスター計算!S155</f>
        <v>-0.09</v>
      </c>
      <c r="T152" s="10">
        <f>+[1]モンスター計算!T155</f>
        <v>-0.09</v>
      </c>
      <c r="U152" s="10">
        <f>+[1]モンスター計算!U155</f>
        <v>-0.09</v>
      </c>
      <c r="V152" s="11">
        <f>+[1]モンスター計算!V155</f>
        <v>4.2</v>
      </c>
      <c r="W152" s="29">
        <v>8</v>
      </c>
      <c r="X152" s="26" t="s">
        <v>109</v>
      </c>
      <c r="Y152" s="32" t="s">
        <v>87</v>
      </c>
      <c r="Z152" s="11">
        <v>1.2</v>
      </c>
      <c r="AA152" s="29">
        <v>5</v>
      </c>
      <c r="AB152" s="29">
        <f t="shared" si="4"/>
        <v>53</v>
      </c>
      <c r="AC152" s="46">
        <f t="shared" si="5"/>
        <v>26</v>
      </c>
      <c r="AD152" s="26" t="s">
        <v>51</v>
      </c>
      <c r="AE152" s="10">
        <v>7</v>
      </c>
      <c r="AF152" s="10">
        <v>3</v>
      </c>
      <c r="AG152" s="11" t="b">
        <v>1</v>
      </c>
      <c r="AH152" s="29" t="s">
        <v>1063</v>
      </c>
      <c r="AI152" s="32" t="s">
        <v>1825</v>
      </c>
    </row>
    <row r="153" spans="1:35">
      <c r="A153" s="52" t="s">
        <v>668</v>
      </c>
      <c r="B153" s="13" t="s">
        <v>344</v>
      </c>
      <c r="C153" s="27" t="s">
        <v>44</v>
      </c>
      <c r="D153" s="13" t="s">
        <v>61</v>
      </c>
      <c r="E153" s="27">
        <f>+[1]モンスター計算!E156</f>
        <v>1213</v>
      </c>
      <c r="F153" s="5">
        <f>+[1]モンスター計算!F156</f>
        <v>213</v>
      </c>
      <c r="G153" s="5">
        <f>+[1]モンスター計算!G156</f>
        <v>53</v>
      </c>
      <c r="H153" s="5">
        <f>+[1]モンスター計算!H156</f>
        <v>180</v>
      </c>
      <c r="I153" s="5">
        <f>+[1]モンスター計算!I156</f>
        <v>169</v>
      </c>
      <c r="J153" s="13">
        <f>+[1]モンスター計算!J156</f>
        <v>62</v>
      </c>
      <c r="K153" s="27">
        <f>+[1]モンスター計算!K156</f>
        <v>5.5E-2</v>
      </c>
      <c r="L153" s="13">
        <f>+[1]モンスター計算!L156</f>
        <v>1.5</v>
      </c>
      <c r="M153" s="27">
        <f>+[1]モンスター計算!M156</f>
        <v>1.85</v>
      </c>
      <c r="N153" s="5">
        <f>+[1]モンスター計算!N156</f>
        <v>0.87</v>
      </c>
      <c r="O153" s="13">
        <f>+[1]モンスター計算!O156</f>
        <v>2.35</v>
      </c>
      <c r="P153" s="27">
        <f>+[1]モンスター計算!P156</f>
        <v>0.26500000000000001</v>
      </c>
      <c r="Q153" s="5">
        <f>+[1]モンスター計算!Q156</f>
        <v>-3.5000000000000003E-2</v>
      </c>
      <c r="R153" s="5">
        <f>+[1]モンスター計算!R156</f>
        <v>6.5000000000000002E-2</v>
      </c>
      <c r="S153" s="5">
        <f>+[1]モンスター計算!S156</f>
        <v>6.5000000000000002E-2</v>
      </c>
      <c r="T153" s="5">
        <f>+[1]モンスター計算!T156</f>
        <v>6.5000000000000002E-2</v>
      </c>
      <c r="U153" s="5">
        <f>+[1]モンスター計算!U156</f>
        <v>6.5000000000000002E-2</v>
      </c>
      <c r="V153" s="13">
        <f>+[1]モンスター計算!V156</f>
        <v>4.2</v>
      </c>
      <c r="W153" s="30">
        <v>8</v>
      </c>
      <c r="X153" s="27" t="s">
        <v>64</v>
      </c>
      <c r="Y153" s="33" t="s">
        <v>88</v>
      </c>
      <c r="Z153" s="13">
        <v>1.2</v>
      </c>
      <c r="AA153" s="30">
        <v>7</v>
      </c>
      <c r="AB153" s="30">
        <f t="shared" si="4"/>
        <v>59</v>
      </c>
      <c r="AC153" s="47">
        <f t="shared" si="5"/>
        <v>26</v>
      </c>
      <c r="AD153" s="27" t="s">
        <v>49</v>
      </c>
      <c r="AE153" s="5">
        <v>7.5</v>
      </c>
      <c r="AF153" s="5">
        <v>3</v>
      </c>
      <c r="AG153" s="13" t="b">
        <v>1</v>
      </c>
      <c r="AH153" s="30" t="s">
        <v>1064</v>
      </c>
      <c r="AI153" s="33" t="s">
        <v>1825</v>
      </c>
    </row>
    <row r="154" spans="1:35">
      <c r="A154" s="52" t="s">
        <v>669</v>
      </c>
      <c r="B154" s="13" t="s">
        <v>345</v>
      </c>
      <c r="C154" s="27" t="s">
        <v>46</v>
      </c>
      <c r="D154" s="13" t="s">
        <v>61</v>
      </c>
      <c r="E154" s="27">
        <f>+[1]モンスター計算!E157</f>
        <v>888</v>
      </c>
      <c r="F154" s="5">
        <f>+[1]モンスター計算!F157</f>
        <v>142</v>
      </c>
      <c r="G154" s="5">
        <f>+[1]モンスター計算!G157</f>
        <v>109</v>
      </c>
      <c r="H154" s="5">
        <f>+[1]モンスター計算!H157</f>
        <v>242</v>
      </c>
      <c r="I154" s="5">
        <f>+[1]モンスター計算!I157</f>
        <v>74</v>
      </c>
      <c r="J154" s="13">
        <f>+[1]モンスター計算!J157</f>
        <v>87</v>
      </c>
      <c r="K154" s="27">
        <f>+[1]モンスター計算!K157</f>
        <v>0.05</v>
      </c>
      <c r="L154" s="13">
        <f>+[1]モンスター計算!L157</f>
        <v>1.5</v>
      </c>
      <c r="M154" s="27">
        <f>+[1]モンスター計算!M157</f>
        <v>2</v>
      </c>
      <c r="N154" s="5">
        <f>+[1]モンスター計算!N157</f>
        <v>1</v>
      </c>
      <c r="O154" s="13">
        <f>+[1]モンスター計算!O157</f>
        <v>2.5</v>
      </c>
      <c r="P154" s="27">
        <f>+[1]モンスター計算!P157</f>
        <v>-0.02</v>
      </c>
      <c r="Q154" s="5">
        <f>+[1]モンスター計算!Q157</f>
        <v>-0.02</v>
      </c>
      <c r="R154" s="5">
        <f>+[1]モンスター計算!R157</f>
        <v>0.18000000000000002</v>
      </c>
      <c r="S154" s="5">
        <f>+[1]モンスター計算!S157</f>
        <v>-0.12000000000000001</v>
      </c>
      <c r="T154" s="5">
        <f>+[1]モンスター計算!T157</f>
        <v>-0.02</v>
      </c>
      <c r="U154" s="5">
        <f>+[1]モンスター計算!U157</f>
        <v>-0.02</v>
      </c>
      <c r="V154" s="13">
        <f>+[1]モンスター計算!V157</f>
        <v>4</v>
      </c>
      <c r="W154" s="30">
        <v>9</v>
      </c>
      <c r="X154" s="27" t="s">
        <v>66</v>
      </c>
      <c r="Y154" s="33" t="s">
        <v>89</v>
      </c>
      <c r="Z154" s="13">
        <v>1.22</v>
      </c>
      <c r="AA154" s="30">
        <v>10</v>
      </c>
      <c r="AB154" s="30">
        <f t="shared" si="4"/>
        <v>70</v>
      </c>
      <c r="AC154" s="47">
        <f t="shared" si="5"/>
        <v>26</v>
      </c>
      <c r="AD154" s="27" t="s">
        <v>53</v>
      </c>
      <c r="AE154" s="5">
        <v>8.5</v>
      </c>
      <c r="AF154" s="5">
        <v>3</v>
      </c>
      <c r="AG154" s="13" t="b">
        <v>1</v>
      </c>
      <c r="AH154" s="30" t="s">
        <v>1065</v>
      </c>
      <c r="AI154" s="33" t="s">
        <v>1825</v>
      </c>
    </row>
    <row r="155" spans="1:35">
      <c r="A155" s="52" t="s">
        <v>670</v>
      </c>
      <c r="B155" s="13" t="s">
        <v>346</v>
      </c>
      <c r="C155" s="27" t="s">
        <v>44</v>
      </c>
      <c r="D155" s="13" t="s">
        <v>59</v>
      </c>
      <c r="E155" s="27">
        <f>+[1]モンスター計算!E158</f>
        <v>1376</v>
      </c>
      <c r="F155" s="5">
        <f>+[1]モンスター計算!F158</f>
        <v>49</v>
      </c>
      <c r="G155" s="5">
        <f>+[1]モンスター計算!G158</f>
        <v>293</v>
      </c>
      <c r="H155" s="5">
        <f>+[1]モンスター計算!H158</f>
        <v>86</v>
      </c>
      <c r="I155" s="5">
        <f>+[1]モンスター計算!I158</f>
        <v>91</v>
      </c>
      <c r="J155" s="13">
        <f>+[1]モンスター計算!J158</f>
        <v>76</v>
      </c>
      <c r="K155" s="27">
        <f>+[1]モンスター計算!K158</f>
        <v>0.06</v>
      </c>
      <c r="L155" s="13">
        <f>+[1]モンスター計算!L158</f>
        <v>2.15</v>
      </c>
      <c r="M155" s="27">
        <f>+[1]モンスター計算!M158</f>
        <v>1.65</v>
      </c>
      <c r="N155" s="5">
        <f>+[1]モンスター計算!N158</f>
        <v>0.53</v>
      </c>
      <c r="O155" s="13">
        <f>+[1]モンスター計算!O158</f>
        <v>1</v>
      </c>
      <c r="P155" s="27">
        <f>+[1]モンスター計算!P158</f>
        <v>0.17500000000000002</v>
      </c>
      <c r="Q155" s="5">
        <f>+[1]モンスター計算!Q158</f>
        <v>-0.125</v>
      </c>
      <c r="R155" s="5">
        <f>+[1]モンスター計算!R158</f>
        <v>-2.5000000000000001E-2</v>
      </c>
      <c r="S155" s="5">
        <f>+[1]モンスター計算!S158</f>
        <v>-2.5000000000000001E-2</v>
      </c>
      <c r="T155" s="5">
        <f>+[1]モンスター計算!T158</f>
        <v>-2.5000000000000001E-2</v>
      </c>
      <c r="U155" s="5">
        <f>+[1]モンスター計算!U158</f>
        <v>-2.5000000000000001E-2</v>
      </c>
      <c r="V155" s="13">
        <f>+[1]モンスター計算!V158</f>
        <v>4.4000000000000004</v>
      </c>
      <c r="W155" s="30">
        <v>10</v>
      </c>
      <c r="X155" s="27" t="s">
        <v>68</v>
      </c>
      <c r="Y155" s="33" t="s">
        <v>90</v>
      </c>
      <c r="Z155" s="13">
        <v>1.25</v>
      </c>
      <c r="AA155" s="30">
        <v>15</v>
      </c>
      <c r="AB155" s="30">
        <f t="shared" si="4"/>
        <v>92</v>
      </c>
      <c r="AC155" s="47">
        <f t="shared" si="5"/>
        <v>26</v>
      </c>
      <c r="AD155" s="27" t="s">
        <v>74</v>
      </c>
      <c r="AE155" s="5">
        <v>0</v>
      </c>
      <c r="AF155" s="5">
        <v>0</v>
      </c>
      <c r="AG155" s="13" t="b">
        <v>0</v>
      </c>
      <c r="AH155" s="30" t="s">
        <v>1066</v>
      </c>
      <c r="AI155" s="33" t="s">
        <v>1825</v>
      </c>
    </row>
    <row r="156" spans="1:35">
      <c r="A156" s="52" t="s">
        <v>671</v>
      </c>
      <c r="B156" s="13" t="s">
        <v>347</v>
      </c>
      <c r="C156" s="27" t="s">
        <v>45</v>
      </c>
      <c r="D156" s="13" t="s">
        <v>59</v>
      </c>
      <c r="E156" s="27">
        <f>+[1]モンスター計算!E159</f>
        <v>997</v>
      </c>
      <c r="F156" s="5">
        <f>+[1]モンスター計算!F159</f>
        <v>63</v>
      </c>
      <c r="G156" s="5">
        <f>+[1]モンスター計算!G159</f>
        <v>239</v>
      </c>
      <c r="H156" s="5">
        <f>+[1]モンスター計算!H159</f>
        <v>86</v>
      </c>
      <c r="I156" s="5">
        <f>+[1]モンスター計算!I159</f>
        <v>80</v>
      </c>
      <c r="J156" s="13">
        <f>+[1]モンスター計算!J159</f>
        <v>74</v>
      </c>
      <c r="K156" s="27">
        <f>+[1]モンスター計算!K159</f>
        <v>7.0000000000000007E-2</v>
      </c>
      <c r="L156" s="13">
        <f>+[1]モンスター計算!L159</f>
        <v>1.6</v>
      </c>
      <c r="M156" s="27">
        <f>+[1]モンスター計算!M159</f>
        <v>2.4500000000000002</v>
      </c>
      <c r="N156" s="5">
        <f>+[1]モンスター計算!N159</f>
        <v>0.94</v>
      </c>
      <c r="O156" s="13">
        <f>+[1]モンスター計算!O159</f>
        <v>1</v>
      </c>
      <c r="P156" s="27">
        <f>+[1]モンスター計算!P159</f>
        <v>-0.13500000000000001</v>
      </c>
      <c r="Q156" s="5">
        <f>+[1]モンスター計算!Q159</f>
        <v>0.16500000000000001</v>
      </c>
      <c r="R156" s="5">
        <f>+[1]モンスター計算!R159</f>
        <v>-3.5000000000000003E-2</v>
      </c>
      <c r="S156" s="5">
        <f>+[1]モンスター計算!S159</f>
        <v>-3.5000000000000003E-2</v>
      </c>
      <c r="T156" s="5">
        <f>+[1]モンスター計算!T159</f>
        <v>-3.5000000000000003E-2</v>
      </c>
      <c r="U156" s="5">
        <f>+[1]モンスター計算!U159</f>
        <v>-3.5000000000000003E-2</v>
      </c>
      <c r="V156" s="13">
        <f>+[1]モンスター計算!V159</f>
        <v>5.6</v>
      </c>
      <c r="W156" s="30">
        <v>11</v>
      </c>
      <c r="X156" s="27" t="s">
        <v>70</v>
      </c>
      <c r="Y156" s="33" t="s">
        <v>91</v>
      </c>
      <c r="Z156" s="13">
        <v>1.25</v>
      </c>
      <c r="AA156" s="30">
        <v>20</v>
      </c>
      <c r="AB156" s="30">
        <f t="shared" si="4"/>
        <v>108</v>
      </c>
      <c r="AC156" s="47">
        <f t="shared" si="5"/>
        <v>26</v>
      </c>
      <c r="AD156" s="27" t="s">
        <v>74</v>
      </c>
      <c r="AE156" s="5">
        <v>0</v>
      </c>
      <c r="AF156" s="5">
        <v>0</v>
      </c>
      <c r="AG156" s="13" t="b">
        <v>0</v>
      </c>
      <c r="AH156" s="30" t="s">
        <v>1067</v>
      </c>
      <c r="AI156" s="33" t="s">
        <v>1825</v>
      </c>
    </row>
    <row r="157" spans="1:35" ht="19.5" thickBot="1">
      <c r="A157" s="53" t="s">
        <v>672</v>
      </c>
      <c r="B157" s="16" t="s">
        <v>348</v>
      </c>
      <c r="C157" s="28" t="s">
        <v>47</v>
      </c>
      <c r="D157" s="16" t="s">
        <v>61</v>
      </c>
      <c r="E157" s="28">
        <f>+[1]モンスター計算!E160</f>
        <v>964</v>
      </c>
      <c r="F157" s="15">
        <f>+[1]モンスター計算!F160</f>
        <v>150</v>
      </c>
      <c r="G157" s="15">
        <f>+[1]モンスター計算!G160</f>
        <v>50</v>
      </c>
      <c r="H157" s="15">
        <f>+[1]モンスター計算!H160</f>
        <v>186</v>
      </c>
      <c r="I157" s="15">
        <f>+[1]モンスター計算!I160</f>
        <v>80</v>
      </c>
      <c r="J157" s="16">
        <f>+[1]モンスター計算!J160</f>
        <v>79</v>
      </c>
      <c r="K157" s="28">
        <f>+[1]モンスター計算!K160</f>
        <v>7.4999999999999997E-2</v>
      </c>
      <c r="L157" s="16">
        <f>+[1]モンスター計算!L160</f>
        <v>1.5</v>
      </c>
      <c r="M157" s="28">
        <f>+[1]モンスター計算!M160</f>
        <v>3.1</v>
      </c>
      <c r="N157" s="15">
        <f>+[1]モンスター計算!N160</f>
        <v>1.1499999999999999</v>
      </c>
      <c r="O157" s="16">
        <f>+[1]モンスター計算!O160</f>
        <v>3.0750000000000002</v>
      </c>
      <c r="P157" s="28">
        <f>+[1]モンスター計算!P160</f>
        <v>-0.01</v>
      </c>
      <c r="Q157" s="15">
        <f>+[1]モンスター計算!Q160</f>
        <v>-0.01</v>
      </c>
      <c r="R157" s="15">
        <f>+[1]モンスター計算!R160</f>
        <v>-0.01</v>
      </c>
      <c r="S157" s="15">
        <f>+[1]モンスター計算!S160</f>
        <v>-0.01</v>
      </c>
      <c r="T157" s="15">
        <f>+[1]モンスター計算!T160</f>
        <v>0.19</v>
      </c>
      <c r="U157" s="15">
        <f>+[1]モンスター計算!U160</f>
        <v>-0.11</v>
      </c>
      <c r="V157" s="16">
        <f>+[1]モンスター計算!V160</f>
        <v>8.6</v>
      </c>
      <c r="W157" s="31">
        <v>15</v>
      </c>
      <c r="X157" s="28" t="s">
        <v>72</v>
      </c>
      <c r="Y157" s="34" t="s">
        <v>92</v>
      </c>
      <c r="Z157" s="16">
        <v>1.3</v>
      </c>
      <c r="AA157" s="31">
        <v>40</v>
      </c>
      <c r="AB157" s="31">
        <f t="shared" si="4"/>
        <v>158</v>
      </c>
      <c r="AC157" s="48">
        <f t="shared" si="5"/>
        <v>26</v>
      </c>
      <c r="AD157" s="28" t="s">
        <v>55</v>
      </c>
      <c r="AE157" s="15">
        <v>10</v>
      </c>
      <c r="AF157" s="15">
        <v>4</v>
      </c>
      <c r="AG157" s="16" t="b">
        <v>1</v>
      </c>
      <c r="AH157" s="31" t="s">
        <v>1068</v>
      </c>
      <c r="AI157" s="34" t="s">
        <v>1825</v>
      </c>
    </row>
    <row r="158" spans="1:35">
      <c r="A158" s="51" t="s">
        <v>673</v>
      </c>
      <c r="B158" s="11" t="s">
        <v>349</v>
      </c>
      <c r="C158" s="26" t="s">
        <v>45</v>
      </c>
      <c r="D158" s="11" t="s">
        <v>61</v>
      </c>
      <c r="E158" s="26">
        <f>+[1]モンスター計算!E161</f>
        <v>1263</v>
      </c>
      <c r="F158" s="10">
        <f>+[1]モンスター計算!F161</f>
        <v>304</v>
      </c>
      <c r="G158" s="10">
        <f>+[1]モンスター計算!G161</f>
        <v>61</v>
      </c>
      <c r="H158" s="10">
        <f>+[1]モンスター計算!H161</f>
        <v>210</v>
      </c>
      <c r="I158" s="10">
        <f>+[1]モンスター計算!I161</f>
        <v>73</v>
      </c>
      <c r="J158" s="11">
        <f>+[1]モンスター計算!J161</f>
        <v>195</v>
      </c>
      <c r="K158" s="26">
        <f>+[1]モンスター計算!K161</f>
        <v>4.4999999999999998E-2</v>
      </c>
      <c r="L158" s="11">
        <f>+[1]モンスター計算!L161</f>
        <v>1.45</v>
      </c>
      <c r="M158" s="26">
        <f>+[1]モンスター計算!M161</f>
        <v>1.9</v>
      </c>
      <c r="N158" s="10">
        <f>+[1]モンスター計算!N161</f>
        <v>0.84</v>
      </c>
      <c r="O158" s="11">
        <f>+[1]モンスター計算!O161</f>
        <v>2.65</v>
      </c>
      <c r="P158" s="26">
        <f>+[1]モンスター計算!P161</f>
        <v>-1.0000000000000009E-2</v>
      </c>
      <c r="Q158" s="10">
        <f>+[1]モンスター計算!Q161</f>
        <v>0.29000000000000004</v>
      </c>
      <c r="R158" s="10">
        <f>+[1]モンスター計算!R161</f>
        <v>0.09</v>
      </c>
      <c r="S158" s="10">
        <f>+[1]モンスター計算!S161</f>
        <v>0.09</v>
      </c>
      <c r="T158" s="10">
        <f>+[1]モンスター計算!T161</f>
        <v>0.09</v>
      </c>
      <c r="U158" s="10">
        <f>+[1]モンスター計算!U161</f>
        <v>0.09</v>
      </c>
      <c r="V158" s="11">
        <f>+[1]モンスター計算!V161</f>
        <v>4.4000000000000004</v>
      </c>
      <c r="W158" s="29">
        <v>8</v>
      </c>
      <c r="X158" s="26" t="s">
        <v>109</v>
      </c>
      <c r="Y158" s="32" t="s">
        <v>87</v>
      </c>
      <c r="Z158" s="11">
        <v>1.2</v>
      </c>
      <c r="AA158" s="29">
        <v>5</v>
      </c>
      <c r="AB158" s="29">
        <f t="shared" si="4"/>
        <v>56</v>
      </c>
      <c r="AC158" s="46">
        <f t="shared" si="5"/>
        <v>27</v>
      </c>
      <c r="AD158" s="26" t="s">
        <v>51</v>
      </c>
      <c r="AE158" s="10">
        <v>7</v>
      </c>
      <c r="AF158" s="10">
        <v>3</v>
      </c>
      <c r="AG158" s="11" t="b">
        <v>1</v>
      </c>
      <c r="AH158" s="29" t="s">
        <v>1069</v>
      </c>
      <c r="AI158" s="32" t="s">
        <v>1825</v>
      </c>
    </row>
    <row r="159" spans="1:35">
      <c r="A159" s="52" t="s">
        <v>674</v>
      </c>
      <c r="B159" s="13" t="s">
        <v>350</v>
      </c>
      <c r="C159" s="27" t="s">
        <v>44</v>
      </c>
      <c r="D159" s="13" t="s">
        <v>61</v>
      </c>
      <c r="E159" s="27">
        <f>+[1]モンスター計算!E162</f>
        <v>656</v>
      </c>
      <c r="F159" s="5">
        <f>+[1]モンスター計算!F162</f>
        <v>261</v>
      </c>
      <c r="G159" s="5">
        <f>+[1]モンスター計算!G162</f>
        <v>122</v>
      </c>
      <c r="H159" s="5">
        <f>+[1]モンスター計算!H162</f>
        <v>340</v>
      </c>
      <c r="I159" s="5">
        <f>+[1]モンスター計算!I162</f>
        <v>138</v>
      </c>
      <c r="J159" s="13">
        <f>+[1]モンスター計算!J162</f>
        <v>215</v>
      </c>
      <c r="K159" s="27">
        <f>+[1]モンスター計算!K162</f>
        <v>0.04</v>
      </c>
      <c r="L159" s="13">
        <f>+[1]モンスター計算!L162</f>
        <v>1.38</v>
      </c>
      <c r="M159" s="27">
        <f>+[1]モンスター計算!M162</f>
        <v>2.2000000000000002</v>
      </c>
      <c r="N159" s="5">
        <f>+[1]モンスター計算!N162</f>
        <v>0.88</v>
      </c>
      <c r="O159" s="13">
        <f>+[1]モンスター計算!O162</f>
        <v>3.15</v>
      </c>
      <c r="P159" s="27">
        <f>+[1]モンスター計算!P162</f>
        <v>0.33</v>
      </c>
      <c r="Q159" s="5">
        <f>+[1]モンスター計算!Q162</f>
        <v>0.03</v>
      </c>
      <c r="R159" s="5">
        <f>+[1]モンスター計算!R162</f>
        <v>0.13</v>
      </c>
      <c r="S159" s="5">
        <f>+[1]モンスター計算!S162</f>
        <v>0.13</v>
      </c>
      <c r="T159" s="5">
        <f>+[1]モンスター計算!T162</f>
        <v>0.13</v>
      </c>
      <c r="U159" s="5">
        <f>+[1]モンスター計算!U162</f>
        <v>0.13</v>
      </c>
      <c r="V159" s="13">
        <f>+[1]モンスター計算!V162</f>
        <v>4.4800000000000004</v>
      </c>
      <c r="W159" s="30">
        <v>8</v>
      </c>
      <c r="X159" s="27" t="s">
        <v>64</v>
      </c>
      <c r="Y159" s="33" t="s">
        <v>88</v>
      </c>
      <c r="Z159" s="13">
        <v>1.2</v>
      </c>
      <c r="AA159" s="30">
        <v>7</v>
      </c>
      <c r="AB159" s="30">
        <f t="shared" si="4"/>
        <v>62</v>
      </c>
      <c r="AC159" s="47">
        <f t="shared" si="5"/>
        <v>27</v>
      </c>
      <c r="AD159" s="27" t="s">
        <v>49</v>
      </c>
      <c r="AE159" s="5">
        <v>7.5</v>
      </c>
      <c r="AF159" s="5">
        <v>3</v>
      </c>
      <c r="AG159" s="13" t="b">
        <v>1</v>
      </c>
      <c r="AH159" s="30" t="s">
        <v>1070</v>
      </c>
      <c r="AI159" s="33" t="s">
        <v>1825</v>
      </c>
    </row>
    <row r="160" spans="1:35">
      <c r="A160" s="52" t="s">
        <v>675</v>
      </c>
      <c r="B160" s="13" t="s">
        <v>351</v>
      </c>
      <c r="C160" s="27" t="s">
        <v>46</v>
      </c>
      <c r="D160" s="13" t="s">
        <v>61</v>
      </c>
      <c r="E160" s="27">
        <f>+[1]モンスター計算!E163</f>
        <v>1192</v>
      </c>
      <c r="F160" s="5">
        <f>+[1]モンスター計算!F163</f>
        <v>252</v>
      </c>
      <c r="G160" s="5">
        <f>+[1]モンスター計算!G163</f>
        <v>96</v>
      </c>
      <c r="H160" s="5">
        <f>+[1]モンスター計算!H163</f>
        <v>213</v>
      </c>
      <c r="I160" s="5">
        <f>+[1]モンスター計算!I163</f>
        <v>95</v>
      </c>
      <c r="J160" s="13">
        <f>+[1]モンスター計算!J163</f>
        <v>114</v>
      </c>
      <c r="K160" s="27">
        <f>+[1]モンスター計算!K163</f>
        <v>0.06</v>
      </c>
      <c r="L160" s="13">
        <f>+[1]モンスター計算!L163</f>
        <v>1.4</v>
      </c>
      <c r="M160" s="27">
        <f>+[1]モンスター計算!M163</f>
        <v>2.1</v>
      </c>
      <c r="N160" s="5">
        <f>+[1]モンスター計算!N163</f>
        <v>0.95</v>
      </c>
      <c r="O160" s="13">
        <f>+[1]モンスター計算!O163</f>
        <v>2.875</v>
      </c>
      <c r="P160" s="27">
        <f>+[1]モンスター計算!P163</f>
        <v>0.03</v>
      </c>
      <c r="Q160" s="5">
        <f>+[1]モンスター計算!Q163</f>
        <v>0.03</v>
      </c>
      <c r="R160" s="5">
        <f>+[1]モンスター計算!R163</f>
        <v>0.23</v>
      </c>
      <c r="S160" s="5">
        <f>+[1]モンスター計算!S163</f>
        <v>-7.0000000000000007E-2</v>
      </c>
      <c r="T160" s="5">
        <f>+[1]モンスター計算!T163</f>
        <v>0.03</v>
      </c>
      <c r="U160" s="5">
        <f>+[1]モンスター計算!U163</f>
        <v>0.03</v>
      </c>
      <c r="V160" s="13">
        <f>+[1]モンスター計算!V163</f>
        <v>4.8</v>
      </c>
      <c r="W160" s="30">
        <v>9</v>
      </c>
      <c r="X160" s="27" t="s">
        <v>66</v>
      </c>
      <c r="Y160" s="33" t="s">
        <v>89</v>
      </c>
      <c r="Z160" s="13">
        <v>1.22</v>
      </c>
      <c r="AA160" s="30">
        <v>10</v>
      </c>
      <c r="AB160" s="30">
        <f t="shared" si="4"/>
        <v>74</v>
      </c>
      <c r="AC160" s="47">
        <f t="shared" si="5"/>
        <v>27</v>
      </c>
      <c r="AD160" s="27" t="s">
        <v>53</v>
      </c>
      <c r="AE160" s="5">
        <v>8.5</v>
      </c>
      <c r="AF160" s="5">
        <v>3</v>
      </c>
      <c r="AG160" s="13" t="b">
        <v>1</v>
      </c>
      <c r="AH160" s="30" t="s">
        <v>1071</v>
      </c>
      <c r="AI160" s="33" t="s">
        <v>1825</v>
      </c>
    </row>
    <row r="161" spans="1:35">
      <c r="A161" s="52" t="s">
        <v>676</v>
      </c>
      <c r="B161" s="13" t="s">
        <v>352</v>
      </c>
      <c r="C161" s="27" t="s">
        <v>44</v>
      </c>
      <c r="D161" s="13" t="s">
        <v>59</v>
      </c>
      <c r="E161" s="27">
        <f>+[1]モンスター計算!E164</f>
        <v>1406</v>
      </c>
      <c r="F161" s="5">
        <f>+[1]モンスター計算!F164</f>
        <v>81</v>
      </c>
      <c r="G161" s="5">
        <f>+[1]モンスター計算!G164</f>
        <v>192</v>
      </c>
      <c r="H161" s="5">
        <f>+[1]モンスター計算!H164</f>
        <v>60</v>
      </c>
      <c r="I161" s="5">
        <f>+[1]モンスター計算!I164</f>
        <v>109</v>
      </c>
      <c r="J161" s="13">
        <f>+[1]モンスター計算!J164</f>
        <v>109</v>
      </c>
      <c r="K161" s="27">
        <f>+[1]モンスター計算!K164</f>
        <v>0.04</v>
      </c>
      <c r="L161" s="13">
        <f>+[1]モンスター計算!L164</f>
        <v>1.43</v>
      </c>
      <c r="M161" s="27">
        <f>+[1]モンスター計算!M164</f>
        <v>2.15</v>
      </c>
      <c r="N161" s="5">
        <f>+[1]モンスター計算!N164</f>
        <v>0.88</v>
      </c>
      <c r="O161" s="13">
        <f>+[1]モンスター計算!O164</f>
        <v>1</v>
      </c>
      <c r="P161" s="27">
        <f>+[1]モンスター計算!P164</f>
        <v>0.39</v>
      </c>
      <c r="Q161" s="5">
        <f>+[1]モンスター計算!Q164</f>
        <v>0.09</v>
      </c>
      <c r="R161" s="5">
        <f>+[1]モンスター計算!R164</f>
        <v>0.19</v>
      </c>
      <c r="S161" s="5">
        <f>+[1]モンスター計算!S164</f>
        <v>0.19</v>
      </c>
      <c r="T161" s="5">
        <f>+[1]モンスター計算!T164</f>
        <v>0.19</v>
      </c>
      <c r="U161" s="5">
        <f>+[1]モンスター計算!U164</f>
        <v>0.19</v>
      </c>
      <c r="V161" s="13">
        <f>+[1]モンスター計算!V164</f>
        <v>3.8</v>
      </c>
      <c r="W161" s="30">
        <v>10</v>
      </c>
      <c r="X161" s="27" t="s">
        <v>68</v>
      </c>
      <c r="Y161" s="33" t="s">
        <v>90</v>
      </c>
      <c r="Z161" s="13">
        <v>1.25</v>
      </c>
      <c r="AA161" s="30">
        <v>15</v>
      </c>
      <c r="AB161" s="30">
        <f t="shared" si="4"/>
        <v>97</v>
      </c>
      <c r="AC161" s="47">
        <f t="shared" si="5"/>
        <v>27</v>
      </c>
      <c r="AD161" s="27" t="s">
        <v>74</v>
      </c>
      <c r="AE161" s="5">
        <v>0</v>
      </c>
      <c r="AF161" s="5">
        <v>0</v>
      </c>
      <c r="AG161" s="13" t="b">
        <v>0</v>
      </c>
      <c r="AH161" s="30" t="s">
        <v>1072</v>
      </c>
      <c r="AI161" s="33" t="s">
        <v>1825</v>
      </c>
    </row>
    <row r="162" spans="1:35">
      <c r="A162" s="52" t="s">
        <v>677</v>
      </c>
      <c r="B162" s="13" t="s">
        <v>353</v>
      </c>
      <c r="C162" s="27" t="s">
        <v>45</v>
      </c>
      <c r="D162" s="13" t="s">
        <v>59</v>
      </c>
      <c r="E162" s="27">
        <f>+[1]モンスター計算!E165</f>
        <v>1037</v>
      </c>
      <c r="F162" s="5">
        <f>+[1]モンスター計算!F165</f>
        <v>56</v>
      </c>
      <c r="G162" s="5">
        <f>+[1]モンスター計算!G165</f>
        <v>211</v>
      </c>
      <c r="H162" s="5">
        <f>+[1]モンスター計算!H165</f>
        <v>62</v>
      </c>
      <c r="I162" s="5">
        <f>+[1]モンスター計算!I165</f>
        <v>82</v>
      </c>
      <c r="J162" s="13">
        <f>+[1]モンスター計算!J165</f>
        <v>73</v>
      </c>
      <c r="K162" s="27">
        <f>+[1]モンスター計算!K165</f>
        <v>0.27</v>
      </c>
      <c r="L162" s="13">
        <f>+[1]モンスター計算!L165</f>
        <v>2.0299999999999998</v>
      </c>
      <c r="M162" s="27">
        <f>+[1]モンスター計算!M165</f>
        <v>2.75</v>
      </c>
      <c r="N162" s="5">
        <f>+[1]モンスター計算!N165</f>
        <v>1.04</v>
      </c>
      <c r="O162" s="13">
        <f>+[1]モンスター計算!O165</f>
        <v>1</v>
      </c>
      <c r="P162" s="27">
        <f>+[1]モンスター計算!P165</f>
        <v>-0.16</v>
      </c>
      <c r="Q162" s="5">
        <f>+[1]モンスター計算!Q165</f>
        <v>0.14000000000000001</v>
      </c>
      <c r="R162" s="5">
        <f>+[1]モンスター計算!R165</f>
        <v>-0.06</v>
      </c>
      <c r="S162" s="5">
        <f>+[1]モンスター計算!S165</f>
        <v>-0.06</v>
      </c>
      <c r="T162" s="5">
        <f>+[1]モンスター計算!T165</f>
        <v>-0.06</v>
      </c>
      <c r="U162" s="5">
        <f>+[1]モンスター計算!U165</f>
        <v>-0.06</v>
      </c>
      <c r="V162" s="13">
        <f>+[1]モンスター計算!V165</f>
        <v>4.2</v>
      </c>
      <c r="W162" s="30">
        <v>11</v>
      </c>
      <c r="X162" s="27" t="s">
        <v>70</v>
      </c>
      <c r="Y162" s="33" t="s">
        <v>91</v>
      </c>
      <c r="Z162" s="13">
        <v>1.25</v>
      </c>
      <c r="AA162" s="30">
        <v>20</v>
      </c>
      <c r="AB162" s="30">
        <f t="shared" si="4"/>
        <v>114</v>
      </c>
      <c r="AC162" s="47">
        <f t="shared" si="5"/>
        <v>27</v>
      </c>
      <c r="AD162" s="27" t="s">
        <v>74</v>
      </c>
      <c r="AE162" s="5">
        <v>0</v>
      </c>
      <c r="AF162" s="5">
        <v>0</v>
      </c>
      <c r="AG162" s="13" t="b">
        <v>0</v>
      </c>
      <c r="AH162" s="30" t="s">
        <v>1073</v>
      </c>
      <c r="AI162" s="33" t="s">
        <v>1825</v>
      </c>
    </row>
    <row r="163" spans="1:35" ht="19.5" thickBot="1">
      <c r="A163" s="53" t="s">
        <v>678</v>
      </c>
      <c r="B163" s="16" t="s">
        <v>354</v>
      </c>
      <c r="C163" s="28" t="s">
        <v>47</v>
      </c>
      <c r="D163" s="16" t="s">
        <v>61</v>
      </c>
      <c r="E163" s="28">
        <f>+[1]モンスター計算!E166</f>
        <v>1192</v>
      </c>
      <c r="F163" s="15">
        <f>+[1]モンスター計算!F166</f>
        <v>191</v>
      </c>
      <c r="G163" s="15">
        <f>+[1]モンスター計算!G166</f>
        <v>86</v>
      </c>
      <c r="H163" s="15">
        <f>+[1]モンスター計算!H166</f>
        <v>191</v>
      </c>
      <c r="I163" s="15">
        <f>+[1]モンスター計算!I166</f>
        <v>91</v>
      </c>
      <c r="J163" s="16">
        <f>+[1]モンスター計算!J166</f>
        <v>105</v>
      </c>
      <c r="K163" s="28">
        <f>+[1]モンスター計算!K166</f>
        <v>7.0000000000000007E-2</v>
      </c>
      <c r="L163" s="16">
        <f>+[1]モンスター計算!L166</f>
        <v>1.55</v>
      </c>
      <c r="M163" s="28">
        <f>+[1]モンスター計算!M166</f>
        <v>2.2999999999999998</v>
      </c>
      <c r="N163" s="15">
        <f>+[1]モンスター計算!N166</f>
        <v>1.1000000000000001</v>
      </c>
      <c r="O163" s="16">
        <f>+[1]モンスター計算!O166</f>
        <v>2.7</v>
      </c>
      <c r="P163" s="28">
        <f>+[1]モンスター計算!P166</f>
        <v>-0.03</v>
      </c>
      <c r="Q163" s="15">
        <f>+[1]モンスター計算!Q166</f>
        <v>-0.03</v>
      </c>
      <c r="R163" s="15">
        <f>+[1]モンスター計算!R166</f>
        <v>-0.03</v>
      </c>
      <c r="S163" s="15">
        <f>+[1]モンスター計算!S166</f>
        <v>-0.03</v>
      </c>
      <c r="T163" s="15">
        <f>+[1]モンスター計算!T166</f>
        <v>0.17</v>
      </c>
      <c r="U163" s="15">
        <f>+[1]モンスター計算!U166</f>
        <v>-0.13</v>
      </c>
      <c r="V163" s="16">
        <f>+[1]モンスター計算!V166</f>
        <v>4</v>
      </c>
      <c r="W163" s="31">
        <v>15</v>
      </c>
      <c r="X163" s="28" t="s">
        <v>72</v>
      </c>
      <c r="Y163" s="34" t="s">
        <v>92</v>
      </c>
      <c r="Z163" s="16">
        <v>1.3</v>
      </c>
      <c r="AA163" s="31">
        <v>40</v>
      </c>
      <c r="AB163" s="31">
        <f t="shared" si="4"/>
        <v>166</v>
      </c>
      <c r="AC163" s="48">
        <f t="shared" si="5"/>
        <v>27</v>
      </c>
      <c r="AD163" s="28" t="s">
        <v>55</v>
      </c>
      <c r="AE163" s="15">
        <v>10</v>
      </c>
      <c r="AF163" s="15">
        <v>4</v>
      </c>
      <c r="AG163" s="16" t="b">
        <v>1</v>
      </c>
      <c r="AH163" s="31" t="s">
        <v>1074</v>
      </c>
      <c r="AI163" s="34" t="s">
        <v>1825</v>
      </c>
    </row>
    <row r="164" spans="1:35">
      <c r="A164" s="51" t="s">
        <v>679</v>
      </c>
      <c r="B164" s="11" t="s">
        <v>355</v>
      </c>
      <c r="C164" s="26" t="s">
        <v>45</v>
      </c>
      <c r="D164" s="11" t="s">
        <v>61</v>
      </c>
      <c r="E164" s="26">
        <f>+[1]モンスター計算!E167</f>
        <v>1835</v>
      </c>
      <c r="F164" s="10">
        <f>+[1]モンスター計算!F167</f>
        <v>421</v>
      </c>
      <c r="G164" s="10">
        <f>+[1]モンスター計算!G167</f>
        <v>70</v>
      </c>
      <c r="H164" s="10">
        <f>+[1]モンスター計算!H167</f>
        <v>186</v>
      </c>
      <c r="I164" s="10">
        <f>+[1]モンスター計算!I167</f>
        <v>100</v>
      </c>
      <c r="J164" s="11">
        <f>+[1]モンスター計算!J167</f>
        <v>176</v>
      </c>
      <c r="K164" s="26">
        <f>+[1]モンスター計算!K167</f>
        <v>0.115</v>
      </c>
      <c r="L164" s="11">
        <f>+[1]モンスター計算!L167</f>
        <v>1.95</v>
      </c>
      <c r="M164" s="26">
        <f>+[1]モンスター計算!M167</f>
        <v>1.2</v>
      </c>
      <c r="N164" s="10">
        <f>+[1]モンスター計算!N167</f>
        <v>0.72</v>
      </c>
      <c r="O164" s="11">
        <f>+[1]モンスター計算!O167</f>
        <v>3.3250000000000002</v>
      </c>
      <c r="P164" s="26">
        <f>+[1]モンスター計算!P167</f>
        <v>-2.0000000000000004E-2</v>
      </c>
      <c r="Q164" s="10">
        <f>+[1]モンスター計算!Q167</f>
        <v>0.28000000000000003</v>
      </c>
      <c r="R164" s="10">
        <f>+[1]モンスター計算!R167</f>
        <v>0.08</v>
      </c>
      <c r="S164" s="10">
        <f>+[1]モンスター計算!S167</f>
        <v>0.08</v>
      </c>
      <c r="T164" s="10">
        <f>+[1]モンスター計算!T167</f>
        <v>0.08</v>
      </c>
      <c r="U164" s="10">
        <f>+[1]モンスター計算!U167</f>
        <v>0.08</v>
      </c>
      <c r="V164" s="11">
        <f>+[1]モンスター計算!V167</f>
        <v>5</v>
      </c>
      <c r="W164" s="29">
        <v>8</v>
      </c>
      <c r="X164" s="26" t="s">
        <v>109</v>
      </c>
      <c r="Y164" s="32" t="s">
        <v>87</v>
      </c>
      <c r="Z164" s="11">
        <v>1.2</v>
      </c>
      <c r="AA164" s="29">
        <v>5</v>
      </c>
      <c r="AB164" s="29">
        <f t="shared" si="4"/>
        <v>59</v>
      </c>
      <c r="AC164" s="46">
        <f t="shared" si="5"/>
        <v>28</v>
      </c>
      <c r="AD164" s="26" t="s">
        <v>51</v>
      </c>
      <c r="AE164" s="10">
        <v>7</v>
      </c>
      <c r="AF164" s="10">
        <v>3</v>
      </c>
      <c r="AG164" s="11" t="b">
        <v>1</v>
      </c>
      <c r="AH164" s="29" t="s">
        <v>1075</v>
      </c>
      <c r="AI164" s="32" t="s">
        <v>1825</v>
      </c>
    </row>
    <row r="165" spans="1:35">
      <c r="A165" s="52" t="s">
        <v>680</v>
      </c>
      <c r="B165" s="13" t="s">
        <v>356</v>
      </c>
      <c r="C165" s="27" t="s">
        <v>44</v>
      </c>
      <c r="D165" s="13" t="s">
        <v>61</v>
      </c>
      <c r="E165" s="27">
        <f>+[1]モンスター計算!E168</f>
        <v>1023</v>
      </c>
      <c r="F165" s="5">
        <f>+[1]モンスター計算!F168</f>
        <v>220</v>
      </c>
      <c r="G165" s="5">
        <f>+[1]モンスター計算!G168</f>
        <v>125</v>
      </c>
      <c r="H165" s="5">
        <f>+[1]モンスター計算!H168</f>
        <v>277</v>
      </c>
      <c r="I165" s="5">
        <f>+[1]モンスター計算!I168</f>
        <v>79</v>
      </c>
      <c r="J165" s="13">
        <f>+[1]モンスター計算!J168</f>
        <v>84</v>
      </c>
      <c r="K165" s="27">
        <f>+[1]モンスター計算!K168</f>
        <v>0.11</v>
      </c>
      <c r="L165" s="13">
        <f>+[1]モンスター計算!L168</f>
        <v>1.65</v>
      </c>
      <c r="M165" s="27">
        <f>+[1]モンスター計算!M168</f>
        <v>2.2000000000000002</v>
      </c>
      <c r="N165" s="5">
        <f>+[1]モンスター計算!N168</f>
        <v>1.1000000000000001</v>
      </c>
      <c r="O165" s="13">
        <f>+[1]モンスター計算!O168</f>
        <v>2.75</v>
      </c>
      <c r="P165" s="27">
        <f>+[1]モンスター計算!P168</f>
        <v>0.16</v>
      </c>
      <c r="Q165" s="5">
        <f>+[1]モンスター計算!Q168</f>
        <v>-0.14000000000000001</v>
      </c>
      <c r="R165" s="5">
        <f>+[1]モンスター計算!R168</f>
        <v>-0.04</v>
      </c>
      <c r="S165" s="5">
        <f>+[1]モンスター計算!S168</f>
        <v>-0.04</v>
      </c>
      <c r="T165" s="5">
        <f>+[1]モンスター計算!T168</f>
        <v>-0.04</v>
      </c>
      <c r="U165" s="5">
        <f>+[1]モンスター計算!U168</f>
        <v>-0.04</v>
      </c>
      <c r="V165" s="13">
        <f>+[1]モンスター計算!V168</f>
        <v>4.2</v>
      </c>
      <c r="W165" s="30">
        <v>8</v>
      </c>
      <c r="X165" s="27" t="s">
        <v>64</v>
      </c>
      <c r="Y165" s="33" t="s">
        <v>88</v>
      </c>
      <c r="Z165" s="13">
        <v>1.2</v>
      </c>
      <c r="AA165" s="30">
        <v>7</v>
      </c>
      <c r="AB165" s="30">
        <f t="shared" si="4"/>
        <v>66</v>
      </c>
      <c r="AC165" s="47">
        <f t="shared" si="5"/>
        <v>28</v>
      </c>
      <c r="AD165" s="27" t="s">
        <v>49</v>
      </c>
      <c r="AE165" s="5">
        <v>7.5</v>
      </c>
      <c r="AF165" s="5">
        <v>3</v>
      </c>
      <c r="AG165" s="13" t="b">
        <v>1</v>
      </c>
      <c r="AH165" s="30" t="s">
        <v>1076</v>
      </c>
      <c r="AI165" s="33" t="s">
        <v>1825</v>
      </c>
    </row>
    <row r="166" spans="1:35">
      <c r="A166" s="52" t="s">
        <v>681</v>
      </c>
      <c r="B166" s="13" t="s">
        <v>357</v>
      </c>
      <c r="C166" s="27" t="s">
        <v>46</v>
      </c>
      <c r="D166" s="13" t="s">
        <v>61</v>
      </c>
      <c r="E166" s="27">
        <f>+[1]モンスター計算!E169</f>
        <v>2255</v>
      </c>
      <c r="F166" s="5">
        <f>+[1]モンスター計算!F169</f>
        <v>258</v>
      </c>
      <c r="G166" s="5">
        <f>+[1]モンスター計算!G169</f>
        <v>54</v>
      </c>
      <c r="H166" s="5">
        <f>+[1]モンスター計算!H169</f>
        <v>186</v>
      </c>
      <c r="I166" s="5">
        <f>+[1]モンスター計算!I169</f>
        <v>172</v>
      </c>
      <c r="J166" s="13">
        <f>+[1]モンスター計算!J169</f>
        <v>163</v>
      </c>
      <c r="K166" s="27">
        <f>+[1]モンスター計算!K169</f>
        <v>3.5000000000000003E-2</v>
      </c>
      <c r="L166" s="13">
        <f>+[1]モンスター計算!L169</f>
        <v>1.4</v>
      </c>
      <c r="M166" s="27">
        <f>+[1]モンスター計算!M169</f>
        <v>1.5</v>
      </c>
      <c r="N166" s="5">
        <f>+[1]モンスター計算!N169</f>
        <v>0.6</v>
      </c>
      <c r="O166" s="13">
        <f>+[1]モンスター計算!O169</f>
        <v>3.1</v>
      </c>
      <c r="P166" s="27">
        <f>+[1]モンスター計算!P169</f>
        <v>0.12</v>
      </c>
      <c r="Q166" s="5">
        <f>+[1]モンスター計算!Q169</f>
        <v>0.12</v>
      </c>
      <c r="R166" s="5">
        <f>+[1]モンスター計算!R169</f>
        <v>0.32</v>
      </c>
      <c r="S166" s="5">
        <f>+[1]モンスター計算!S169</f>
        <v>1.999999999999999E-2</v>
      </c>
      <c r="T166" s="5">
        <f>+[1]モンスター計算!T169</f>
        <v>0.12</v>
      </c>
      <c r="U166" s="5">
        <f>+[1]モンスター計算!U169</f>
        <v>0.12</v>
      </c>
      <c r="V166" s="13">
        <f>+[1]モンスター計算!V169</f>
        <v>4.12</v>
      </c>
      <c r="W166" s="30">
        <v>9</v>
      </c>
      <c r="X166" s="27" t="s">
        <v>66</v>
      </c>
      <c r="Y166" s="33" t="s">
        <v>89</v>
      </c>
      <c r="Z166" s="13">
        <v>1.22</v>
      </c>
      <c r="AA166" s="30">
        <v>10</v>
      </c>
      <c r="AB166" s="30">
        <f t="shared" si="4"/>
        <v>78</v>
      </c>
      <c r="AC166" s="47">
        <f t="shared" si="5"/>
        <v>28</v>
      </c>
      <c r="AD166" s="27" t="s">
        <v>53</v>
      </c>
      <c r="AE166" s="5">
        <v>8.5</v>
      </c>
      <c r="AF166" s="5">
        <v>3</v>
      </c>
      <c r="AG166" s="13" t="b">
        <v>1</v>
      </c>
      <c r="AH166" s="30" t="s">
        <v>1077</v>
      </c>
      <c r="AI166" s="33" t="s">
        <v>1825</v>
      </c>
    </row>
    <row r="167" spans="1:35">
      <c r="A167" s="52" t="s">
        <v>682</v>
      </c>
      <c r="B167" s="13" t="s">
        <v>358</v>
      </c>
      <c r="C167" s="27" t="s">
        <v>44</v>
      </c>
      <c r="D167" s="13" t="s">
        <v>59</v>
      </c>
      <c r="E167" s="27">
        <f>+[1]モンスター計算!E170</f>
        <v>2688</v>
      </c>
      <c r="F167" s="5">
        <f>+[1]モンスター計算!F170</f>
        <v>51</v>
      </c>
      <c r="G167" s="5">
        <f>+[1]モンスター計算!G170</f>
        <v>212</v>
      </c>
      <c r="H167" s="5">
        <f>+[1]モンスター計算!H170</f>
        <v>86</v>
      </c>
      <c r="I167" s="5">
        <f>+[1]モンスター計算!I170</f>
        <v>159</v>
      </c>
      <c r="J167" s="13">
        <f>+[1]モンスター計算!J170</f>
        <v>136</v>
      </c>
      <c r="K167" s="27">
        <f>+[1]モンスター計算!K170</f>
        <v>2.5000000000000001E-2</v>
      </c>
      <c r="L167" s="13">
        <f>+[1]モンスター計算!L170</f>
        <v>1.35</v>
      </c>
      <c r="M167" s="27">
        <f>+[1]モンスター計算!M170</f>
        <v>1.1499999999999999</v>
      </c>
      <c r="N167" s="5">
        <f>+[1]モンスター計算!N170</f>
        <v>0.51</v>
      </c>
      <c r="O167" s="13">
        <f>+[1]モンスター計算!O170</f>
        <v>1</v>
      </c>
      <c r="P167" s="27">
        <f>+[1]モンスター計算!P170</f>
        <v>0.25</v>
      </c>
      <c r="Q167" s="5">
        <f>+[1]モンスター計算!Q170</f>
        <v>-0.05</v>
      </c>
      <c r="R167" s="5">
        <f>+[1]モンスター計算!R170</f>
        <v>0.05</v>
      </c>
      <c r="S167" s="5">
        <f>+[1]モンスター計算!S170</f>
        <v>0.05</v>
      </c>
      <c r="T167" s="5">
        <f>+[1]モンスター計算!T170</f>
        <v>0.05</v>
      </c>
      <c r="U167" s="5">
        <f>+[1]モンスター計算!U170</f>
        <v>0.05</v>
      </c>
      <c r="V167" s="13">
        <f>+[1]モンスター計算!V170</f>
        <v>3.2</v>
      </c>
      <c r="W167" s="30">
        <v>10</v>
      </c>
      <c r="X167" s="27" t="s">
        <v>68</v>
      </c>
      <c r="Y167" s="33" t="s">
        <v>90</v>
      </c>
      <c r="Z167" s="13">
        <v>1.25</v>
      </c>
      <c r="AA167" s="30">
        <v>15</v>
      </c>
      <c r="AB167" s="30">
        <f t="shared" si="4"/>
        <v>102</v>
      </c>
      <c r="AC167" s="47">
        <f t="shared" si="5"/>
        <v>28</v>
      </c>
      <c r="AD167" s="27" t="s">
        <v>74</v>
      </c>
      <c r="AE167" s="5">
        <v>0</v>
      </c>
      <c r="AF167" s="5">
        <v>0</v>
      </c>
      <c r="AG167" s="13" t="b">
        <v>0</v>
      </c>
      <c r="AH167" s="30" t="s">
        <v>1078</v>
      </c>
      <c r="AI167" s="33" t="s">
        <v>1825</v>
      </c>
    </row>
    <row r="168" spans="1:35">
      <c r="A168" s="52" t="s">
        <v>683</v>
      </c>
      <c r="B168" s="13" t="s">
        <v>359</v>
      </c>
      <c r="C168" s="27" t="s">
        <v>45</v>
      </c>
      <c r="D168" s="13" t="s">
        <v>59</v>
      </c>
      <c r="E168" s="27">
        <f>+[1]モンスター計算!E171</f>
        <v>1770</v>
      </c>
      <c r="F168" s="5">
        <f>+[1]モンスター計算!F171</f>
        <v>76</v>
      </c>
      <c r="G168" s="5">
        <f>+[1]モンスター計算!G171</f>
        <v>156</v>
      </c>
      <c r="H168" s="5">
        <f>+[1]モンスター計算!H171</f>
        <v>70</v>
      </c>
      <c r="I168" s="5">
        <f>+[1]モンスター計算!I171</f>
        <v>147</v>
      </c>
      <c r="J168" s="13">
        <f>+[1]モンスター計算!J171</f>
        <v>105</v>
      </c>
      <c r="K168" s="27">
        <f>+[1]モンスター計算!K171</f>
        <v>0.08</v>
      </c>
      <c r="L168" s="13">
        <f>+[1]モンスター計算!L171</f>
        <v>1.6</v>
      </c>
      <c r="M168" s="27">
        <f>+[1]モンスター計算!M171</f>
        <v>2.7</v>
      </c>
      <c r="N168" s="5">
        <f>+[1]モンスター計算!N171</f>
        <v>1.05</v>
      </c>
      <c r="O168" s="13">
        <f>+[1]モンスター計算!O171</f>
        <v>1</v>
      </c>
      <c r="P168" s="27">
        <f>+[1]モンスター計算!P171</f>
        <v>-3.5000000000000003E-2</v>
      </c>
      <c r="Q168" s="5">
        <f>+[1]モンスター計算!Q171</f>
        <v>0.26500000000000001</v>
      </c>
      <c r="R168" s="5">
        <f>+[1]モンスター計算!R171</f>
        <v>6.5000000000000002E-2</v>
      </c>
      <c r="S168" s="5">
        <f>+[1]モンスター計算!S171</f>
        <v>6.5000000000000002E-2</v>
      </c>
      <c r="T168" s="5">
        <f>+[1]モンスター計算!T171</f>
        <v>6.5000000000000002E-2</v>
      </c>
      <c r="U168" s="5">
        <f>+[1]モンスター計算!U171</f>
        <v>6.5000000000000002E-2</v>
      </c>
      <c r="V168" s="13">
        <f>+[1]モンスター計算!V171</f>
        <v>4</v>
      </c>
      <c r="W168" s="30">
        <v>11</v>
      </c>
      <c r="X168" s="27" t="s">
        <v>70</v>
      </c>
      <c r="Y168" s="33" t="s">
        <v>91</v>
      </c>
      <c r="Z168" s="13">
        <v>1.25</v>
      </c>
      <c r="AA168" s="30">
        <v>20</v>
      </c>
      <c r="AB168" s="30">
        <f t="shared" si="4"/>
        <v>120</v>
      </c>
      <c r="AC168" s="47">
        <f t="shared" si="5"/>
        <v>28</v>
      </c>
      <c r="AD168" s="27" t="s">
        <v>74</v>
      </c>
      <c r="AE168" s="5">
        <v>0</v>
      </c>
      <c r="AF168" s="5">
        <v>0</v>
      </c>
      <c r="AG168" s="13" t="b">
        <v>0</v>
      </c>
      <c r="AH168" s="30" t="s">
        <v>1079</v>
      </c>
      <c r="AI168" s="33" t="s">
        <v>1825</v>
      </c>
    </row>
    <row r="169" spans="1:35" ht="19.5" thickBot="1">
      <c r="A169" s="53" t="s">
        <v>684</v>
      </c>
      <c r="B169" s="16" t="s">
        <v>360</v>
      </c>
      <c r="C169" s="28" t="s">
        <v>47</v>
      </c>
      <c r="D169" s="16" t="s">
        <v>61</v>
      </c>
      <c r="E169" s="28">
        <f>+[1]モンスター計算!E172</f>
        <v>970</v>
      </c>
      <c r="F169" s="15">
        <f>+[1]モンスター計算!F172</f>
        <v>182</v>
      </c>
      <c r="G169" s="15">
        <f>+[1]モンスター計算!G172</f>
        <v>66</v>
      </c>
      <c r="H169" s="15">
        <f>+[1]モンスター計算!H172</f>
        <v>225</v>
      </c>
      <c r="I169" s="15">
        <f>+[1]モンスター計算!I172</f>
        <v>76</v>
      </c>
      <c r="J169" s="16">
        <f>+[1]モンスター計算!J172</f>
        <v>88</v>
      </c>
      <c r="K169" s="28">
        <f>+[1]モンスター計算!K172</f>
        <v>0.05</v>
      </c>
      <c r="L169" s="16">
        <f>+[1]モンスター計算!L172</f>
        <v>1.4</v>
      </c>
      <c r="M169" s="28">
        <f>+[1]モンスター計算!M172</f>
        <v>3.35</v>
      </c>
      <c r="N169" s="15">
        <f>+[1]モンスター計算!N172</f>
        <v>1.55</v>
      </c>
      <c r="O169" s="16">
        <f>+[1]モンスター計算!O172</f>
        <v>2.2999999999999998</v>
      </c>
      <c r="P169" s="28">
        <f>+[1]モンスター計算!P172</f>
        <v>-7.0000000000000007E-2</v>
      </c>
      <c r="Q169" s="15">
        <f>+[1]モンスター計算!Q172</f>
        <v>-7.0000000000000007E-2</v>
      </c>
      <c r="R169" s="15">
        <f>+[1]モンスター計算!R172</f>
        <v>-7.0000000000000007E-2</v>
      </c>
      <c r="S169" s="15">
        <f>+[1]モンスター計算!S172</f>
        <v>-7.0000000000000007E-2</v>
      </c>
      <c r="T169" s="15">
        <f>+[1]モンスター計算!T172</f>
        <v>0.13</v>
      </c>
      <c r="U169" s="15">
        <f>+[1]モンスター計算!U172</f>
        <v>-0.17</v>
      </c>
      <c r="V169" s="16">
        <f>+[1]モンスター計算!V172</f>
        <v>4</v>
      </c>
      <c r="W169" s="31">
        <v>15</v>
      </c>
      <c r="X169" s="28" t="s">
        <v>72</v>
      </c>
      <c r="Y169" s="34" t="s">
        <v>92</v>
      </c>
      <c r="Z169" s="16">
        <v>1.3</v>
      </c>
      <c r="AA169" s="31">
        <v>40</v>
      </c>
      <c r="AB169" s="31">
        <f t="shared" si="4"/>
        <v>175</v>
      </c>
      <c r="AC169" s="48">
        <f t="shared" si="5"/>
        <v>28</v>
      </c>
      <c r="AD169" s="28" t="s">
        <v>55</v>
      </c>
      <c r="AE169" s="15">
        <v>10</v>
      </c>
      <c r="AF169" s="15">
        <v>4</v>
      </c>
      <c r="AG169" s="16" t="b">
        <v>1</v>
      </c>
      <c r="AH169" s="31" t="s">
        <v>1080</v>
      </c>
      <c r="AI169" s="34" t="s">
        <v>1825</v>
      </c>
    </row>
    <row r="170" spans="1:35">
      <c r="A170" s="51" t="s">
        <v>685</v>
      </c>
      <c r="B170" s="11" t="s">
        <v>361</v>
      </c>
      <c r="C170" s="26" t="s">
        <v>45</v>
      </c>
      <c r="D170" s="11" t="s">
        <v>61</v>
      </c>
      <c r="E170" s="26">
        <f>+[1]モンスター計算!E173</f>
        <v>1731</v>
      </c>
      <c r="F170" s="10">
        <f>+[1]モンスター計算!F173</f>
        <v>210</v>
      </c>
      <c r="G170" s="10">
        <f>+[1]モンスター計算!G173</f>
        <v>92</v>
      </c>
      <c r="H170" s="10">
        <f>+[1]モンスター計算!H173</f>
        <v>205</v>
      </c>
      <c r="I170" s="10">
        <f>+[1]モンスター計算!I173</f>
        <v>150</v>
      </c>
      <c r="J170" s="11">
        <f>+[1]モンスター計算!J173</f>
        <v>98</v>
      </c>
      <c r="K170" s="26">
        <f>+[1]モンスター計算!K173</f>
        <v>0.08</v>
      </c>
      <c r="L170" s="11">
        <f>+[1]モンスター計算!L173</f>
        <v>1.6</v>
      </c>
      <c r="M170" s="26">
        <f>+[1]モンスター計算!M173</f>
        <v>2.8</v>
      </c>
      <c r="N170" s="10">
        <f>+[1]モンスター計算!N173</f>
        <v>1</v>
      </c>
      <c r="O170" s="11">
        <f>+[1]モンスター計算!O173</f>
        <v>2.5</v>
      </c>
      <c r="P170" s="26">
        <f>+[1]モンスター計算!P173</f>
        <v>-8.5000000000000006E-2</v>
      </c>
      <c r="Q170" s="10">
        <f>+[1]モンスター計算!Q173</f>
        <v>0.21500000000000002</v>
      </c>
      <c r="R170" s="10">
        <f>+[1]モンスター計算!R173</f>
        <v>1.4999999999999999E-2</v>
      </c>
      <c r="S170" s="10">
        <f>+[1]モンスター計算!S173</f>
        <v>1.4999999999999999E-2</v>
      </c>
      <c r="T170" s="10">
        <f>+[1]モンスター計算!T173</f>
        <v>1.4999999999999999E-2</v>
      </c>
      <c r="U170" s="10">
        <f>+[1]モンスター計算!U173</f>
        <v>1.4999999999999999E-2</v>
      </c>
      <c r="V170" s="11">
        <f>+[1]モンスター計算!V173</f>
        <v>4</v>
      </c>
      <c r="W170" s="29">
        <v>8</v>
      </c>
      <c r="X170" s="26" t="s">
        <v>109</v>
      </c>
      <c r="Y170" s="32" t="s">
        <v>87</v>
      </c>
      <c r="Z170" s="11">
        <v>1.2</v>
      </c>
      <c r="AA170" s="29">
        <v>5</v>
      </c>
      <c r="AB170" s="29">
        <f t="shared" si="4"/>
        <v>62</v>
      </c>
      <c r="AC170" s="46">
        <f t="shared" si="5"/>
        <v>29</v>
      </c>
      <c r="AD170" s="26" t="s">
        <v>51</v>
      </c>
      <c r="AE170" s="10">
        <v>7</v>
      </c>
      <c r="AF170" s="10">
        <v>3</v>
      </c>
      <c r="AG170" s="11" t="b">
        <v>1</v>
      </c>
      <c r="AH170" s="29" t="s">
        <v>1081</v>
      </c>
      <c r="AI170" s="32" t="s">
        <v>1825</v>
      </c>
    </row>
    <row r="171" spans="1:35">
      <c r="A171" s="52" t="s">
        <v>686</v>
      </c>
      <c r="B171" s="13" t="s">
        <v>362</v>
      </c>
      <c r="C171" s="27" t="s">
        <v>44</v>
      </c>
      <c r="D171" s="13" t="s">
        <v>61</v>
      </c>
      <c r="E171" s="27">
        <f>+[1]モンスター計算!E174</f>
        <v>836</v>
      </c>
      <c r="F171" s="5">
        <f>+[1]モンスター計算!F174</f>
        <v>164</v>
      </c>
      <c r="G171" s="5">
        <f>+[1]モンスター計算!G174</f>
        <v>82</v>
      </c>
      <c r="H171" s="5">
        <f>+[1]モンスター計算!H174</f>
        <v>381</v>
      </c>
      <c r="I171" s="5">
        <f>+[1]モンスター計算!I174</f>
        <v>74</v>
      </c>
      <c r="J171" s="13">
        <f>+[1]モンスター計算!J174</f>
        <v>75</v>
      </c>
      <c r="K171" s="27">
        <f>+[1]モンスター計算!K174</f>
        <v>0.08</v>
      </c>
      <c r="L171" s="13">
        <f>+[1]モンスター計算!L174</f>
        <v>1.55</v>
      </c>
      <c r="M171" s="27">
        <f>+[1]モンスター計算!M174</f>
        <v>4.2</v>
      </c>
      <c r="N171" s="5">
        <f>+[1]モンスター計算!N174</f>
        <v>1.3</v>
      </c>
      <c r="O171" s="13">
        <f>+[1]モンスター計算!O174</f>
        <v>2.5</v>
      </c>
      <c r="P171" s="27">
        <f>+[1]モンスター計算!P174</f>
        <v>0.11000000000000001</v>
      </c>
      <c r="Q171" s="5">
        <f>+[1]モンスター計算!Q174</f>
        <v>-0.19</v>
      </c>
      <c r="R171" s="5">
        <f>+[1]モンスター計算!R174</f>
        <v>-0.09</v>
      </c>
      <c r="S171" s="5">
        <f>+[1]モンスター計算!S174</f>
        <v>-0.09</v>
      </c>
      <c r="T171" s="5">
        <f>+[1]モンスター計算!T174</f>
        <v>-0.09</v>
      </c>
      <c r="U171" s="5">
        <f>+[1]モンスター計算!U174</f>
        <v>-0.09</v>
      </c>
      <c r="V171" s="13">
        <f>+[1]モンスター計算!V174</f>
        <v>4.2</v>
      </c>
      <c r="W171" s="30">
        <v>8</v>
      </c>
      <c r="X171" s="27" t="s">
        <v>64</v>
      </c>
      <c r="Y171" s="33" t="s">
        <v>88</v>
      </c>
      <c r="Z171" s="13">
        <v>1.2</v>
      </c>
      <c r="AA171" s="30">
        <v>7</v>
      </c>
      <c r="AB171" s="30">
        <f t="shared" si="4"/>
        <v>70</v>
      </c>
      <c r="AC171" s="47">
        <f t="shared" si="5"/>
        <v>29</v>
      </c>
      <c r="AD171" s="27" t="s">
        <v>49</v>
      </c>
      <c r="AE171" s="5">
        <v>7.5</v>
      </c>
      <c r="AF171" s="5">
        <v>3</v>
      </c>
      <c r="AG171" s="13" t="b">
        <v>1</v>
      </c>
      <c r="AH171" s="30" t="s">
        <v>1082</v>
      </c>
      <c r="AI171" s="33" t="s">
        <v>1825</v>
      </c>
    </row>
    <row r="172" spans="1:35">
      <c r="A172" s="52" t="s">
        <v>687</v>
      </c>
      <c r="B172" s="13" t="s">
        <v>363</v>
      </c>
      <c r="C172" s="27" t="s">
        <v>46</v>
      </c>
      <c r="D172" s="13" t="s">
        <v>61</v>
      </c>
      <c r="E172" s="27">
        <f>+[1]モンスター計算!E175</f>
        <v>1615</v>
      </c>
      <c r="F172" s="5">
        <f>+[1]モンスター計算!F175</f>
        <v>284</v>
      </c>
      <c r="G172" s="5">
        <f>+[1]モンスター計算!G175</f>
        <v>71</v>
      </c>
      <c r="H172" s="5">
        <f>+[1]モンスター計算!H175</f>
        <v>240</v>
      </c>
      <c r="I172" s="5">
        <f>+[1]モンスター計算!I175</f>
        <v>225</v>
      </c>
      <c r="J172" s="13">
        <f>+[1]モンスター計算!J175</f>
        <v>83</v>
      </c>
      <c r="K172" s="27">
        <f>+[1]モンスター計算!K175</f>
        <v>5.5E-2</v>
      </c>
      <c r="L172" s="13">
        <f>+[1]モンスター計算!L175</f>
        <v>1.5</v>
      </c>
      <c r="M172" s="27">
        <f>+[1]モンスター計算!M175</f>
        <v>1.85</v>
      </c>
      <c r="N172" s="5">
        <f>+[1]モンスター計算!N175</f>
        <v>0.87</v>
      </c>
      <c r="O172" s="13">
        <f>+[1]モンスター計算!O175</f>
        <v>2.35</v>
      </c>
      <c r="P172" s="27">
        <f>+[1]モンスター計算!P175</f>
        <v>6.5000000000000002E-2</v>
      </c>
      <c r="Q172" s="5">
        <f>+[1]モンスター計算!Q175</f>
        <v>6.5000000000000002E-2</v>
      </c>
      <c r="R172" s="5">
        <f>+[1]モンスター計算!R175</f>
        <v>0.26500000000000001</v>
      </c>
      <c r="S172" s="5">
        <f>+[1]モンスター計算!S175</f>
        <v>-3.5000000000000003E-2</v>
      </c>
      <c r="T172" s="5">
        <f>+[1]モンスター計算!T175</f>
        <v>6.5000000000000002E-2</v>
      </c>
      <c r="U172" s="5">
        <f>+[1]モンスター計算!U175</f>
        <v>6.5000000000000002E-2</v>
      </c>
      <c r="V172" s="13">
        <f>+[1]モンスター計算!V175</f>
        <v>4.2</v>
      </c>
      <c r="W172" s="30">
        <v>9</v>
      </c>
      <c r="X172" s="27" t="s">
        <v>66</v>
      </c>
      <c r="Y172" s="33" t="s">
        <v>89</v>
      </c>
      <c r="Z172" s="13">
        <v>1.22</v>
      </c>
      <c r="AA172" s="30">
        <v>10</v>
      </c>
      <c r="AB172" s="30">
        <f t="shared" si="4"/>
        <v>82</v>
      </c>
      <c r="AC172" s="47">
        <f t="shared" si="5"/>
        <v>29</v>
      </c>
      <c r="AD172" s="27" t="s">
        <v>53</v>
      </c>
      <c r="AE172" s="5">
        <v>8.5</v>
      </c>
      <c r="AF172" s="5">
        <v>3</v>
      </c>
      <c r="AG172" s="13" t="b">
        <v>1</v>
      </c>
      <c r="AH172" s="30" t="s">
        <v>1083</v>
      </c>
      <c r="AI172" s="33" t="s">
        <v>1825</v>
      </c>
    </row>
    <row r="173" spans="1:35">
      <c r="A173" s="52" t="s">
        <v>688</v>
      </c>
      <c r="B173" s="13" t="s">
        <v>364</v>
      </c>
      <c r="C173" s="27" t="s">
        <v>44</v>
      </c>
      <c r="D173" s="13" t="s">
        <v>59</v>
      </c>
      <c r="E173" s="27">
        <f>+[1]モンスター計算!E176</f>
        <v>1731</v>
      </c>
      <c r="F173" s="5">
        <f>+[1]モンスター計算!F176</f>
        <v>79</v>
      </c>
      <c r="G173" s="5">
        <f>+[1]モンスター計算!G176</f>
        <v>212</v>
      </c>
      <c r="H173" s="5">
        <f>+[1]モンスター計算!H176</f>
        <v>95</v>
      </c>
      <c r="I173" s="5">
        <f>+[1]モンスター計算!I176</f>
        <v>150</v>
      </c>
      <c r="J173" s="13">
        <f>+[1]モンスター計算!J176</f>
        <v>98</v>
      </c>
      <c r="K173" s="27">
        <f>+[1]モンスター計算!K176</f>
        <v>0.08</v>
      </c>
      <c r="L173" s="13">
        <f>+[1]モンスター計算!L176</f>
        <v>1.6</v>
      </c>
      <c r="M173" s="27">
        <f>+[1]モンスター計算!M176</f>
        <v>2.8</v>
      </c>
      <c r="N173" s="5">
        <f>+[1]モンスター計算!N176</f>
        <v>1</v>
      </c>
      <c r="O173" s="13">
        <f>+[1]モンスター計算!O176</f>
        <v>1</v>
      </c>
      <c r="P173" s="27">
        <f>+[1]モンスター計算!P176</f>
        <v>0.23500000000000001</v>
      </c>
      <c r="Q173" s="5">
        <f>+[1]モンスター計算!Q176</f>
        <v>-6.5000000000000002E-2</v>
      </c>
      <c r="R173" s="5">
        <f>+[1]モンスター計算!R176</f>
        <v>3.5000000000000003E-2</v>
      </c>
      <c r="S173" s="5">
        <f>+[1]モンスター計算!S176</f>
        <v>3.5000000000000003E-2</v>
      </c>
      <c r="T173" s="5">
        <f>+[1]モンスター計算!T176</f>
        <v>3.5000000000000003E-2</v>
      </c>
      <c r="U173" s="5">
        <f>+[1]モンスター計算!U176</f>
        <v>3.5000000000000003E-2</v>
      </c>
      <c r="V173" s="13">
        <f>+[1]モンスター計算!V176</f>
        <v>4</v>
      </c>
      <c r="W173" s="30">
        <v>10</v>
      </c>
      <c r="X173" s="27" t="s">
        <v>68</v>
      </c>
      <c r="Y173" s="33" t="s">
        <v>90</v>
      </c>
      <c r="Z173" s="13">
        <v>1.25</v>
      </c>
      <c r="AA173" s="30">
        <v>15</v>
      </c>
      <c r="AB173" s="30">
        <f t="shared" si="4"/>
        <v>108</v>
      </c>
      <c r="AC173" s="47">
        <f t="shared" si="5"/>
        <v>29</v>
      </c>
      <c r="AD173" s="27" t="s">
        <v>74</v>
      </c>
      <c r="AE173" s="5">
        <v>0</v>
      </c>
      <c r="AF173" s="5">
        <v>0</v>
      </c>
      <c r="AG173" s="13" t="b">
        <v>0</v>
      </c>
      <c r="AH173" s="30" t="s">
        <v>1084</v>
      </c>
      <c r="AI173" s="33" t="s">
        <v>1825</v>
      </c>
    </row>
    <row r="174" spans="1:35">
      <c r="A174" s="52" t="s">
        <v>689</v>
      </c>
      <c r="B174" s="13" t="s">
        <v>365</v>
      </c>
      <c r="C174" s="27" t="s">
        <v>45</v>
      </c>
      <c r="D174" s="13" t="s">
        <v>59</v>
      </c>
      <c r="E174" s="27">
        <f>+[1]モンスター計算!E177</f>
        <v>1831</v>
      </c>
      <c r="F174" s="5">
        <f>+[1]モンスター計算!F177</f>
        <v>65</v>
      </c>
      <c r="G174" s="5">
        <f>+[1]モンスター計算!G177</f>
        <v>390</v>
      </c>
      <c r="H174" s="5">
        <f>+[1]モンスター計算!H177</f>
        <v>114</v>
      </c>
      <c r="I174" s="5">
        <f>+[1]モンスター計算!I177</f>
        <v>121</v>
      </c>
      <c r="J174" s="13">
        <f>+[1]モンスター計算!J177</f>
        <v>102</v>
      </c>
      <c r="K174" s="27">
        <f>+[1]モンスター計算!K177</f>
        <v>0.06</v>
      </c>
      <c r="L174" s="13">
        <f>+[1]モンスター計算!L177</f>
        <v>2.15</v>
      </c>
      <c r="M174" s="27">
        <f>+[1]モンスター計算!M177</f>
        <v>1.65</v>
      </c>
      <c r="N174" s="5">
        <f>+[1]モンスター計算!N177</f>
        <v>0.53</v>
      </c>
      <c r="O174" s="13">
        <f>+[1]モンスター計算!O177</f>
        <v>1</v>
      </c>
      <c r="P174" s="27">
        <f>+[1]モンスター計算!P177</f>
        <v>-0.125</v>
      </c>
      <c r="Q174" s="5">
        <f>+[1]モンスター計算!Q177</f>
        <v>0.17500000000000002</v>
      </c>
      <c r="R174" s="5">
        <f>+[1]モンスター計算!R177</f>
        <v>-2.5000000000000001E-2</v>
      </c>
      <c r="S174" s="5">
        <f>+[1]モンスター計算!S177</f>
        <v>-2.5000000000000001E-2</v>
      </c>
      <c r="T174" s="5">
        <f>+[1]モンスター計算!T177</f>
        <v>-2.5000000000000001E-2</v>
      </c>
      <c r="U174" s="5">
        <f>+[1]モンスター計算!U177</f>
        <v>-2.5000000000000001E-2</v>
      </c>
      <c r="V174" s="13">
        <f>+[1]モンスター計算!V177</f>
        <v>4.4000000000000004</v>
      </c>
      <c r="W174" s="30">
        <v>11</v>
      </c>
      <c r="X174" s="27" t="s">
        <v>70</v>
      </c>
      <c r="Y174" s="33" t="s">
        <v>91</v>
      </c>
      <c r="Z174" s="13">
        <v>1.25</v>
      </c>
      <c r="AA174" s="30">
        <v>20</v>
      </c>
      <c r="AB174" s="30">
        <f t="shared" si="4"/>
        <v>126</v>
      </c>
      <c r="AC174" s="47">
        <f t="shared" si="5"/>
        <v>29</v>
      </c>
      <c r="AD174" s="27" t="s">
        <v>74</v>
      </c>
      <c r="AE174" s="5">
        <v>0</v>
      </c>
      <c r="AF174" s="5">
        <v>0</v>
      </c>
      <c r="AG174" s="13" t="b">
        <v>0</v>
      </c>
      <c r="AH174" s="30" t="s">
        <v>1085</v>
      </c>
      <c r="AI174" s="33" t="s">
        <v>1825</v>
      </c>
    </row>
    <row r="175" spans="1:35" ht="19.5" thickBot="1">
      <c r="A175" s="53" t="s">
        <v>690</v>
      </c>
      <c r="B175" s="16" t="s">
        <v>366</v>
      </c>
      <c r="C175" s="28" t="s">
        <v>47</v>
      </c>
      <c r="D175" s="16" t="s">
        <v>61</v>
      </c>
      <c r="E175" s="28">
        <f>+[1]モンスター計算!E178</f>
        <v>1846</v>
      </c>
      <c r="F175" s="15">
        <f>+[1]モンスター計算!F178</f>
        <v>200</v>
      </c>
      <c r="G175" s="15">
        <f>+[1]モンスター計算!G178</f>
        <v>52</v>
      </c>
      <c r="H175" s="15">
        <f>+[1]モンスター計算!H178</f>
        <v>137</v>
      </c>
      <c r="I175" s="15">
        <f>+[1]モンスター計算!I178</f>
        <v>142</v>
      </c>
      <c r="J175" s="16">
        <f>+[1]モンスター計算!J178</f>
        <v>129</v>
      </c>
      <c r="K175" s="28">
        <f>+[1]モンスター計算!K178</f>
        <v>7.0000000000000007E-2</v>
      </c>
      <c r="L175" s="16">
        <f>+[1]モンスター計算!L178</f>
        <v>1.5</v>
      </c>
      <c r="M175" s="28">
        <f>+[1]モンスター計算!M178</f>
        <v>2.8</v>
      </c>
      <c r="N175" s="15">
        <f>+[1]モンスター計算!N178</f>
        <v>1.45</v>
      </c>
      <c r="O175" s="16">
        <f>+[1]モンスター計算!O178</f>
        <v>1.55</v>
      </c>
      <c r="P175" s="28">
        <f>+[1]モンスター計算!P178</f>
        <v>0.03</v>
      </c>
      <c r="Q175" s="15">
        <f>+[1]モンスター計算!Q178</f>
        <v>0.03</v>
      </c>
      <c r="R175" s="15">
        <f>+[1]モンスター計算!R178</f>
        <v>0.03</v>
      </c>
      <c r="S175" s="15">
        <f>+[1]モンスター計算!S178</f>
        <v>0.03</v>
      </c>
      <c r="T175" s="15">
        <f>+[1]モンスター計算!T178</f>
        <v>0.23</v>
      </c>
      <c r="U175" s="15">
        <f>+[1]モンスター計算!U178</f>
        <v>-7.0000000000000007E-2</v>
      </c>
      <c r="V175" s="16">
        <f>+[1]モンスター計算!V178</f>
        <v>3.6</v>
      </c>
      <c r="W175" s="31">
        <v>15</v>
      </c>
      <c r="X175" s="28" t="s">
        <v>72</v>
      </c>
      <c r="Y175" s="34" t="s">
        <v>92</v>
      </c>
      <c r="Z175" s="16">
        <v>1.3</v>
      </c>
      <c r="AA175" s="31">
        <v>40</v>
      </c>
      <c r="AB175" s="31">
        <f t="shared" si="4"/>
        <v>184</v>
      </c>
      <c r="AC175" s="48">
        <f t="shared" si="5"/>
        <v>29</v>
      </c>
      <c r="AD175" s="28" t="s">
        <v>55</v>
      </c>
      <c r="AE175" s="15">
        <v>10</v>
      </c>
      <c r="AF175" s="15">
        <v>4</v>
      </c>
      <c r="AG175" s="16" t="b">
        <v>1</v>
      </c>
      <c r="AH175" s="31" t="s">
        <v>1086</v>
      </c>
      <c r="AI175" s="34" t="s">
        <v>1825</v>
      </c>
    </row>
    <row r="176" spans="1:35">
      <c r="A176" s="51" t="s">
        <v>691</v>
      </c>
      <c r="B176" s="11" t="s">
        <v>367</v>
      </c>
      <c r="C176" s="26" t="s">
        <v>45</v>
      </c>
      <c r="D176" s="11" t="s">
        <v>61</v>
      </c>
      <c r="E176" s="26">
        <f>+[1]モンスター計算!E179</f>
        <v>1444</v>
      </c>
      <c r="F176" s="10">
        <f>+[1]モンスター計算!F179</f>
        <v>370</v>
      </c>
      <c r="G176" s="10">
        <f>+[1]モンスター計算!G179</f>
        <v>157</v>
      </c>
      <c r="H176" s="10">
        <f>+[1]モンスター計算!H179</f>
        <v>464</v>
      </c>
      <c r="I176" s="10">
        <f>+[1]モンスター計算!I179</f>
        <v>112</v>
      </c>
      <c r="J176" s="11">
        <f>+[1]モンスター計算!J179</f>
        <v>121</v>
      </c>
      <c r="K176" s="26">
        <f>+[1]モンスター計算!K179</f>
        <v>0.04</v>
      </c>
      <c r="L176" s="11">
        <f>+[1]モンスター計算!L179</f>
        <v>2.2000000000000002</v>
      </c>
      <c r="M176" s="26">
        <f>+[1]モンスター計算!M179</f>
        <v>1.65</v>
      </c>
      <c r="N176" s="10">
        <f>+[1]モンスター計算!N179</f>
        <v>0.64</v>
      </c>
      <c r="O176" s="11">
        <f>+[1]モンスター計算!O179</f>
        <v>3.7</v>
      </c>
      <c r="P176" s="26">
        <f>+[1]モンスター計算!P179</f>
        <v>-0.125</v>
      </c>
      <c r="Q176" s="10">
        <f>+[1]モンスター計算!Q179</f>
        <v>0.17500000000000002</v>
      </c>
      <c r="R176" s="10">
        <f>+[1]モンスター計算!R179</f>
        <v>-2.5000000000000001E-2</v>
      </c>
      <c r="S176" s="10">
        <f>+[1]モンスター計算!S179</f>
        <v>-2.5000000000000001E-2</v>
      </c>
      <c r="T176" s="10">
        <f>+[1]モンスター計算!T179</f>
        <v>-2.5000000000000001E-2</v>
      </c>
      <c r="U176" s="10">
        <f>+[1]モンスター計算!U179</f>
        <v>-2.5000000000000001E-2</v>
      </c>
      <c r="V176" s="11">
        <f>+[1]モンスター計算!V179</f>
        <v>5</v>
      </c>
      <c r="W176" s="29">
        <v>8</v>
      </c>
      <c r="X176" s="26" t="s">
        <v>109</v>
      </c>
      <c r="Y176" s="32" t="s">
        <v>87</v>
      </c>
      <c r="Z176" s="11">
        <v>1.2</v>
      </c>
      <c r="AA176" s="29">
        <v>5</v>
      </c>
      <c r="AB176" s="29">
        <f t="shared" si="4"/>
        <v>66</v>
      </c>
      <c r="AC176" s="46">
        <f t="shared" si="5"/>
        <v>30</v>
      </c>
      <c r="AD176" s="26" t="s">
        <v>51</v>
      </c>
      <c r="AE176" s="10">
        <v>7</v>
      </c>
      <c r="AF176" s="10">
        <v>3</v>
      </c>
      <c r="AG176" s="11" t="b">
        <v>1</v>
      </c>
      <c r="AH176" s="29" t="s">
        <v>1087</v>
      </c>
      <c r="AI176" s="32" t="s">
        <v>1825</v>
      </c>
    </row>
    <row r="177" spans="1:35">
      <c r="A177" s="52" t="s">
        <v>692</v>
      </c>
      <c r="B177" s="13" t="s">
        <v>368</v>
      </c>
      <c r="C177" s="27" t="s">
        <v>44</v>
      </c>
      <c r="D177" s="13" t="s">
        <v>61</v>
      </c>
      <c r="E177" s="27">
        <f>+[1]モンスター計算!E180</f>
        <v>1681</v>
      </c>
      <c r="F177" s="5">
        <f>+[1]モンスター計算!F180</f>
        <v>405</v>
      </c>
      <c r="G177" s="5">
        <f>+[1]モンスター計算!G180</f>
        <v>82</v>
      </c>
      <c r="H177" s="5">
        <f>+[1]モンスター計算!H180</f>
        <v>279</v>
      </c>
      <c r="I177" s="5">
        <f>+[1]モンスター計算!I180</f>
        <v>98</v>
      </c>
      <c r="J177" s="13">
        <f>+[1]モンスター計算!J180</f>
        <v>260</v>
      </c>
      <c r="K177" s="27">
        <f>+[1]モンスター計算!K180</f>
        <v>4.4999999999999998E-2</v>
      </c>
      <c r="L177" s="13">
        <f>+[1]モンスター計算!L180</f>
        <v>1.45</v>
      </c>
      <c r="M177" s="27">
        <f>+[1]モンスター計算!M180</f>
        <v>1.9</v>
      </c>
      <c r="N177" s="5">
        <f>+[1]モンスター計算!N180</f>
        <v>0.84</v>
      </c>
      <c r="O177" s="13">
        <f>+[1]モンスター計算!O180</f>
        <v>2.65</v>
      </c>
      <c r="P177" s="27">
        <f>+[1]モンスター計算!P180</f>
        <v>0.29000000000000004</v>
      </c>
      <c r="Q177" s="5">
        <f>+[1]モンスター計算!Q180</f>
        <v>-1.0000000000000009E-2</v>
      </c>
      <c r="R177" s="5">
        <f>+[1]モンスター計算!R180</f>
        <v>0.09</v>
      </c>
      <c r="S177" s="5">
        <f>+[1]モンスター計算!S180</f>
        <v>0.09</v>
      </c>
      <c r="T177" s="5">
        <f>+[1]モンスター計算!T180</f>
        <v>0.09</v>
      </c>
      <c r="U177" s="5">
        <f>+[1]モンスター計算!U180</f>
        <v>0.09</v>
      </c>
      <c r="V177" s="13">
        <f>+[1]モンスター計算!V180</f>
        <v>4.4000000000000004</v>
      </c>
      <c r="W177" s="30">
        <v>8</v>
      </c>
      <c r="X177" s="27" t="s">
        <v>64</v>
      </c>
      <c r="Y177" s="33" t="s">
        <v>88</v>
      </c>
      <c r="Z177" s="13">
        <v>1.2</v>
      </c>
      <c r="AA177" s="30">
        <v>7</v>
      </c>
      <c r="AB177" s="30">
        <f t="shared" si="4"/>
        <v>74</v>
      </c>
      <c r="AC177" s="47">
        <f t="shared" si="5"/>
        <v>30</v>
      </c>
      <c r="AD177" s="27" t="s">
        <v>49</v>
      </c>
      <c r="AE177" s="5">
        <v>7.5</v>
      </c>
      <c r="AF177" s="5">
        <v>3</v>
      </c>
      <c r="AG177" s="13" t="b">
        <v>1</v>
      </c>
      <c r="AH177" s="30" t="s">
        <v>1088</v>
      </c>
      <c r="AI177" s="33" t="s">
        <v>1825</v>
      </c>
    </row>
    <row r="178" spans="1:35">
      <c r="A178" s="52" t="s">
        <v>693</v>
      </c>
      <c r="B178" s="13" t="s">
        <v>369</v>
      </c>
      <c r="C178" s="27" t="s">
        <v>46</v>
      </c>
      <c r="D178" s="13" t="s">
        <v>61</v>
      </c>
      <c r="E178" s="27">
        <f>+[1]モンスター計算!E181</f>
        <v>872</v>
      </c>
      <c r="F178" s="5">
        <f>+[1]モンスター計算!F181</f>
        <v>347</v>
      </c>
      <c r="G178" s="5">
        <f>+[1]モンスター計算!G181</f>
        <v>163</v>
      </c>
      <c r="H178" s="5">
        <f>+[1]モンスター計算!H181</f>
        <v>453</v>
      </c>
      <c r="I178" s="5">
        <f>+[1]モンスター計算!I181</f>
        <v>184</v>
      </c>
      <c r="J178" s="13">
        <f>+[1]モンスター計算!J181</f>
        <v>286</v>
      </c>
      <c r="K178" s="27">
        <f>+[1]モンスター計算!K181</f>
        <v>0.04</v>
      </c>
      <c r="L178" s="13">
        <f>+[1]モンスター計算!L181</f>
        <v>1.38</v>
      </c>
      <c r="M178" s="27">
        <f>+[1]モンスター計算!M181</f>
        <v>2.2000000000000002</v>
      </c>
      <c r="N178" s="5">
        <f>+[1]モンスター計算!N181</f>
        <v>0.88</v>
      </c>
      <c r="O178" s="13">
        <f>+[1]モンスター計算!O181</f>
        <v>3.15</v>
      </c>
      <c r="P178" s="27">
        <f>+[1]モンスター計算!P181</f>
        <v>0.13</v>
      </c>
      <c r="Q178" s="5">
        <f>+[1]モンスター計算!Q181</f>
        <v>0.13</v>
      </c>
      <c r="R178" s="5">
        <f>+[1]モンスター計算!R181</f>
        <v>0.33</v>
      </c>
      <c r="S178" s="5">
        <f>+[1]モンスター計算!S181</f>
        <v>0.03</v>
      </c>
      <c r="T178" s="5">
        <f>+[1]モンスター計算!T181</f>
        <v>0.13</v>
      </c>
      <c r="U178" s="5">
        <f>+[1]モンスター計算!U181</f>
        <v>0.13</v>
      </c>
      <c r="V178" s="13">
        <f>+[1]モンスター計算!V181</f>
        <v>4.4800000000000004</v>
      </c>
      <c r="W178" s="30">
        <v>9</v>
      </c>
      <c r="X178" s="27" t="s">
        <v>66</v>
      </c>
      <c r="Y178" s="33" t="s">
        <v>89</v>
      </c>
      <c r="Z178" s="13">
        <v>1.22</v>
      </c>
      <c r="AA178" s="30">
        <v>10</v>
      </c>
      <c r="AB178" s="30">
        <f t="shared" si="4"/>
        <v>87</v>
      </c>
      <c r="AC178" s="47">
        <f t="shared" si="5"/>
        <v>30</v>
      </c>
      <c r="AD178" s="27" t="s">
        <v>53</v>
      </c>
      <c r="AE178" s="5">
        <v>8.5</v>
      </c>
      <c r="AF178" s="5">
        <v>3</v>
      </c>
      <c r="AG178" s="13" t="b">
        <v>1</v>
      </c>
      <c r="AH178" s="30" t="s">
        <v>1089</v>
      </c>
      <c r="AI178" s="33" t="s">
        <v>1825</v>
      </c>
    </row>
    <row r="179" spans="1:35">
      <c r="A179" s="52" t="s">
        <v>694</v>
      </c>
      <c r="B179" s="13" t="s">
        <v>370</v>
      </c>
      <c r="C179" s="27" t="s">
        <v>44</v>
      </c>
      <c r="D179" s="13" t="s">
        <v>59</v>
      </c>
      <c r="E179" s="27">
        <f>+[1]モンスター計算!E182</f>
        <v>1031</v>
      </c>
      <c r="F179" s="5">
        <f>+[1]モンスター計算!F182</f>
        <v>49</v>
      </c>
      <c r="G179" s="5">
        <f>+[1]モンスター計算!G182</f>
        <v>325</v>
      </c>
      <c r="H179" s="5">
        <f>+[1]モンスター計算!H182</f>
        <v>95</v>
      </c>
      <c r="I179" s="5">
        <f>+[1]モンスター計算!I182</f>
        <v>79</v>
      </c>
      <c r="J179" s="13">
        <f>+[1]モンスター計算!J182</f>
        <v>86</v>
      </c>
      <c r="K179" s="27">
        <f>+[1]モンスター計算!K182</f>
        <v>0.18</v>
      </c>
      <c r="L179" s="13">
        <f>+[1]モンスター計算!L182</f>
        <v>2.1</v>
      </c>
      <c r="M179" s="27">
        <f>+[1]モンスター計算!M182</f>
        <v>3.15</v>
      </c>
      <c r="N179" s="5">
        <f>+[1]モンスター計算!N182</f>
        <v>1.35</v>
      </c>
      <c r="O179" s="13">
        <f>+[1]モンスター計算!O182</f>
        <v>1</v>
      </c>
      <c r="P179" s="27">
        <f>+[1]モンスター計算!P182</f>
        <v>0.12000000000000001</v>
      </c>
      <c r="Q179" s="5">
        <f>+[1]モンスター計算!Q182</f>
        <v>-0.18</v>
      </c>
      <c r="R179" s="5">
        <f>+[1]モンスター計算!R182</f>
        <v>-0.08</v>
      </c>
      <c r="S179" s="5">
        <f>+[1]モンスター計算!S182</f>
        <v>-0.08</v>
      </c>
      <c r="T179" s="5">
        <f>+[1]モンスター計算!T182</f>
        <v>-0.08</v>
      </c>
      <c r="U179" s="5">
        <f>+[1]モンスター計算!U182</f>
        <v>-0.08</v>
      </c>
      <c r="V179" s="13">
        <f>+[1]モンスター計算!V182</f>
        <v>4.8</v>
      </c>
      <c r="W179" s="30">
        <v>10</v>
      </c>
      <c r="X179" s="27" t="s">
        <v>68</v>
      </c>
      <c r="Y179" s="33" t="s">
        <v>90</v>
      </c>
      <c r="Z179" s="13">
        <v>1.25</v>
      </c>
      <c r="AA179" s="30">
        <v>15</v>
      </c>
      <c r="AB179" s="30">
        <f t="shared" si="4"/>
        <v>114</v>
      </c>
      <c r="AC179" s="47">
        <f t="shared" si="5"/>
        <v>30</v>
      </c>
      <c r="AD179" s="27" t="s">
        <v>74</v>
      </c>
      <c r="AE179" s="5">
        <v>0</v>
      </c>
      <c r="AF179" s="5">
        <v>0</v>
      </c>
      <c r="AG179" s="13" t="b">
        <v>0</v>
      </c>
      <c r="AH179" s="30" t="s">
        <v>1090</v>
      </c>
      <c r="AI179" s="33" t="s">
        <v>1825</v>
      </c>
    </row>
    <row r="180" spans="1:35">
      <c r="A180" s="52" t="s">
        <v>695</v>
      </c>
      <c r="B180" s="13" t="s">
        <v>371</v>
      </c>
      <c r="C180" s="27" t="s">
        <v>45</v>
      </c>
      <c r="D180" s="13" t="s">
        <v>59</v>
      </c>
      <c r="E180" s="27">
        <f>+[1]モンスター計算!E183</f>
        <v>1872</v>
      </c>
      <c r="F180" s="5">
        <f>+[1]モンスター計算!F183</f>
        <v>108</v>
      </c>
      <c r="G180" s="5">
        <f>+[1]モンスター計算!G183</f>
        <v>256</v>
      </c>
      <c r="H180" s="5">
        <f>+[1]モンスター計算!H183</f>
        <v>81</v>
      </c>
      <c r="I180" s="5">
        <f>+[1]モンスター計算!I183</f>
        <v>145</v>
      </c>
      <c r="J180" s="13">
        <f>+[1]モンスター計算!J183</f>
        <v>145</v>
      </c>
      <c r="K180" s="27">
        <f>+[1]モンスター計算!K183</f>
        <v>0.04</v>
      </c>
      <c r="L180" s="13">
        <f>+[1]モンスター計算!L183</f>
        <v>1.43</v>
      </c>
      <c r="M180" s="27">
        <f>+[1]モンスター計算!M183</f>
        <v>2.15</v>
      </c>
      <c r="N180" s="5">
        <f>+[1]モンスター計算!N183</f>
        <v>0.88</v>
      </c>
      <c r="O180" s="13">
        <f>+[1]モンスター計算!O183</f>
        <v>1</v>
      </c>
      <c r="P180" s="27">
        <f>+[1]モンスター計算!P183</f>
        <v>0.09</v>
      </c>
      <c r="Q180" s="5">
        <f>+[1]モンスター計算!Q183</f>
        <v>0.39</v>
      </c>
      <c r="R180" s="5">
        <f>+[1]モンスター計算!R183</f>
        <v>0.19</v>
      </c>
      <c r="S180" s="5">
        <f>+[1]モンスター計算!S183</f>
        <v>0.19</v>
      </c>
      <c r="T180" s="5">
        <f>+[1]モンスター計算!T183</f>
        <v>0.19</v>
      </c>
      <c r="U180" s="5">
        <f>+[1]モンスター計算!U183</f>
        <v>0.19</v>
      </c>
      <c r="V180" s="13">
        <f>+[1]モンスター計算!V183</f>
        <v>3.8</v>
      </c>
      <c r="W180" s="30">
        <v>11</v>
      </c>
      <c r="X180" s="27" t="s">
        <v>70</v>
      </c>
      <c r="Y180" s="33" t="s">
        <v>91</v>
      </c>
      <c r="Z180" s="13">
        <v>1.25</v>
      </c>
      <c r="AA180" s="30">
        <v>20</v>
      </c>
      <c r="AB180" s="30">
        <f t="shared" si="4"/>
        <v>133</v>
      </c>
      <c r="AC180" s="47">
        <f t="shared" si="5"/>
        <v>30</v>
      </c>
      <c r="AD180" s="27" t="s">
        <v>74</v>
      </c>
      <c r="AE180" s="5">
        <v>0</v>
      </c>
      <c r="AF180" s="5">
        <v>0</v>
      </c>
      <c r="AG180" s="13" t="b">
        <v>0</v>
      </c>
      <c r="AH180" s="30" t="s">
        <v>1091</v>
      </c>
      <c r="AI180" s="33" t="s">
        <v>1825</v>
      </c>
    </row>
    <row r="181" spans="1:35" ht="19.5" thickBot="1">
      <c r="A181" s="53" t="s">
        <v>696</v>
      </c>
      <c r="B181" s="16" t="s">
        <v>372</v>
      </c>
      <c r="C181" s="28" t="s">
        <v>47</v>
      </c>
      <c r="D181" s="16" t="s">
        <v>61</v>
      </c>
      <c r="E181" s="28">
        <f>+[1]モンスター計算!E184</f>
        <v>1634</v>
      </c>
      <c r="F181" s="15">
        <f>+[1]モンスター計算!F184</f>
        <v>613</v>
      </c>
      <c r="G181" s="15">
        <f>+[1]モンスター計算!G184</f>
        <v>92</v>
      </c>
      <c r="H181" s="15">
        <f>+[1]モンスター計算!H184</f>
        <v>293</v>
      </c>
      <c r="I181" s="15">
        <f>+[1]モンスター計算!I184</f>
        <v>122</v>
      </c>
      <c r="J181" s="16">
        <f>+[1]モンスター計算!J184</f>
        <v>150</v>
      </c>
      <c r="K181" s="28">
        <f>+[1]モンスター計算!K184</f>
        <v>6.5000000000000002E-2</v>
      </c>
      <c r="L181" s="16">
        <f>+[1]モンスター計算!L184</f>
        <v>1.45</v>
      </c>
      <c r="M181" s="28">
        <f>+[1]モンスター計算!M184</f>
        <v>2.1</v>
      </c>
      <c r="N181" s="15">
        <f>+[1]モンスター計算!N184</f>
        <v>0.9</v>
      </c>
      <c r="O181" s="16">
        <f>+[1]モンスター計算!O184</f>
        <v>2.8</v>
      </c>
      <c r="P181" s="28">
        <f>+[1]モンスター計算!P184</f>
        <v>0.02</v>
      </c>
      <c r="Q181" s="15">
        <f>+[1]モンスター計算!Q184</f>
        <v>0.02</v>
      </c>
      <c r="R181" s="15">
        <f>+[1]モンスター計算!R184</f>
        <v>0.02</v>
      </c>
      <c r="S181" s="15">
        <f>+[1]モンスター計算!S184</f>
        <v>0.02</v>
      </c>
      <c r="T181" s="15">
        <f>+[1]モンスター計算!T184</f>
        <v>0.22</v>
      </c>
      <c r="U181" s="15">
        <f>+[1]モンスター計算!U184</f>
        <v>-0.08</v>
      </c>
      <c r="V181" s="16">
        <f>+[1]モンスター計算!V184</f>
        <v>4.2</v>
      </c>
      <c r="W181" s="31">
        <v>15</v>
      </c>
      <c r="X181" s="28" t="s">
        <v>72</v>
      </c>
      <c r="Y181" s="34" t="s">
        <v>92</v>
      </c>
      <c r="Z181" s="16">
        <v>1.3</v>
      </c>
      <c r="AA181" s="31">
        <v>40</v>
      </c>
      <c r="AB181" s="31">
        <f t="shared" si="4"/>
        <v>194</v>
      </c>
      <c r="AC181" s="48">
        <f t="shared" si="5"/>
        <v>30</v>
      </c>
      <c r="AD181" s="28" t="s">
        <v>55</v>
      </c>
      <c r="AE181" s="15">
        <v>10</v>
      </c>
      <c r="AF181" s="15">
        <v>4</v>
      </c>
      <c r="AG181" s="16" t="b">
        <v>1</v>
      </c>
      <c r="AH181" s="31" t="s">
        <v>1092</v>
      </c>
      <c r="AI181" s="34" t="s">
        <v>1825</v>
      </c>
    </row>
    <row r="182" spans="1:35">
      <c r="A182" s="51" t="s">
        <v>697</v>
      </c>
      <c r="B182" s="11" t="s">
        <v>373</v>
      </c>
      <c r="C182" s="26" t="s">
        <v>45</v>
      </c>
      <c r="D182" s="11" t="s">
        <v>61</v>
      </c>
      <c r="E182" s="26">
        <f>+[1]モンスター計算!E185</f>
        <v>1431</v>
      </c>
      <c r="F182" s="10">
        <f>+[1]モンスター計算!F185</f>
        <v>343</v>
      </c>
      <c r="G182" s="10">
        <f>+[1]モンスター計算!G185</f>
        <v>132</v>
      </c>
      <c r="H182" s="10">
        <f>+[1]モンスター計算!H185</f>
        <v>490</v>
      </c>
      <c r="I182" s="10">
        <f>+[1]モンスター計算!I185</f>
        <v>113</v>
      </c>
      <c r="J182" s="11">
        <f>+[1]モンスター計算!J185</f>
        <v>121</v>
      </c>
      <c r="K182" s="26">
        <f>+[1]モンスター計算!K185</f>
        <v>0.12</v>
      </c>
      <c r="L182" s="11">
        <f>+[1]モンスター計算!L185</f>
        <v>2.5499999999999998</v>
      </c>
      <c r="M182" s="26">
        <f>+[1]モンスター計算!M185</f>
        <v>2.2999999999999998</v>
      </c>
      <c r="N182" s="10">
        <f>+[1]モンスター計算!N185</f>
        <v>0.68</v>
      </c>
      <c r="O182" s="11">
        <f>+[1]モンスター計算!O185</f>
        <v>3.55</v>
      </c>
      <c r="P182" s="26">
        <f>+[1]モンスター計算!P185</f>
        <v>-0.155</v>
      </c>
      <c r="Q182" s="10">
        <f>+[1]モンスター計算!Q185</f>
        <v>0.14500000000000002</v>
      </c>
      <c r="R182" s="10">
        <f>+[1]モンスター計算!R185</f>
        <v>-5.5E-2</v>
      </c>
      <c r="S182" s="10">
        <f>+[1]モンスター計算!S185</f>
        <v>-5.5E-2</v>
      </c>
      <c r="T182" s="10">
        <f>+[1]モンスター計算!T185</f>
        <v>-5.5E-2</v>
      </c>
      <c r="U182" s="10">
        <f>+[1]モンスター計算!U185</f>
        <v>-5.5E-2</v>
      </c>
      <c r="V182" s="11">
        <f>+[1]モンスター計算!V185</f>
        <v>4.8</v>
      </c>
      <c r="W182" s="29">
        <v>8</v>
      </c>
      <c r="X182" s="26" t="s">
        <v>109</v>
      </c>
      <c r="Y182" s="32" t="s">
        <v>87</v>
      </c>
      <c r="Z182" s="11">
        <v>1.2</v>
      </c>
      <c r="AA182" s="29">
        <v>5</v>
      </c>
      <c r="AB182" s="29">
        <f t="shared" si="4"/>
        <v>70</v>
      </c>
      <c r="AC182" s="46">
        <f t="shared" si="5"/>
        <v>31</v>
      </c>
      <c r="AD182" s="26" t="s">
        <v>51</v>
      </c>
      <c r="AE182" s="10">
        <v>7</v>
      </c>
      <c r="AF182" s="10">
        <v>3</v>
      </c>
      <c r="AG182" s="11" t="b">
        <v>1</v>
      </c>
      <c r="AH182" s="29" t="s">
        <v>1093</v>
      </c>
      <c r="AI182" s="32" t="s">
        <v>1825</v>
      </c>
    </row>
    <row r="183" spans="1:35">
      <c r="A183" s="52" t="s">
        <v>698</v>
      </c>
      <c r="B183" s="13" t="s">
        <v>374</v>
      </c>
      <c r="C183" s="27" t="s">
        <v>44</v>
      </c>
      <c r="D183" s="13" t="s">
        <v>61</v>
      </c>
      <c r="E183" s="27">
        <f>+[1]モンスター計算!E186</f>
        <v>2443</v>
      </c>
      <c r="F183" s="5">
        <f>+[1]モンスター計算!F186</f>
        <v>560</v>
      </c>
      <c r="G183" s="5">
        <f>+[1]モンスター計算!G186</f>
        <v>93</v>
      </c>
      <c r="H183" s="5">
        <f>+[1]モンスター計算!H186</f>
        <v>247</v>
      </c>
      <c r="I183" s="5">
        <f>+[1]モンスター計算!I186</f>
        <v>133</v>
      </c>
      <c r="J183" s="13">
        <f>+[1]モンスター計算!J186</f>
        <v>235</v>
      </c>
      <c r="K183" s="27">
        <f>+[1]モンスター計算!K186</f>
        <v>0.115</v>
      </c>
      <c r="L183" s="13">
        <f>+[1]モンスター計算!L186</f>
        <v>1.95</v>
      </c>
      <c r="M183" s="27">
        <f>+[1]モンスター計算!M186</f>
        <v>1.2</v>
      </c>
      <c r="N183" s="5">
        <f>+[1]モンスター計算!N186</f>
        <v>0.72</v>
      </c>
      <c r="O183" s="13">
        <f>+[1]モンスター計算!O186</f>
        <v>3.3250000000000002</v>
      </c>
      <c r="P183" s="27">
        <f>+[1]モンスター計算!P186</f>
        <v>0.28000000000000003</v>
      </c>
      <c r="Q183" s="5">
        <f>+[1]モンスター計算!Q186</f>
        <v>-2.0000000000000004E-2</v>
      </c>
      <c r="R183" s="5">
        <f>+[1]モンスター計算!R186</f>
        <v>0.08</v>
      </c>
      <c r="S183" s="5">
        <f>+[1]モンスター計算!S186</f>
        <v>0.08</v>
      </c>
      <c r="T183" s="5">
        <f>+[1]モンスター計算!T186</f>
        <v>0.08</v>
      </c>
      <c r="U183" s="5">
        <f>+[1]モンスター計算!U186</f>
        <v>0.08</v>
      </c>
      <c r="V183" s="13">
        <f>+[1]モンスター計算!V186</f>
        <v>5</v>
      </c>
      <c r="W183" s="30">
        <v>8</v>
      </c>
      <c r="X183" s="27" t="s">
        <v>64</v>
      </c>
      <c r="Y183" s="33" t="s">
        <v>88</v>
      </c>
      <c r="Z183" s="13">
        <v>1.2</v>
      </c>
      <c r="AA183" s="30">
        <v>7</v>
      </c>
      <c r="AB183" s="30">
        <f t="shared" si="4"/>
        <v>78</v>
      </c>
      <c r="AC183" s="47">
        <f t="shared" si="5"/>
        <v>31</v>
      </c>
      <c r="AD183" s="27" t="s">
        <v>49</v>
      </c>
      <c r="AE183" s="5">
        <v>7.5</v>
      </c>
      <c r="AF183" s="5">
        <v>3</v>
      </c>
      <c r="AG183" s="13" t="b">
        <v>1</v>
      </c>
      <c r="AH183" s="30" t="s">
        <v>1094</v>
      </c>
      <c r="AI183" s="33" t="s">
        <v>1825</v>
      </c>
    </row>
    <row r="184" spans="1:35">
      <c r="A184" s="52" t="s">
        <v>699</v>
      </c>
      <c r="B184" s="13" t="s">
        <v>375</v>
      </c>
      <c r="C184" s="27" t="s">
        <v>46</v>
      </c>
      <c r="D184" s="13" t="s">
        <v>61</v>
      </c>
      <c r="E184" s="27">
        <f>+[1]モンスター計算!E187</f>
        <v>1361</v>
      </c>
      <c r="F184" s="5">
        <f>+[1]モンスター計算!F187</f>
        <v>293</v>
      </c>
      <c r="G184" s="5">
        <f>+[1]モンスター計算!G187</f>
        <v>166</v>
      </c>
      <c r="H184" s="5">
        <f>+[1]モンスター計算!H187</f>
        <v>369</v>
      </c>
      <c r="I184" s="5">
        <f>+[1]モンスター計算!I187</f>
        <v>105</v>
      </c>
      <c r="J184" s="13">
        <f>+[1]モンスター計算!J187</f>
        <v>112</v>
      </c>
      <c r="K184" s="27">
        <f>+[1]モンスター計算!K187</f>
        <v>0.11</v>
      </c>
      <c r="L184" s="13">
        <f>+[1]モンスター計算!L187</f>
        <v>1.65</v>
      </c>
      <c r="M184" s="27">
        <f>+[1]モンスター計算!M187</f>
        <v>2.2000000000000002</v>
      </c>
      <c r="N184" s="5">
        <f>+[1]モンスター計算!N187</f>
        <v>1.1000000000000001</v>
      </c>
      <c r="O184" s="13">
        <f>+[1]モンスター計算!O187</f>
        <v>2.75</v>
      </c>
      <c r="P184" s="27">
        <f>+[1]モンスター計算!P187</f>
        <v>-0.04</v>
      </c>
      <c r="Q184" s="5">
        <f>+[1]モンスター計算!Q187</f>
        <v>-0.04</v>
      </c>
      <c r="R184" s="5">
        <f>+[1]モンスター計算!R187</f>
        <v>0.16</v>
      </c>
      <c r="S184" s="5">
        <f>+[1]モンスター計算!S187</f>
        <v>-0.14000000000000001</v>
      </c>
      <c r="T184" s="5">
        <f>+[1]モンスター計算!T187</f>
        <v>-0.04</v>
      </c>
      <c r="U184" s="5">
        <f>+[1]モンスター計算!U187</f>
        <v>-0.04</v>
      </c>
      <c r="V184" s="13">
        <f>+[1]モンスター計算!V187</f>
        <v>4.2</v>
      </c>
      <c r="W184" s="30">
        <v>9</v>
      </c>
      <c r="X184" s="27" t="s">
        <v>66</v>
      </c>
      <c r="Y184" s="33" t="s">
        <v>89</v>
      </c>
      <c r="Z184" s="13">
        <v>1.22</v>
      </c>
      <c r="AA184" s="30">
        <v>10</v>
      </c>
      <c r="AB184" s="30">
        <f t="shared" si="4"/>
        <v>92</v>
      </c>
      <c r="AC184" s="47">
        <f t="shared" si="5"/>
        <v>31</v>
      </c>
      <c r="AD184" s="27" t="s">
        <v>53</v>
      </c>
      <c r="AE184" s="5">
        <v>8.5</v>
      </c>
      <c r="AF184" s="5">
        <v>3</v>
      </c>
      <c r="AG184" s="13" t="b">
        <v>1</v>
      </c>
      <c r="AH184" s="30" t="s">
        <v>1095</v>
      </c>
      <c r="AI184" s="33" t="s">
        <v>1825</v>
      </c>
    </row>
    <row r="185" spans="1:35">
      <c r="A185" s="52" t="s">
        <v>700</v>
      </c>
      <c r="B185" s="13" t="s">
        <v>376</v>
      </c>
      <c r="C185" s="27" t="s">
        <v>44</v>
      </c>
      <c r="D185" s="13" t="s">
        <v>59</v>
      </c>
      <c r="E185" s="27">
        <f>+[1]モンスター計算!E188</f>
        <v>2565</v>
      </c>
      <c r="F185" s="5">
        <f>+[1]モンスター計算!F188</f>
        <v>113</v>
      </c>
      <c r="G185" s="5">
        <f>+[1]モンスター計算!G188</f>
        <v>240</v>
      </c>
      <c r="H185" s="5">
        <f>+[1]モンスター計算!H188</f>
        <v>82</v>
      </c>
      <c r="I185" s="5">
        <f>+[1]モンスター計算!I188</f>
        <v>128</v>
      </c>
      <c r="J185" s="13">
        <f>+[1]モンスター計算!J188</f>
        <v>307</v>
      </c>
      <c r="K185" s="27">
        <f>+[1]モンスター計算!K188</f>
        <v>0.05</v>
      </c>
      <c r="L185" s="13">
        <f>+[1]モンスター計算!L188</f>
        <v>1.5</v>
      </c>
      <c r="M185" s="27">
        <f>+[1]モンスター計算!M188</f>
        <v>2.0499999999999998</v>
      </c>
      <c r="N185" s="5">
        <f>+[1]モンスター計算!N188</f>
        <v>0.79</v>
      </c>
      <c r="O185" s="13">
        <f>+[1]モンスター計算!O188</f>
        <v>1</v>
      </c>
      <c r="P185" s="27">
        <f>+[1]モンスター計算!P188</f>
        <v>0.27</v>
      </c>
      <c r="Q185" s="5">
        <f>+[1]モンスター計算!Q188</f>
        <v>-0.03</v>
      </c>
      <c r="R185" s="5">
        <f>+[1]モンスター計算!R188</f>
        <v>7.0000000000000007E-2</v>
      </c>
      <c r="S185" s="5">
        <f>+[1]モンスター計算!S188</f>
        <v>7.0000000000000007E-2</v>
      </c>
      <c r="T185" s="5">
        <f>+[1]モンスター計算!T188</f>
        <v>7.0000000000000007E-2</v>
      </c>
      <c r="U185" s="5">
        <f>+[1]モンスター計算!U188</f>
        <v>7.0000000000000007E-2</v>
      </c>
      <c r="V185" s="13">
        <f>+[1]モンスター計算!V188</f>
        <v>4</v>
      </c>
      <c r="W185" s="30">
        <v>10</v>
      </c>
      <c r="X185" s="27" t="s">
        <v>68</v>
      </c>
      <c r="Y185" s="33" t="s">
        <v>90</v>
      </c>
      <c r="Z185" s="13">
        <v>1.25</v>
      </c>
      <c r="AA185" s="30">
        <v>15</v>
      </c>
      <c r="AB185" s="30">
        <f t="shared" si="4"/>
        <v>120</v>
      </c>
      <c r="AC185" s="47">
        <f t="shared" si="5"/>
        <v>31</v>
      </c>
      <c r="AD185" s="27" t="s">
        <v>74</v>
      </c>
      <c r="AE185" s="5">
        <v>0</v>
      </c>
      <c r="AF185" s="5">
        <v>0</v>
      </c>
      <c r="AG185" s="13" t="b">
        <v>0</v>
      </c>
      <c r="AH185" s="30" t="s">
        <v>1096</v>
      </c>
      <c r="AI185" s="33" t="s">
        <v>1825</v>
      </c>
    </row>
    <row r="186" spans="1:35">
      <c r="A186" s="52" t="s">
        <v>701</v>
      </c>
      <c r="B186" s="13" t="s">
        <v>377</v>
      </c>
      <c r="C186" s="27" t="s">
        <v>45</v>
      </c>
      <c r="D186" s="13" t="s">
        <v>59</v>
      </c>
      <c r="E186" s="27">
        <f>+[1]モンスター計算!E189</f>
        <v>3577</v>
      </c>
      <c r="F186" s="5">
        <f>+[1]モンスター計算!F189</f>
        <v>68</v>
      </c>
      <c r="G186" s="5">
        <f>+[1]モンスター計算!G189</f>
        <v>282</v>
      </c>
      <c r="H186" s="5">
        <f>+[1]モンスター計算!H189</f>
        <v>114</v>
      </c>
      <c r="I186" s="5">
        <f>+[1]モンスター計算!I189</f>
        <v>212</v>
      </c>
      <c r="J186" s="13">
        <f>+[1]モンスター計算!J189</f>
        <v>181</v>
      </c>
      <c r="K186" s="27">
        <f>+[1]モンスター計算!K189</f>
        <v>2.5000000000000001E-2</v>
      </c>
      <c r="L186" s="13">
        <f>+[1]モンスター計算!L189</f>
        <v>1.35</v>
      </c>
      <c r="M186" s="27">
        <f>+[1]モンスター計算!M189</f>
        <v>1.1499999999999999</v>
      </c>
      <c r="N186" s="5">
        <f>+[1]モンスター計算!N189</f>
        <v>0.51</v>
      </c>
      <c r="O186" s="13">
        <f>+[1]モンスター計算!O189</f>
        <v>1</v>
      </c>
      <c r="P186" s="27">
        <f>+[1]モンスター計算!P189</f>
        <v>-0.05</v>
      </c>
      <c r="Q186" s="5">
        <f>+[1]モンスター計算!Q189</f>
        <v>0.25</v>
      </c>
      <c r="R186" s="5">
        <f>+[1]モンスター計算!R189</f>
        <v>0.05</v>
      </c>
      <c r="S186" s="5">
        <f>+[1]モンスター計算!S189</f>
        <v>0.05</v>
      </c>
      <c r="T186" s="5">
        <f>+[1]モンスター計算!T189</f>
        <v>0.05</v>
      </c>
      <c r="U186" s="5">
        <f>+[1]モンスター計算!U189</f>
        <v>0.05</v>
      </c>
      <c r="V186" s="13">
        <f>+[1]モンスター計算!V189</f>
        <v>3.2</v>
      </c>
      <c r="W186" s="30">
        <v>11</v>
      </c>
      <c r="X186" s="27" t="s">
        <v>70</v>
      </c>
      <c r="Y186" s="33" t="s">
        <v>91</v>
      </c>
      <c r="Z186" s="13">
        <v>1.25</v>
      </c>
      <c r="AA186" s="30">
        <v>20</v>
      </c>
      <c r="AB186" s="30">
        <f t="shared" si="4"/>
        <v>140</v>
      </c>
      <c r="AC186" s="47">
        <f t="shared" si="5"/>
        <v>31</v>
      </c>
      <c r="AD186" s="27" t="s">
        <v>74</v>
      </c>
      <c r="AE186" s="5">
        <v>0</v>
      </c>
      <c r="AF186" s="5">
        <v>0</v>
      </c>
      <c r="AG186" s="13" t="b">
        <v>0</v>
      </c>
      <c r="AH186" s="30" t="s">
        <v>1097</v>
      </c>
      <c r="AI186" s="33" t="s">
        <v>1825</v>
      </c>
    </row>
    <row r="187" spans="1:35" ht="19.5" thickBot="1">
      <c r="A187" s="53" t="s">
        <v>702</v>
      </c>
      <c r="B187" s="16" t="s">
        <v>378</v>
      </c>
      <c r="C187" s="28" t="s">
        <v>47</v>
      </c>
      <c r="D187" s="16" t="s">
        <v>61</v>
      </c>
      <c r="E187" s="28">
        <f>+[1]モンスター計算!E190</f>
        <v>1605</v>
      </c>
      <c r="F187" s="15">
        <f>+[1]モンスター計算!F190</f>
        <v>254</v>
      </c>
      <c r="G187" s="15">
        <f>+[1]モンスター計算!G190</f>
        <v>145</v>
      </c>
      <c r="H187" s="15">
        <f>+[1]モンスター計算!H190</f>
        <v>323</v>
      </c>
      <c r="I187" s="15">
        <f>+[1]モンスター計算!I190</f>
        <v>133</v>
      </c>
      <c r="J187" s="16">
        <f>+[1]モンスター計算!J190</f>
        <v>147</v>
      </c>
      <c r="K187" s="28">
        <f>+[1]モンスター計算!K190</f>
        <v>0.05</v>
      </c>
      <c r="L187" s="16">
        <f>+[1]モンスター計算!L190</f>
        <v>1.5</v>
      </c>
      <c r="M187" s="28">
        <f>+[1]モンスター計算!M190</f>
        <v>2</v>
      </c>
      <c r="N187" s="15">
        <f>+[1]モンスター計算!N190</f>
        <v>1.05</v>
      </c>
      <c r="O187" s="16">
        <f>+[1]モンスター計算!O190</f>
        <v>2.5</v>
      </c>
      <c r="P187" s="28">
        <f>+[1]モンスター計算!P190</f>
        <v>0</v>
      </c>
      <c r="Q187" s="15">
        <f>+[1]モンスター計算!Q190</f>
        <v>0</v>
      </c>
      <c r="R187" s="15">
        <f>+[1]モンスター計算!R190</f>
        <v>0</v>
      </c>
      <c r="S187" s="15">
        <f>+[1]モンスター計算!S190</f>
        <v>0</v>
      </c>
      <c r="T187" s="15">
        <f>+[1]モンスター計算!T190</f>
        <v>0.2</v>
      </c>
      <c r="U187" s="15">
        <f>+[1]モンスター計算!U190</f>
        <v>-0.1</v>
      </c>
      <c r="V187" s="16">
        <f>+[1]モンスター計算!V190</f>
        <v>4</v>
      </c>
      <c r="W187" s="31">
        <v>15</v>
      </c>
      <c r="X187" s="28" t="s">
        <v>72</v>
      </c>
      <c r="Y187" s="34" t="s">
        <v>92</v>
      </c>
      <c r="Z187" s="16">
        <v>1.3</v>
      </c>
      <c r="AA187" s="31">
        <v>40</v>
      </c>
      <c r="AB187" s="31">
        <f t="shared" si="4"/>
        <v>204</v>
      </c>
      <c r="AC187" s="48">
        <f t="shared" si="5"/>
        <v>31</v>
      </c>
      <c r="AD187" s="28" t="s">
        <v>55</v>
      </c>
      <c r="AE187" s="15">
        <v>10</v>
      </c>
      <c r="AF187" s="15">
        <v>4</v>
      </c>
      <c r="AG187" s="16" t="b">
        <v>1</v>
      </c>
      <c r="AH187" s="31" t="s">
        <v>1098</v>
      </c>
      <c r="AI187" s="34" t="s">
        <v>1825</v>
      </c>
    </row>
    <row r="188" spans="1:35">
      <c r="A188" s="51" t="s">
        <v>703</v>
      </c>
      <c r="B188" s="11" t="s">
        <v>379</v>
      </c>
      <c r="C188" s="26" t="s">
        <v>45</v>
      </c>
      <c r="D188" s="11" t="s">
        <v>61</v>
      </c>
      <c r="E188" s="26">
        <f>+[1]モンスター計算!E191</f>
        <v>1516</v>
      </c>
      <c r="F188" s="10">
        <f>+[1]モンスター計算!F191</f>
        <v>252</v>
      </c>
      <c r="G188" s="10">
        <f>+[1]モンスター計算!G191</f>
        <v>66</v>
      </c>
      <c r="H188" s="10">
        <f>+[1]モンスター計算!H191</f>
        <v>278</v>
      </c>
      <c r="I188" s="10">
        <f>+[1]モンスター計算!I191</f>
        <v>131</v>
      </c>
      <c r="J188" s="11">
        <f>+[1]モンスター計算!J191</f>
        <v>124</v>
      </c>
      <c r="K188" s="26">
        <f>+[1]モンスター計算!K191</f>
        <v>6.5000000000000002E-2</v>
      </c>
      <c r="L188" s="11">
        <f>+[1]モンスター計算!L191</f>
        <v>1.45</v>
      </c>
      <c r="M188" s="26">
        <f>+[1]モンスター計算!M191</f>
        <v>4</v>
      </c>
      <c r="N188" s="10">
        <f>+[1]モンスター計算!N191</f>
        <v>1.72</v>
      </c>
      <c r="O188" s="11">
        <f>+[1]モンスター計算!O191</f>
        <v>1.9</v>
      </c>
      <c r="P188" s="26">
        <f>+[1]モンスター計算!P191</f>
        <v>-0.17</v>
      </c>
      <c r="Q188" s="10">
        <f>+[1]モンスター計算!Q191</f>
        <v>0.13</v>
      </c>
      <c r="R188" s="10">
        <f>+[1]モンスター計算!R191</f>
        <v>-7.0000000000000007E-2</v>
      </c>
      <c r="S188" s="10">
        <f>+[1]モンスター計算!S191</f>
        <v>-7.0000000000000007E-2</v>
      </c>
      <c r="T188" s="10">
        <f>+[1]モンスター計算!T191</f>
        <v>-7.0000000000000007E-2</v>
      </c>
      <c r="U188" s="10">
        <f>+[1]モンスター計算!U191</f>
        <v>-7.0000000000000007E-2</v>
      </c>
      <c r="V188" s="11">
        <f>+[1]モンスター計算!V191</f>
        <v>5.4</v>
      </c>
      <c r="W188" s="29">
        <v>8</v>
      </c>
      <c r="X188" s="26" t="s">
        <v>109</v>
      </c>
      <c r="Y188" s="32" t="s">
        <v>87</v>
      </c>
      <c r="Z188" s="11">
        <v>1.2</v>
      </c>
      <c r="AA188" s="29">
        <v>5</v>
      </c>
      <c r="AB188" s="29">
        <f t="shared" si="4"/>
        <v>74</v>
      </c>
      <c r="AC188" s="46">
        <f t="shared" si="5"/>
        <v>32</v>
      </c>
      <c r="AD188" s="26" t="s">
        <v>51</v>
      </c>
      <c r="AE188" s="10">
        <v>7</v>
      </c>
      <c r="AF188" s="10">
        <v>3</v>
      </c>
      <c r="AG188" s="11" t="b">
        <v>1</v>
      </c>
      <c r="AH188" s="29" t="s">
        <v>1099</v>
      </c>
      <c r="AI188" s="32" t="s">
        <v>1825</v>
      </c>
    </row>
    <row r="189" spans="1:35">
      <c r="A189" s="52" t="s">
        <v>704</v>
      </c>
      <c r="B189" s="13" t="s">
        <v>380</v>
      </c>
      <c r="C189" s="27" t="s">
        <v>44</v>
      </c>
      <c r="D189" s="13" t="s">
        <v>61</v>
      </c>
      <c r="E189" s="27">
        <f>+[1]モンスター計算!E192</f>
        <v>2303</v>
      </c>
      <c r="F189" s="5">
        <f>+[1]モンスター計算!F192</f>
        <v>280</v>
      </c>
      <c r="G189" s="5">
        <f>+[1]モンスター計算!G192</f>
        <v>123</v>
      </c>
      <c r="H189" s="5">
        <f>+[1]モンスター計算!H192</f>
        <v>273</v>
      </c>
      <c r="I189" s="5">
        <f>+[1]モンスター計算!I192</f>
        <v>200</v>
      </c>
      <c r="J189" s="13">
        <f>+[1]モンスター計算!J192</f>
        <v>131</v>
      </c>
      <c r="K189" s="27">
        <f>+[1]モンスター計算!K192</f>
        <v>0.08</v>
      </c>
      <c r="L189" s="13">
        <f>+[1]モンスター計算!L192</f>
        <v>1.6</v>
      </c>
      <c r="M189" s="27">
        <f>+[1]モンスター計算!M192</f>
        <v>2.8</v>
      </c>
      <c r="N189" s="5">
        <f>+[1]モンスター計算!N192</f>
        <v>1</v>
      </c>
      <c r="O189" s="13">
        <f>+[1]モンスター計算!O192</f>
        <v>2.5</v>
      </c>
      <c r="P189" s="27">
        <f>+[1]モンスター計算!P192</f>
        <v>0.21500000000000002</v>
      </c>
      <c r="Q189" s="5">
        <f>+[1]モンスター計算!Q192</f>
        <v>-8.5000000000000006E-2</v>
      </c>
      <c r="R189" s="5">
        <f>+[1]モンスター計算!R192</f>
        <v>1.4999999999999999E-2</v>
      </c>
      <c r="S189" s="5">
        <f>+[1]モンスター計算!S192</f>
        <v>1.4999999999999999E-2</v>
      </c>
      <c r="T189" s="5">
        <f>+[1]モンスター計算!T192</f>
        <v>1.4999999999999999E-2</v>
      </c>
      <c r="U189" s="5">
        <f>+[1]モンスター計算!U192</f>
        <v>1.4999999999999999E-2</v>
      </c>
      <c r="V189" s="13">
        <f>+[1]モンスター計算!V192</f>
        <v>4</v>
      </c>
      <c r="W189" s="30">
        <v>8</v>
      </c>
      <c r="X189" s="27" t="s">
        <v>64</v>
      </c>
      <c r="Y189" s="33" t="s">
        <v>88</v>
      </c>
      <c r="Z189" s="13">
        <v>1.2</v>
      </c>
      <c r="AA189" s="30">
        <v>7</v>
      </c>
      <c r="AB189" s="30">
        <f t="shared" si="4"/>
        <v>82</v>
      </c>
      <c r="AC189" s="47">
        <f t="shared" si="5"/>
        <v>32</v>
      </c>
      <c r="AD189" s="27" t="s">
        <v>49</v>
      </c>
      <c r="AE189" s="5">
        <v>7.5</v>
      </c>
      <c r="AF189" s="5">
        <v>3</v>
      </c>
      <c r="AG189" s="13" t="b">
        <v>1</v>
      </c>
      <c r="AH189" s="30" t="s">
        <v>1100</v>
      </c>
      <c r="AI189" s="33" t="s">
        <v>1825</v>
      </c>
    </row>
    <row r="190" spans="1:35">
      <c r="A190" s="52" t="s">
        <v>705</v>
      </c>
      <c r="B190" s="13" t="s">
        <v>381</v>
      </c>
      <c r="C190" s="27" t="s">
        <v>46</v>
      </c>
      <c r="D190" s="13" t="s">
        <v>61</v>
      </c>
      <c r="E190" s="27">
        <f>+[1]モンスター計算!E193</f>
        <v>1113</v>
      </c>
      <c r="F190" s="5">
        <f>+[1]モンスター計算!F193</f>
        <v>218</v>
      </c>
      <c r="G190" s="5">
        <f>+[1]モンスター計算!G193</f>
        <v>110</v>
      </c>
      <c r="H190" s="5">
        <f>+[1]モンスター計算!H193</f>
        <v>507</v>
      </c>
      <c r="I190" s="5">
        <f>+[1]モンスター計算!I193</f>
        <v>98</v>
      </c>
      <c r="J190" s="13">
        <f>+[1]モンスター計算!J193</f>
        <v>100</v>
      </c>
      <c r="K190" s="27">
        <f>+[1]モンスター計算!K193</f>
        <v>0.08</v>
      </c>
      <c r="L190" s="13">
        <f>+[1]モンスター計算!L193</f>
        <v>1.55</v>
      </c>
      <c r="M190" s="27">
        <f>+[1]モンスター計算!M193</f>
        <v>4.2</v>
      </c>
      <c r="N190" s="5">
        <f>+[1]モンスター計算!N193</f>
        <v>1.3</v>
      </c>
      <c r="O190" s="13">
        <f>+[1]モンスター計算!O193</f>
        <v>2.5</v>
      </c>
      <c r="P190" s="27">
        <f>+[1]モンスター計算!P193</f>
        <v>-0.09</v>
      </c>
      <c r="Q190" s="5">
        <f>+[1]モンスター計算!Q193</f>
        <v>-0.09</v>
      </c>
      <c r="R190" s="5">
        <f>+[1]モンスター計算!R193</f>
        <v>0.11000000000000001</v>
      </c>
      <c r="S190" s="5">
        <f>+[1]モンスター計算!S193</f>
        <v>-0.19</v>
      </c>
      <c r="T190" s="5">
        <f>+[1]モンスター計算!T193</f>
        <v>-0.09</v>
      </c>
      <c r="U190" s="5">
        <f>+[1]モンスター計算!U193</f>
        <v>-0.09</v>
      </c>
      <c r="V190" s="13">
        <f>+[1]モンスター計算!V193</f>
        <v>4.2</v>
      </c>
      <c r="W190" s="30">
        <v>9</v>
      </c>
      <c r="X190" s="27" t="s">
        <v>66</v>
      </c>
      <c r="Y190" s="33" t="s">
        <v>89</v>
      </c>
      <c r="Z190" s="13">
        <v>1.22</v>
      </c>
      <c r="AA190" s="30">
        <v>10</v>
      </c>
      <c r="AB190" s="30">
        <f t="shared" si="4"/>
        <v>97</v>
      </c>
      <c r="AC190" s="47">
        <f t="shared" si="5"/>
        <v>32</v>
      </c>
      <c r="AD190" s="27" t="s">
        <v>53</v>
      </c>
      <c r="AE190" s="5">
        <v>8.5</v>
      </c>
      <c r="AF190" s="5">
        <v>3</v>
      </c>
      <c r="AG190" s="13" t="b">
        <v>1</v>
      </c>
      <c r="AH190" s="30" t="s">
        <v>1101</v>
      </c>
      <c r="AI190" s="33" t="s">
        <v>1825</v>
      </c>
    </row>
    <row r="191" spans="1:35">
      <c r="A191" s="52" t="s">
        <v>706</v>
      </c>
      <c r="B191" s="13" t="s">
        <v>382</v>
      </c>
      <c r="C191" s="27" t="s">
        <v>44</v>
      </c>
      <c r="D191" s="13" t="s">
        <v>59</v>
      </c>
      <c r="E191" s="27">
        <f>+[1]モンスター計算!E194</f>
        <v>1516</v>
      </c>
      <c r="F191" s="5">
        <f>+[1]モンスター計算!F194</f>
        <v>106</v>
      </c>
      <c r="G191" s="5">
        <f>+[1]モンスター計算!G194</f>
        <v>329</v>
      </c>
      <c r="H191" s="5">
        <f>+[1]モンスター計算!H194</f>
        <v>104</v>
      </c>
      <c r="I191" s="5">
        <f>+[1]モンスター計算!I194</f>
        <v>121</v>
      </c>
      <c r="J191" s="13">
        <f>+[1]モンスター計算!J194</f>
        <v>112</v>
      </c>
      <c r="K191" s="27">
        <f>+[1]モンスター計算!K194</f>
        <v>0.1</v>
      </c>
      <c r="L191" s="13">
        <f>+[1]モンスター計算!L194</f>
        <v>1.85</v>
      </c>
      <c r="M191" s="27">
        <f>+[1]モンスター計算!M194</f>
        <v>4</v>
      </c>
      <c r="N191" s="5">
        <f>+[1]モンスター計算!N194</f>
        <v>1.41</v>
      </c>
      <c r="O191" s="13">
        <f>+[1]モンスター計算!O194</f>
        <v>1</v>
      </c>
      <c r="P191" s="27">
        <f>+[1]モンスター計算!P194</f>
        <v>0.14500000000000002</v>
      </c>
      <c r="Q191" s="5">
        <f>+[1]モンスター計算!Q194</f>
        <v>-0.155</v>
      </c>
      <c r="R191" s="5">
        <f>+[1]モンスター計算!R194</f>
        <v>-5.5E-2</v>
      </c>
      <c r="S191" s="5">
        <f>+[1]モンスター計算!S194</f>
        <v>-5.5E-2</v>
      </c>
      <c r="T191" s="5">
        <f>+[1]モンスター計算!T194</f>
        <v>-5.5E-2</v>
      </c>
      <c r="U191" s="5">
        <f>+[1]モンスター計算!U194</f>
        <v>-5.5E-2</v>
      </c>
      <c r="V191" s="13">
        <f>+[1]モンスター計算!V194</f>
        <v>6.4</v>
      </c>
      <c r="W191" s="30">
        <v>10</v>
      </c>
      <c r="X191" s="27" t="s">
        <v>68</v>
      </c>
      <c r="Y191" s="33" t="s">
        <v>90</v>
      </c>
      <c r="Z191" s="13">
        <v>1.25</v>
      </c>
      <c r="AA191" s="30">
        <v>15</v>
      </c>
      <c r="AB191" s="30">
        <f t="shared" si="4"/>
        <v>126</v>
      </c>
      <c r="AC191" s="47">
        <f t="shared" si="5"/>
        <v>32</v>
      </c>
      <c r="AD191" s="27" t="s">
        <v>74</v>
      </c>
      <c r="AE191" s="5">
        <v>0</v>
      </c>
      <c r="AF191" s="5">
        <v>0</v>
      </c>
      <c r="AG191" s="13" t="b">
        <v>0</v>
      </c>
      <c r="AH191" s="30" t="s">
        <v>1102</v>
      </c>
      <c r="AI191" s="33" t="s">
        <v>1825</v>
      </c>
    </row>
    <row r="192" spans="1:35">
      <c r="A192" s="52" t="s">
        <v>707</v>
      </c>
      <c r="B192" s="13" t="s">
        <v>383</v>
      </c>
      <c r="C192" s="27" t="s">
        <v>45</v>
      </c>
      <c r="D192" s="13" t="s">
        <v>59</v>
      </c>
      <c r="E192" s="27">
        <f>+[1]モンスター計算!E195</f>
        <v>2303</v>
      </c>
      <c r="F192" s="5">
        <f>+[1]モンスター計算!F195</f>
        <v>106</v>
      </c>
      <c r="G192" s="5">
        <f>+[1]モンスター計算!G195</f>
        <v>282</v>
      </c>
      <c r="H192" s="5">
        <f>+[1]モンスター計算!H195</f>
        <v>127</v>
      </c>
      <c r="I192" s="5">
        <f>+[1]モンスター計算!I195</f>
        <v>200</v>
      </c>
      <c r="J192" s="13">
        <f>+[1]モンスター計算!J195</f>
        <v>131</v>
      </c>
      <c r="K192" s="27">
        <f>+[1]モンスター計算!K195</f>
        <v>0.08</v>
      </c>
      <c r="L192" s="13">
        <f>+[1]モンスター計算!L195</f>
        <v>1.6</v>
      </c>
      <c r="M192" s="27">
        <f>+[1]モンスター計算!M195</f>
        <v>2.8</v>
      </c>
      <c r="N192" s="5">
        <f>+[1]モンスター計算!N195</f>
        <v>1</v>
      </c>
      <c r="O192" s="13">
        <f>+[1]モンスター計算!O195</f>
        <v>1</v>
      </c>
      <c r="P192" s="27">
        <f>+[1]モンスター計算!P195</f>
        <v>-6.5000000000000002E-2</v>
      </c>
      <c r="Q192" s="5">
        <f>+[1]モンスター計算!Q195</f>
        <v>0.23500000000000001</v>
      </c>
      <c r="R192" s="5">
        <f>+[1]モンスター計算!R195</f>
        <v>3.5000000000000003E-2</v>
      </c>
      <c r="S192" s="5">
        <f>+[1]モンスター計算!S195</f>
        <v>3.5000000000000003E-2</v>
      </c>
      <c r="T192" s="5">
        <f>+[1]モンスター計算!T195</f>
        <v>3.5000000000000003E-2</v>
      </c>
      <c r="U192" s="5">
        <f>+[1]モンスター計算!U195</f>
        <v>3.5000000000000003E-2</v>
      </c>
      <c r="V192" s="13">
        <f>+[1]モンスター計算!V195</f>
        <v>4</v>
      </c>
      <c r="W192" s="30">
        <v>11</v>
      </c>
      <c r="X192" s="27" t="s">
        <v>70</v>
      </c>
      <c r="Y192" s="33" t="s">
        <v>91</v>
      </c>
      <c r="Z192" s="13">
        <v>1.25</v>
      </c>
      <c r="AA192" s="30">
        <v>20</v>
      </c>
      <c r="AB192" s="30">
        <f t="shared" si="4"/>
        <v>147</v>
      </c>
      <c r="AC192" s="47">
        <f t="shared" si="5"/>
        <v>32</v>
      </c>
      <c r="AD192" s="27" t="s">
        <v>74</v>
      </c>
      <c r="AE192" s="5">
        <v>0</v>
      </c>
      <c r="AF192" s="5">
        <v>0</v>
      </c>
      <c r="AG192" s="13" t="b">
        <v>0</v>
      </c>
      <c r="AH192" s="30" t="s">
        <v>1103</v>
      </c>
      <c r="AI192" s="33" t="s">
        <v>1825</v>
      </c>
    </row>
    <row r="193" spans="1:35" ht="19.5" thickBot="1">
      <c r="A193" s="53" t="s">
        <v>708</v>
      </c>
      <c r="B193" s="16" t="s">
        <v>384</v>
      </c>
      <c r="C193" s="28" t="s">
        <v>47</v>
      </c>
      <c r="D193" s="16" t="s">
        <v>61</v>
      </c>
      <c r="E193" s="28">
        <f>+[1]モンスター計算!E196</f>
        <v>2111</v>
      </c>
      <c r="F193" s="15">
        <f>+[1]モンスター計算!F196</f>
        <v>294</v>
      </c>
      <c r="G193" s="15">
        <f>+[1]モンスター計算!G196</f>
        <v>134</v>
      </c>
      <c r="H193" s="15">
        <f>+[1]モンスター計算!H196</f>
        <v>298</v>
      </c>
      <c r="I193" s="15">
        <f>+[1]モンスター計算!I196</f>
        <v>169</v>
      </c>
      <c r="J193" s="16">
        <f>+[1]モンスター計算!J196</f>
        <v>169</v>
      </c>
      <c r="K193" s="28">
        <f>+[1]モンスター計算!K196</f>
        <v>7.0000000000000007E-2</v>
      </c>
      <c r="L193" s="16">
        <f>+[1]モンスター計算!L196</f>
        <v>1.55</v>
      </c>
      <c r="M193" s="28">
        <f>+[1]モンスター計算!M196</f>
        <v>2.4</v>
      </c>
      <c r="N193" s="15">
        <f>+[1]モンスター計算!N196</f>
        <v>1</v>
      </c>
      <c r="O193" s="16">
        <f>+[1]モンスター計算!O196</f>
        <v>2.5</v>
      </c>
      <c r="P193" s="28">
        <f>+[1]モンスター計算!P196</f>
        <v>0.02</v>
      </c>
      <c r="Q193" s="15">
        <f>+[1]モンスター計算!Q196</f>
        <v>0.02</v>
      </c>
      <c r="R193" s="15">
        <f>+[1]モンスター計算!R196</f>
        <v>0.02</v>
      </c>
      <c r="S193" s="15">
        <f>+[1]モンスター計算!S196</f>
        <v>0.02</v>
      </c>
      <c r="T193" s="15">
        <f>+[1]モンスター計算!T196</f>
        <v>0.22</v>
      </c>
      <c r="U193" s="15">
        <f>+[1]モンスター計算!U196</f>
        <v>-0.08</v>
      </c>
      <c r="V193" s="16">
        <f>+[1]モンスター計算!V196</f>
        <v>4</v>
      </c>
      <c r="W193" s="31">
        <v>15</v>
      </c>
      <c r="X193" s="28" t="s">
        <v>72</v>
      </c>
      <c r="Y193" s="34" t="s">
        <v>92</v>
      </c>
      <c r="Z193" s="16">
        <v>1.3</v>
      </c>
      <c r="AA193" s="31">
        <v>40</v>
      </c>
      <c r="AB193" s="31">
        <f t="shared" si="4"/>
        <v>215</v>
      </c>
      <c r="AC193" s="48">
        <f t="shared" si="5"/>
        <v>32</v>
      </c>
      <c r="AD193" s="28" t="s">
        <v>55</v>
      </c>
      <c r="AE193" s="15">
        <v>10</v>
      </c>
      <c r="AF193" s="15">
        <v>4</v>
      </c>
      <c r="AG193" s="16" t="b">
        <v>1</v>
      </c>
      <c r="AH193" s="31" t="s">
        <v>1104</v>
      </c>
      <c r="AI193" s="34" t="s">
        <v>1825</v>
      </c>
    </row>
    <row r="194" spans="1:35">
      <c r="A194" s="51" t="s">
        <v>709</v>
      </c>
      <c r="B194" s="11" t="s">
        <v>385</v>
      </c>
      <c r="C194" s="26" t="s">
        <v>45</v>
      </c>
      <c r="D194" s="11" t="s">
        <v>61</v>
      </c>
      <c r="E194" s="26">
        <f>+[1]モンスター計算!E197</f>
        <v>3167</v>
      </c>
      <c r="F194" s="10">
        <f>+[1]モンスター計算!F197</f>
        <v>385</v>
      </c>
      <c r="G194" s="10">
        <f>+[1]モンスター計算!G197</f>
        <v>77</v>
      </c>
      <c r="H194" s="10">
        <f>+[1]モンスター計算!H197</f>
        <v>171</v>
      </c>
      <c r="I194" s="10">
        <f>+[1]モンスター計算!I197</f>
        <v>253</v>
      </c>
      <c r="J194" s="11">
        <f>+[1]モンスター計算!J197</f>
        <v>236</v>
      </c>
      <c r="K194" s="26">
        <f>+[1]モンスター計算!K197</f>
        <v>0.1</v>
      </c>
      <c r="L194" s="11">
        <f>+[1]モンスター計算!L197</f>
        <v>1.75</v>
      </c>
      <c r="M194" s="26">
        <f>+[1]モンスター計算!M197</f>
        <v>2.4</v>
      </c>
      <c r="N194" s="10">
        <f>+[1]モンスター計算!N197</f>
        <v>1.2</v>
      </c>
      <c r="O194" s="11">
        <f>+[1]モンスター計算!O197</f>
        <v>3</v>
      </c>
      <c r="P194" s="26">
        <f>+[1]モンスター計算!P197</f>
        <v>-2.0000000000000004E-2</v>
      </c>
      <c r="Q194" s="10">
        <f>+[1]モンスター計算!Q197</f>
        <v>0.28000000000000003</v>
      </c>
      <c r="R194" s="10">
        <f>+[1]モンスター計算!R197</f>
        <v>0.08</v>
      </c>
      <c r="S194" s="10">
        <f>+[1]モンスター計算!S197</f>
        <v>0.08</v>
      </c>
      <c r="T194" s="10">
        <f>+[1]モンスター計算!T197</f>
        <v>0.08</v>
      </c>
      <c r="U194" s="10">
        <f>+[1]モンスター計算!U197</f>
        <v>0.08</v>
      </c>
      <c r="V194" s="11">
        <f>+[1]モンスター計算!V197</f>
        <v>4</v>
      </c>
      <c r="W194" s="29">
        <v>8</v>
      </c>
      <c r="X194" s="26" t="s">
        <v>109</v>
      </c>
      <c r="Y194" s="32" t="s">
        <v>87</v>
      </c>
      <c r="Z194" s="11">
        <v>1.2</v>
      </c>
      <c r="AA194" s="29">
        <v>5</v>
      </c>
      <c r="AB194" s="29">
        <f t="shared" si="4"/>
        <v>78</v>
      </c>
      <c r="AC194" s="46">
        <f t="shared" si="5"/>
        <v>33</v>
      </c>
      <c r="AD194" s="26" t="s">
        <v>51</v>
      </c>
      <c r="AE194" s="10">
        <v>7</v>
      </c>
      <c r="AF194" s="10">
        <v>3</v>
      </c>
      <c r="AG194" s="11" t="b">
        <v>1</v>
      </c>
      <c r="AH194" s="29" t="s">
        <v>1105</v>
      </c>
      <c r="AI194" s="32" t="s">
        <v>1825</v>
      </c>
    </row>
    <row r="195" spans="1:35">
      <c r="A195" s="52" t="s">
        <v>710</v>
      </c>
      <c r="B195" s="13" t="s">
        <v>386</v>
      </c>
      <c r="C195" s="27" t="s">
        <v>44</v>
      </c>
      <c r="D195" s="13" t="s">
        <v>61</v>
      </c>
      <c r="E195" s="27">
        <f>+[1]モンスター計算!E198</f>
        <v>1921</v>
      </c>
      <c r="F195" s="5">
        <f>+[1]モンスター計算!F198</f>
        <v>493</v>
      </c>
      <c r="G195" s="5">
        <f>+[1]モンスター計算!G198</f>
        <v>209</v>
      </c>
      <c r="H195" s="5">
        <f>+[1]モンスター計算!H198</f>
        <v>618</v>
      </c>
      <c r="I195" s="5">
        <f>+[1]モンスター計算!I198</f>
        <v>149</v>
      </c>
      <c r="J195" s="13">
        <f>+[1]モンスター計算!J198</f>
        <v>160</v>
      </c>
      <c r="K195" s="27">
        <f>+[1]モンスター計算!K198</f>
        <v>0.04</v>
      </c>
      <c r="L195" s="13">
        <f>+[1]モンスター計算!L198</f>
        <v>2.2000000000000002</v>
      </c>
      <c r="M195" s="27">
        <f>+[1]モンスター計算!M198</f>
        <v>1.65</v>
      </c>
      <c r="N195" s="5">
        <f>+[1]モンスター計算!N198</f>
        <v>0.64</v>
      </c>
      <c r="O195" s="13">
        <f>+[1]モンスター計算!O198</f>
        <v>3.7</v>
      </c>
      <c r="P195" s="27">
        <f>+[1]モンスター計算!P198</f>
        <v>0.17500000000000002</v>
      </c>
      <c r="Q195" s="5">
        <f>+[1]モンスター計算!Q198</f>
        <v>-0.125</v>
      </c>
      <c r="R195" s="5">
        <f>+[1]モンスター計算!R198</f>
        <v>-2.5000000000000001E-2</v>
      </c>
      <c r="S195" s="5">
        <f>+[1]モンスター計算!S198</f>
        <v>-2.5000000000000001E-2</v>
      </c>
      <c r="T195" s="5">
        <f>+[1]モンスター計算!T198</f>
        <v>-2.5000000000000001E-2</v>
      </c>
      <c r="U195" s="5">
        <f>+[1]モンスター計算!U198</f>
        <v>-2.5000000000000001E-2</v>
      </c>
      <c r="V195" s="13">
        <f>+[1]モンスター計算!V198</f>
        <v>5</v>
      </c>
      <c r="W195" s="30">
        <v>8</v>
      </c>
      <c r="X195" s="27" t="s">
        <v>64</v>
      </c>
      <c r="Y195" s="33" t="s">
        <v>88</v>
      </c>
      <c r="Z195" s="13">
        <v>1.2</v>
      </c>
      <c r="AA195" s="30">
        <v>7</v>
      </c>
      <c r="AB195" s="30">
        <f t="shared" si="4"/>
        <v>87</v>
      </c>
      <c r="AC195" s="47">
        <f t="shared" si="5"/>
        <v>33</v>
      </c>
      <c r="AD195" s="27" t="s">
        <v>49</v>
      </c>
      <c r="AE195" s="5">
        <v>7.5</v>
      </c>
      <c r="AF195" s="5">
        <v>3</v>
      </c>
      <c r="AG195" s="13" t="b">
        <v>1</v>
      </c>
      <c r="AH195" s="30" t="s">
        <v>1106</v>
      </c>
      <c r="AI195" s="33" t="s">
        <v>1825</v>
      </c>
    </row>
    <row r="196" spans="1:35">
      <c r="A196" s="52" t="s">
        <v>711</v>
      </c>
      <c r="B196" s="13" t="s">
        <v>387</v>
      </c>
      <c r="C196" s="27" t="s">
        <v>46</v>
      </c>
      <c r="D196" s="13" t="s">
        <v>61</v>
      </c>
      <c r="E196" s="27">
        <f>+[1]モンスター計算!E199</f>
        <v>2238</v>
      </c>
      <c r="F196" s="5">
        <f>+[1]モンスター計算!F199</f>
        <v>539</v>
      </c>
      <c r="G196" s="5">
        <f>+[1]モンスター計算!G199</f>
        <v>109</v>
      </c>
      <c r="H196" s="5">
        <f>+[1]モンスター計算!H199</f>
        <v>371</v>
      </c>
      <c r="I196" s="5">
        <f>+[1]モンスター計算!I199</f>
        <v>130</v>
      </c>
      <c r="J196" s="13">
        <f>+[1]モンスター計算!J199</f>
        <v>346</v>
      </c>
      <c r="K196" s="27">
        <f>+[1]モンスター計算!K199</f>
        <v>4.4999999999999998E-2</v>
      </c>
      <c r="L196" s="13">
        <f>+[1]モンスター計算!L199</f>
        <v>1.45</v>
      </c>
      <c r="M196" s="27">
        <f>+[1]モンスター計算!M199</f>
        <v>1.9</v>
      </c>
      <c r="N196" s="5">
        <f>+[1]モンスター計算!N199</f>
        <v>0.84</v>
      </c>
      <c r="O196" s="13">
        <f>+[1]モンスター計算!O199</f>
        <v>2.65</v>
      </c>
      <c r="P196" s="27">
        <f>+[1]モンスター計算!P199</f>
        <v>0.09</v>
      </c>
      <c r="Q196" s="5">
        <f>+[1]モンスター計算!Q199</f>
        <v>0.09</v>
      </c>
      <c r="R196" s="5">
        <f>+[1]モンスター計算!R199</f>
        <v>0.29000000000000004</v>
      </c>
      <c r="S196" s="5">
        <f>+[1]モンスター計算!S199</f>
        <v>-1.0000000000000009E-2</v>
      </c>
      <c r="T196" s="5">
        <f>+[1]モンスター計算!T199</f>
        <v>0.09</v>
      </c>
      <c r="U196" s="5">
        <f>+[1]モンスター計算!U199</f>
        <v>0.09</v>
      </c>
      <c r="V196" s="13">
        <f>+[1]モンスター計算!V199</f>
        <v>4.4000000000000004</v>
      </c>
      <c r="W196" s="30">
        <v>9</v>
      </c>
      <c r="X196" s="27" t="s">
        <v>66</v>
      </c>
      <c r="Y196" s="33" t="s">
        <v>89</v>
      </c>
      <c r="Z196" s="13">
        <v>1.22</v>
      </c>
      <c r="AA196" s="30">
        <v>10</v>
      </c>
      <c r="AB196" s="30">
        <f t="shared" si="4"/>
        <v>102</v>
      </c>
      <c r="AC196" s="47">
        <f t="shared" si="5"/>
        <v>33</v>
      </c>
      <c r="AD196" s="27" t="s">
        <v>53</v>
      </c>
      <c r="AE196" s="5">
        <v>8.5</v>
      </c>
      <c r="AF196" s="5">
        <v>3</v>
      </c>
      <c r="AG196" s="13" t="b">
        <v>1</v>
      </c>
      <c r="AH196" s="30" t="s">
        <v>1107</v>
      </c>
      <c r="AI196" s="33" t="s">
        <v>1825</v>
      </c>
    </row>
    <row r="197" spans="1:35">
      <c r="A197" s="52" t="s">
        <v>712</v>
      </c>
      <c r="B197" s="13" t="s">
        <v>388</v>
      </c>
      <c r="C197" s="27" t="s">
        <v>44</v>
      </c>
      <c r="D197" s="13" t="s">
        <v>59</v>
      </c>
      <c r="E197" s="27">
        <f>+[1]モンスター計算!E200</f>
        <v>1605</v>
      </c>
      <c r="F197" s="5">
        <f>+[1]モンスター計算!F200</f>
        <v>85</v>
      </c>
      <c r="G197" s="5">
        <f>+[1]モンスター計算!G200</f>
        <v>599</v>
      </c>
      <c r="H197" s="5">
        <f>+[1]モンスター計算!H200</f>
        <v>167</v>
      </c>
      <c r="I197" s="5">
        <f>+[1]モンスター計算!I200</f>
        <v>128</v>
      </c>
      <c r="J197" s="13">
        <f>+[1]モンスター計算!J200</f>
        <v>118</v>
      </c>
      <c r="K197" s="27">
        <f>+[1]モンスター計算!K200</f>
        <v>9.5000000000000001E-2</v>
      </c>
      <c r="L197" s="13">
        <f>+[1]モンスター計算!L200</f>
        <v>2.4</v>
      </c>
      <c r="M197" s="27">
        <f>+[1]モンスター計算!M200</f>
        <v>3.35</v>
      </c>
      <c r="N197" s="5">
        <f>+[1]モンスター計算!N200</f>
        <v>0.86</v>
      </c>
      <c r="O197" s="13">
        <f>+[1]モンスター計算!O200</f>
        <v>1</v>
      </c>
      <c r="P197" s="27">
        <f>+[1]モンスター計算!P200</f>
        <v>0.13</v>
      </c>
      <c r="Q197" s="5">
        <f>+[1]モンスター計算!Q200</f>
        <v>-0.17</v>
      </c>
      <c r="R197" s="5">
        <f>+[1]モンスター計算!R200</f>
        <v>-7.0000000000000007E-2</v>
      </c>
      <c r="S197" s="5">
        <f>+[1]モンスター計算!S200</f>
        <v>-7.0000000000000007E-2</v>
      </c>
      <c r="T197" s="5">
        <f>+[1]モンスター計算!T200</f>
        <v>-7.0000000000000007E-2</v>
      </c>
      <c r="U197" s="5">
        <f>+[1]モンスター計算!U200</f>
        <v>-7.0000000000000007E-2</v>
      </c>
      <c r="V197" s="13">
        <f>+[1]モンスター計算!V200</f>
        <v>4.5999999999999996</v>
      </c>
      <c r="W197" s="30">
        <v>10</v>
      </c>
      <c r="X197" s="27" t="s">
        <v>68</v>
      </c>
      <c r="Y197" s="33" t="s">
        <v>90</v>
      </c>
      <c r="Z197" s="13">
        <v>1.25</v>
      </c>
      <c r="AA197" s="30">
        <v>15</v>
      </c>
      <c r="AB197" s="30">
        <f t="shared" si="4"/>
        <v>133</v>
      </c>
      <c r="AC197" s="47">
        <f t="shared" si="5"/>
        <v>33</v>
      </c>
      <c r="AD197" s="27" t="s">
        <v>74</v>
      </c>
      <c r="AE197" s="5">
        <v>0</v>
      </c>
      <c r="AF197" s="5">
        <v>0</v>
      </c>
      <c r="AG197" s="13" t="b">
        <v>0</v>
      </c>
      <c r="AH197" s="30" t="s">
        <v>1108</v>
      </c>
      <c r="AI197" s="33" t="s">
        <v>1825</v>
      </c>
    </row>
    <row r="198" spans="1:35">
      <c r="A198" s="52" t="s">
        <v>713</v>
      </c>
      <c r="B198" s="13" t="s">
        <v>389</v>
      </c>
      <c r="C198" s="27" t="s">
        <v>45</v>
      </c>
      <c r="D198" s="13" t="s">
        <v>59</v>
      </c>
      <c r="E198" s="27">
        <f>+[1]モンスター計算!E201</f>
        <v>1372</v>
      </c>
      <c r="F198" s="5">
        <f>+[1]モンスター計算!F201</f>
        <v>66</v>
      </c>
      <c r="G198" s="5">
        <f>+[1]モンスター計算!G201</f>
        <v>432</v>
      </c>
      <c r="H198" s="5">
        <f>+[1]モンスター計算!H201</f>
        <v>126</v>
      </c>
      <c r="I198" s="5">
        <f>+[1]モンスター計算!I201</f>
        <v>105</v>
      </c>
      <c r="J198" s="13">
        <f>+[1]モンスター計算!J201</f>
        <v>115</v>
      </c>
      <c r="K198" s="27">
        <f>+[1]モンスター計算!K201</f>
        <v>0.18</v>
      </c>
      <c r="L198" s="13">
        <f>+[1]モンスター計算!L201</f>
        <v>2.1</v>
      </c>
      <c r="M198" s="27">
        <f>+[1]モンスター計算!M201</f>
        <v>3.15</v>
      </c>
      <c r="N198" s="5">
        <f>+[1]モンスター計算!N201</f>
        <v>1.35</v>
      </c>
      <c r="O198" s="13">
        <f>+[1]モンスター計算!O201</f>
        <v>1</v>
      </c>
      <c r="P198" s="27">
        <f>+[1]モンスター計算!P201</f>
        <v>-0.18</v>
      </c>
      <c r="Q198" s="5">
        <f>+[1]モンスター計算!Q201</f>
        <v>0.12000000000000001</v>
      </c>
      <c r="R198" s="5">
        <f>+[1]モンスター計算!R201</f>
        <v>-0.08</v>
      </c>
      <c r="S198" s="5">
        <f>+[1]モンスター計算!S201</f>
        <v>-0.08</v>
      </c>
      <c r="T198" s="5">
        <f>+[1]モンスター計算!T201</f>
        <v>-0.08</v>
      </c>
      <c r="U198" s="5">
        <f>+[1]モンスター計算!U201</f>
        <v>-0.08</v>
      </c>
      <c r="V198" s="13">
        <f>+[1]モンスター計算!V201</f>
        <v>4.8</v>
      </c>
      <c r="W198" s="30">
        <v>11</v>
      </c>
      <c r="X198" s="27" t="s">
        <v>70</v>
      </c>
      <c r="Y198" s="33" t="s">
        <v>91</v>
      </c>
      <c r="Z198" s="13">
        <v>1.25</v>
      </c>
      <c r="AA198" s="30">
        <v>20</v>
      </c>
      <c r="AB198" s="30">
        <f t="shared" si="4"/>
        <v>155</v>
      </c>
      <c r="AC198" s="47">
        <f t="shared" si="5"/>
        <v>33</v>
      </c>
      <c r="AD198" s="27" t="s">
        <v>74</v>
      </c>
      <c r="AE198" s="5">
        <v>0</v>
      </c>
      <c r="AF198" s="5">
        <v>0</v>
      </c>
      <c r="AG198" s="13" t="b">
        <v>0</v>
      </c>
      <c r="AH198" s="30" t="s">
        <v>1109</v>
      </c>
      <c r="AI198" s="33" t="s">
        <v>1825</v>
      </c>
    </row>
    <row r="199" spans="1:35" ht="19.5" thickBot="1">
      <c r="A199" s="53" t="s">
        <v>714</v>
      </c>
      <c r="B199" s="16" t="s">
        <v>390</v>
      </c>
      <c r="C199" s="28" t="s">
        <v>47</v>
      </c>
      <c r="D199" s="16" t="s">
        <v>61</v>
      </c>
      <c r="E199" s="28">
        <f>+[1]モンスター計算!E202</f>
        <v>2027</v>
      </c>
      <c r="F199" s="15">
        <f>+[1]モンスター計算!F202</f>
        <v>339</v>
      </c>
      <c r="G199" s="15">
        <f>+[1]モンスター計算!G202</f>
        <v>112</v>
      </c>
      <c r="H199" s="15">
        <f>+[1]モンスター計算!H202</f>
        <v>401</v>
      </c>
      <c r="I199" s="15">
        <f>+[1]モンスター計算!I202</f>
        <v>139</v>
      </c>
      <c r="J199" s="16">
        <f>+[1]モンスター計算!J202</f>
        <v>154</v>
      </c>
      <c r="K199" s="28">
        <f>+[1]モンスター計算!K202</f>
        <v>0.06</v>
      </c>
      <c r="L199" s="16">
        <f>+[1]モンスター計算!L202</f>
        <v>1.6</v>
      </c>
      <c r="M199" s="28">
        <f>+[1]モンスター計算!M202</f>
        <v>2.25</v>
      </c>
      <c r="N199" s="15">
        <f>+[1]モンスター計算!N202</f>
        <v>0.91</v>
      </c>
      <c r="O199" s="16">
        <f>+[1]モンスター計算!O202</f>
        <v>4.75</v>
      </c>
      <c r="P199" s="28">
        <f>+[1]モンスター計算!P202</f>
        <v>-0.02</v>
      </c>
      <c r="Q199" s="15">
        <f>+[1]モンスター計算!Q202</f>
        <v>-0.02</v>
      </c>
      <c r="R199" s="15">
        <f>+[1]モンスター計算!R202</f>
        <v>-0.02</v>
      </c>
      <c r="S199" s="15">
        <f>+[1]モンスター計算!S202</f>
        <v>-0.02</v>
      </c>
      <c r="T199" s="15">
        <f>+[1]モンスター計算!T202</f>
        <v>0.18000000000000002</v>
      </c>
      <c r="U199" s="15">
        <f>+[1]モンスター計算!U202</f>
        <v>-0.12000000000000001</v>
      </c>
      <c r="V199" s="16">
        <f>+[1]モンスター計算!V202</f>
        <v>6.6</v>
      </c>
      <c r="W199" s="31">
        <v>15</v>
      </c>
      <c r="X199" s="28" t="s">
        <v>72</v>
      </c>
      <c r="Y199" s="34" t="s">
        <v>92</v>
      </c>
      <c r="Z199" s="16">
        <v>1.3</v>
      </c>
      <c r="AA199" s="31">
        <v>40</v>
      </c>
      <c r="AB199" s="31">
        <f t="shared" si="4"/>
        <v>226</v>
      </c>
      <c r="AC199" s="48">
        <f t="shared" si="5"/>
        <v>33</v>
      </c>
      <c r="AD199" s="28" t="s">
        <v>55</v>
      </c>
      <c r="AE199" s="15">
        <v>10</v>
      </c>
      <c r="AF199" s="15">
        <v>4</v>
      </c>
      <c r="AG199" s="16" t="b">
        <v>1</v>
      </c>
      <c r="AH199" s="31" t="s">
        <v>1110</v>
      </c>
      <c r="AI199" s="34" t="s">
        <v>1825</v>
      </c>
    </row>
    <row r="200" spans="1:35">
      <c r="A200" s="51" t="s">
        <v>715</v>
      </c>
      <c r="B200" s="11" t="s">
        <v>391</v>
      </c>
      <c r="C200" s="26" t="s">
        <v>45</v>
      </c>
      <c r="D200" s="11" t="s">
        <v>61</v>
      </c>
      <c r="E200" s="26">
        <f>+[1]モンスター計算!E203</f>
        <v>1556</v>
      </c>
      <c r="F200" s="10">
        <f>+[1]モンスター計算!F203</f>
        <v>372</v>
      </c>
      <c r="G200" s="10">
        <f>+[1]モンスター計算!G203</f>
        <v>172</v>
      </c>
      <c r="H200" s="10">
        <f>+[1]モンスター計算!H203</f>
        <v>736</v>
      </c>
      <c r="I200" s="10">
        <f>+[1]モンスター計算!I203</f>
        <v>121</v>
      </c>
      <c r="J200" s="11">
        <f>+[1]モンスター計算!J203</f>
        <v>149</v>
      </c>
      <c r="K200" s="26">
        <f>+[1]モンスター計算!K203</f>
        <v>0.18</v>
      </c>
      <c r="L200" s="11">
        <f>+[1]モンスター計算!L203</f>
        <v>1.85</v>
      </c>
      <c r="M200" s="26">
        <f>+[1]モンスター計算!M203</f>
        <v>2.0499999999999998</v>
      </c>
      <c r="N200" s="10">
        <f>+[1]モンスター計算!N203</f>
        <v>0.75</v>
      </c>
      <c r="O200" s="11">
        <f>+[1]モンスター計算!O203</f>
        <v>4.45</v>
      </c>
      <c r="P200" s="26">
        <f>+[1]モンスター計算!P203</f>
        <v>-0.16</v>
      </c>
      <c r="Q200" s="10">
        <f>+[1]モンスター計算!Q203</f>
        <v>0.14000000000000001</v>
      </c>
      <c r="R200" s="10">
        <f>+[1]モンスター計算!R203</f>
        <v>-0.06</v>
      </c>
      <c r="S200" s="10">
        <f>+[1]モンスター計算!S203</f>
        <v>-0.06</v>
      </c>
      <c r="T200" s="10">
        <f>+[1]モンスター計算!T203</f>
        <v>-0.06</v>
      </c>
      <c r="U200" s="10">
        <f>+[1]モンスター計算!U203</f>
        <v>-0.06</v>
      </c>
      <c r="V200" s="11">
        <f>+[1]モンスター計算!V203</f>
        <v>5.6</v>
      </c>
      <c r="W200" s="29">
        <v>8</v>
      </c>
      <c r="X200" s="26" t="s">
        <v>109</v>
      </c>
      <c r="Y200" s="32" t="s">
        <v>87</v>
      </c>
      <c r="Z200" s="11">
        <v>1.2</v>
      </c>
      <c r="AA200" s="29">
        <v>5</v>
      </c>
      <c r="AB200" s="29">
        <f t="shared" si="4"/>
        <v>82</v>
      </c>
      <c r="AC200" s="46">
        <f t="shared" si="5"/>
        <v>34</v>
      </c>
      <c r="AD200" s="26" t="s">
        <v>51</v>
      </c>
      <c r="AE200" s="10">
        <v>7</v>
      </c>
      <c r="AF200" s="10">
        <v>3</v>
      </c>
      <c r="AG200" s="11" t="b">
        <v>1</v>
      </c>
      <c r="AH200" s="29" t="s">
        <v>1111</v>
      </c>
      <c r="AI200" s="32" t="s">
        <v>1825</v>
      </c>
    </row>
    <row r="201" spans="1:35">
      <c r="A201" s="52" t="s">
        <v>716</v>
      </c>
      <c r="B201" s="13" t="s">
        <v>392</v>
      </c>
      <c r="C201" s="27" t="s">
        <v>44</v>
      </c>
      <c r="D201" s="13" t="s">
        <v>61</v>
      </c>
      <c r="E201" s="27">
        <f>+[1]モンスター計算!E204</f>
        <v>1904</v>
      </c>
      <c r="F201" s="5">
        <f>+[1]モンスター計算!F204</f>
        <v>457</v>
      </c>
      <c r="G201" s="5">
        <f>+[1]モンスター計算!G204</f>
        <v>176</v>
      </c>
      <c r="H201" s="5">
        <f>+[1]モンスター計算!H204</f>
        <v>652</v>
      </c>
      <c r="I201" s="5">
        <f>+[1]モンスター計算!I204</f>
        <v>150</v>
      </c>
      <c r="J201" s="13">
        <f>+[1]モンスター計算!J204</f>
        <v>162</v>
      </c>
      <c r="K201" s="27">
        <f>+[1]モンスター計算!K204</f>
        <v>0.12</v>
      </c>
      <c r="L201" s="13">
        <f>+[1]モンスター計算!L204</f>
        <v>2.5499999999999998</v>
      </c>
      <c r="M201" s="27">
        <f>+[1]モンスター計算!M204</f>
        <v>2.2999999999999998</v>
      </c>
      <c r="N201" s="5">
        <f>+[1]モンスター計算!N204</f>
        <v>0.68</v>
      </c>
      <c r="O201" s="13">
        <f>+[1]モンスター計算!O204</f>
        <v>3.55</v>
      </c>
      <c r="P201" s="27">
        <f>+[1]モンスター計算!P204</f>
        <v>0.14500000000000002</v>
      </c>
      <c r="Q201" s="5">
        <f>+[1]モンスター計算!Q204</f>
        <v>-0.155</v>
      </c>
      <c r="R201" s="5">
        <f>+[1]モンスター計算!R204</f>
        <v>-5.5E-2</v>
      </c>
      <c r="S201" s="5">
        <f>+[1]モンスター計算!S204</f>
        <v>-5.5E-2</v>
      </c>
      <c r="T201" s="5">
        <f>+[1]モンスター計算!T204</f>
        <v>-5.5E-2</v>
      </c>
      <c r="U201" s="5">
        <f>+[1]モンスター計算!U204</f>
        <v>-5.5E-2</v>
      </c>
      <c r="V201" s="13">
        <f>+[1]モンスター計算!V204</f>
        <v>4.8</v>
      </c>
      <c r="W201" s="30">
        <v>8</v>
      </c>
      <c r="X201" s="27" t="s">
        <v>64</v>
      </c>
      <c r="Y201" s="33" t="s">
        <v>88</v>
      </c>
      <c r="Z201" s="13">
        <v>1.2</v>
      </c>
      <c r="AA201" s="30">
        <v>7</v>
      </c>
      <c r="AB201" s="30">
        <f t="shared" ref="AB201:AB264" si="6">ROUNDUP(AB195*1.05,0)</f>
        <v>92</v>
      </c>
      <c r="AC201" s="47">
        <f t="shared" ref="AC201:AC264" si="7">+AC195+1</f>
        <v>34</v>
      </c>
      <c r="AD201" s="27" t="s">
        <v>49</v>
      </c>
      <c r="AE201" s="5">
        <v>7.5</v>
      </c>
      <c r="AF201" s="5">
        <v>3</v>
      </c>
      <c r="AG201" s="13" t="b">
        <v>1</v>
      </c>
      <c r="AH201" s="30" t="s">
        <v>1112</v>
      </c>
      <c r="AI201" s="33" t="s">
        <v>1825</v>
      </c>
    </row>
    <row r="202" spans="1:35">
      <c r="A202" s="52" t="s">
        <v>717</v>
      </c>
      <c r="B202" s="13" t="s">
        <v>393</v>
      </c>
      <c r="C202" s="27" t="s">
        <v>46</v>
      </c>
      <c r="D202" s="13" t="s">
        <v>61</v>
      </c>
      <c r="E202" s="27">
        <f>+[1]モンスター計算!E205</f>
        <v>3252</v>
      </c>
      <c r="F202" s="5">
        <f>+[1]モンスター計算!F205</f>
        <v>745</v>
      </c>
      <c r="G202" s="5">
        <f>+[1]モンスター計算!G205</f>
        <v>124</v>
      </c>
      <c r="H202" s="5">
        <f>+[1]モンスター計算!H205</f>
        <v>329</v>
      </c>
      <c r="I202" s="5">
        <f>+[1]モンスター計算!I205</f>
        <v>177</v>
      </c>
      <c r="J202" s="13">
        <f>+[1]モンスター計算!J205</f>
        <v>312</v>
      </c>
      <c r="K202" s="27">
        <f>+[1]モンスター計算!K205</f>
        <v>0.115</v>
      </c>
      <c r="L202" s="13">
        <f>+[1]モンスター計算!L205</f>
        <v>1.95</v>
      </c>
      <c r="M202" s="27">
        <f>+[1]モンスター計算!M205</f>
        <v>1.2</v>
      </c>
      <c r="N202" s="5">
        <f>+[1]モンスター計算!N205</f>
        <v>0.72</v>
      </c>
      <c r="O202" s="13">
        <f>+[1]モンスター計算!O205</f>
        <v>3.3250000000000002</v>
      </c>
      <c r="P202" s="27">
        <f>+[1]モンスター計算!P205</f>
        <v>0.08</v>
      </c>
      <c r="Q202" s="5">
        <f>+[1]モンスター計算!Q205</f>
        <v>0.08</v>
      </c>
      <c r="R202" s="5">
        <f>+[1]モンスター計算!R205</f>
        <v>0.28000000000000003</v>
      </c>
      <c r="S202" s="5">
        <f>+[1]モンスター計算!S205</f>
        <v>-2.0000000000000004E-2</v>
      </c>
      <c r="T202" s="5">
        <f>+[1]モンスター計算!T205</f>
        <v>0.08</v>
      </c>
      <c r="U202" s="5">
        <f>+[1]モンスター計算!U205</f>
        <v>0.08</v>
      </c>
      <c r="V202" s="13">
        <f>+[1]モンスター計算!V205</f>
        <v>5</v>
      </c>
      <c r="W202" s="30">
        <v>9</v>
      </c>
      <c r="X202" s="27" t="s">
        <v>66</v>
      </c>
      <c r="Y202" s="33" t="s">
        <v>89</v>
      </c>
      <c r="Z202" s="13">
        <v>1.22</v>
      </c>
      <c r="AA202" s="30">
        <v>10</v>
      </c>
      <c r="AB202" s="30">
        <f t="shared" si="6"/>
        <v>108</v>
      </c>
      <c r="AC202" s="47">
        <f t="shared" si="7"/>
        <v>34</v>
      </c>
      <c r="AD202" s="27" t="s">
        <v>53</v>
      </c>
      <c r="AE202" s="5">
        <v>8.5</v>
      </c>
      <c r="AF202" s="5">
        <v>3</v>
      </c>
      <c r="AG202" s="13" t="b">
        <v>1</v>
      </c>
      <c r="AH202" s="30" t="s">
        <v>1113</v>
      </c>
      <c r="AI202" s="33" t="s">
        <v>1825</v>
      </c>
    </row>
    <row r="203" spans="1:35">
      <c r="A203" s="52" t="s">
        <v>718</v>
      </c>
      <c r="B203" s="13" t="s">
        <v>394</v>
      </c>
      <c r="C203" s="27" t="s">
        <v>44</v>
      </c>
      <c r="D203" s="13" t="s">
        <v>59</v>
      </c>
      <c r="E203" s="27">
        <f>+[1]モンスター計算!E206</f>
        <v>3716</v>
      </c>
      <c r="F203" s="5">
        <f>+[1]モンスター計算!F206</f>
        <v>128</v>
      </c>
      <c r="G203" s="5">
        <f>+[1]モンスター計算!G206</f>
        <v>287</v>
      </c>
      <c r="H203" s="5">
        <f>+[1]モンスター計算!H206</f>
        <v>129</v>
      </c>
      <c r="I203" s="5">
        <f>+[1]モンスター計算!I206</f>
        <v>288</v>
      </c>
      <c r="J203" s="13">
        <f>+[1]モンスター計算!J206</f>
        <v>260</v>
      </c>
      <c r="K203" s="27">
        <f>+[1]モンスター計算!K206</f>
        <v>0.04</v>
      </c>
      <c r="L203" s="13">
        <f>+[1]モンスター計算!L206</f>
        <v>1.4</v>
      </c>
      <c r="M203" s="27">
        <f>+[1]モンスター計算!M206</f>
        <v>2.2000000000000002</v>
      </c>
      <c r="N203" s="5">
        <f>+[1]モンスター計算!N206</f>
        <v>0.82</v>
      </c>
      <c r="O203" s="13">
        <f>+[1]モンスター計算!O206</f>
        <v>1</v>
      </c>
      <c r="P203" s="27">
        <f>+[1]モンスター計算!P206</f>
        <v>0.30000000000000004</v>
      </c>
      <c r="Q203" s="5">
        <f>+[1]モンスター計算!Q206</f>
        <v>0</v>
      </c>
      <c r="R203" s="5">
        <f>+[1]モンスター計算!R206</f>
        <v>0.1</v>
      </c>
      <c r="S203" s="5">
        <f>+[1]モンスター計算!S206</f>
        <v>0.1</v>
      </c>
      <c r="T203" s="5">
        <f>+[1]モンスター計算!T206</f>
        <v>0.1</v>
      </c>
      <c r="U203" s="5">
        <f>+[1]モンスター計算!U206</f>
        <v>0.1</v>
      </c>
      <c r="V203" s="13">
        <f>+[1]モンスター計算!V206</f>
        <v>4</v>
      </c>
      <c r="W203" s="30">
        <v>10</v>
      </c>
      <c r="X203" s="27" t="s">
        <v>68</v>
      </c>
      <c r="Y203" s="33" t="s">
        <v>90</v>
      </c>
      <c r="Z203" s="13">
        <v>1.25</v>
      </c>
      <c r="AA203" s="30">
        <v>15</v>
      </c>
      <c r="AB203" s="30">
        <f t="shared" si="6"/>
        <v>140</v>
      </c>
      <c r="AC203" s="47">
        <f t="shared" si="7"/>
        <v>34</v>
      </c>
      <c r="AD203" s="27" t="s">
        <v>74</v>
      </c>
      <c r="AE203" s="5">
        <v>0</v>
      </c>
      <c r="AF203" s="5">
        <v>0</v>
      </c>
      <c r="AG203" s="13" t="b">
        <v>0</v>
      </c>
      <c r="AH203" s="30" t="s">
        <v>1114</v>
      </c>
      <c r="AI203" s="33" t="s">
        <v>1825</v>
      </c>
    </row>
    <row r="204" spans="1:35">
      <c r="A204" s="52" t="s">
        <v>719</v>
      </c>
      <c r="B204" s="13" t="s">
        <v>395</v>
      </c>
      <c r="C204" s="27" t="s">
        <v>45</v>
      </c>
      <c r="D204" s="13" t="s">
        <v>59</v>
      </c>
      <c r="E204" s="27">
        <f>+[1]モンスター計算!E207</f>
        <v>3414</v>
      </c>
      <c r="F204" s="5">
        <f>+[1]モンスター計算!F207</f>
        <v>150</v>
      </c>
      <c r="G204" s="5">
        <f>+[1]モンスター計算!G207</f>
        <v>320</v>
      </c>
      <c r="H204" s="5">
        <f>+[1]モンスター計算!H207</f>
        <v>109</v>
      </c>
      <c r="I204" s="5">
        <f>+[1]モンスター計算!I207</f>
        <v>171</v>
      </c>
      <c r="J204" s="13">
        <f>+[1]モンスター計算!J207</f>
        <v>409</v>
      </c>
      <c r="K204" s="27">
        <f>+[1]モンスター計算!K207</f>
        <v>0.05</v>
      </c>
      <c r="L204" s="13">
        <f>+[1]モンスター計算!L207</f>
        <v>1.5</v>
      </c>
      <c r="M204" s="27">
        <f>+[1]モンスター計算!M207</f>
        <v>2.0499999999999998</v>
      </c>
      <c r="N204" s="5">
        <f>+[1]モンスター計算!N207</f>
        <v>0.79</v>
      </c>
      <c r="O204" s="13">
        <f>+[1]モンスター計算!O207</f>
        <v>1</v>
      </c>
      <c r="P204" s="27">
        <f>+[1]モンスター計算!P207</f>
        <v>-0.03</v>
      </c>
      <c r="Q204" s="5">
        <f>+[1]モンスター計算!Q207</f>
        <v>0.27</v>
      </c>
      <c r="R204" s="5">
        <f>+[1]モンスター計算!R207</f>
        <v>7.0000000000000007E-2</v>
      </c>
      <c r="S204" s="5">
        <f>+[1]モンスター計算!S207</f>
        <v>7.0000000000000007E-2</v>
      </c>
      <c r="T204" s="5">
        <f>+[1]モンスター計算!T207</f>
        <v>7.0000000000000007E-2</v>
      </c>
      <c r="U204" s="5">
        <f>+[1]モンスター計算!U207</f>
        <v>7.0000000000000007E-2</v>
      </c>
      <c r="V204" s="13">
        <f>+[1]モンスター計算!V207</f>
        <v>4</v>
      </c>
      <c r="W204" s="30">
        <v>11</v>
      </c>
      <c r="X204" s="27" t="s">
        <v>70</v>
      </c>
      <c r="Y204" s="33" t="s">
        <v>91</v>
      </c>
      <c r="Z204" s="13">
        <v>1.25</v>
      </c>
      <c r="AA204" s="30">
        <v>20</v>
      </c>
      <c r="AB204" s="30">
        <f t="shared" si="6"/>
        <v>163</v>
      </c>
      <c r="AC204" s="47">
        <f t="shared" si="7"/>
        <v>34</v>
      </c>
      <c r="AD204" s="27" t="s">
        <v>74</v>
      </c>
      <c r="AE204" s="5">
        <v>0</v>
      </c>
      <c r="AF204" s="5">
        <v>0</v>
      </c>
      <c r="AG204" s="13" t="b">
        <v>0</v>
      </c>
      <c r="AH204" s="30" t="s">
        <v>1115</v>
      </c>
      <c r="AI204" s="33" t="s">
        <v>1825</v>
      </c>
    </row>
    <row r="205" spans="1:35" ht="19.5" thickBot="1">
      <c r="A205" s="53" t="s">
        <v>720</v>
      </c>
      <c r="B205" s="16" t="s">
        <v>396</v>
      </c>
      <c r="C205" s="28" t="s">
        <v>47</v>
      </c>
      <c r="D205" s="16" t="s">
        <v>61</v>
      </c>
      <c r="E205" s="28">
        <f>+[1]モンスター計算!E208</f>
        <v>2323</v>
      </c>
      <c r="F205" s="15">
        <f>+[1]モンスター計算!F208</f>
        <v>406</v>
      </c>
      <c r="G205" s="15">
        <f>+[1]モンスター計算!G208</f>
        <v>131</v>
      </c>
      <c r="H205" s="15">
        <f>+[1]モンスター計算!H208</f>
        <v>416</v>
      </c>
      <c r="I205" s="15">
        <f>+[1]モンスター計算!I208</f>
        <v>178</v>
      </c>
      <c r="J205" s="16">
        <f>+[1]モンスター計算!J208</f>
        <v>190</v>
      </c>
      <c r="K205" s="28">
        <f>+[1]モンスター計算!K208</f>
        <v>4.4999999999999998E-2</v>
      </c>
      <c r="L205" s="16">
        <f>+[1]モンスター計算!L208</f>
        <v>1.4</v>
      </c>
      <c r="M205" s="28">
        <f>+[1]モンスター計算!M208</f>
        <v>2.0499999999999998</v>
      </c>
      <c r="N205" s="15">
        <f>+[1]モンスター計算!N208</f>
        <v>0.92</v>
      </c>
      <c r="O205" s="16">
        <f>+[1]モンスター計算!O208</f>
        <v>2.6749999999999998</v>
      </c>
      <c r="P205" s="28">
        <f>+[1]モンスター計算!P208</f>
        <v>0.19</v>
      </c>
      <c r="Q205" s="15">
        <f>+[1]モンスター計算!Q208</f>
        <v>0.19</v>
      </c>
      <c r="R205" s="15">
        <f>+[1]モンスター計算!R208</f>
        <v>0.19</v>
      </c>
      <c r="S205" s="15">
        <f>+[1]モンスター計算!S208</f>
        <v>0.19</v>
      </c>
      <c r="T205" s="15">
        <f>+[1]モンスター計算!T208</f>
        <v>0.39</v>
      </c>
      <c r="U205" s="15">
        <f>+[1]モンスター計算!U208</f>
        <v>0.09</v>
      </c>
      <c r="V205" s="16">
        <f>+[1]モンスター計算!V208</f>
        <v>4</v>
      </c>
      <c r="W205" s="31">
        <v>15</v>
      </c>
      <c r="X205" s="28" t="s">
        <v>72</v>
      </c>
      <c r="Y205" s="34" t="s">
        <v>92</v>
      </c>
      <c r="Z205" s="16">
        <v>1.3</v>
      </c>
      <c r="AA205" s="31">
        <v>40</v>
      </c>
      <c r="AB205" s="31">
        <f t="shared" si="6"/>
        <v>238</v>
      </c>
      <c r="AC205" s="48">
        <f t="shared" si="7"/>
        <v>34</v>
      </c>
      <c r="AD205" s="28" t="s">
        <v>55</v>
      </c>
      <c r="AE205" s="15">
        <v>10</v>
      </c>
      <c r="AF205" s="15">
        <v>4</v>
      </c>
      <c r="AG205" s="16" t="b">
        <v>1</v>
      </c>
      <c r="AH205" s="31" t="s">
        <v>1116</v>
      </c>
      <c r="AI205" s="34" t="s">
        <v>1825</v>
      </c>
    </row>
    <row r="206" spans="1:35">
      <c r="A206" s="51" t="s">
        <v>721</v>
      </c>
      <c r="B206" s="11" t="s">
        <v>397</v>
      </c>
      <c r="C206" s="26" t="s">
        <v>45</v>
      </c>
      <c r="D206" s="11" t="s">
        <v>61</v>
      </c>
      <c r="E206" s="26">
        <f>+[1]モンスター計算!E209</f>
        <v>1865</v>
      </c>
      <c r="F206" s="10">
        <f>+[1]モンスター計算!F209</f>
        <v>440</v>
      </c>
      <c r="G206" s="10">
        <f>+[1]モンスター計算!G209</f>
        <v>144</v>
      </c>
      <c r="H206" s="10">
        <f>+[1]モンスター計算!H209</f>
        <v>571</v>
      </c>
      <c r="I206" s="10">
        <f>+[1]モンスター計算!I209</f>
        <v>157</v>
      </c>
      <c r="J206" s="11">
        <f>+[1]モンスター計算!J209</f>
        <v>174</v>
      </c>
      <c r="K206" s="26">
        <f>+[1]モンスター計算!K209</f>
        <v>0.26</v>
      </c>
      <c r="L206" s="11">
        <f>+[1]モンスター計算!L209</f>
        <v>1.95</v>
      </c>
      <c r="M206" s="26">
        <f>+[1]モンスター計算!M209</f>
        <v>2.75</v>
      </c>
      <c r="N206" s="10">
        <f>+[1]モンスター計算!N209</f>
        <v>0.95</v>
      </c>
      <c r="O206" s="11">
        <f>+[1]モンスター計算!O209</f>
        <v>2.8</v>
      </c>
      <c r="P206" s="26">
        <f>+[1]モンスター計算!P209</f>
        <v>-0.15000000000000002</v>
      </c>
      <c r="Q206" s="10">
        <f>+[1]モンスター計算!Q209</f>
        <v>0.15000000000000002</v>
      </c>
      <c r="R206" s="10">
        <f>+[1]モンスター計算!R209</f>
        <v>-0.05</v>
      </c>
      <c r="S206" s="10">
        <f>+[1]モンスター計算!S209</f>
        <v>-0.05</v>
      </c>
      <c r="T206" s="10">
        <f>+[1]モンスター計算!T209</f>
        <v>-0.05</v>
      </c>
      <c r="U206" s="10">
        <f>+[1]モンスター計算!U209</f>
        <v>-0.05</v>
      </c>
      <c r="V206" s="11">
        <f>+[1]モンスター計算!V209</f>
        <v>4.4000000000000004</v>
      </c>
      <c r="W206" s="29">
        <v>8</v>
      </c>
      <c r="X206" s="26" t="s">
        <v>109</v>
      </c>
      <c r="Y206" s="32" t="s">
        <v>87</v>
      </c>
      <c r="Z206" s="11">
        <v>1.2</v>
      </c>
      <c r="AA206" s="29">
        <v>5</v>
      </c>
      <c r="AB206" s="29">
        <f t="shared" si="6"/>
        <v>87</v>
      </c>
      <c r="AC206" s="46">
        <f t="shared" si="7"/>
        <v>35</v>
      </c>
      <c r="AD206" s="26" t="s">
        <v>51</v>
      </c>
      <c r="AE206" s="10">
        <v>7</v>
      </c>
      <c r="AF206" s="10">
        <v>3</v>
      </c>
      <c r="AG206" s="11" t="b">
        <v>1</v>
      </c>
      <c r="AH206" s="29" t="s">
        <v>1117</v>
      </c>
      <c r="AI206" s="32" t="s">
        <v>1825</v>
      </c>
    </row>
    <row r="207" spans="1:35">
      <c r="A207" s="52" t="s">
        <v>722</v>
      </c>
      <c r="B207" s="13" t="s">
        <v>398</v>
      </c>
      <c r="C207" s="27" t="s">
        <v>44</v>
      </c>
      <c r="D207" s="13" t="s">
        <v>61</v>
      </c>
      <c r="E207" s="27">
        <f>+[1]モンスター計算!E210</f>
        <v>2018</v>
      </c>
      <c r="F207" s="5">
        <f>+[1]モンスター計算!F210</f>
        <v>335</v>
      </c>
      <c r="G207" s="5">
        <f>+[1]モンスター計算!G210</f>
        <v>88</v>
      </c>
      <c r="H207" s="5">
        <f>+[1]モンスター計算!H210</f>
        <v>370</v>
      </c>
      <c r="I207" s="5">
        <f>+[1]モンスター計算!I210</f>
        <v>174</v>
      </c>
      <c r="J207" s="13">
        <f>+[1]モンスター計算!J210</f>
        <v>166</v>
      </c>
      <c r="K207" s="27">
        <f>+[1]モンスター計算!K210</f>
        <v>6.5000000000000002E-2</v>
      </c>
      <c r="L207" s="13">
        <f>+[1]モンスター計算!L210</f>
        <v>1.45</v>
      </c>
      <c r="M207" s="27">
        <f>+[1]モンスター計算!M210</f>
        <v>4</v>
      </c>
      <c r="N207" s="5">
        <f>+[1]モンスター計算!N210</f>
        <v>1.72</v>
      </c>
      <c r="O207" s="13">
        <f>+[1]モンスター計算!O210</f>
        <v>1.9</v>
      </c>
      <c r="P207" s="27">
        <f>+[1]モンスター計算!P210</f>
        <v>0.13</v>
      </c>
      <c r="Q207" s="5">
        <f>+[1]モンスター計算!Q210</f>
        <v>-0.17</v>
      </c>
      <c r="R207" s="5">
        <f>+[1]モンスター計算!R210</f>
        <v>-7.0000000000000007E-2</v>
      </c>
      <c r="S207" s="5">
        <f>+[1]モンスター計算!S210</f>
        <v>-7.0000000000000007E-2</v>
      </c>
      <c r="T207" s="5">
        <f>+[1]モンスター計算!T210</f>
        <v>-7.0000000000000007E-2</v>
      </c>
      <c r="U207" s="5">
        <f>+[1]モンスター計算!U210</f>
        <v>-7.0000000000000007E-2</v>
      </c>
      <c r="V207" s="13">
        <f>+[1]モンスター計算!V210</f>
        <v>5.4</v>
      </c>
      <c r="W207" s="30">
        <v>8</v>
      </c>
      <c r="X207" s="27" t="s">
        <v>64</v>
      </c>
      <c r="Y207" s="33" t="s">
        <v>88</v>
      </c>
      <c r="Z207" s="13">
        <v>1.2</v>
      </c>
      <c r="AA207" s="30">
        <v>7</v>
      </c>
      <c r="AB207" s="30">
        <f t="shared" si="6"/>
        <v>97</v>
      </c>
      <c r="AC207" s="47">
        <f t="shared" si="7"/>
        <v>35</v>
      </c>
      <c r="AD207" s="27" t="s">
        <v>49</v>
      </c>
      <c r="AE207" s="5">
        <v>7.5</v>
      </c>
      <c r="AF207" s="5">
        <v>3</v>
      </c>
      <c r="AG207" s="13" t="b">
        <v>1</v>
      </c>
      <c r="AH207" s="30" t="s">
        <v>1118</v>
      </c>
      <c r="AI207" s="33" t="s">
        <v>1825</v>
      </c>
    </row>
    <row r="208" spans="1:35">
      <c r="A208" s="52" t="s">
        <v>723</v>
      </c>
      <c r="B208" s="13" t="s">
        <v>399</v>
      </c>
      <c r="C208" s="27" t="s">
        <v>46</v>
      </c>
      <c r="D208" s="13" t="s">
        <v>61</v>
      </c>
      <c r="E208" s="27">
        <f>+[1]モンスター計算!E211</f>
        <v>3066</v>
      </c>
      <c r="F208" s="5">
        <f>+[1]モンスター計算!F211</f>
        <v>372</v>
      </c>
      <c r="G208" s="5">
        <f>+[1]モンスター計算!G211</f>
        <v>163</v>
      </c>
      <c r="H208" s="5">
        <f>+[1]モンスター計算!H211</f>
        <v>363</v>
      </c>
      <c r="I208" s="5">
        <f>+[1]モンスター計算!I211</f>
        <v>266</v>
      </c>
      <c r="J208" s="13">
        <f>+[1]モンスター計算!J211</f>
        <v>174</v>
      </c>
      <c r="K208" s="27">
        <f>+[1]モンスター計算!K211</f>
        <v>0.08</v>
      </c>
      <c r="L208" s="13">
        <f>+[1]モンスター計算!L211</f>
        <v>1.6</v>
      </c>
      <c r="M208" s="27">
        <f>+[1]モンスター計算!M211</f>
        <v>2.8</v>
      </c>
      <c r="N208" s="5">
        <f>+[1]モンスター計算!N211</f>
        <v>1</v>
      </c>
      <c r="O208" s="13">
        <f>+[1]モンスター計算!O211</f>
        <v>2.5</v>
      </c>
      <c r="P208" s="27">
        <f>+[1]モンスター計算!P211</f>
        <v>1.4999999999999999E-2</v>
      </c>
      <c r="Q208" s="5">
        <f>+[1]モンスター計算!Q211</f>
        <v>1.4999999999999999E-2</v>
      </c>
      <c r="R208" s="5">
        <f>+[1]モンスター計算!R211</f>
        <v>0.21500000000000002</v>
      </c>
      <c r="S208" s="5">
        <f>+[1]モンスター計算!S211</f>
        <v>-8.5000000000000006E-2</v>
      </c>
      <c r="T208" s="5">
        <f>+[1]モンスター計算!T211</f>
        <v>1.4999999999999999E-2</v>
      </c>
      <c r="U208" s="5">
        <f>+[1]モンスター計算!U211</f>
        <v>1.4999999999999999E-2</v>
      </c>
      <c r="V208" s="13">
        <f>+[1]モンスター計算!V211</f>
        <v>4</v>
      </c>
      <c r="W208" s="30">
        <v>9</v>
      </c>
      <c r="X208" s="27" t="s">
        <v>66</v>
      </c>
      <c r="Y208" s="33" t="s">
        <v>89</v>
      </c>
      <c r="Z208" s="13">
        <v>1.22</v>
      </c>
      <c r="AA208" s="30">
        <v>10</v>
      </c>
      <c r="AB208" s="30">
        <f t="shared" si="6"/>
        <v>114</v>
      </c>
      <c r="AC208" s="47">
        <f t="shared" si="7"/>
        <v>35</v>
      </c>
      <c r="AD208" s="27" t="s">
        <v>53</v>
      </c>
      <c r="AE208" s="5">
        <v>8.5</v>
      </c>
      <c r="AF208" s="5">
        <v>3</v>
      </c>
      <c r="AG208" s="13" t="b">
        <v>1</v>
      </c>
      <c r="AH208" s="30" t="s">
        <v>1119</v>
      </c>
      <c r="AI208" s="33" t="s">
        <v>1825</v>
      </c>
    </row>
    <row r="209" spans="1:35">
      <c r="A209" s="52" t="s">
        <v>724</v>
      </c>
      <c r="B209" s="13" t="s">
        <v>400</v>
      </c>
      <c r="C209" s="27" t="s">
        <v>44</v>
      </c>
      <c r="D209" s="13" t="s">
        <v>59</v>
      </c>
      <c r="E209" s="27">
        <f>+[1]モンスター計算!E212</f>
        <v>4650</v>
      </c>
      <c r="F209" s="5">
        <f>+[1]モンスター計算!F212</f>
        <v>119</v>
      </c>
      <c r="G209" s="5">
        <f>+[1]モンスター計算!G212</f>
        <v>342</v>
      </c>
      <c r="H209" s="5">
        <f>+[1]モンスター計算!H212</f>
        <v>129</v>
      </c>
      <c r="I209" s="5">
        <f>+[1]モンスター計算!I212</f>
        <v>439</v>
      </c>
      <c r="J209" s="13">
        <f>+[1]モンスター計算!J212</f>
        <v>217</v>
      </c>
      <c r="K209" s="27">
        <f>+[1]モンスター計算!K212</f>
        <v>0.03</v>
      </c>
      <c r="L209" s="13">
        <f>+[1]モンスター計算!L212</f>
        <v>1.35</v>
      </c>
      <c r="M209" s="27">
        <f>+[1]モンスター計算!M212</f>
        <v>1.5</v>
      </c>
      <c r="N209" s="5">
        <f>+[1]モンスター計算!N212</f>
        <v>0.65</v>
      </c>
      <c r="O209" s="13">
        <f>+[1]モンスター計算!O212</f>
        <v>1</v>
      </c>
      <c r="P209" s="27">
        <f>+[1]モンスター計算!P212</f>
        <v>0.30000000000000004</v>
      </c>
      <c r="Q209" s="5">
        <f>+[1]モンスター計算!Q212</f>
        <v>0</v>
      </c>
      <c r="R209" s="5">
        <f>+[1]モンスター計算!R212</f>
        <v>0.1</v>
      </c>
      <c r="S209" s="5">
        <f>+[1]モンスター計算!S212</f>
        <v>0.1</v>
      </c>
      <c r="T209" s="5">
        <f>+[1]モンスター計算!T212</f>
        <v>0.1</v>
      </c>
      <c r="U209" s="5">
        <f>+[1]モンスター計算!U212</f>
        <v>0.1</v>
      </c>
      <c r="V209" s="13">
        <f>+[1]モンスター計算!V212</f>
        <v>3.4</v>
      </c>
      <c r="W209" s="30">
        <v>10</v>
      </c>
      <c r="X209" s="27" t="s">
        <v>68</v>
      </c>
      <c r="Y209" s="33" t="s">
        <v>90</v>
      </c>
      <c r="Z209" s="13">
        <v>1.25</v>
      </c>
      <c r="AA209" s="30">
        <v>15</v>
      </c>
      <c r="AB209" s="30">
        <f t="shared" si="6"/>
        <v>147</v>
      </c>
      <c r="AC209" s="47">
        <f t="shared" si="7"/>
        <v>35</v>
      </c>
      <c r="AD209" s="27" t="s">
        <v>74</v>
      </c>
      <c r="AE209" s="5">
        <v>0</v>
      </c>
      <c r="AF209" s="5">
        <v>0</v>
      </c>
      <c r="AG209" s="13" t="b">
        <v>0</v>
      </c>
      <c r="AH209" s="30" t="s">
        <v>1120</v>
      </c>
      <c r="AI209" s="33" t="s">
        <v>1825</v>
      </c>
    </row>
    <row r="210" spans="1:35">
      <c r="A210" s="52" t="s">
        <v>725</v>
      </c>
      <c r="B210" s="13" t="s">
        <v>401</v>
      </c>
      <c r="C210" s="27" t="s">
        <v>45</v>
      </c>
      <c r="D210" s="13" t="s">
        <v>59</v>
      </c>
      <c r="E210" s="27">
        <f>+[1]モンスター計算!E213</f>
        <v>2018</v>
      </c>
      <c r="F210" s="5">
        <f>+[1]モンスター計算!F213</f>
        <v>141</v>
      </c>
      <c r="G210" s="5">
        <f>+[1]モンスター計算!G213</f>
        <v>438</v>
      </c>
      <c r="H210" s="5">
        <f>+[1]モンスター計算!H213</f>
        <v>138</v>
      </c>
      <c r="I210" s="5">
        <f>+[1]モンスター計算!I213</f>
        <v>161</v>
      </c>
      <c r="J210" s="13">
        <f>+[1]モンスター計算!J213</f>
        <v>149</v>
      </c>
      <c r="K210" s="27">
        <f>+[1]モンスター計算!K213</f>
        <v>0.1</v>
      </c>
      <c r="L210" s="13">
        <f>+[1]モンスター計算!L213</f>
        <v>1.85</v>
      </c>
      <c r="M210" s="27">
        <f>+[1]モンスター計算!M213</f>
        <v>4</v>
      </c>
      <c r="N210" s="5">
        <f>+[1]モンスター計算!N213</f>
        <v>1.41</v>
      </c>
      <c r="O210" s="13">
        <f>+[1]モンスター計算!O213</f>
        <v>1</v>
      </c>
      <c r="P210" s="27">
        <f>+[1]モンスター計算!P213</f>
        <v>-0.155</v>
      </c>
      <c r="Q210" s="5">
        <f>+[1]モンスター計算!Q213</f>
        <v>0.14500000000000002</v>
      </c>
      <c r="R210" s="5">
        <f>+[1]モンスター計算!R213</f>
        <v>-5.5E-2</v>
      </c>
      <c r="S210" s="5">
        <f>+[1]モンスター計算!S213</f>
        <v>-5.5E-2</v>
      </c>
      <c r="T210" s="5">
        <f>+[1]モンスター計算!T213</f>
        <v>-5.5E-2</v>
      </c>
      <c r="U210" s="5">
        <f>+[1]モンスター計算!U213</f>
        <v>-5.5E-2</v>
      </c>
      <c r="V210" s="13">
        <f>+[1]モンスター計算!V213</f>
        <v>6.4</v>
      </c>
      <c r="W210" s="30">
        <v>11</v>
      </c>
      <c r="X210" s="27" t="s">
        <v>70</v>
      </c>
      <c r="Y210" s="33" t="s">
        <v>91</v>
      </c>
      <c r="Z210" s="13">
        <v>1.25</v>
      </c>
      <c r="AA210" s="30">
        <v>20</v>
      </c>
      <c r="AB210" s="30">
        <f t="shared" si="6"/>
        <v>172</v>
      </c>
      <c r="AC210" s="47">
        <f t="shared" si="7"/>
        <v>35</v>
      </c>
      <c r="AD210" s="27" t="s">
        <v>1640</v>
      </c>
      <c r="AE210" s="5">
        <v>0</v>
      </c>
      <c r="AF210" s="5">
        <v>0</v>
      </c>
      <c r="AG210" s="13" t="b">
        <v>0</v>
      </c>
      <c r="AH210" s="30" t="s">
        <v>1121</v>
      </c>
      <c r="AI210" s="33" t="s">
        <v>1825</v>
      </c>
    </row>
    <row r="211" spans="1:35" ht="19.5" thickBot="1">
      <c r="A211" s="53" t="s">
        <v>726</v>
      </c>
      <c r="B211" s="16" t="s">
        <v>402</v>
      </c>
      <c r="C211" s="28" t="s">
        <v>47</v>
      </c>
      <c r="D211" s="16" t="s">
        <v>61</v>
      </c>
      <c r="E211" s="28">
        <f>+[1]モンスター計算!E214</f>
        <v>2095</v>
      </c>
      <c r="F211" s="15">
        <f>+[1]モンスター計算!F214</f>
        <v>335</v>
      </c>
      <c r="G211" s="15">
        <f>+[1]モンスター計算!G214</f>
        <v>257</v>
      </c>
      <c r="H211" s="15">
        <f>+[1]モンスター計算!H214</f>
        <v>572</v>
      </c>
      <c r="I211" s="15">
        <f>+[1]モンスター計算!I214</f>
        <v>174</v>
      </c>
      <c r="J211" s="16">
        <f>+[1]モンスター計算!J214</f>
        <v>204</v>
      </c>
      <c r="K211" s="28">
        <f>+[1]モンスター計算!K214</f>
        <v>0.05</v>
      </c>
      <c r="L211" s="16">
        <f>+[1]モンスター計算!L214</f>
        <v>1.5</v>
      </c>
      <c r="M211" s="28">
        <f>+[1]モンスター計算!M214</f>
        <v>2</v>
      </c>
      <c r="N211" s="15">
        <f>+[1]モンスター計算!N214</f>
        <v>1</v>
      </c>
      <c r="O211" s="16">
        <f>+[1]モンスター計算!O214</f>
        <v>2.5</v>
      </c>
      <c r="P211" s="28">
        <f>+[1]モンスター計算!P214</f>
        <v>-0.02</v>
      </c>
      <c r="Q211" s="15">
        <f>+[1]モンスター計算!Q214</f>
        <v>-0.02</v>
      </c>
      <c r="R211" s="15">
        <f>+[1]モンスター計算!R214</f>
        <v>-0.02</v>
      </c>
      <c r="S211" s="15">
        <f>+[1]モンスター計算!S214</f>
        <v>-0.02</v>
      </c>
      <c r="T211" s="15">
        <f>+[1]モンスター計算!T214</f>
        <v>0.18000000000000002</v>
      </c>
      <c r="U211" s="15">
        <f>+[1]モンスター計算!U214</f>
        <v>-0.12000000000000001</v>
      </c>
      <c r="V211" s="16">
        <f>+[1]モンスター計算!V214</f>
        <v>4</v>
      </c>
      <c r="W211" s="31">
        <v>15</v>
      </c>
      <c r="X211" s="28" t="s">
        <v>72</v>
      </c>
      <c r="Y211" s="34" t="s">
        <v>92</v>
      </c>
      <c r="Z211" s="16">
        <v>1.3</v>
      </c>
      <c r="AA211" s="31">
        <v>40</v>
      </c>
      <c r="AB211" s="31">
        <f t="shared" si="6"/>
        <v>250</v>
      </c>
      <c r="AC211" s="48">
        <f t="shared" si="7"/>
        <v>35</v>
      </c>
      <c r="AD211" s="28" t="s">
        <v>55</v>
      </c>
      <c r="AE211" s="15">
        <v>10</v>
      </c>
      <c r="AF211" s="15">
        <v>4</v>
      </c>
      <c r="AG211" s="16" t="b">
        <v>1</v>
      </c>
      <c r="AH211" s="31" t="s">
        <v>1122</v>
      </c>
      <c r="AI211" s="34" t="s">
        <v>1825</v>
      </c>
    </row>
    <row r="212" spans="1:35">
      <c r="A212" s="51" t="s">
        <v>727</v>
      </c>
      <c r="B212" s="11" t="s">
        <v>403</v>
      </c>
      <c r="C212" s="26" t="s">
        <v>45</v>
      </c>
      <c r="D212" s="11" t="s">
        <v>61</v>
      </c>
      <c r="E212" s="26">
        <f>+[1]モンスター計算!E215</f>
        <v>2501</v>
      </c>
      <c r="F212" s="10">
        <f>+[1]モンスター計算!F215</f>
        <v>389</v>
      </c>
      <c r="G212" s="10">
        <f>+[1]モンスター計算!G215</f>
        <v>130</v>
      </c>
      <c r="H212" s="10">
        <f>+[1]モンスター計算!H215</f>
        <v>483</v>
      </c>
      <c r="I212" s="10">
        <f>+[1]モンスター計算!I215</f>
        <v>207</v>
      </c>
      <c r="J212" s="11">
        <f>+[1]モンスター計算!J215</f>
        <v>205</v>
      </c>
      <c r="K212" s="26">
        <f>+[1]モンスター計算!K215</f>
        <v>7.4999999999999997E-2</v>
      </c>
      <c r="L212" s="11">
        <f>+[1]モンスター計算!L215</f>
        <v>1.5</v>
      </c>
      <c r="M212" s="26">
        <f>+[1]モンスター計算!M215</f>
        <v>3.1</v>
      </c>
      <c r="N212" s="10">
        <f>+[1]モンスター計算!N215</f>
        <v>1.1499999999999999</v>
      </c>
      <c r="O212" s="11">
        <f>+[1]モンスター計算!O215</f>
        <v>3.0750000000000002</v>
      </c>
      <c r="P212" s="26">
        <f>+[1]モンスター計算!P215</f>
        <v>-0.11</v>
      </c>
      <c r="Q212" s="10">
        <f>+[1]モンスター計算!Q215</f>
        <v>0.19</v>
      </c>
      <c r="R212" s="10">
        <f>+[1]モンスター計算!R215</f>
        <v>-0.01</v>
      </c>
      <c r="S212" s="10">
        <f>+[1]モンスター計算!S215</f>
        <v>-0.01</v>
      </c>
      <c r="T212" s="10">
        <f>+[1]モンスター計算!T215</f>
        <v>-0.01</v>
      </c>
      <c r="U212" s="10">
        <f>+[1]モンスター計算!U215</f>
        <v>-0.01</v>
      </c>
      <c r="V212" s="11">
        <f>+[1]モンスター計算!V215</f>
        <v>8.6</v>
      </c>
      <c r="W212" s="29">
        <v>8</v>
      </c>
      <c r="X212" s="26" t="s">
        <v>109</v>
      </c>
      <c r="Y212" s="32" t="s">
        <v>87</v>
      </c>
      <c r="Z212" s="11">
        <v>1.2</v>
      </c>
      <c r="AA212" s="29">
        <v>5</v>
      </c>
      <c r="AB212" s="29">
        <f t="shared" si="6"/>
        <v>92</v>
      </c>
      <c r="AC212" s="46">
        <f t="shared" si="7"/>
        <v>36</v>
      </c>
      <c r="AD212" s="26" t="s">
        <v>51</v>
      </c>
      <c r="AE212" s="10">
        <v>7</v>
      </c>
      <c r="AF212" s="10">
        <v>3</v>
      </c>
      <c r="AG212" s="11" t="b">
        <v>1</v>
      </c>
      <c r="AH212" s="29" t="s">
        <v>1123</v>
      </c>
      <c r="AI212" s="32" t="s">
        <v>1825</v>
      </c>
    </row>
    <row r="213" spans="1:35">
      <c r="A213" s="52" t="s">
        <v>728</v>
      </c>
      <c r="B213" s="13" t="s">
        <v>404</v>
      </c>
      <c r="C213" s="27" t="s">
        <v>44</v>
      </c>
      <c r="D213" s="13" t="s">
        <v>61</v>
      </c>
      <c r="E213" s="27">
        <f>+[1]モンスター計算!E216</f>
        <v>4215</v>
      </c>
      <c r="F213" s="5">
        <f>+[1]モンスター計算!F216</f>
        <v>512</v>
      </c>
      <c r="G213" s="5">
        <f>+[1]モンスター計算!G216</f>
        <v>102</v>
      </c>
      <c r="H213" s="5">
        <f>+[1]モンスター計算!H216</f>
        <v>227</v>
      </c>
      <c r="I213" s="5">
        <f>+[1]モンスター計算!I216</f>
        <v>337</v>
      </c>
      <c r="J213" s="13">
        <f>+[1]モンスター計算!J216</f>
        <v>315</v>
      </c>
      <c r="K213" s="27">
        <f>+[1]モンスター計算!K216</f>
        <v>0.1</v>
      </c>
      <c r="L213" s="13">
        <f>+[1]モンスター計算!L216</f>
        <v>1.75</v>
      </c>
      <c r="M213" s="27">
        <f>+[1]モンスター計算!M216</f>
        <v>2.4</v>
      </c>
      <c r="N213" s="5">
        <f>+[1]モンスター計算!N216</f>
        <v>1.2</v>
      </c>
      <c r="O213" s="13">
        <f>+[1]モンスター計算!O216</f>
        <v>3</v>
      </c>
      <c r="P213" s="27">
        <f>+[1]モンスター計算!P216</f>
        <v>0.28000000000000003</v>
      </c>
      <c r="Q213" s="5">
        <f>+[1]モンスター計算!Q216</f>
        <v>-2.0000000000000004E-2</v>
      </c>
      <c r="R213" s="5">
        <f>+[1]モンスター計算!R216</f>
        <v>0.08</v>
      </c>
      <c r="S213" s="5">
        <f>+[1]モンスター計算!S216</f>
        <v>0.08</v>
      </c>
      <c r="T213" s="5">
        <f>+[1]モンスター計算!T216</f>
        <v>0.08</v>
      </c>
      <c r="U213" s="5">
        <f>+[1]モンスター計算!U216</f>
        <v>0.08</v>
      </c>
      <c r="V213" s="13">
        <f>+[1]モンスター計算!V216</f>
        <v>4</v>
      </c>
      <c r="W213" s="30">
        <v>8</v>
      </c>
      <c r="X213" s="27" t="s">
        <v>64</v>
      </c>
      <c r="Y213" s="33" t="s">
        <v>88</v>
      </c>
      <c r="Z213" s="13">
        <v>1.2</v>
      </c>
      <c r="AA213" s="30">
        <v>7</v>
      </c>
      <c r="AB213" s="30">
        <f t="shared" si="6"/>
        <v>102</v>
      </c>
      <c r="AC213" s="47">
        <f t="shared" si="7"/>
        <v>36</v>
      </c>
      <c r="AD213" s="27" t="s">
        <v>49</v>
      </c>
      <c r="AE213" s="5">
        <v>7.5</v>
      </c>
      <c r="AF213" s="5">
        <v>3</v>
      </c>
      <c r="AG213" s="13" t="b">
        <v>1</v>
      </c>
      <c r="AH213" s="30" t="s">
        <v>1124</v>
      </c>
      <c r="AI213" s="33" t="s">
        <v>1825</v>
      </c>
    </row>
    <row r="214" spans="1:35">
      <c r="A214" s="52" t="s">
        <v>729</v>
      </c>
      <c r="B214" s="13" t="s">
        <v>405</v>
      </c>
      <c r="C214" s="27" t="s">
        <v>46</v>
      </c>
      <c r="D214" s="13" t="s">
        <v>61</v>
      </c>
      <c r="E214" s="27">
        <f>+[1]モンスター計算!E217</f>
        <v>2557</v>
      </c>
      <c r="F214" s="5">
        <f>+[1]モンスター計算!F217</f>
        <v>656</v>
      </c>
      <c r="G214" s="5">
        <f>+[1]モンスター計算!G217</f>
        <v>277</v>
      </c>
      <c r="H214" s="5">
        <f>+[1]モンスター計算!H217</f>
        <v>822</v>
      </c>
      <c r="I214" s="5">
        <f>+[1]モンスター計算!I217</f>
        <v>198</v>
      </c>
      <c r="J214" s="13">
        <f>+[1]モンスター計算!J217</f>
        <v>214</v>
      </c>
      <c r="K214" s="27">
        <f>+[1]モンスター計算!K217</f>
        <v>0.04</v>
      </c>
      <c r="L214" s="13">
        <f>+[1]モンスター計算!L217</f>
        <v>2.2000000000000002</v>
      </c>
      <c r="M214" s="27">
        <f>+[1]モンスター計算!M217</f>
        <v>1.65</v>
      </c>
      <c r="N214" s="5">
        <f>+[1]モンスター計算!N217</f>
        <v>0.64</v>
      </c>
      <c r="O214" s="13">
        <f>+[1]モンスター計算!O217</f>
        <v>3.7</v>
      </c>
      <c r="P214" s="27">
        <f>+[1]モンスター計算!P217</f>
        <v>-2.5000000000000001E-2</v>
      </c>
      <c r="Q214" s="5">
        <f>+[1]モンスター計算!Q217</f>
        <v>-2.5000000000000001E-2</v>
      </c>
      <c r="R214" s="5">
        <f>+[1]モンスター計算!R217</f>
        <v>0.17500000000000002</v>
      </c>
      <c r="S214" s="5">
        <f>+[1]モンスター計算!S217</f>
        <v>-0.125</v>
      </c>
      <c r="T214" s="5">
        <f>+[1]モンスター計算!T217</f>
        <v>-2.5000000000000001E-2</v>
      </c>
      <c r="U214" s="5">
        <f>+[1]モンスター計算!U217</f>
        <v>-2.5000000000000001E-2</v>
      </c>
      <c r="V214" s="13">
        <f>+[1]モンスター計算!V217</f>
        <v>5</v>
      </c>
      <c r="W214" s="30">
        <v>9</v>
      </c>
      <c r="X214" s="27" t="s">
        <v>66</v>
      </c>
      <c r="Y214" s="33" t="s">
        <v>89</v>
      </c>
      <c r="Z214" s="13">
        <v>1.22</v>
      </c>
      <c r="AA214" s="30">
        <v>10</v>
      </c>
      <c r="AB214" s="30">
        <f t="shared" si="6"/>
        <v>120</v>
      </c>
      <c r="AC214" s="47">
        <f t="shared" si="7"/>
        <v>36</v>
      </c>
      <c r="AD214" s="27" t="s">
        <v>53</v>
      </c>
      <c r="AE214" s="5">
        <v>8.5</v>
      </c>
      <c r="AF214" s="5">
        <v>3</v>
      </c>
      <c r="AG214" s="13" t="b">
        <v>1</v>
      </c>
      <c r="AH214" s="30" t="s">
        <v>1125</v>
      </c>
      <c r="AI214" s="33" t="s">
        <v>1825</v>
      </c>
    </row>
    <row r="215" spans="1:35">
      <c r="A215" s="52" t="s">
        <v>730</v>
      </c>
      <c r="B215" s="13" t="s">
        <v>406</v>
      </c>
      <c r="C215" s="27" t="s">
        <v>44</v>
      </c>
      <c r="D215" s="13" t="s">
        <v>59</v>
      </c>
      <c r="E215" s="27">
        <f>+[1]モンスター計算!E218</f>
        <v>3147</v>
      </c>
      <c r="F215" s="5">
        <f>+[1]モンスター計算!F218</f>
        <v>173</v>
      </c>
      <c r="G215" s="5">
        <f>+[1]モンスター計算!G218</f>
        <v>425</v>
      </c>
      <c r="H215" s="5">
        <f>+[1]モンスター計算!H218</f>
        <v>149</v>
      </c>
      <c r="I215" s="5">
        <f>+[1]モンスター計算!I218</f>
        <v>283</v>
      </c>
      <c r="J215" s="13">
        <f>+[1]モンスター計算!J218</f>
        <v>279</v>
      </c>
      <c r="K215" s="27">
        <f>+[1]モンスター計算!K218</f>
        <v>0.04</v>
      </c>
      <c r="L215" s="13">
        <f>+[1]モンスター計算!L218</f>
        <v>1.4</v>
      </c>
      <c r="M215" s="27">
        <f>+[1]モンスター計算!M218</f>
        <v>2.4500000000000002</v>
      </c>
      <c r="N215" s="5">
        <f>+[1]モンスター計算!N218</f>
        <v>1.03</v>
      </c>
      <c r="O215" s="13">
        <f>+[1]モンスター計算!O218</f>
        <v>1</v>
      </c>
      <c r="P215" s="27">
        <f>+[1]モンスター計算!P218</f>
        <v>0.24000000000000002</v>
      </c>
      <c r="Q215" s="5">
        <f>+[1]モンスター計算!Q218</f>
        <v>-6.0000000000000005E-2</v>
      </c>
      <c r="R215" s="5">
        <f>+[1]モンスター計算!R218</f>
        <v>0.04</v>
      </c>
      <c r="S215" s="5">
        <f>+[1]モンスター計算!S218</f>
        <v>0.04</v>
      </c>
      <c r="T215" s="5">
        <f>+[1]モンスター計算!T218</f>
        <v>0.04</v>
      </c>
      <c r="U215" s="5">
        <f>+[1]モンスター計算!U218</f>
        <v>0.04</v>
      </c>
      <c r="V215" s="13">
        <f>+[1]モンスター計算!V218</f>
        <v>4</v>
      </c>
      <c r="W215" s="30">
        <v>10</v>
      </c>
      <c r="X215" s="27" t="s">
        <v>68</v>
      </c>
      <c r="Y215" s="33" t="s">
        <v>90</v>
      </c>
      <c r="Z215" s="13">
        <v>1.25</v>
      </c>
      <c r="AA215" s="30">
        <v>15</v>
      </c>
      <c r="AB215" s="30">
        <f t="shared" si="6"/>
        <v>155</v>
      </c>
      <c r="AC215" s="47">
        <f t="shared" si="7"/>
        <v>36</v>
      </c>
      <c r="AD215" s="27" t="s">
        <v>74</v>
      </c>
      <c r="AE215" s="5">
        <v>0</v>
      </c>
      <c r="AF215" s="5">
        <v>0</v>
      </c>
      <c r="AG215" s="13" t="b">
        <v>0</v>
      </c>
      <c r="AH215" s="30" t="s">
        <v>1126</v>
      </c>
      <c r="AI215" s="33" t="s">
        <v>1825</v>
      </c>
    </row>
    <row r="216" spans="1:35">
      <c r="A216" s="52" t="s">
        <v>731</v>
      </c>
      <c r="B216" s="13" t="s">
        <v>407</v>
      </c>
      <c r="C216" s="27" t="s">
        <v>45</v>
      </c>
      <c r="D216" s="13" t="s">
        <v>59</v>
      </c>
      <c r="E216" s="27">
        <f>+[1]モンスター計算!E219</f>
        <v>2136</v>
      </c>
      <c r="F216" s="5">
        <f>+[1]モンスター計算!F219</f>
        <v>113</v>
      </c>
      <c r="G216" s="5">
        <f>+[1]モンスター計算!G219</f>
        <v>797</v>
      </c>
      <c r="H216" s="5">
        <f>+[1]モンスター計算!H219</f>
        <v>222</v>
      </c>
      <c r="I216" s="5">
        <f>+[1]モンスター計算!I219</f>
        <v>171</v>
      </c>
      <c r="J216" s="13">
        <f>+[1]モンスター計算!J219</f>
        <v>157</v>
      </c>
      <c r="K216" s="27">
        <f>+[1]モンスター計算!K219</f>
        <v>9.5000000000000001E-2</v>
      </c>
      <c r="L216" s="13">
        <f>+[1]モンスター計算!L219</f>
        <v>2.4</v>
      </c>
      <c r="M216" s="27">
        <f>+[1]モンスター計算!M219</f>
        <v>3.35</v>
      </c>
      <c r="N216" s="5">
        <f>+[1]モンスター計算!N219</f>
        <v>0.86</v>
      </c>
      <c r="O216" s="13">
        <f>+[1]モンスター計算!O219</f>
        <v>1</v>
      </c>
      <c r="P216" s="27">
        <f>+[1]モンスター計算!P219</f>
        <v>-0.17</v>
      </c>
      <c r="Q216" s="5">
        <f>+[1]モンスター計算!Q219</f>
        <v>0.13</v>
      </c>
      <c r="R216" s="5">
        <f>+[1]モンスター計算!R219</f>
        <v>-7.0000000000000007E-2</v>
      </c>
      <c r="S216" s="5">
        <f>+[1]モンスター計算!S219</f>
        <v>-7.0000000000000007E-2</v>
      </c>
      <c r="T216" s="5">
        <f>+[1]モンスター計算!T219</f>
        <v>-7.0000000000000007E-2</v>
      </c>
      <c r="U216" s="5">
        <f>+[1]モンスター計算!U219</f>
        <v>-7.0000000000000007E-2</v>
      </c>
      <c r="V216" s="13">
        <f>+[1]モンスター計算!V219</f>
        <v>4.5999999999999996</v>
      </c>
      <c r="W216" s="30">
        <v>11</v>
      </c>
      <c r="X216" s="27" t="s">
        <v>70</v>
      </c>
      <c r="Y216" s="33" t="s">
        <v>91</v>
      </c>
      <c r="Z216" s="13">
        <v>1.25</v>
      </c>
      <c r="AA216" s="30">
        <v>20</v>
      </c>
      <c r="AB216" s="30">
        <f t="shared" si="6"/>
        <v>181</v>
      </c>
      <c r="AC216" s="47">
        <f t="shared" si="7"/>
        <v>36</v>
      </c>
      <c r="AD216" s="27" t="s">
        <v>74</v>
      </c>
      <c r="AE216" s="5">
        <v>0</v>
      </c>
      <c r="AF216" s="5">
        <v>0</v>
      </c>
      <c r="AG216" s="13" t="b">
        <v>0</v>
      </c>
      <c r="AH216" s="30" t="s">
        <v>1127</v>
      </c>
      <c r="AI216" s="33" t="s">
        <v>1825</v>
      </c>
    </row>
    <row r="217" spans="1:35" ht="19.5" thickBot="1">
      <c r="A217" s="53" t="s">
        <v>732</v>
      </c>
      <c r="B217" s="16" t="s">
        <v>408</v>
      </c>
      <c r="C217" s="28" t="s">
        <v>47</v>
      </c>
      <c r="D217" s="16" t="s">
        <v>61</v>
      </c>
      <c r="E217" s="28">
        <f>+[1]モンスター計算!E220</f>
        <v>2810</v>
      </c>
      <c r="F217" s="15">
        <f>+[1]モンスター計算!F220</f>
        <v>594</v>
      </c>
      <c r="G217" s="15">
        <f>+[1]モンスター計算!G220</f>
        <v>225</v>
      </c>
      <c r="H217" s="15">
        <f>+[1]モンスター計算!H220</f>
        <v>501</v>
      </c>
      <c r="I217" s="15">
        <f>+[1]モンスター計算!I220</f>
        <v>225</v>
      </c>
      <c r="J217" s="16">
        <f>+[1]モンスター計算!J220</f>
        <v>270</v>
      </c>
      <c r="K217" s="28">
        <f>+[1]モンスター計算!K220</f>
        <v>0.06</v>
      </c>
      <c r="L217" s="16">
        <f>+[1]モンスター計算!L220</f>
        <v>1.4</v>
      </c>
      <c r="M217" s="28">
        <f>+[1]モンスター計算!M220</f>
        <v>2.1</v>
      </c>
      <c r="N217" s="15">
        <f>+[1]モンスター計算!N220</f>
        <v>0.95</v>
      </c>
      <c r="O217" s="16">
        <f>+[1]モンスター計算!O220</f>
        <v>2.875</v>
      </c>
      <c r="P217" s="28">
        <f>+[1]モンスター計算!P220</f>
        <v>0.03</v>
      </c>
      <c r="Q217" s="15">
        <f>+[1]モンスター計算!Q220</f>
        <v>0.03</v>
      </c>
      <c r="R217" s="15">
        <f>+[1]モンスター計算!R220</f>
        <v>0.03</v>
      </c>
      <c r="S217" s="15">
        <f>+[1]モンスター計算!S220</f>
        <v>0.03</v>
      </c>
      <c r="T217" s="15">
        <f>+[1]モンスター計算!T220</f>
        <v>0.23</v>
      </c>
      <c r="U217" s="15">
        <f>+[1]モンスター計算!U220</f>
        <v>-7.0000000000000007E-2</v>
      </c>
      <c r="V217" s="16">
        <f>+[1]モンスター計算!V220</f>
        <v>4.8</v>
      </c>
      <c r="W217" s="31">
        <v>15</v>
      </c>
      <c r="X217" s="28" t="s">
        <v>72</v>
      </c>
      <c r="Y217" s="34" t="s">
        <v>92</v>
      </c>
      <c r="Z217" s="16">
        <v>1.3</v>
      </c>
      <c r="AA217" s="31">
        <v>40</v>
      </c>
      <c r="AB217" s="31">
        <f t="shared" si="6"/>
        <v>263</v>
      </c>
      <c r="AC217" s="48">
        <f t="shared" si="7"/>
        <v>36</v>
      </c>
      <c r="AD217" s="28" t="s">
        <v>55</v>
      </c>
      <c r="AE217" s="15">
        <v>10</v>
      </c>
      <c r="AF217" s="15">
        <v>4</v>
      </c>
      <c r="AG217" s="16" t="b">
        <v>1</v>
      </c>
      <c r="AH217" s="31" t="s">
        <v>1128</v>
      </c>
      <c r="AI217" s="34" t="s">
        <v>1825</v>
      </c>
    </row>
    <row r="218" spans="1:35">
      <c r="A218" s="51" t="s">
        <v>733</v>
      </c>
      <c r="B218" s="11" t="s">
        <v>409</v>
      </c>
      <c r="C218" s="26" t="s">
        <v>45</v>
      </c>
      <c r="D218" s="11" t="s">
        <v>61</v>
      </c>
      <c r="E218" s="26">
        <f>+[1]モンスター計算!E221</f>
        <v>3091</v>
      </c>
      <c r="F218" s="10">
        <f>+[1]モンスター計算!F221</f>
        <v>496</v>
      </c>
      <c r="G218" s="10">
        <f>+[1]モンスター計算!G221</f>
        <v>223</v>
      </c>
      <c r="H218" s="10">
        <f>+[1]モンスター計算!H221</f>
        <v>495</v>
      </c>
      <c r="I218" s="10">
        <f>+[1]モンスター計算!I221</f>
        <v>235</v>
      </c>
      <c r="J218" s="11">
        <f>+[1]モンスター計算!J221</f>
        <v>272</v>
      </c>
      <c r="K218" s="26">
        <f>+[1]モンスター計算!K221</f>
        <v>7.0000000000000007E-2</v>
      </c>
      <c r="L218" s="11">
        <f>+[1]モンスター計算!L221</f>
        <v>1.55</v>
      </c>
      <c r="M218" s="26">
        <f>+[1]モンスター計算!M221</f>
        <v>2.2999999999999998</v>
      </c>
      <c r="N218" s="10">
        <f>+[1]モンスター計算!N221</f>
        <v>1.1000000000000001</v>
      </c>
      <c r="O218" s="11">
        <f>+[1]モンスター計算!O221</f>
        <v>2.7</v>
      </c>
      <c r="P218" s="26">
        <f>+[1]モンスター計算!P221</f>
        <v>-0.13</v>
      </c>
      <c r="Q218" s="10">
        <f>+[1]モンスター計算!Q221</f>
        <v>0.17</v>
      </c>
      <c r="R218" s="10">
        <f>+[1]モンスター計算!R221</f>
        <v>-0.03</v>
      </c>
      <c r="S218" s="10">
        <f>+[1]モンスター計算!S221</f>
        <v>-0.03</v>
      </c>
      <c r="T218" s="10">
        <f>+[1]モンスター計算!T221</f>
        <v>-0.03</v>
      </c>
      <c r="U218" s="10">
        <f>+[1]モンスター計算!U221</f>
        <v>-0.03</v>
      </c>
      <c r="V218" s="11">
        <f>+[1]モンスター計算!V221</f>
        <v>4</v>
      </c>
      <c r="W218" s="29">
        <v>8</v>
      </c>
      <c r="X218" s="26" t="s">
        <v>109</v>
      </c>
      <c r="Y218" s="32" t="s">
        <v>87</v>
      </c>
      <c r="Z218" s="11">
        <v>1.2</v>
      </c>
      <c r="AA218" s="29">
        <v>5</v>
      </c>
      <c r="AB218" s="29">
        <f t="shared" si="6"/>
        <v>97</v>
      </c>
      <c r="AC218" s="46">
        <f t="shared" si="7"/>
        <v>37</v>
      </c>
      <c r="AD218" s="26" t="s">
        <v>51</v>
      </c>
      <c r="AE218" s="10">
        <v>7</v>
      </c>
      <c r="AF218" s="10">
        <v>3</v>
      </c>
      <c r="AG218" s="11" t="b">
        <v>1</v>
      </c>
      <c r="AH218" s="29" t="s">
        <v>1129</v>
      </c>
      <c r="AI218" s="32" t="s">
        <v>1825</v>
      </c>
    </row>
    <row r="219" spans="1:35">
      <c r="A219" s="52" t="s">
        <v>734</v>
      </c>
      <c r="B219" s="13" t="s">
        <v>410</v>
      </c>
      <c r="C219" s="27" t="s">
        <v>44</v>
      </c>
      <c r="D219" s="13" t="s">
        <v>61</v>
      </c>
      <c r="E219" s="27">
        <f>+[1]モンスター計算!E222</f>
        <v>2071</v>
      </c>
      <c r="F219" s="5">
        <f>+[1]モンスター計算!F222</f>
        <v>496</v>
      </c>
      <c r="G219" s="5">
        <f>+[1]モンスター計算!G222</f>
        <v>229</v>
      </c>
      <c r="H219" s="5">
        <f>+[1]モンスター計算!H222</f>
        <v>980</v>
      </c>
      <c r="I219" s="5">
        <f>+[1]モンスター計算!I222</f>
        <v>161</v>
      </c>
      <c r="J219" s="13">
        <f>+[1]モンスター計算!J222</f>
        <v>198</v>
      </c>
      <c r="K219" s="27">
        <f>+[1]モンスター計算!K222</f>
        <v>0.18</v>
      </c>
      <c r="L219" s="13">
        <f>+[1]モンスター計算!L222</f>
        <v>1.85</v>
      </c>
      <c r="M219" s="27">
        <f>+[1]モンスター計算!M222</f>
        <v>2.0499999999999998</v>
      </c>
      <c r="N219" s="5">
        <f>+[1]モンスター計算!N222</f>
        <v>0.75</v>
      </c>
      <c r="O219" s="13">
        <f>+[1]モンスター計算!O222</f>
        <v>4.45</v>
      </c>
      <c r="P219" s="27">
        <f>+[1]モンスター計算!P222</f>
        <v>0.14000000000000001</v>
      </c>
      <c r="Q219" s="5">
        <f>+[1]モンスター計算!Q222</f>
        <v>-0.16</v>
      </c>
      <c r="R219" s="5">
        <f>+[1]モンスター計算!R222</f>
        <v>-0.06</v>
      </c>
      <c r="S219" s="5">
        <f>+[1]モンスター計算!S222</f>
        <v>-0.06</v>
      </c>
      <c r="T219" s="5">
        <f>+[1]モンスター計算!T222</f>
        <v>-0.06</v>
      </c>
      <c r="U219" s="5">
        <f>+[1]モンスター計算!U222</f>
        <v>-0.06</v>
      </c>
      <c r="V219" s="13">
        <f>+[1]モンスター計算!V222</f>
        <v>5.6</v>
      </c>
      <c r="W219" s="30">
        <v>8</v>
      </c>
      <c r="X219" s="27" t="s">
        <v>64</v>
      </c>
      <c r="Y219" s="33" t="s">
        <v>88</v>
      </c>
      <c r="Z219" s="13">
        <v>1.2</v>
      </c>
      <c r="AA219" s="30">
        <v>7</v>
      </c>
      <c r="AB219" s="30">
        <f t="shared" si="6"/>
        <v>108</v>
      </c>
      <c r="AC219" s="47">
        <f t="shared" si="7"/>
        <v>37</v>
      </c>
      <c r="AD219" s="27" t="s">
        <v>49</v>
      </c>
      <c r="AE219" s="5">
        <v>7.5</v>
      </c>
      <c r="AF219" s="5">
        <v>3</v>
      </c>
      <c r="AG219" s="13" t="b">
        <v>1</v>
      </c>
      <c r="AH219" s="30" t="s">
        <v>1130</v>
      </c>
      <c r="AI219" s="33" t="s">
        <v>1825</v>
      </c>
    </row>
    <row r="220" spans="1:35">
      <c r="A220" s="52" t="s">
        <v>735</v>
      </c>
      <c r="B220" s="13" t="s">
        <v>411</v>
      </c>
      <c r="C220" s="27" t="s">
        <v>46</v>
      </c>
      <c r="D220" s="13" t="s">
        <v>61</v>
      </c>
      <c r="E220" s="27">
        <f>+[1]モンスター計算!E223</f>
        <v>2535</v>
      </c>
      <c r="F220" s="5">
        <f>+[1]モンスター計算!F223</f>
        <v>608</v>
      </c>
      <c r="G220" s="5">
        <f>+[1]モンスター計算!G223</f>
        <v>234</v>
      </c>
      <c r="H220" s="5">
        <f>+[1]モンスター計算!H223</f>
        <v>868</v>
      </c>
      <c r="I220" s="5">
        <f>+[1]モンスター計算!I223</f>
        <v>200</v>
      </c>
      <c r="J220" s="13">
        <f>+[1]モンスター計算!J223</f>
        <v>215</v>
      </c>
      <c r="K220" s="27">
        <f>+[1]モンスター計算!K223</f>
        <v>0.12</v>
      </c>
      <c r="L220" s="13">
        <f>+[1]モンスター計算!L223</f>
        <v>2.5499999999999998</v>
      </c>
      <c r="M220" s="27">
        <f>+[1]モンスター計算!M223</f>
        <v>2.2999999999999998</v>
      </c>
      <c r="N220" s="5">
        <f>+[1]モンスター計算!N223</f>
        <v>0.68</v>
      </c>
      <c r="O220" s="13">
        <f>+[1]モンスター計算!O223</f>
        <v>3.55</v>
      </c>
      <c r="P220" s="27">
        <f>+[1]モンスター計算!P223</f>
        <v>-5.5E-2</v>
      </c>
      <c r="Q220" s="5">
        <f>+[1]モンスター計算!Q223</f>
        <v>-5.5E-2</v>
      </c>
      <c r="R220" s="5">
        <f>+[1]モンスター計算!R223</f>
        <v>0.14500000000000002</v>
      </c>
      <c r="S220" s="5">
        <f>+[1]モンスター計算!S223</f>
        <v>-0.155</v>
      </c>
      <c r="T220" s="5">
        <f>+[1]モンスター計算!T223</f>
        <v>-5.5E-2</v>
      </c>
      <c r="U220" s="5">
        <f>+[1]モンスター計算!U223</f>
        <v>-5.5E-2</v>
      </c>
      <c r="V220" s="13">
        <f>+[1]モンスター計算!V223</f>
        <v>4.8</v>
      </c>
      <c r="W220" s="30">
        <v>9</v>
      </c>
      <c r="X220" s="27" t="s">
        <v>66</v>
      </c>
      <c r="Y220" s="33" t="s">
        <v>89</v>
      </c>
      <c r="Z220" s="13">
        <v>1.22</v>
      </c>
      <c r="AA220" s="30">
        <v>10</v>
      </c>
      <c r="AB220" s="30">
        <f t="shared" si="6"/>
        <v>126</v>
      </c>
      <c r="AC220" s="47">
        <f t="shared" si="7"/>
        <v>37</v>
      </c>
      <c r="AD220" s="27" t="s">
        <v>53</v>
      </c>
      <c r="AE220" s="5">
        <v>8.5</v>
      </c>
      <c r="AF220" s="5">
        <v>3</v>
      </c>
      <c r="AG220" s="13" t="b">
        <v>1</v>
      </c>
      <c r="AH220" s="30" t="s">
        <v>1131</v>
      </c>
      <c r="AI220" s="33" t="s">
        <v>1825</v>
      </c>
    </row>
    <row r="221" spans="1:35">
      <c r="A221" s="52" t="s">
        <v>736</v>
      </c>
      <c r="B221" s="13" t="s">
        <v>412</v>
      </c>
      <c r="C221" s="27" t="s">
        <v>44</v>
      </c>
      <c r="D221" s="13" t="s">
        <v>59</v>
      </c>
      <c r="E221" s="27">
        <f>+[1]モンスター計算!E224</f>
        <v>4668</v>
      </c>
      <c r="F221" s="5">
        <f>+[1]モンスター計算!F224</f>
        <v>168</v>
      </c>
      <c r="G221" s="5">
        <f>+[1]モンスター計算!G224</f>
        <v>472</v>
      </c>
      <c r="H221" s="5">
        <f>+[1]モンスター計算!H224</f>
        <v>166</v>
      </c>
      <c r="I221" s="5">
        <f>+[1]モンスター計算!I224</f>
        <v>418</v>
      </c>
      <c r="J221" s="13">
        <f>+[1]モンスター計算!J224</f>
        <v>232</v>
      </c>
      <c r="K221" s="27">
        <f>+[1]モンスター計算!K224</f>
        <v>3.5000000000000003E-2</v>
      </c>
      <c r="L221" s="13">
        <f>+[1]モンスター計算!L224</f>
        <v>1.43</v>
      </c>
      <c r="M221" s="27">
        <f>+[1]モンスター計算!M224</f>
        <v>1.75</v>
      </c>
      <c r="N221" s="5">
        <f>+[1]モンスター計算!N224</f>
        <v>0.73</v>
      </c>
      <c r="O221" s="13">
        <f>+[1]モンスター計算!O224</f>
        <v>1</v>
      </c>
      <c r="P221" s="27">
        <f>+[1]モンスター計算!P224</f>
        <v>0.29000000000000004</v>
      </c>
      <c r="Q221" s="5">
        <f>+[1]モンスター計算!Q224</f>
        <v>-1.0000000000000009E-2</v>
      </c>
      <c r="R221" s="5">
        <f>+[1]モンスター計算!R224</f>
        <v>0.09</v>
      </c>
      <c r="S221" s="5">
        <f>+[1]モンスター計算!S224</f>
        <v>0.09</v>
      </c>
      <c r="T221" s="5">
        <f>+[1]モンスター計算!T224</f>
        <v>0.09</v>
      </c>
      <c r="U221" s="5">
        <f>+[1]モンスター計算!U224</f>
        <v>0.09</v>
      </c>
      <c r="V221" s="13">
        <f>+[1]モンスター計算!V224</f>
        <v>4.4000000000000004</v>
      </c>
      <c r="W221" s="30">
        <v>10</v>
      </c>
      <c r="X221" s="27" t="s">
        <v>68</v>
      </c>
      <c r="Y221" s="33" t="s">
        <v>90</v>
      </c>
      <c r="Z221" s="13">
        <v>1.25</v>
      </c>
      <c r="AA221" s="30">
        <v>15</v>
      </c>
      <c r="AB221" s="30">
        <f t="shared" si="6"/>
        <v>163</v>
      </c>
      <c r="AC221" s="47">
        <f t="shared" si="7"/>
        <v>37</v>
      </c>
      <c r="AD221" s="27" t="s">
        <v>74</v>
      </c>
      <c r="AE221" s="5">
        <v>0</v>
      </c>
      <c r="AF221" s="5">
        <v>0</v>
      </c>
      <c r="AG221" s="13" t="b">
        <v>0</v>
      </c>
      <c r="AH221" s="30" t="s">
        <v>1132</v>
      </c>
      <c r="AI221" s="33" t="s">
        <v>1825</v>
      </c>
    </row>
    <row r="222" spans="1:35">
      <c r="A222" s="52" t="s">
        <v>737</v>
      </c>
      <c r="B222" s="13" t="s">
        <v>413</v>
      </c>
      <c r="C222" s="27" t="s">
        <v>45</v>
      </c>
      <c r="D222" s="13" t="s">
        <v>59</v>
      </c>
      <c r="E222" s="27">
        <f>+[1]モンスター計算!E225</f>
        <v>4946</v>
      </c>
      <c r="F222" s="5">
        <f>+[1]モンスター計算!F225</f>
        <v>170</v>
      </c>
      <c r="G222" s="5">
        <f>+[1]モンスター計算!G225</f>
        <v>382</v>
      </c>
      <c r="H222" s="5">
        <f>+[1]モンスター計算!H225</f>
        <v>172</v>
      </c>
      <c r="I222" s="5">
        <f>+[1]モンスター計算!I225</f>
        <v>383</v>
      </c>
      <c r="J222" s="13">
        <f>+[1]モンスター計算!J225</f>
        <v>346</v>
      </c>
      <c r="K222" s="27">
        <f>+[1]モンスター計算!K225</f>
        <v>0.04</v>
      </c>
      <c r="L222" s="13">
        <f>+[1]モンスター計算!L225</f>
        <v>1.4</v>
      </c>
      <c r="M222" s="27">
        <f>+[1]モンスター計算!M225</f>
        <v>2.2000000000000002</v>
      </c>
      <c r="N222" s="5">
        <f>+[1]モンスター計算!N225</f>
        <v>0.82</v>
      </c>
      <c r="O222" s="13">
        <f>+[1]モンスター計算!O225</f>
        <v>1</v>
      </c>
      <c r="P222" s="27">
        <f>+[1]モンスター計算!P225</f>
        <v>0</v>
      </c>
      <c r="Q222" s="5">
        <f>+[1]モンスター計算!Q225</f>
        <v>0.30000000000000004</v>
      </c>
      <c r="R222" s="5">
        <f>+[1]モンスター計算!R225</f>
        <v>0.1</v>
      </c>
      <c r="S222" s="5">
        <f>+[1]モンスター計算!S225</f>
        <v>0.1</v>
      </c>
      <c r="T222" s="5">
        <f>+[1]モンスター計算!T225</f>
        <v>0.1</v>
      </c>
      <c r="U222" s="5">
        <f>+[1]モンスター計算!U225</f>
        <v>0.1</v>
      </c>
      <c r="V222" s="13">
        <f>+[1]モンスター計算!V225</f>
        <v>4</v>
      </c>
      <c r="W222" s="30">
        <v>11</v>
      </c>
      <c r="X222" s="27" t="s">
        <v>70</v>
      </c>
      <c r="Y222" s="33" t="s">
        <v>91</v>
      </c>
      <c r="Z222" s="13">
        <v>1.25</v>
      </c>
      <c r="AA222" s="30">
        <v>20</v>
      </c>
      <c r="AB222" s="30">
        <f t="shared" si="6"/>
        <v>191</v>
      </c>
      <c r="AC222" s="47">
        <f t="shared" si="7"/>
        <v>37</v>
      </c>
      <c r="AD222" s="27" t="s">
        <v>74</v>
      </c>
      <c r="AE222" s="5">
        <v>0</v>
      </c>
      <c r="AF222" s="5">
        <v>0</v>
      </c>
      <c r="AG222" s="13" t="b">
        <v>0</v>
      </c>
      <c r="AH222" s="30" t="s">
        <v>1133</v>
      </c>
      <c r="AI222" s="33" t="s">
        <v>1825</v>
      </c>
    </row>
    <row r="223" spans="1:35" ht="19.5" thickBot="1">
      <c r="A223" s="53" t="s">
        <v>738</v>
      </c>
      <c r="B223" s="16" t="s">
        <v>414</v>
      </c>
      <c r="C223" s="28" t="s">
        <v>47</v>
      </c>
      <c r="D223" s="16" t="s">
        <v>61</v>
      </c>
      <c r="E223" s="28">
        <f>+[1]モンスター計算!E226</f>
        <v>5317</v>
      </c>
      <c r="F223" s="15">
        <f>+[1]モンスター計算!F226</f>
        <v>608</v>
      </c>
      <c r="G223" s="15">
        <f>+[1]モンスター計算!G226</f>
        <v>128</v>
      </c>
      <c r="H223" s="15">
        <f>+[1]モンスター計算!H226</f>
        <v>439</v>
      </c>
      <c r="I223" s="15">
        <f>+[1]モンスター計算!I226</f>
        <v>406</v>
      </c>
      <c r="J223" s="16">
        <f>+[1]モンスター計算!J226</f>
        <v>383</v>
      </c>
      <c r="K223" s="28">
        <f>+[1]モンスター計算!K226</f>
        <v>3.5000000000000003E-2</v>
      </c>
      <c r="L223" s="16">
        <f>+[1]モンスター計算!L226</f>
        <v>1.4</v>
      </c>
      <c r="M223" s="28">
        <f>+[1]モンスター計算!M226</f>
        <v>1.5</v>
      </c>
      <c r="N223" s="15">
        <f>+[1]モンスター計算!N226</f>
        <v>0.6</v>
      </c>
      <c r="O223" s="16">
        <f>+[1]モンスター計算!O226</f>
        <v>3.1</v>
      </c>
      <c r="P223" s="28">
        <f>+[1]モンスター計算!P226</f>
        <v>0.12</v>
      </c>
      <c r="Q223" s="15">
        <f>+[1]モンスター計算!Q226</f>
        <v>0.12</v>
      </c>
      <c r="R223" s="15">
        <f>+[1]モンスター計算!R226</f>
        <v>0.12</v>
      </c>
      <c r="S223" s="15">
        <f>+[1]モンスター計算!S226</f>
        <v>0.12</v>
      </c>
      <c r="T223" s="15">
        <f>+[1]モンスター計算!T226</f>
        <v>0.32</v>
      </c>
      <c r="U223" s="15">
        <f>+[1]モンスター計算!U226</f>
        <v>1.999999999999999E-2</v>
      </c>
      <c r="V223" s="16">
        <f>+[1]モンスター計算!V226</f>
        <v>4.12</v>
      </c>
      <c r="W223" s="31">
        <v>15</v>
      </c>
      <c r="X223" s="28" t="s">
        <v>72</v>
      </c>
      <c r="Y223" s="34" t="s">
        <v>92</v>
      </c>
      <c r="Z223" s="16">
        <v>1.3</v>
      </c>
      <c r="AA223" s="31">
        <v>40</v>
      </c>
      <c r="AB223" s="31">
        <f t="shared" si="6"/>
        <v>277</v>
      </c>
      <c r="AC223" s="48">
        <f t="shared" si="7"/>
        <v>37</v>
      </c>
      <c r="AD223" s="28" t="s">
        <v>55</v>
      </c>
      <c r="AE223" s="15">
        <v>10</v>
      </c>
      <c r="AF223" s="15">
        <v>4</v>
      </c>
      <c r="AG223" s="16" t="b">
        <v>1</v>
      </c>
      <c r="AH223" s="31" t="s">
        <v>1134</v>
      </c>
      <c r="AI223" s="34" t="s">
        <v>1825</v>
      </c>
    </row>
    <row r="224" spans="1:35">
      <c r="A224" s="51" t="s">
        <v>739</v>
      </c>
      <c r="B224" s="11" t="s">
        <v>415</v>
      </c>
      <c r="C224" s="26" t="s">
        <v>45</v>
      </c>
      <c r="D224" s="11" t="s">
        <v>61</v>
      </c>
      <c r="E224" s="26">
        <f>+[1]モンスター計算!E227</f>
        <v>2516</v>
      </c>
      <c r="F224" s="10">
        <f>+[1]モンスター計算!F227</f>
        <v>471</v>
      </c>
      <c r="G224" s="10">
        <f>+[1]モンスター計算!G227</f>
        <v>171</v>
      </c>
      <c r="H224" s="10">
        <f>+[1]モンスター計算!H227</f>
        <v>584</v>
      </c>
      <c r="I224" s="10">
        <f>+[1]モンスター計算!I227</f>
        <v>196</v>
      </c>
      <c r="J224" s="11">
        <f>+[1]モンスター計算!J227</f>
        <v>229</v>
      </c>
      <c r="K224" s="26">
        <f>+[1]モンスター計算!K227</f>
        <v>0.05</v>
      </c>
      <c r="L224" s="11">
        <f>+[1]モンスター計算!L227</f>
        <v>1.4</v>
      </c>
      <c r="M224" s="26">
        <f>+[1]モンスター計算!M227</f>
        <v>3.35</v>
      </c>
      <c r="N224" s="10">
        <f>+[1]モンスター計算!N227</f>
        <v>1.55</v>
      </c>
      <c r="O224" s="11">
        <f>+[1]モンスター計算!O227</f>
        <v>2.2999999999999998</v>
      </c>
      <c r="P224" s="26">
        <f>+[1]モンスター計算!P227</f>
        <v>-0.17</v>
      </c>
      <c r="Q224" s="10">
        <f>+[1]モンスター計算!Q227</f>
        <v>0.13</v>
      </c>
      <c r="R224" s="10">
        <f>+[1]モンスター計算!R227</f>
        <v>-7.0000000000000007E-2</v>
      </c>
      <c r="S224" s="10">
        <f>+[1]モンスター計算!S227</f>
        <v>-7.0000000000000007E-2</v>
      </c>
      <c r="T224" s="10">
        <f>+[1]モンスター計算!T227</f>
        <v>-7.0000000000000007E-2</v>
      </c>
      <c r="U224" s="10">
        <f>+[1]モンスター計算!U227</f>
        <v>-7.0000000000000007E-2</v>
      </c>
      <c r="V224" s="11">
        <f>+[1]モンスター計算!V227</f>
        <v>4</v>
      </c>
      <c r="W224" s="29">
        <v>8</v>
      </c>
      <c r="X224" s="26" t="s">
        <v>109</v>
      </c>
      <c r="Y224" s="32" t="s">
        <v>87</v>
      </c>
      <c r="Z224" s="11">
        <v>1.2</v>
      </c>
      <c r="AA224" s="29">
        <v>5</v>
      </c>
      <c r="AB224" s="29">
        <f t="shared" si="6"/>
        <v>102</v>
      </c>
      <c r="AC224" s="46">
        <f t="shared" si="7"/>
        <v>38</v>
      </c>
      <c r="AD224" s="26" t="s">
        <v>51</v>
      </c>
      <c r="AE224" s="10">
        <v>7</v>
      </c>
      <c r="AF224" s="10">
        <v>3</v>
      </c>
      <c r="AG224" s="11" t="b">
        <v>1</v>
      </c>
      <c r="AH224" s="29" t="s">
        <v>1135</v>
      </c>
      <c r="AI224" s="32" t="s">
        <v>1825</v>
      </c>
    </row>
    <row r="225" spans="1:35">
      <c r="A225" s="52" t="s">
        <v>740</v>
      </c>
      <c r="B225" s="13" t="s">
        <v>416</v>
      </c>
      <c r="C225" s="27" t="s">
        <v>44</v>
      </c>
      <c r="D225" s="13" t="s">
        <v>61</v>
      </c>
      <c r="E225" s="27">
        <f>+[1]モンスター計算!E228</f>
        <v>2482</v>
      </c>
      <c r="F225" s="5">
        <f>+[1]モンスター計算!F228</f>
        <v>585</v>
      </c>
      <c r="G225" s="5">
        <f>+[1]モンスター計算!G228</f>
        <v>192</v>
      </c>
      <c r="H225" s="5">
        <f>+[1]モンスター計算!H228</f>
        <v>760</v>
      </c>
      <c r="I225" s="5">
        <f>+[1]モンスター計算!I228</f>
        <v>209</v>
      </c>
      <c r="J225" s="13">
        <f>+[1]モンスター計算!J228</f>
        <v>231</v>
      </c>
      <c r="K225" s="27">
        <f>+[1]モンスター計算!K228</f>
        <v>0.26</v>
      </c>
      <c r="L225" s="13">
        <f>+[1]モンスター計算!L228</f>
        <v>1.95</v>
      </c>
      <c r="M225" s="27">
        <f>+[1]モンスター計算!M228</f>
        <v>2.75</v>
      </c>
      <c r="N225" s="5">
        <f>+[1]モンスター計算!N228</f>
        <v>0.95</v>
      </c>
      <c r="O225" s="13">
        <f>+[1]モンスター計算!O228</f>
        <v>2.8</v>
      </c>
      <c r="P225" s="27">
        <f>+[1]モンスター計算!P228</f>
        <v>0.15000000000000002</v>
      </c>
      <c r="Q225" s="5">
        <f>+[1]モンスター計算!Q228</f>
        <v>-0.15000000000000002</v>
      </c>
      <c r="R225" s="5">
        <f>+[1]モンスター計算!R228</f>
        <v>-0.05</v>
      </c>
      <c r="S225" s="5">
        <f>+[1]モンスター計算!S228</f>
        <v>-0.05</v>
      </c>
      <c r="T225" s="5">
        <f>+[1]モンスター計算!T228</f>
        <v>-0.05</v>
      </c>
      <c r="U225" s="5">
        <f>+[1]モンスター計算!U228</f>
        <v>-0.05</v>
      </c>
      <c r="V225" s="13">
        <f>+[1]モンスター計算!V228</f>
        <v>4.4000000000000004</v>
      </c>
      <c r="W225" s="30">
        <v>8</v>
      </c>
      <c r="X225" s="27" t="s">
        <v>64</v>
      </c>
      <c r="Y225" s="33" t="s">
        <v>88</v>
      </c>
      <c r="Z225" s="13">
        <v>1.2</v>
      </c>
      <c r="AA225" s="30">
        <v>7</v>
      </c>
      <c r="AB225" s="30">
        <f t="shared" si="6"/>
        <v>114</v>
      </c>
      <c r="AC225" s="47">
        <f t="shared" si="7"/>
        <v>38</v>
      </c>
      <c r="AD225" s="27" t="s">
        <v>49</v>
      </c>
      <c r="AE225" s="5">
        <v>7.5</v>
      </c>
      <c r="AF225" s="5">
        <v>3</v>
      </c>
      <c r="AG225" s="13" t="b">
        <v>1</v>
      </c>
      <c r="AH225" s="30" t="s">
        <v>1136</v>
      </c>
      <c r="AI225" s="33" t="s">
        <v>1825</v>
      </c>
    </row>
    <row r="226" spans="1:35">
      <c r="A226" s="52" t="s">
        <v>741</v>
      </c>
      <c r="B226" s="13" t="s">
        <v>417</v>
      </c>
      <c r="C226" s="27" t="s">
        <v>46</v>
      </c>
      <c r="D226" s="13" t="s">
        <v>61</v>
      </c>
      <c r="E226" s="27">
        <f>+[1]モンスター計算!E229</f>
        <v>2686</v>
      </c>
      <c r="F226" s="5">
        <f>+[1]モンスター計算!F229</f>
        <v>446</v>
      </c>
      <c r="G226" s="5">
        <f>+[1]モンスター計算!G229</f>
        <v>118</v>
      </c>
      <c r="H226" s="5">
        <f>+[1]モンスター計算!H229</f>
        <v>493</v>
      </c>
      <c r="I226" s="5">
        <f>+[1]モンスター計算!I229</f>
        <v>231</v>
      </c>
      <c r="J226" s="13">
        <f>+[1]モンスター計算!J229</f>
        <v>220</v>
      </c>
      <c r="K226" s="27">
        <f>+[1]モンスター計算!K229</f>
        <v>6.5000000000000002E-2</v>
      </c>
      <c r="L226" s="13">
        <f>+[1]モンスター計算!L229</f>
        <v>1.45</v>
      </c>
      <c r="M226" s="27">
        <f>+[1]モンスター計算!M229</f>
        <v>4</v>
      </c>
      <c r="N226" s="5">
        <f>+[1]モンスター計算!N229</f>
        <v>1.72</v>
      </c>
      <c r="O226" s="13">
        <f>+[1]モンスター計算!O229</f>
        <v>1.9</v>
      </c>
      <c r="P226" s="27">
        <f>+[1]モンスター計算!P229</f>
        <v>-7.0000000000000007E-2</v>
      </c>
      <c r="Q226" s="5">
        <f>+[1]モンスター計算!Q229</f>
        <v>-7.0000000000000007E-2</v>
      </c>
      <c r="R226" s="5">
        <f>+[1]モンスター計算!R229</f>
        <v>0.13</v>
      </c>
      <c r="S226" s="5">
        <f>+[1]モンスター計算!S229</f>
        <v>-0.17</v>
      </c>
      <c r="T226" s="5">
        <f>+[1]モンスター計算!T229</f>
        <v>-7.0000000000000007E-2</v>
      </c>
      <c r="U226" s="5">
        <f>+[1]モンスター計算!U229</f>
        <v>-7.0000000000000007E-2</v>
      </c>
      <c r="V226" s="13">
        <f>+[1]モンスター計算!V229</f>
        <v>5.4</v>
      </c>
      <c r="W226" s="30">
        <v>9</v>
      </c>
      <c r="X226" s="27" t="s">
        <v>66</v>
      </c>
      <c r="Y226" s="33" t="s">
        <v>89</v>
      </c>
      <c r="Z226" s="13">
        <v>1.22</v>
      </c>
      <c r="AA226" s="30">
        <v>10</v>
      </c>
      <c r="AB226" s="30">
        <f t="shared" si="6"/>
        <v>133</v>
      </c>
      <c r="AC226" s="47">
        <f t="shared" si="7"/>
        <v>38</v>
      </c>
      <c r="AD226" s="27" t="s">
        <v>53</v>
      </c>
      <c r="AE226" s="5">
        <v>8.5</v>
      </c>
      <c r="AF226" s="5">
        <v>3</v>
      </c>
      <c r="AG226" s="13" t="b">
        <v>1</v>
      </c>
      <c r="AH226" s="30" t="s">
        <v>1137</v>
      </c>
      <c r="AI226" s="33" t="s">
        <v>1825</v>
      </c>
    </row>
    <row r="227" spans="1:35">
      <c r="A227" s="52" t="s">
        <v>742</v>
      </c>
      <c r="B227" s="13" t="s">
        <v>418</v>
      </c>
      <c r="C227" s="27" t="s">
        <v>44</v>
      </c>
      <c r="D227" s="13" t="s">
        <v>59</v>
      </c>
      <c r="E227" s="27">
        <f>+[1]モンスター計算!E230</f>
        <v>2720</v>
      </c>
      <c r="F227" s="5">
        <f>+[1]モンスター計算!F230</f>
        <v>187</v>
      </c>
      <c r="G227" s="5">
        <f>+[1]モンスター計算!G230</f>
        <v>628</v>
      </c>
      <c r="H227" s="5">
        <f>+[1]モンスター計算!H230</f>
        <v>283</v>
      </c>
      <c r="I227" s="5">
        <f>+[1]モンスター計算!I230</f>
        <v>218</v>
      </c>
      <c r="J227" s="13">
        <f>+[1]モンスター計算!J230</f>
        <v>218</v>
      </c>
      <c r="K227" s="27">
        <f>+[1]モンスター計算!K230</f>
        <v>0.08</v>
      </c>
      <c r="L227" s="13">
        <f>+[1]モンスター計算!L230</f>
        <v>1.55</v>
      </c>
      <c r="M227" s="27">
        <f>+[1]モンスター計算!M230</f>
        <v>3.3</v>
      </c>
      <c r="N227" s="5">
        <f>+[1]モンスター計算!N230</f>
        <v>1.32</v>
      </c>
      <c r="O227" s="13">
        <f>+[1]モンスター計算!O230</f>
        <v>1</v>
      </c>
      <c r="P227" s="27">
        <f>+[1]モンスター計算!P230</f>
        <v>0.16</v>
      </c>
      <c r="Q227" s="5">
        <f>+[1]モンスター計算!Q230</f>
        <v>-0.14000000000000001</v>
      </c>
      <c r="R227" s="5">
        <f>+[1]モンスター計算!R230</f>
        <v>-0.04</v>
      </c>
      <c r="S227" s="5">
        <f>+[1]モンスター計算!S230</f>
        <v>-0.04</v>
      </c>
      <c r="T227" s="5">
        <f>+[1]モンスター計算!T230</f>
        <v>-0.04</v>
      </c>
      <c r="U227" s="5">
        <f>+[1]モンスター計算!U230</f>
        <v>-0.04</v>
      </c>
      <c r="V227" s="13">
        <f>+[1]モンスター計算!V230</f>
        <v>4.8</v>
      </c>
      <c r="W227" s="30">
        <v>10</v>
      </c>
      <c r="X227" s="27" t="s">
        <v>68</v>
      </c>
      <c r="Y227" s="33" t="s">
        <v>90</v>
      </c>
      <c r="Z227" s="13">
        <v>1.25</v>
      </c>
      <c r="AA227" s="30">
        <v>15</v>
      </c>
      <c r="AB227" s="30">
        <f t="shared" si="6"/>
        <v>172</v>
      </c>
      <c r="AC227" s="47">
        <f t="shared" si="7"/>
        <v>38</v>
      </c>
      <c r="AD227" s="27" t="s">
        <v>74</v>
      </c>
      <c r="AE227" s="5">
        <v>0</v>
      </c>
      <c r="AF227" s="5">
        <v>0</v>
      </c>
      <c r="AG227" s="13" t="b">
        <v>0</v>
      </c>
      <c r="AH227" s="30" t="s">
        <v>1138</v>
      </c>
      <c r="AI227" s="33" t="s">
        <v>1825</v>
      </c>
    </row>
    <row r="228" spans="1:35">
      <c r="A228" s="52" t="s">
        <v>743</v>
      </c>
      <c r="B228" s="13" t="s">
        <v>419</v>
      </c>
      <c r="C228" s="27" t="s">
        <v>45</v>
      </c>
      <c r="D228" s="13" t="s">
        <v>59</v>
      </c>
      <c r="E228" s="27">
        <f>+[1]モンスター計算!E231</f>
        <v>6189</v>
      </c>
      <c r="F228" s="5">
        <f>+[1]モンスター計算!F231</f>
        <v>159</v>
      </c>
      <c r="G228" s="5">
        <f>+[1]モンスター計算!G231</f>
        <v>456</v>
      </c>
      <c r="H228" s="5">
        <f>+[1]モンスター計算!H231</f>
        <v>172</v>
      </c>
      <c r="I228" s="5">
        <f>+[1]モンスター計算!I231</f>
        <v>585</v>
      </c>
      <c r="J228" s="13">
        <f>+[1]モンスター計算!J231</f>
        <v>288</v>
      </c>
      <c r="K228" s="27">
        <f>+[1]モンスター計算!K231</f>
        <v>0.03</v>
      </c>
      <c r="L228" s="13">
        <f>+[1]モンスター計算!L231</f>
        <v>1.35</v>
      </c>
      <c r="M228" s="27">
        <f>+[1]モンスター計算!M231</f>
        <v>1.5</v>
      </c>
      <c r="N228" s="5">
        <f>+[1]モンスター計算!N231</f>
        <v>0.65</v>
      </c>
      <c r="O228" s="13">
        <f>+[1]モンスター計算!O231</f>
        <v>1</v>
      </c>
      <c r="P228" s="27">
        <f>+[1]モンスター計算!P231</f>
        <v>0</v>
      </c>
      <c r="Q228" s="5">
        <f>+[1]モンスター計算!Q231</f>
        <v>0.30000000000000004</v>
      </c>
      <c r="R228" s="5">
        <f>+[1]モンスター計算!R231</f>
        <v>0.1</v>
      </c>
      <c r="S228" s="5">
        <f>+[1]モンスター計算!S231</f>
        <v>0.1</v>
      </c>
      <c r="T228" s="5">
        <f>+[1]モンスター計算!T231</f>
        <v>0.1</v>
      </c>
      <c r="U228" s="5">
        <f>+[1]モンスター計算!U231</f>
        <v>0.1</v>
      </c>
      <c r="V228" s="13">
        <f>+[1]モンスター計算!V231</f>
        <v>3.4</v>
      </c>
      <c r="W228" s="30">
        <v>11</v>
      </c>
      <c r="X228" s="27" t="s">
        <v>70</v>
      </c>
      <c r="Y228" s="33" t="s">
        <v>91</v>
      </c>
      <c r="Z228" s="13">
        <v>1.25</v>
      </c>
      <c r="AA228" s="30">
        <v>20</v>
      </c>
      <c r="AB228" s="30">
        <f t="shared" si="6"/>
        <v>201</v>
      </c>
      <c r="AC228" s="47">
        <f t="shared" si="7"/>
        <v>38</v>
      </c>
      <c r="AD228" s="27" t="s">
        <v>74</v>
      </c>
      <c r="AE228" s="5">
        <v>0</v>
      </c>
      <c r="AF228" s="5">
        <v>0</v>
      </c>
      <c r="AG228" s="13" t="b">
        <v>0</v>
      </c>
      <c r="AH228" s="30" t="s">
        <v>1139</v>
      </c>
      <c r="AI228" s="33" t="s">
        <v>1825</v>
      </c>
    </row>
    <row r="229" spans="1:35" ht="19.5" thickBot="1">
      <c r="A229" s="53" t="s">
        <v>744</v>
      </c>
      <c r="B229" s="16" t="s">
        <v>420</v>
      </c>
      <c r="C229" s="28" t="s">
        <v>47</v>
      </c>
      <c r="D229" s="16" t="s">
        <v>61</v>
      </c>
      <c r="E229" s="28">
        <f>+[1]モンスター計算!E232</f>
        <v>3808</v>
      </c>
      <c r="F229" s="15">
        <f>+[1]モンスター計算!F232</f>
        <v>669</v>
      </c>
      <c r="G229" s="15">
        <f>+[1]モンスター計算!G232</f>
        <v>168</v>
      </c>
      <c r="H229" s="15">
        <f>+[1]モンスター計算!H232</f>
        <v>565</v>
      </c>
      <c r="I229" s="15">
        <f>+[1]モンスター計算!I232</f>
        <v>530</v>
      </c>
      <c r="J229" s="16">
        <f>+[1]モンスター計算!J232</f>
        <v>196</v>
      </c>
      <c r="K229" s="28">
        <f>+[1]モンスター計算!K232</f>
        <v>5.5E-2</v>
      </c>
      <c r="L229" s="16">
        <f>+[1]モンスター計算!L232</f>
        <v>1.5</v>
      </c>
      <c r="M229" s="28">
        <f>+[1]モンスター計算!M232</f>
        <v>1.85</v>
      </c>
      <c r="N229" s="15">
        <f>+[1]モンスター計算!N232</f>
        <v>0.87</v>
      </c>
      <c r="O229" s="16">
        <f>+[1]モンスター計算!O232</f>
        <v>2.35</v>
      </c>
      <c r="P229" s="28">
        <f>+[1]モンスター計算!P232</f>
        <v>6.5000000000000002E-2</v>
      </c>
      <c r="Q229" s="15">
        <f>+[1]モンスター計算!Q232</f>
        <v>6.5000000000000002E-2</v>
      </c>
      <c r="R229" s="15">
        <f>+[1]モンスター計算!R232</f>
        <v>6.5000000000000002E-2</v>
      </c>
      <c r="S229" s="15">
        <f>+[1]モンスター計算!S232</f>
        <v>6.5000000000000002E-2</v>
      </c>
      <c r="T229" s="15">
        <f>+[1]モンスター計算!T232</f>
        <v>0.26500000000000001</v>
      </c>
      <c r="U229" s="15">
        <f>+[1]モンスター計算!U232</f>
        <v>-3.5000000000000003E-2</v>
      </c>
      <c r="V229" s="16">
        <f>+[1]モンスター計算!V232</f>
        <v>4.2</v>
      </c>
      <c r="W229" s="31">
        <v>15</v>
      </c>
      <c r="X229" s="28" t="s">
        <v>72</v>
      </c>
      <c r="Y229" s="34" t="s">
        <v>92</v>
      </c>
      <c r="Z229" s="16">
        <v>1.3</v>
      </c>
      <c r="AA229" s="31">
        <v>40</v>
      </c>
      <c r="AB229" s="31">
        <f t="shared" si="6"/>
        <v>291</v>
      </c>
      <c r="AC229" s="48">
        <f t="shared" si="7"/>
        <v>38</v>
      </c>
      <c r="AD229" s="28" t="s">
        <v>55</v>
      </c>
      <c r="AE229" s="15">
        <v>10</v>
      </c>
      <c r="AF229" s="15">
        <v>4</v>
      </c>
      <c r="AG229" s="16" t="b">
        <v>1</v>
      </c>
      <c r="AH229" s="31" t="s">
        <v>1140</v>
      </c>
      <c r="AI229" s="34" t="s">
        <v>1825</v>
      </c>
    </row>
    <row r="230" spans="1:35">
      <c r="A230" s="51" t="s">
        <v>745</v>
      </c>
      <c r="B230" s="11" t="s">
        <v>421</v>
      </c>
      <c r="C230" s="26" t="s">
        <v>45</v>
      </c>
      <c r="D230" s="11" t="s">
        <v>61</v>
      </c>
      <c r="E230" s="26">
        <f>+[1]モンスター計算!E233</f>
        <v>4788</v>
      </c>
      <c r="F230" s="10">
        <f>+[1]モンスター計算!F233</f>
        <v>518</v>
      </c>
      <c r="G230" s="10">
        <f>+[1]モンスター計算!G233</f>
        <v>135</v>
      </c>
      <c r="H230" s="10">
        <f>+[1]モンスター計算!H233</f>
        <v>354</v>
      </c>
      <c r="I230" s="10">
        <f>+[1]モンスター計算!I233</f>
        <v>368</v>
      </c>
      <c r="J230" s="11">
        <f>+[1]モンスター計算!J233</f>
        <v>335</v>
      </c>
      <c r="K230" s="26">
        <f>+[1]モンスター計算!K233</f>
        <v>7.0000000000000007E-2</v>
      </c>
      <c r="L230" s="11">
        <f>+[1]モンスター計算!L233</f>
        <v>1.5</v>
      </c>
      <c r="M230" s="26">
        <f>+[1]モンスター計算!M233</f>
        <v>2.8</v>
      </c>
      <c r="N230" s="10">
        <f>+[1]モンスター計算!N233</f>
        <v>1.45</v>
      </c>
      <c r="O230" s="11">
        <f>+[1]モンスター計算!O233</f>
        <v>1.55</v>
      </c>
      <c r="P230" s="26">
        <f>+[1]モンスター計算!P233</f>
        <v>-7.0000000000000007E-2</v>
      </c>
      <c r="Q230" s="10">
        <f>+[1]モンスター計算!Q233</f>
        <v>0.23</v>
      </c>
      <c r="R230" s="10">
        <f>+[1]モンスター計算!R233</f>
        <v>0.03</v>
      </c>
      <c r="S230" s="10">
        <f>+[1]モンスター計算!S233</f>
        <v>0.03</v>
      </c>
      <c r="T230" s="10">
        <f>+[1]モンスター計算!T233</f>
        <v>0.03</v>
      </c>
      <c r="U230" s="10">
        <f>+[1]モンスター計算!U233</f>
        <v>0.03</v>
      </c>
      <c r="V230" s="11">
        <f>+[1]モンスター計算!V233</f>
        <v>3.6</v>
      </c>
      <c r="W230" s="29">
        <v>8</v>
      </c>
      <c r="X230" s="26" t="s">
        <v>109</v>
      </c>
      <c r="Y230" s="32" t="s">
        <v>87</v>
      </c>
      <c r="Z230" s="11">
        <v>1.2</v>
      </c>
      <c r="AA230" s="29">
        <v>5</v>
      </c>
      <c r="AB230" s="29">
        <f t="shared" si="6"/>
        <v>108</v>
      </c>
      <c r="AC230" s="46">
        <f t="shared" si="7"/>
        <v>39</v>
      </c>
      <c r="AD230" s="26" t="s">
        <v>51</v>
      </c>
      <c r="AE230" s="10">
        <v>7</v>
      </c>
      <c r="AF230" s="10">
        <v>3</v>
      </c>
      <c r="AG230" s="11" t="b">
        <v>1</v>
      </c>
      <c r="AH230" s="29" t="s">
        <v>1141</v>
      </c>
      <c r="AI230" s="32" t="s">
        <v>1825</v>
      </c>
    </row>
    <row r="231" spans="1:35">
      <c r="A231" s="52" t="s">
        <v>746</v>
      </c>
      <c r="B231" s="13" t="s">
        <v>422</v>
      </c>
      <c r="C231" s="27" t="s">
        <v>44</v>
      </c>
      <c r="D231" s="13" t="s">
        <v>61</v>
      </c>
      <c r="E231" s="27">
        <f>+[1]モンスター計算!E234</f>
        <v>3329</v>
      </c>
      <c r="F231" s="5">
        <f>+[1]モンスター計算!F234</f>
        <v>518</v>
      </c>
      <c r="G231" s="5">
        <f>+[1]モンスター計算!G234</f>
        <v>174</v>
      </c>
      <c r="H231" s="5">
        <f>+[1]モンスター計算!H234</f>
        <v>643</v>
      </c>
      <c r="I231" s="5">
        <f>+[1]モンスター計算!I234</f>
        <v>275</v>
      </c>
      <c r="J231" s="13">
        <f>+[1]モンスター計算!J234</f>
        <v>272</v>
      </c>
      <c r="K231" s="27">
        <f>+[1]モンスター計算!K234</f>
        <v>7.4999999999999997E-2</v>
      </c>
      <c r="L231" s="13">
        <f>+[1]モンスター計算!L234</f>
        <v>1.5</v>
      </c>
      <c r="M231" s="27">
        <f>+[1]モンスター計算!M234</f>
        <v>3.1</v>
      </c>
      <c r="N231" s="5">
        <f>+[1]モンスター計算!N234</f>
        <v>1.1499999999999999</v>
      </c>
      <c r="O231" s="13">
        <f>+[1]モンスター計算!O234</f>
        <v>3.0750000000000002</v>
      </c>
      <c r="P231" s="27">
        <f>+[1]モンスター計算!P234</f>
        <v>0.19</v>
      </c>
      <c r="Q231" s="5">
        <f>+[1]モンスター計算!Q234</f>
        <v>-0.11</v>
      </c>
      <c r="R231" s="5">
        <f>+[1]モンスター計算!R234</f>
        <v>-0.01</v>
      </c>
      <c r="S231" s="5">
        <f>+[1]モンスター計算!S234</f>
        <v>-0.01</v>
      </c>
      <c r="T231" s="5">
        <f>+[1]モンスター計算!T234</f>
        <v>-0.01</v>
      </c>
      <c r="U231" s="5">
        <f>+[1]モンスター計算!U234</f>
        <v>-0.01</v>
      </c>
      <c r="V231" s="13">
        <f>+[1]モンスター計算!V234</f>
        <v>8.6</v>
      </c>
      <c r="W231" s="30">
        <v>8</v>
      </c>
      <c r="X231" s="27" t="s">
        <v>64</v>
      </c>
      <c r="Y231" s="33" t="s">
        <v>88</v>
      </c>
      <c r="Z231" s="13">
        <v>1.2</v>
      </c>
      <c r="AA231" s="30">
        <v>7</v>
      </c>
      <c r="AB231" s="30">
        <f t="shared" si="6"/>
        <v>120</v>
      </c>
      <c r="AC231" s="47">
        <f t="shared" si="7"/>
        <v>39</v>
      </c>
      <c r="AD231" s="27" t="s">
        <v>49</v>
      </c>
      <c r="AE231" s="5">
        <v>7.5</v>
      </c>
      <c r="AF231" s="5">
        <v>3</v>
      </c>
      <c r="AG231" s="13" t="b">
        <v>1</v>
      </c>
      <c r="AH231" s="30" t="s">
        <v>1142</v>
      </c>
      <c r="AI231" s="33" t="s">
        <v>1825</v>
      </c>
    </row>
    <row r="232" spans="1:35">
      <c r="A232" s="52" t="s">
        <v>747</v>
      </c>
      <c r="B232" s="13" t="s">
        <v>423</v>
      </c>
      <c r="C232" s="27" t="s">
        <v>46</v>
      </c>
      <c r="D232" s="13" t="s">
        <v>61</v>
      </c>
      <c r="E232" s="27">
        <f>+[1]モンスター計算!E235</f>
        <v>5611</v>
      </c>
      <c r="F232" s="5">
        <f>+[1]モンスター計算!F235</f>
        <v>682</v>
      </c>
      <c r="G232" s="5">
        <f>+[1]モンスター計算!G235</f>
        <v>136</v>
      </c>
      <c r="H232" s="5">
        <f>+[1]モンスター計算!H235</f>
        <v>302</v>
      </c>
      <c r="I232" s="5">
        <f>+[1]モンスター計算!I235</f>
        <v>449</v>
      </c>
      <c r="J232" s="13">
        <f>+[1]モンスター計算!J235</f>
        <v>419</v>
      </c>
      <c r="K232" s="27">
        <f>+[1]モンスター計算!K235</f>
        <v>0.1</v>
      </c>
      <c r="L232" s="13">
        <f>+[1]モンスター計算!L235</f>
        <v>1.75</v>
      </c>
      <c r="M232" s="27">
        <f>+[1]モンスター計算!M235</f>
        <v>2.4</v>
      </c>
      <c r="N232" s="5">
        <f>+[1]モンスター計算!N235</f>
        <v>1.2</v>
      </c>
      <c r="O232" s="13">
        <f>+[1]モンスター計算!O235</f>
        <v>3</v>
      </c>
      <c r="P232" s="27">
        <f>+[1]モンスター計算!P235</f>
        <v>0.08</v>
      </c>
      <c r="Q232" s="5">
        <f>+[1]モンスター計算!Q235</f>
        <v>0.08</v>
      </c>
      <c r="R232" s="5">
        <f>+[1]モンスター計算!R235</f>
        <v>0.28000000000000003</v>
      </c>
      <c r="S232" s="5">
        <f>+[1]モンスター計算!S235</f>
        <v>-2.0000000000000004E-2</v>
      </c>
      <c r="T232" s="5">
        <f>+[1]モンスター計算!T235</f>
        <v>0.08</v>
      </c>
      <c r="U232" s="5">
        <f>+[1]モンスター計算!U235</f>
        <v>0.08</v>
      </c>
      <c r="V232" s="13">
        <f>+[1]モンスター計算!V235</f>
        <v>4</v>
      </c>
      <c r="W232" s="30">
        <v>9</v>
      </c>
      <c r="X232" s="27" t="s">
        <v>66</v>
      </c>
      <c r="Y232" s="33" t="s">
        <v>89</v>
      </c>
      <c r="Z232" s="13">
        <v>1.22</v>
      </c>
      <c r="AA232" s="30">
        <v>10</v>
      </c>
      <c r="AB232" s="30">
        <f t="shared" si="6"/>
        <v>140</v>
      </c>
      <c r="AC232" s="47">
        <f t="shared" si="7"/>
        <v>39</v>
      </c>
      <c r="AD232" s="27" t="s">
        <v>53</v>
      </c>
      <c r="AE232" s="5">
        <v>8.5</v>
      </c>
      <c r="AF232" s="5">
        <v>3</v>
      </c>
      <c r="AG232" s="13" t="b">
        <v>1</v>
      </c>
      <c r="AH232" s="30" t="s">
        <v>1143</v>
      </c>
      <c r="AI232" s="33" t="s">
        <v>1825</v>
      </c>
    </row>
    <row r="233" spans="1:35">
      <c r="A233" s="52" t="s">
        <v>748</v>
      </c>
      <c r="B233" s="13" t="s">
        <v>424</v>
      </c>
      <c r="C233" s="27" t="s">
        <v>44</v>
      </c>
      <c r="D233" s="13" t="s">
        <v>59</v>
      </c>
      <c r="E233" s="27">
        <f>+[1]モンスター計算!E236</f>
        <v>2618</v>
      </c>
      <c r="F233" s="5">
        <f>+[1]モンスター計算!F236</f>
        <v>206</v>
      </c>
      <c r="G233" s="5">
        <f>+[1]モンスター計算!G236</f>
        <v>800</v>
      </c>
      <c r="H233" s="5">
        <f>+[1]モンスター計算!H236</f>
        <v>270</v>
      </c>
      <c r="I233" s="5">
        <f>+[1]モンスター計算!I236</f>
        <v>227</v>
      </c>
      <c r="J233" s="13">
        <f>+[1]モンスター計算!J236</f>
        <v>233</v>
      </c>
      <c r="K233" s="27">
        <f>+[1]モンスター計算!K236</f>
        <v>0.11</v>
      </c>
      <c r="L233" s="13">
        <f>+[1]モンスター計算!L236</f>
        <v>1.58</v>
      </c>
      <c r="M233" s="27">
        <f>+[1]モンスター計算!M236</f>
        <v>4.45</v>
      </c>
      <c r="N233" s="5">
        <f>+[1]モンスター計算!N236</f>
        <v>1.3</v>
      </c>
      <c r="O233" s="13">
        <f>+[1]モンスター計算!O236</f>
        <v>1</v>
      </c>
      <c r="P233" s="27">
        <f>+[1]モンスター計算!P236</f>
        <v>0.14000000000000001</v>
      </c>
      <c r="Q233" s="5">
        <f>+[1]モンスター計算!Q236</f>
        <v>-0.16</v>
      </c>
      <c r="R233" s="5">
        <f>+[1]モンスター計算!R236</f>
        <v>-0.06</v>
      </c>
      <c r="S233" s="5">
        <f>+[1]モンスター計算!S236</f>
        <v>-0.06</v>
      </c>
      <c r="T233" s="5">
        <f>+[1]モンスター計算!T236</f>
        <v>-0.06</v>
      </c>
      <c r="U233" s="5">
        <f>+[1]モンスター計算!U236</f>
        <v>-0.06</v>
      </c>
      <c r="V233" s="13">
        <f>+[1]モンスター計算!V236</f>
        <v>5.6</v>
      </c>
      <c r="W233" s="30">
        <v>10</v>
      </c>
      <c r="X233" s="27" t="s">
        <v>68</v>
      </c>
      <c r="Y233" s="33" t="s">
        <v>90</v>
      </c>
      <c r="Z233" s="13">
        <v>1.25</v>
      </c>
      <c r="AA233" s="30">
        <v>15</v>
      </c>
      <c r="AB233" s="30">
        <f t="shared" si="6"/>
        <v>181</v>
      </c>
      <c r="AC233" s="47">
        <f t="shared" si="7"/>
        <v>39</v>
      </c>
      <c r="AD233" s="27" t="s">
        <v>74</v>
      </c>
      <c r="AE233" s="5">
        <v>0</v>
      </c>
      <c r="AF233" s="5">
        <v>0</v>
      </c>
      <c r="AG233" s="13" t="b">
        <v>0</v>
      </c>
      <c r="AH233" s="30" t="s">
        <v>1144</v>
      </c>
      <c r="AI233" s="33" t="s">
        <v>1825</v>
      </c>
    </row>
    <row r="234" spans="1:35">
      <c r="A234" s="52" t="s">
        <v>749</v>
      </c>
      <c r="B234" s="13" t="s">
        <v>425</v>
      </c>
      <c r="C234" s="27" t="s">
        <v>45</v>
      </c>
      <c r="D234" s="13" t="s">
        <v>59</v>
      </c>
      <c r="E234" s="27">
        <f>+[1]モンスター計算!E237</f>
        <v>4189</v>
      </c>
      <c r="F234" s="5">
        <f>+[1]モンスター計算!F237</f>
        <v>230</v>
      </c>
      <c r="G234" s="5">
        <f>+[1]モンスター計算!G237</f>
        <v>566</v>
      </c>
      <c r="H234" s="5">
        <f>+[1]モンスター計算!H237</f>
        <v>199</v>
      </c>
      <c r="I234" s="5">
        <f>+[1]モンスター計算!I237</f>
        <v>377</v>
      </c>
      <c r="J234" s="13">
        <f>+[1]モンスター計算!J237</f>
        <v>371</v>
      </c>
      <c r="K234" s="27">
        <f>+[1]モンスター計算!K237</f>
        <v>0.04</v>
      </c>
      <c r="L234" s="13">
        <f>+[1]モンスター計算!L237</f>
        <v>1.4</v>
      </c>
      <c r="M234" s="27">
        <f>+[1]モンスター計算!M237</f>
        <v>2.4500000000000002</v>
      </c>
      <c r="N234" s="5">
        <f>+[1]モンスター計算!N237</f>
        <v>1.03</v>
      </c>
      <c r="O234" s="13">
        <f>+[1]モンスター計算!O237</f>
        <v>1</v>
      </c>
      <c r="P234" s="27">
        <f>+[1]モンスター計算!P237</f>
        <v>-6.0000000000000005E-2</v>
      </c>
      <c r="Q234" s="5">
        <f>+[1]モンスター計算!Q237</f>
        <v>0.24000000000000002</v>
      </c>
      <c r="R234" s="5">
        <f>+[1]モンスター計算!R237</f>
        <v>0.04</v>
      </c>
      <c r="S234" s="5">
        <f>+[1]モンスター計算!S237</f>
        <v>0.04</v>
      </c>
      <c r="T234" s="5">
        <f>+[1]モンスター計算!T237</f>
        <v>0.04</v>
      </c>
      <c r="U234" s="5">
        <f>+[1]モンスター計算!U237</f>
        <v>0.04</v>
      </c>
      <c r="V234" s="13">
        <f>+[1]モンスター計算!V237</f>
        <v>4</v>
      </c>
      <c r="W234" s="30">
        <v>11</v>
      </c>
      <c r="X234" s="27" t="s">
        <v>70</v>
      </c>
      <c r="Y234" s="33" t="s">
        <v>91</v>
      </c>
      <c r="Z234" s="13">
        <v>1.25</v>
      </c>
      <c r="AA234" s="30">
        <v>20</v>
      </c>
      <c r="AB234" s="30">
        <f t="shared" si="6"/>
        <v>212</v>
      </c>
      <c r="AC234" s="47">
        <f t="shared" si="7"/>
        <v>39</v>
      </c>
      <c r="AD234" s="27" t="s">
        <v>74</v>
      </c>
      <c r="AE234" s="5">
        <v>0</v>
      </c>
      <c r="AF234" s="5">
        <v>0</v>
      </c>
      <c r="AG234" s="13" t="b">
        <v>0</v>
      </c>
      <c r="AH234" s="30" t="s">
        <v>1145</v>
      </c>
      <c r="AI234" s="33" t="s">
        <v>1825</v>
      </c>
    </row>
    <row r="235" spans="1:35" ht="19.5" thickBot="1">
      <c r="A235" s="53" t="s">
        <v>750</v>
      </c>
      <c r="B235" s="16" t="s">
        <v>426</v>
      </c>
      <c r="C235" s="28" t="s">
        <v>47</v>
      </c>
      <c r="D235" s="16" t="s">
        <v>61</v>
      </c>
      <c r="E235" s="28">
        <f>+[1]モンスター計算!E238</f>
        <v>2057</v>
      </c>
      <c r="F235" s="15">
        <f>+[1]モンスター計算!F238</f>
        <v>818</v>
      </c>
      <c r="G235" s="15">
        <f>+[1]モンスター計算!G238</f>
        <v>384</v>
      </c>
      <c r="H235" s="15">
        <f>+[1]モンスター計算!H238</f>
        <v>1068</v>
      </c>
      <c r="I235" s="15">
        <f>+[1]モンスター計算!I238</f>
        <v>434</v>
      </c>
      <c r="J235" s="16">
        <f>+[1]モンスター計算!J238</f>
        <v>673</v>
      </c>
      <c r="K235" s="28">
        <f>+[1]モンスター計算!K238</f>
        <v>0.04</v>
      </c>
      <c r="L235" s="16">
        <f>+[1]モンスター計算!L238</f>
        <v>1.38</v>
      </c>
      <c r="M235" s="28">
        <f>+[1]モンスター計算!M238</f>
        <v>2.2000000000000002</v>
      </c>
      <c r="N235" s="15">
        <f>+[1]モンスター計算!N238</f>
        <v>0.88</v>
      </c>
      <c r="O235" s="16">
        <f>+[1]モンスター計算!O238</f>
        <v>3.15</v>
      </c>
      <c r="P235" s="28">
        <f>+[1]モンスター計算!P238</f>
        <v>0.13</v>
      </c>
      <c r="Q235" s="15">
        <f>+[1]モンスター計算!Q238</f>
        <v>0.13</v>
      </c>
      <c r="R235" s="15">
        <f>+[1]モンスター計算!R238</f>
        <v>0.13</v>
      </c>
      <c r="S235" s="15">
        <f>+[1]モンスター計算!S238</f>
        <v>0.13</v>
      </c>
      <c r="T235" s="15">
        <f>+[1]モンスター計算!T238</f>
        <v>0.33</v>
      </c>
      <c r="U235" s="15">
        <f>+[1]モンスター計算!U238</f>
        <v>0.03</v>
      </c>
      <c r="V235" s="16">
        <f>+[1]モンスター計算!V238</f>
        <v>4.4800000000000004</v>
      </c>
      <c r="W235" s="31">
        <v>15</v>
      </c>
      <c r="X235" s="28" t="s">
        <v>72</v>
      </c>
      <c r="Y235" s="34" t="s">
        <v>92</v>
      </c>
      <c r="Z235" s="16">
        <v>1.3</v>
      </c>
      <c r="AA235" s="31">
        <v>40</v>
      </c>
      <c r="AB235" s="31">
        <f t="shared" si="6"/>
        <v>306</v>
      </c>
      <c r="AC235" s="48">
        <f t="shared" si="7"/>
        <v>39</v>
      </c>
      <c r="AD235" s="28" t="s">
        <v>55</v>
      </c>
      <c r="AE235" s="15">
        <v>10</v>
      </c>
      <c r="AF235" s="15">
        <v>4</v>
      </c>
      <c r="AG235" s="16" t="b">
        <v>1</v>
      </c>
      <c r="AH235" s="31" t="s">
        <v>1146</v>
      </c>
      <c r="AI235" s="34" t="s">
        <v>1825</v>
      </c>
    </row>
    <row r="236" spans="1:35">
      <c r="A236" s="51" t="s">
        <v>751</v>
      </c>
      <c r="B236" s="11" t="s">
        <v>427</v>
      </c>
      <c r="C236" s="26" t="s">
        <v>45</v>
      </c>
      <c r="D236" s="11" t="s">
        <v>61</v>
      </c>
      <c r="E236" s="26">
        <f>+[1]モンスター計算!E239</f>
        <v>4238</v>
      </c>
      <c r="F236" s="10">
        <f>+[1]モンスター計算!F239</f>
        <v>1590</v>
      </c>
      <c r="G236" s="10">
        <f>+[1]モンスター計算!G239</f>
        <v>239</v>
      </c>
      <c r="H236" s="10">
        <f>+[1]モンスター計算!H239</f>
        <v>759</v>
      </c>
      <c r="I236" s="10">
        <f>+[1]モンスター計算!I239</f>
        <v>316</v>
      </c>
      <c r="J236" s="11">
        <f>+[1]モンスター計算!J239</f>
        <v>388</v>
      </c>
      <c r="K236" s="26">
        <f>+[1]モンスター計算!K239</f>
        <v>6.5000000000000002E-2</v>
      </c>
      <c r="L236" s="11">
        <f>+[1]モンスター計算!L239</f>
        <v>1.45</v>
      </c>
      <c r="M236" s="26">
        <f>+[1]モンスター計算!M239</f>
        <v>2.1</v>
      </c>
      <c r="N236" s="10">
        <f>+[1]モンスター計算!N239</f>
        <v>0.9</v>
      </c>
      <c r="O236" s="11">
        <f>+[1]モンスター計算!O239</f>
        <v>2.8</v>
      </c>
      <c r="P236" s="26">
        <f>+[1]モンスター計算!P239</f>
        <v>-0.08</v>
      </c>
      <c r="Q236" s="10">
        <f>+[1]モンスター計算!Q239</f>
        <v>0.22</v>
      </c>
      <c r="R236" s="10">
        <f>+[1]モンスター計算!R239</f>
        <v>0.02</v>
      </c>
      <c r="S236" s="10">
        <f>+[1]モンスター計算!S239</f>
        <v>0.02</v>
      </c>
      <c r="T236" s="10">
        <f>+[1]モンスター計算!T239</f>
        <v>0.02</v>
      </c>
      <c r="U236" s="10">
        <f>+[1]モンスター計算!U239</f>
        <v>0.02</v>
      </c>
      <c r="V236" s="11">
        <f>+[1]モンスター計算!V239</f>
        <v>4.2</v>
      </c>
      <c r="W236" s="29">
        <v>8</v>
      </c>
      <c r="X236" s="26" t="s">
        <v>109</v>
      </c>
      <c r="Y236" s="32" t="s">
        <v>87</v>
      </c>
      <c r="Z236" s="11">
        <v>1.2</v>
      </c>
      <c r="AA236" s="29">
        <v>5</v>
      </c>
      <c r="AB236" s="29">
        <f t="shared" si="6"/>
        <v>114</v>
      </c>
      <c r="AC236" s="46">
        <f t="shared" si="7"/>
        <v>40</v>
      </c>
      <c r="AD236" s="26" t="s">
        <v>51</v>
      </c>
      <c r="AE236" s="10">
        <v>7</v>
      </c>
      <c r="AF236" s="10">
        <v>3</v>
      </c>
      <c r="AG236" s="11" t="b">
        <v>1</v>
      </c>
      <c r="AH236" s="29" t="s">
        <v>1147</v>
      </c>
      <c r="AI236" s="32" t="s">
        <v>1825</v>
      </c>
    </row>
    <row r="237" spans="1:35">
      <c r="A237" s="52" t="s">
        <v>752</v>
      </c>
      <c r="B237" s="13" t="s">
        <v>428</v>
      </c>
      <c r="C237" s="27" t="s">
        <v>44</v>
      </c>
      <c r="D237" s="13" t="s">
        <v>61</v>
      </c>
      <c r="E237" s="27">
        <f>+[1]モンスター計算!E240</f>
        <v>4114</v>
      </c>
      <c r="F237" s="5">
        <f>+[1]モンスター計算!F240</f>
        <v>660</v>
      </c>
      <c r="G237" s="5">
        <f>+[1]モンスター計算!G240</f>
        <v>296</v>
      </c>
      <c r="H237" s="5">
        <f>+[1]モンスター計算!H240</f>
        <v>658</v>
      </c>
      <c r="I237" s="5">
        <f>+[1]モンスター計算!I240</f>
        <v>313</v>
      </c>
      <c r="J237" s="13">
        <f>+[1]モンスター計算!J240</f>
        <v>362</v>
      </c>
      <c r="K237" s="27">
        <f>+[1]モンスター計算!K240</f>
        <v>7.0000000000000007E-2</v>
      </c>
      <c r="L237" s="13">
        <f>+[1]モンスター計算!L240</f>
        <v>1.55</v>
      </c>
      <c r="M237" s="27">
        <f>+[1]モンスター計算!M240</f>
        <v>2.2999999999999998</v>
      </c>
      <c r="N237" s="5">
        <f>+[1]モンスター計算!N240</f>
        <v>1.1000000000000001</v>
      </c>
      <c r="O237" s="13">
        <f>+[1]モンスター計算!O240</f>
        <v>2.7</v>
      </c>
      <c r="P237" s="27">
        <f>+[1]モンスター計算!P240</f>
        <v>0.17</v>
      </c>
      <c r="Q237" s="5">
        <f>+[1]モンスター計算!Q240</f>
        <v>-0.13</v>
      </c>
      <c r="R237" s="5">
        <f>+[1]モンスター計算!R240</f>
        <v>-0.03</v>
      </c>
      <c r="S237" s="5">
        <f>+[1]モンスター計算!S240</f>
        <v>-0.03</v>
      </c>
      <c r="T237" s="5">
        <f>+[1]モンスター計算!T240</f>
        <v>-0.03</v>
      </c>
      <c r="U237" s="5">
        <f>+[1]モンスター計算!U240</f>
        <v>-0.03</v>
      </c>
      <c r="V237" s="13">
        <f>+[1]モンスター計算!V240</f>
        <v>4</v>
      </c>
      <c r="W237" s="30">
        <v>8</v>
      </c>
      <c r="X237" s="27" t="s">
        <v>64</v>
      </c>
      <c r="Y237" s="33" t="s">
        <v>88</v>
      </c>
      <c r="Z237" s="13">
        <v>1.2</v>
      </c>
      <c r="AA237" s="30">
        <v>7</v>
      </c>
      <c r="AB237" s="30">
        <f t="shared" si="6"/>
        <v>126</v>
      </c>
      <c r="AC237" s="47">
        <f t="shared" si="7"/>
        <v>40</v>
      </c>
      <c r="AD237" s="27" t="s">
        <v>49</v>
      </c>
      <c r="AE237" s="5">
        <v>7.5</v>
      </c>
      <c r="AF237" s="5">
        <v>3</v>
      </c>
      <c r="AG237" s="13" t="b">
        <v>1</v>
      </c>
      <c r="AH237" s="30" t="s">
        <v>1148</v>
      </c>
      <c r="AI237" s="33" t="s">
        <v>1825</v>
      </c>
    </row>
    <row r="238" spans="1:35">
      <c r="A238" s="52" t="s">
        <v>753</v>
      </c>
      <c r="B238" s="13" t="s">
        <v>429</v>
      </c>
      <c r="C238" s="27" t="s">
        <v>46</v>
      </c>
      <c r="D238" s="13" t="s">
        <v>61</v>
      </c>
      <c r="E238" s="27">
        <f>+[1]モンスター計算!E241</f>
        <v>2757</v>
      </c>
      <c r="F238" s="5">
        <f>+[1]モンスター計算!F241</f>
        <v>660</v>
      </c>
      <c r="G238" s="5">
        <f>+[1]モンスター計算!G241</f>
        <v>305</v>
      </c>
      <c r="H238" s="5">
        <f>+[1]モンスター計算!H241</f>
        <v>1305</v>
      </c>
      <c r="I238" s="5">
        <f>+[1]モンスター計算!I241</f>
        <v>214</v>
      </c>
      <c r="J238" s="13">
        <f>+[1]モンスター計算!J241</f>
        <v>263</v>
      </c>
      <c r="K238" s="27">
        <f>+[1]モンスター計算!K241</f>
        <v>0.18</v>
      </c>
      <c r="L238" s="13">
        <f>+[1]モンスター計算!L241</f>
        <v>1.85</v>
      </c>
      <c r="M238" s="27">
        <f>+[1]モンスター計算!M241</f>
        <v>2.0499999999999998</v>
      </c>
      <c r="N238" s="5">
        <f>+[1]モンスター計算!N241</f>
        <v>0.75</v>
      </c>
      <c r="O238" s="13">
        <f>+[1]モンスター計算!O241</f>
        <v>4.45</v>
      </c>
      <c r="P238" s="27">
        <f>+[1]モンスター計算!P241</f>
        <v>-0.06</v>
      </c>
      <c r="Q238" s="5">
        <f>+[1]モンスター計算!Q241</f>
        <v>-0.06</v>
      </c>
      <c r="R238" s="5">
        <f>+[1]モンスター計算!R241</f>
        <v>0.14000000000000001</v>
      </c>
      <c r="S238" s="5">
        <f>+[1]モンスター計算!S241</f>
        <v>-0.16</v>
      </c>
      <c r="T238" s="5">
        <f>+[1]モンスター計算!T241</f>
        <v>-0.06</v>
      </c>
      <c r="U238" s="5">
        <f>+[1]モンスター計算!U241</f>
        <v>-0.06</v>
      </c>
      <c r="V238" s="13">
        <f>+[1]モンスター計算!V241</f>
        <v>5.6</v>
      </c>
      <c r="W238" s="30">
        <v>9</v>
      </c>
      <c r="X238" s="27" t="s">
        <v>66</v>
      </c>
      <c r="Y238" s="33" t="s">
        <v>89</v>
      </c>
      <c r="Z238" s="13">
        <v>1.22</v>
      </c>
      <c r="AA238" s="30">
        <v>10</v>
      </c>
      <c r="AB238" s="30">
        <f t="shared" si="6"/>
        <v>147</v>
      </c>
      <c r="AC238" s="47">
        <f t="shared" si="7"/>
        <v>40</v>
      </c>
      <c r="AD238" s="27" t="s">
        <v>53</v>
      </c>
      <c r="AE238" s="5">
        <v>8.5</v>
      </c>
      <c r="AF238" s="5">
        <v>3</v>
      </c>
      <c r="AG238" s="13" t="b">
        <v>1</v>
      </c>
      <c r="AH238" s="30" t="s">
        <v>1149</v>
      </c>
      <c r="AI238" s="33" t="s">
        <v>1825</v>
      </c>
    </row>
    <row r="239" spans="1:35">
      <c r="A239" s="52" t="s">
        <v>754</v>
      </c>
      <c r="B239" s="13" t="s">
        <v>430</v>
      </c>
      <c r="C239" s="27" t="s">
        <v>44</v>
      </c>
      <c r="D239" s="13" t="s">
        <v>59</v>
      </c>
      <c r="E239" s="27">
        <f>+[1]モンスター計算!E242</f>
        <v>2386</v>
      </c>
      <c r="F239" s="5">
        <f>+[1]モンスター計算!F242</f>
        <v>133</v>
      </c>
      <c r="G239" s="5">
        <f>+[1]モンスター計算!G242</f>
        <v>1356</v>
      </c>
      <c r="H239" s="5">
        <f>+[1]モンスター計算!H242</f>
        <v>305</v>
      </c>
      <c r="I239" s="5">
        <f>+[1]モンスター計算!I242</f>
        <v>181</v>
      </c>
      <c r="J239" s="13">
        <f>+[1]モンスター計算!J242</f>
        <v>184</v>
      </c>
      <c r="K239" s="27">
        <f>+[1]モンスター計算!K242</f>
        <v>0.08</v>
      </c>
      <c r="L239" s="13">
        <f>+[1]モンスター計算!L242</f>
        <v>1.95</v>
      </c>
      <c r="M239" s="27">
        <f>+[1]モンスター計算!M242</f>
        <v>2.85</v>
      </c>
      <c r="N239" s="5">
        <f>+[1]モンスター計算!N242</f>
        <v>1.0900000000000001</v>
      </c>
      <c r="O239" s="13">
        <f>+[1]モンスター計算!O242</f>
        <v>1</v>
      </c>
      <c r="P239" s="27">
        <f>+[1]モンスター計算!P242</f>
        <v>8.5000000000000006E-2</v>
      </c>
      <c r="Q239" s="5">
        <f>+[1]モンスター計算!Q242</f>
        <v>-0.21500000000000002</v>
      </c>
      <c r="R239" s="5">
        <f>+[1]モンスター計算!R242</f>
        <v>-0.115</v>
      </c>
      <c r="S239" s="5">
        <f>+[1]モンスター計算!S242</f>
        <v>-0.115</v>
      </c>
      <c r="T239" s="5">
        <f>+[1]モンスター計算!T242</f>
        <v>-0.115</v>
      </c>
      <c r="U239" s="5">
        <f>+[1]モンスター計算!U242</f>
        <v>-0.115</v>
      </c>
      <c r="V239" s="13">
        <f>+[1]モンスター計算!V242</f>
        <v>4.4000000000000004</v>
      </c>
      <c r="W239" s="30">
        <v>10</v>
      </c>
      <c r="X239" s="27" t="s">
        <v>68</v>
      </c>
      <c r="Y239" s="33" t="s">
        <v>90</v>
      </c>
      <c r="Z239" s="13">
        <v>1.25</v>
      </c>
      <c r="AA239" s="30">
        <v>15</v>
      </c>
      <c r="AB239" s="30">
        <f t="shared" si="6"/>
        <v>191</v>
      </c>
      <c r="AC239" s="47">
        <f t="shared" si="7"/>
        <v>40</v>
      </c>
      <c r="AD239" s="27" t="s">
        <v>74</v>
      </c>
      <c r="AE239" s="5">
        <v>0</v>
      </c>
      <c r="AF239" s="5">
        <v>0</v>
      </c>
      <c r="AG239" s="13" t="b">
        <v>0</v>
      </c>
      <c r="AH239" s="30" t="s">
        <v>1150</v>
      </c>
      <c r="AI239" s="33" t="s">
        <v>1825</v>
      </c>
    </row>
    <row r="240" spans="1:35">
      <c r="A240" s="52" t="s">
        <v>755</v>
      </c>
      <c r="B240" s="13" t="s">
        <v>431</v>
      </c>
      <c r="C240" s="27" t="s">
        <v>45</v>
      </c>
      <c r="D240" s="13" t="s">
        <v>59</v>
      </c>
      <c r="E240" s="27">
        <f>+[1]モンスター計算!E243</f>
        <v>6213</v>
      </c>
      <c r="F240" s="5">
        <f>+[1]モンスター計算!F243</f>
        <v>224</v>
      </c>
      <c r="G240" s="5">
        <f>+[1]モンスター計算!G243</f>
        <v>629</v>
      </c>
      <c r="H240" s="5">
        <f>+[1]モンスター計算!H243</f>
        <v>221</v>
      </c>
      <c r="I240" s="5">
        <f>+[1]モンスター計算!I243</f>
        <v>556</v>
      </c>
      <c r="J240" s="13">
        <f>+[1]モンスター計算!J243</f>
        <v>309</v>
      </c>
      <c r="K240" s="27">
        <f>+[1]モンスター計算!K243</f>
        <v>3.5000000000000003E-2</v>
      </c>
      <c r="L240" s="13">
        <f>+[1]モンスター計算!L243</f>
        <v>1.43</v>
      </c>
      <c r="M240" s="27">
        <f>+[1]モンスター計算!M243</f>
        <v>1.75</v>
      </c>
      <c r="N240" s="5">
        <f>+[1]モンスター計算!N243</f>
        <v>0.73</v>
      </c>
      <c r="O240" s="13">
        <f>+[1]モンスター計算!O243</f>
        <v>1</v>
      </c>
      <c r="P240" s="27">
        <f>+[1]モンスター計算!P243</f>
        <v>-1.0000000000000009E-2</v>
      </c>
      <c r="Q240" s="5">
        <f>+[1]モンスター計算!Q243</f>
        <v>0.29000000000000004</v>
      </c>
      <c r="R240" s="5">
        <f>+[1]モンスター計算!R243</f>
        <v>0.09</v>
      </c>
      <c r="S240" s="5">
        <f>+[1]モンスター計算!S243</f>
        <v>0.09</v>
      </c>
      <c r="T240" s="5">
        <f>+[1]モンスター計算!T243</f>
        <v>0.09</v>
      </c>
      <c r="U240" s="5">
        <f>+[1]モンスター計算!U243</f>
        <v>0.09</v>
      </c>
      <c r="V240" s="13">
        <f>+[1]モンスター計算!V243</f>
        <v>4.4000000000000004</v>
      </c>
      <c r="W240" s="30">
        <v>11</v>
      </c>
      <c r="X240" s="27" t="s">
        <v>70</v>
      </c>
      <c r="Y240" s="33" t="s">
        <v>91</v>
      </c>
      <c r="Z240" s="13">
        <v>1.25</v>
      </c>
      <c r="AA240" s="30">
        <v>20</v>
      </c>
      <c r="AB240" s="30">
        <f t="shared" si="6"/>
        <v>223</v>
      </c>
      <c r="AC240" s="47">
        <f t="shared" si="7"/>
        <v>40</v>
      </c>
      <c r="AD240" s="27" t="s">
        <v>74</v>
      </c>
      <c r="AE240" s="5">
        <v>0</v>
      </c>
      <c r="AF240" s="5">
        <v>0</v>
      </c>
      <c r="AG240" s="13" t="b">
        <v>0</v>
      </c>
      <c r="AH240" s="30" t="s">
        <v>1151</v>
      </c>
      <c r="AI240" s="33" t="s">
        <v>1825</v>
      </c>
    </row>
    <row r="241" spans="1:35" ht="19.5" thickBot="1">
      <c r="A241" s="53" t="s">
        <v>756</v>
      </c>
      <c r="B241" s="16" t="s">
        <v>432</v>
      </c>
      <c r="C241" s="28" t="s">
        <v>47</v>
      </c>
      <c r="D241" s="16" t="s">
        <v>61</v>
      </c>
      <c r="E241" s="28">
        <f>+[1]モンスター計算!E244</f>
        <v>3209</v>
      </c>
      <c r="F241" s="15">
        <f>+[1]モンスター計算!F244</f>
        <v>690</v>
      </c>
      <c r="G241" s="15">
        <f>+[1]モンスター計算!G244</f>
        <v>392</v>
      </c>
      <c r="H241" s="15">
        <f>+[1]モンスター計算!H244</f>
        <v>870</v>
      </c>
      <c r="I241" s="15">
        <f>+[1]モンスター計算!I244</f>
        <v>247</v>
      </c>
      <c r="J241" s="16">
        <f>+[1]モンスター計算!J244</f>
        <v>263</v>
      </c>
      <c r="K241" s="28">
        <f>+[1]モンスター計算!K244</f>
        <v>0.11</v>
      </c>
      <c r="L241" s="16">
        <f>+[1]モンスター計算!L244</f>
        <v>1.65</v>
      </c>
      <c r="M241" s="28">
        <f>+[1]モンスター計算!M244</f>
        <v>2.2000000000000002</v>
      </c>
      <c r="N241" s="15">
        <f>+[1]モンスター計算!N244</f>
        <v>1.1000000000000001</v>
      </c>
      <c r="O241" s="16">
        <f>+[1]モンスター計算!O244</f>
        <v>2.75</v>
      </c>
      <c r="P241" s="28">
        <f>+[1]モンスター計算!P244</f>
        <v>-0.04</v>
      </c>
      <c r="Q241" s="15">
        <f>+[1]モンスター計算!Q244</f>
        <v>-0.04</v>
      </c>
      <c r="R241" s="15">
        <f>+[1]モンスター計算!R244</f>
        <v>-0.04</v>
      </c>
      <c r="S241" s="15">
        <f>+[1]モンスター計算!S244</f>
        <v>-0.04</v>
      </c>
      <c r="T241" s="15">
        <f>+[1]モンスター計算!T244</f>
        <v>0.16</v>
      </c>
      <c r="U241" s="15">
        <f>+[1]モンスター計算!U244</f>
        <v>-0.14000000000000001</v>
      </c>
      <c r="V241" s="16">
        <f>+[1]モンスター計算!V244</f>
        <v>4.2</v>
      </c>
      <c r="W241" s="31">
        <v>15</v>
      </c>
      <c r="X241" s="28" t="s">
        <v>72</v>
      </c>
      <c r="Y241" s="34" t="s">
        <v>92</v>
      </c>
      <c r="Z241" s="16">
        <v>1.3</v>
      </c>
      <c r="AA241" s="31">
        <v>40</v>
      </c>
      <c r="AB241" s="31">
        <f t="shared" si="6"/>
        <v>322</v>
      </c>
      <c r="AC241" s="48">
        <f t="shared" si="7"/>
        <v>40</v>
      </c>
      <c r="AD241" s="28" t="s">
        <v>55</v>
      </c>
      <c r="AE241" s="15">
        <v>10</v>
      </c>
      <c r="AF241" s="15">
        <v>4</v>
      </c>
      <c r="AG241" s="16" t="b">
        <v>1</v>
      </c>
      <c r="AH241" s="31" t="s">
        <v>1152</v>
      </c>
      <c r="AI241" s="34" t="s">
        <v>1825</v>
      </c>
    </row>
    <row r="242" spans="1:35">
      <c r="A242" s="51" t="s">
        <v>757</v>
      </c>
      <c r="B242" s="11" t="s">
        <v>433</v>
      </c>
      <c r="C242" s="26" t="s">
        <v>45</v>
      </c>
      <c r="D242" s="11" t="s">
        <v>61</v>
      </c>
      <c r="E242" s="26">
        <f>+[1]モンスター計算!E245</f>
        <v>4164</v>
      </c>
      <c r="F242" s="10">
        <f>+[1]モンスター計算!F245</f>
        <v>660</v>
      </c>
      <c r="G242" s="10">
        <f>+[1]モンスター計算!G245</f>
        <v>377</v>
      </c>
      <c r="H242" s="10">
        <f>+[1]モンスター計算!H245</f>
        <v>837</v>
      </c>
      <c r="I242" s="10">
        <f>+[1]モンスター計算!I245</f>
        <v>344</v>
      </c>
      <c r="J242" s="11">
        <f>+[1]モンスター計算!J245</f>
        <v>380</v>
      </c>
      <c r="K242" s="26">
        <f>+[1]モンスター計算!K245</f>
        <v>0.05</v>
      </c>
      <c r="L242" s="11">
        <f>+[1]モンスター計算!L245</f>
        <v>1.5</v>
      </c>
      <c r="M242" s="26">
        <f>+[1]モンスター計算!M245</f>
        <v>2</v>
      </c>
      <c r="N242" s="10">
        <f>+[1]モンスター計算!N245</f>
        <v>1.05</v>
      </c>
      <c r="O242" s="11">
        <f>+[1]モンスター計算!O245</f>
        <v>2.5</v>
      </c>
      <c r="P242" s="26">
        <f>+[1]モンスター計算!P245</f>
        <v>-0.1</v>
      </c>
      <c r="Q242" s="10">
        <f>+[1]モンスター計算!Q245</f>
        <v>0.2</v>
      </c>
      <c r="R242" s="10">
        <f>+[1]モンスター計算!R245</f>
        <v>0</v>
      </c>
      <c r="S242" s="10">
        <f>+[1]モンスター計算!S245</f>
        <v>0</v>
      </c>
      <c r="T242" s="10">
        <f>+[1]モンスター計算!T245</f>
        <v>0</v>
      </c>
      <c r="U242" s="10">
        <f>+[1]モンスター計算!U245</f>
        <v>0</v>
      </c>
      <c r="V242" s="11">
        <f>+[1]モンスター計算!V245</f>
        <v>4</v>
      </c>
      <c r="W242" s="29">
        <v>8</v>
      </c>
      <c r="X242" s="26" t="s">
        <v>109</v>
      </c>
      <c r="Y242" s="32" t="s">
        <v>87</v>
      </c>
      <c r="Z242" s="11">
        <v>1.2</v>
      </c>
      <c r="AA242" s="29">
        <v>5</v>
      </c>
      <c r="AB242" s="29">
        <f t="shared" si="6"/>
        <v>120</v>
      </c>
      <c r="AC242" s="46">
        <f t="shared" si="7"/>
        <v>41</v>
      </c>
      <c r="AD242" s="26" t="s">
        <v>51</v>
      </c>
      <c r="AE242" s="10">
        <v>7</v>
      </c>
      <c r="AF242" s="10">
        <v>3</v>
      </c>
      <c r="AG242" s="11" t="b">
        <v>1</v>
      </c>
      <c r="AH242" s="29" t="s">
        <v>1153</v>
      </c>
      <c r="AI242" s="32" t="s">
        <v>1825</v>
      </c>
    </row>
    <row r="243" spans="1:35">
      <c r="A243" s="52" t="s">
        <v>758</v>
      </c>
      <c r="B243" s="13" t="s">
        <v>434</v>
      </c>
      <c r="C243" s="27" t="s">
        <v>44</v>
      </c>
      <c r="D243" s="13" t="s">
        <v>61</v>
      </c>
      <c r="E243" s="27">
        <f>+[1]モンスター計算!E246</f>
        <v>3349</v>
      </c>
      <c r="F243" s="5">
        <f>+[1]モンスター計算!F246</f>
        <v>627</v>
      </c>
      <c r="G243" s="5">
        <f>+[1]モンスター計算!G246</f>
        <v>228</v>
      </c>
      <c r="H243" s="5">
        <f>+[1]モンスター計算!H246</f>
        <v>778</v>
      </c>
      <c r="I243" s="5">
        <f>+[1]モンスター計算!I246</f>
        <v>261</v>
      </c>
      <c r="J243" s="13">
        <f>+[1]モンスター計算!J246</f>
        <v>304</v>
      </c>
      <c r="K243" s="27">
        <f>+[1]モンスター計算!K246</f>
        <v>0.05</v>
      </c>
      <c r="L243" s="13">
        <f>+[1]モンスター計算!L246</f>
        <v>1.4</v>
      </c>
      <c r="M243" s="27">
        <f>+[1]モンスター計算!M246</f>
        <v>3.35</v>
      </c>
      <c r="N243" s="5">
        <f>+[1]モンスター計算!N246</f>
        <v>1.55</v>
      </c>
      <c r="O243" s="13">
        <f>+[1]モンスター計算!O246</f>
        <v>2.2999999999999998</v>
      </c>
      <c r="P243" s="27">
        <f>+[1]モンスター計算!P246</f>
        <v>0.13</v>
      </c>
      <c r="Q243" s="5">
        <f>+[1]モンスター計算!Q246</f>
        <v>-0.17</v>
      </c>
      <c r="R243" s="5">
        <f>+[1]モンスター計算!R246</f>
        <v>-7.0000000000000007E-2</v>
      </c>
      <c r="S243" s="5">
        <f>+[1]モンスター計算!S246</f>
        <v>-7.0000000000000007E-2</v>
      </c>
      <c r="T243" s="5">
        <f>+[1]モンスター計算!T246</f>
        <v>-7.0000000000000007E-2</v>
      </c>
      <c r="U243" s="5">
        <f>+[1]モンスター計算!U246</f>
        <v>-7.0000000000000007E-2</v>
      </c>
      <c r="V243" s="13">
        <f>+[1]モンスター計算!V246</f>
        <v>4</v>
      </c>
      <c r="W243" s="30">
        <v>8</v>
      </c>
      <c r="X243" s="27" t="s">
        <v>64</v>
      </c>
      <c r="Y243" s="33" t="s">
        <v>88</v>
      </c>
      <c r="Z243" s="13">
        <v>1.2</v>
      </c>
      <c r="AA243" s="30">
        <v>7</v>
      </c>
      <c r="AB243" s="30">
        <f t="shared" si="6"/>
        <v>133</v>
      </c>
      <c r="AC243" s="47">
        <f t="shared" si="7"/>
        <v>41</v>
      </c>
      <c r="AD243" s="27" t="s">
        <v>49</v>
      </c>
      <c r="AE243" s="5">
        <v>7.5</v>
      </c>
      <c r="AF243" s="5">
        <v>3</v>
      </c>
      <c r="AG243" s="13" t="b">
        <v>1</v>
      </c>
      <c r="AH243" s="30" t="s">
        <v>1154</v>
      </c>
      <c r="AI243" s="33" t="s">
        <v>1825</v>
      </c>
    </row>
    <row r="244" spans="1:35">
      <c r="A244" s="52" t="s">
        <v>759</v>
      </c>
      <c r="B244" s="13" t="s">
        <v>435</v>
      </c>
      <c r="C244" s="27" t="s">
        <v>46</v>
      </c>
      <c r="D244" s="13" t="s">
        <v>61</v>
      </c>
      <c r="E244" s="27">
        <f>+[1]モンスター計算!E247</f>
        <v>3304</v>
      </c>
      <c r="F244" s="5">
        <f>+[1]モンスター計算!F247</f>
        <v>779</v>
      </c>
      <c r="G244" s="5">
        <f>+[1]モンスター計算!G247</f>
        <v>255</v>
      </c>
      <c r="H244" s="5">
        <f>+[1]モンスター計算!H247</f>
        <v>1011</v>
      </c>
      <c r="I244" s="5">
        <f>+[1]モンスター計算!I247</f>
        <v>279</v>
      </c>
      <c r="J244" s="13">
        <f>+[1]モンスター計算!J247</f>
        <v>308</v>
      </c>
      <c r="K244" s="27">
        <f>+[1]モンスター計算!K247</f>
        <v>0.26</v>
      </c>
      <c r="L244" s="13">
        <f>+[1]モンスター計算!L247</f>
        <v>1.95</v>
      </c>
      <c r="M244" s="27">
        <f>+[1]モンスター計算!M247</f>
        <v>2.75</v>
      </c>
      <c r="N244" s="5">
        <f>+[1]モンスター計算!N247</f>
        <v>0.95</v>
      </c>
      <c r="O244" s="13">
        <f>+[1]モンスター計算!O247</f>
        <v>2.8</v>
      </c>
      <c r="P244" s="27">
        <f>+[1]モンスター計算!P247</f>
        <v>-0.05</v>
      </c>
      <c r="Q244" s="5">
        <f>+[1]モンスター計算!Q247</f>
        <v>-0.05</v>
      </c>
      <c r="R244" s="5">
        <f>+[1]モンスター計算!R247</f>
        <v>0.15000000000000002</v>
      </c>
      <c r="S244" s="5">
        <f>+[1]モンスター計算!S247</f>
        <v>-0.15000000000000002</v>
      </c>
      <c r="T244" s="5">
        <f>+[1]モンスター計算!T247</f>
        <v>-0.05</v>
      </c>
      <c r="U244" s="5">
        <f>+[1]モンスター計算!U247</f>
        <v>-0.05</v>
      </c>
      <c r="V244" s="13">
        <f>+[1]モンスター計算!V247</f>
        <v>4.4000000000000004</v>
      </c>
      <c r="W244" s="30">
        <v>9</v>
      </c>
      <c r="X244" s="27" t="s">
        <v>66</v>
      </c>
      <c r="Y244" s="33" t="s">
        <v>89</v>
      </c>
      <c r="Z244" s="13">
        <v>1.22</v>
      </c>
      <c r="AA244" s="30">
        <v>10</v>
      </c>
      <c r="AB244" s="30">
        <f t="shared" si="6"/>
        <v>155</v>
      </c>
      <c r="AC244" s="47">
        <f t="shared" si="7"/>
        <v>41</v>
      </c>
      <c r="AD244" s="27" t="s">
        <v>53</v>
      </c>
      <c r="AE244" s="5">
        <v>8.5</v>
      </c>
      <c r="AF244" s="5">
        <v>3</v>
      </c>
      <c r="AG244" s="13" t="b">
        <v>1</v>
      </c>
      <c r="AH244" s="30" t="s">
        <v>1155</v>
      </c>
      <c r="AI244" s="33" t="s">
        <v>1825</v>
      </c>
    </row>
    <row r="245" spans="1:35">
      <c r="A245" s="52" t="s">
        <v>760</v>
      </c>
      <c r="B245" s="13" t="s">
        <v>436</v>
      </c>
      <c r="C245" s="27" t="s">
        <v>44</v>
      </c>
      <c r="D245" s="13" t="s">
        <v>59</v>
      </c>
      <c r="E245" s="27">
        <f>+[1]モンスター計算!E248</f>
        <v>3621</v>
      </c>
      <c r="F245" s="5">
        <f>+[1]モンスター計算!F248</f>
        <v>308</v>
      </c>
      <c r="G245" s="5">
        <f>+[1]モンスター計算!G248</f>
        <v>867</v>
      </c>
      <c r="H245" s="5">
        <f>+[1]モンスター計算!H248</f>
        <v>273</v>
      </c>
      <c r="I245" s="5">
        <f>+[1]モンスター計算!I248</f>
        <v>279</v>
      </c>
      <c r="J245" s="13">
        <f>+[1]モンスター計算!J248</f>
        <v>301</v>
      </c>
      <c r="K245" s="27">
        <f>+[1]モンスター計算!K248</f>
        <v>6.5000000000000002E-2</v>
      </c>
      <c r="L245" s="13">
        <f>+[1]モンスター計算!L248</f>
        <v>1.46</v>
      </c>
      <c r="M245" s="27">
        <f>+[1]モンスター計算!M248</f>
        <v>3.88</v>
      </c>
      <c r="N245" s="5">
        <f>+[1]モンスター計算!N248</f>
        <v>1.29</v>
      </c>
      <c r="O245" s="13">
        <f>+[1]モンスター計算!O248</f>
        <v>1</v>
      </c>
      <c r="P245" s="27">
        <f>+[1]モンスター計算!P248</f>
        <v>0.16</v>
      </c>
      <c r="Q245" s="5">
        <f>+[1]モンスター計算!Q248</f>
        <v>-0.14000000000000001</v>
      </c>
      <c r="R245" s="5">
        <f>+[1]モンスター計算!R248</f>
        <v>-0.04</v>
      </c>
      <c r="S245" s="5">
        <f>+[1]モンスター計算!S248</f>
        <v>-0.04</v>
      </c>
      <c r="T245" s="5">
        <f>+[1]モンスター計算!T248</f>
        <v>-0.04</v>
      </c>
      <c r="U245" s="5">
        <f>+[1]モンスター計算!U248</f>
        <v>-0.04</v>
      </c>
      <c r="V245" s="13">
        <f>+[1]モンスター計算!V248</f>
        <v>9.1999999999999993</v>
      </c>
      <c r="W245" s="30">
        <v>10</v>
      </c>
      <c r="X245" s="27" t="s">
        <v>68</v>
      </c>
      <c r="Y245" s="33" t="s">
        <v>90</v>
      </c>
      <c r="Z245" s="13">
        <v>1.25</v>
      </c>
      <c r="AA245" s="30">
        <v>15</v>
      </c>
      <c r="AB245" s="30">
        <f t="shared" si="6"/>
        <v>201</v>
      </c>
      <c r="AC245" s="47">
        <f t="shared" si="7"/>
        <v>41</v>
      </c>
      <c r="AD245" s="27" t="s">
        <v>74</v>
      </c>
      <c r="AE245" s="5">
        <v>0</v>
      </c>
      <c r="AF245" s="5">
        <v>0</v>
      </c>
      <c r="AG245" s="13" t="b">
        <v>0</v>
      </c>
      <c r="AH245" s="30" t="s">
        <v>1156</v>
      </c>
      <c r="AI245" s="33" t="s">
        <v>1825</v>
      </c>
    </row>
    <row r="246" spans="1:35">
      <c r="A246" s="52" t="s">
        <v>761</v>
      </c>
      <c r="B246" s="13" t="s">
        <v>437</v>
      </c>
      <c r="C246" s="27" t="s">
        <v>45</v>
      </c>
      <c r="D246" s="13" t="s">
        <v>59</v>
      </c>
      <c r="E246" s="27">
        <f>+[1]モンスター計算!E249</f>
        <v>3621</v>
      </c>
      <c r="F246" s="5">
        <f>+[1]モンスター計算!F249</f>
        <v>249</v>
      </c>
      <c r="G246" s="5">
        <f>+[1]モンスター計算!G249</f>
        <v>836</v>
      </c>
      <c r="H246" s="5">
        <f>+[1]モンスター計算!H249</f>
        <v>376</v>
      </c>
      <c r="I246" s="5">
        <f>+[1]モンスター計算!I249</f>
        <v>290</v>
      </c>
      <c r="J246" s="13">
        <f>+[1]モンスター計算!J249</f>
        <v>290</v>
      </c>
      <c r="K246" s="27">
        <f>+[1]モンスター計算!K249</f>
        <v>0.08</v>
      </c>
      <c r="L246" s="13">
        <f>+[1]モンスター計算!L249</f>
        <v>1.55</v>
      </c>
      <c r="M246" s="27">
        <f>+[1]モンスター計算!M249</f>
        <v>3.3</v>
      </c>
      <c r="N246" s="5">
        <f>+[1]モンスター計算!N249</f>
        <v>1.32</v>
      </c>
      <c r="O246" s="13">
        <f>+[1]モンスター計算!O249</f>
        <v>1</v>
      </c>
      <c r="P246" s="27">
        <f>+[1]モンスター計算!P249</f>
        <v>-0.14000000000000001</v>
      </c>
      <c r="Q246" s="5">
        <f>+[1]モンスター計算!Q249</f>
        <v>0.16</v>
      </c>
      <c r="R246" s="5">
        <f>+[1]モンスター計算!R249</f>
        <v>-0.04</v>
      </c>
      <c r="S246" s="5">
        <f>+[1]モンスター計算!S249</f>
        <v>-0.04</v>
      </c>
      <c r="T246" s="5">
        <f>+[1]モンスター計算!T249</f>
        <v>-0.04</v>
      </c>
      <c r="U246" s="5">
        <f>+[1]モンスター計算!U249</f>
        <v>-0.04</v>
      </c>
      <c r="V246" s="13">
        <f>+[1]モンスター計算!V249</f>
        <v>4.8</v>
      </c>
      <c r="W246" s="30">
        <v>11</v>
      </c>
      <c r="X246" s="27" t="s">
        <v>70</v>
      </c>
      <c r="Y246" s="33" t="s">
        <v>91</v>
      </c>
      <c r="Z246" s="13">
        <v>1.25</v>
      </c>
      <c r="AA246" s="30">
        <v>20</v>
      </c>
      <c r="AB246" s="30">
        <f t="shared" si="6"/>
        <v>235</v>
      </c>
      <c r="AC246" s="47">
        <f t="shared" si="7"/>
        <v>41</v>
      </c>
      <c r="AD246" s="27" t="s">
        <v>74</v>
      </c>
      <c r="AE246" s="5">
        <v>0</v>
      </c>
      <c r="AF246" s="5">
        <v>0</v>
      </c>
      <c r="AG246" s="13" t="b">
        <v>0</v>
      </c>
      <c r="AH246" s="30" t="s">
        <v>1157</v>
      </c>
      <c r="AI246" s="33" t="s">
        <v>1825</v>
      </c>
    </row>
    <row r="247" spans="1:35" ht="19.5" thickBot="1">
      <c r="A247" s="53" t="s">
        <v>762</v>
      </c>
      <c r="B247" s="16" t="s">
        <v>438</v>
      </c>
      <c r="C247" s="28" t="s">
        <v>47</v>
      </c>
      <c r="D247" s="16" t="s">
        <v>61</v>
      </c>
      <c r="E247" s="28">
        <f>+[1]モンスター計算!E250</f>
        <v>2625</v>
      </c>
      <c r="F247" s="15">
        <f>+[1]モンスター計算!F250</f>
        <v>515</v>
      </c>
      <c r="G247" s="15">
        <f>+[1]モンスター計算!G250</f>
        <v>258</v>
      </c>
      <c r="H247" s="15">
        <f>+[1]モンスター計算!H250</f>
        <v>1195</v>
      </c>
      <c r="I247" s="15">
        <f>+[1]モンスター計算!I250</f>
        <v>232</v>
      </c>
      <c r="J247" s="16">
        <f>+[1]モンスター計算!J250</f>
        <v>235</v>
      </c>
      <c r="K247" s="28">
        <f>+[1]モンスター計算!K250</f>
        <v>0.08</v>
      </c>
      <c r="L247" s="16">
        <f>+[1]モンスター計算!L250</f>
        <v>1.55</v>
      </c>
      <c r="M247" s="28">
        <f>+[1]モンスター計算!M250</f>
        <v>4.2</v>
      </c>
      <c r="N247" s="15">
        <f>+[1]モンスター計算!N250</f>
        <v>1.3</v>
      </c>
      <c r="O247" s="16">
        <f>+[1]モンスター計算!O250</f>
        <v>2.5</v>
      </c>
      <c r="P247" s="28">
        <f>+[1]モンスター計算!P250</f>
        <v>-0.09</v>
      </c>
      <c r="Q247" s="15">
        <f>+[1]モンスター計算!Q250</f>
        <v>-0.09</v>
      </c>
      <c r="R247" s="15">
        <f>+[1]モンスター計算!R250</f>
        <v>-0.09</v>
      </c>
      <c r="S247" s="15">
        <f>+[1]モンスター計算!S250</f>
        <v>-0.09</v>
      </c>
      <c r="T247" s="15">
        <f>+[1]モンスター計算!T250</f>
        <v>0.11000000000000001</v>
      </c>
      <c r="U247" s="15">
        <f>+[1]モンスター計算!U250</f>
        <v>-0.19</v>
      </c>
      <c r="V247" s="16">
        <f>+[1]モンスター計算!V250</f>
        <v>4.2</v>
      </c>
      <c r="W247" s="31">
        <v>15</v>
      </c>
      <c r="X247" s="28" t="s">
        <v>72</v>
      </c>
      <c r="Y247" s="34" t="s">
        <v>92</v>
      </c>
      <c r="Z247" s="16">
        <v>1.3</v>
      </c>
      <c r="AA247" s="31">
        <v>40</v>
      </c>
      <c r="AB247" s="31">
        <f t="shared" si="6"/>
        <v>339</v>
      </c>
      <c r="AC247" s="48">
        <f t="shared" si="7"/>
        <v>41</v>
      </c>
      <c r="AD247" s="28" t="s">
        <v>55</v>
      </c>
      <c r="AE247" s="15">
        <v>10</v>
      </c>
      <c r="AF247" s="15">
        <v>4</v>
      </c>
      <c r="AG247" s="16" t="b">
        <v>1</v>
      </c>
      <c r="AH247" s="31" t="s">
        <v>1158</v>
      </c>
      <c r="AI247" s="34" t="s">
        <v>1825</v>
      </c>
    </row>
    <row r="248" spans="1:35">
      <c r="A248" s="51" t="s">
        <v>763</v>
      </c>
      <c r="B248" s="11" t="s">
        <v>439</v>
      </c>
      <c r="C248" s="26" t="s">
        <v>45</v>
      </c>
      <c r="D248" s="11" t="s">
        <v>61</v>
      </c>
      <c r="E248" s="26">
        <f>+[1]モンスター計算!E251</f>
        <v>5476</v>
      </c>
      <c r="F248" s="10">
        <f>+[1]モンスター計算!F251</f>
        <v>762</v>
      </c>
      <c r="G248" s="10">
        <f>+[1]モンスター計算!G251</f>
        <v>348</v>
      </c>
      <c r="H248" s="10">
        <f>+[1]モンスター計算!H251</f>
        <v>773</v>
      </c>
      <c r="I248" s="10">
        <f>+[1]モンスター計算!I251</f>
        <v>438</v>
      </c>
      <c r="J248" s="11">
        <f>+[1]モンスター計算!J251</f>
        <v>438</v>
      </c>
      <c r="K248" s="26">
        <f>+[1]モンスター計算!K251</f>
        <v>7.0000000000000007E-2</v>
      </c>
      <c r="L248" s="11">
        <f>+[1]モンスター計算!L251</f>
        <v>1.55</v>
      </c>
      <c r="M248" s="26">
        <f>+[1]モンスター計算!M251</f>
        <v>2.4</v>
      </c>
      <c r="N248" s="10">
        <f>+[1]モンスター計算!N251</f>
        <v>1</v>
      </c>
      <c r="O248" s="11">
        <f>+[1]モンスター計算!O251</f>
        <v>2.5</v>
      </c>
      <c r="P248" s="26">
        <f>+[1]モンスター計算!P251</f>
        <v>-0.08</v>
      </c>
      <c r="Q248" s="10">
        <f>+[1]モンスター計算!Q251</f>
        <v>0.22</v>
      </c>
      <c r="R248" s="10">
        <f>+[1]モンスター計算!R251</f>
        <v>0.02</v>
      </c>
      <c r="S248" s="10">
        <f>+[1]モンスター計算!S251</f>
        <v>0.02</v>
      </c>
      <c r="T248" s="10">
        <f>+[1]モンスター計算!T251</f>
        <v>0.02</v>
      </c>
      <c r="U248" s="10">
        <f>+[1]モンスター計算!U251</f>
        <v>0.02</v>
      </c>
      <c r="V248" s="11">
        <f>+[1]モンスター計算!V251</f>
        <v>4</v>
      </c>
      <c r="W248" s="29">
        <v>8</v>
      </c>
      <c r="X248" s="26" t="s">
        <v>109</v>
      </c>
      <c r="Y248" s="32" t="s">
        <v>87</v>
      </c>
      <c r="Z248" s="11">
        <v>1.2</v>
      </c>
      <c r="AA248" s="29">
        <v>5</v>
      </c>
      <c r="AB248" s="29">
        <f t="shared" si="6"/>
        <v>126</v>
      </c>
      <c r="AC248" s="46">
        <f t="shared" si="7"/>
        <v>42</v>
      </c>
      <c r="AD248" s="26" t="s">
        <v>51</v>
      </c>
      <c r="AE248" s="10">
        <v>7</v>
      </c>
      <c r="AF248" s="10">
        <v>3</v>
      </c>
      <c r="AG248" s="11" t="b">
        <v>1</v>
      </c>
      <c r="AH248" s="29" t="s">
        <v>1159</v>
      </c>
      <c r="AI248" s="32" t="s">
        <v>1825</v>
      </c>
    </row>
    <row r="249" spans="1:35">
      <c r="A249" s="52" t="s">
        <v>764</v>
      </c>
      <c r="B249" s="13" t="s">
        <v>440</v>
      </c>
      <c r="C249" s="27" t="s">
        <v>44</v>
      </c>
      <c r="D249" s="13" t="s">
        <v>61</v>
      </c>
      <c r="E249" s="27">
        <f>+[1]モンスター計算!E252</f>
        <v>6373</v>
      </c>
      <c r="F249" s="5">
        <f>+[1]モンスター計算!F252</f>
        <v>690</v>
      </c>
      <c r="G249" s="5">
        <f>+[1]モンスター計算!G252</f>
        <v>181</v>
      </c>
      <c r="H249" s="5">
        <f>+[1]モンスター計算!H252</f>
        <v>472</v>
      </c>
      <c r="I249" s="5">
        <f>+[1]モンスター計算!I252</f>
        <v>490</v>
      </c>
      <c r="J249" s="13">
        <f>+[1]モンスター計算!J252</f>
        <v>446</v>
      </c>
      <c r="K249" s="27">
        <f>+[1]モンスター計算!K252</f>
        <v>7.0000000000000007E-2</v>
      </c>
      <c r="L249" s="13">
        <f>+[1]モンスター計算!L252</f>
        <v>1.5</v>
      </c>
      <c r="M249" s="27">
        <f>+[1]モンスター計算!M252</f>
        <v>2.8</v>
      </c>
      <c r="N249" s="5">
        <f>+[1]モンスター計算!N252</f>
        <v>1.45</v>
      </c>
      <c r="O249" s="13">
        <f>+[1]モンスター計算!O252</f>
        <v>1.55</v>
      </c>
      <c r="P249" s="27">
        <f>+[1]モンスター計算!P252</f>
        <v>0.23</v>
      </c>
      <c r="Q249" s="5">
        <f>+[1]モンスター計算!Q252</f>
        <v>-7.0000000000000007E-2</v>
      </c>
      <c r="R249" s="5">
        <f>+[1]モンスター計算!R252</f>
        <v>0.03</v>
      </c>
      <c r="S249" s="5">
        <f>+[1]モンスター計算!S252</f>
        <v>0.03</v>
      </c>
      <c r="T249" s="5">
        <f>+[1]モンスター計算!T252</f>
        <v>0.03</v>
      </c>
      <c r="U249" s="5">
        <f>+[1]モンスター計算!U252</f>
        <v>0.03</v>
      </c>
      <c r="V249" s="13">
        <f>+[1]モンスター計算!V252</f>
        <v>3.6</v>
      </c>
      <c r="W249" s="30">
        <v>8</v>
      </c>
      <c r="X249" s="27" t="s">
        <v>64</v>
      </c>
      <c r="Y249" s="33" t="s">
        <v>88</v>
      </c>
      <c r="Z249" s="13">
        <v>1.2</v>
      </c>
      <c r="AA249" s="30">
        <v>7</v>
      </c>
      <c r="AB249" s="30">
        <f t="shared" si="6"/>
        <v>140</v>
      </c>
      <c r="AC249" s="47">
        <f t="shared" si="7"/>
        <v>42</v>
      </c>
      <c r="AD249" s="27" t="s">
        <v>49</v>
      </c>
      <c r="AE249" s="5">
        <v>7.5</v>
      </c>
      <c r="AF249" s="5">
        <v>3</v>
      </c>
      <c r="AG249" s="13" t="b">
        <v>1</v>
      </c>
      <c r="AH249" s="30" t="s">
        <v>1160</v>
      </c>
      <c r="AI249" s="33" t="s">
        <v>1825</v>
      </c>
    </row>
    <row r="250" spans="1:35">
      <c r="A250" s="52" t="s">
        <v>765</v>
      </c>
      <c r="B250" s="13" t="s">
        <v>441</v>
      </c>
      <c r="C250" s="27" t="s">
        <v>46</v>
      </c>
      <c r="D250" s="13" t="s">
        <v>61</v>
      </c>
      <c r="E250" s="27">
        <f>+[1]モンスター計算!E253</f>
        <v>4431</v>
      </c>
      <c r="F250" s="5">
        <f>+[1]モンスター計算!F253</f>
        <v>690</v>
      </c>
      <c r="G250" s="5">
        <f>+[1]モンスター計算!G253</f>
        <v>231</v>
      </c>
      <c r="H250" s="5">
        <f>+[1]モンスター計算!H253</f>
        <v>856</v>
      </c>
      <c r="I250" s="5">
        <f>+[1]モンスター計算!I253</f>
        <v>366</v>
      </c>
      <c r="J250" s="13">
        <f>+[1]モンスター計算!J253</f>
        <v>362</v>
      </c>
      <c r="K250" s="27">
        <f>+[1]モンスター計算!K253</f>
        <v>7.4999999999999997E-2</v>
      </c>
      <c r="L250" s="13">
        <f>+[1]モンスター計算!L253</f>
        <v>1.5</v>
      </c>
      <c r="M250" s="27">
        <f>+[1]モンスター計算!M253</f>
        <v>3.1</v>
      </c>
      <c r="N250" s="5">
        <f>+[1]モンスター計算!N253</f>
        <v>1.1499999999999999</v>
      </c>
      <c r="O250" s="13">
        <f>+[1]モンスター計算!O253</f>
        <v>3.0750000000000002</v>
      </c>
      <c r="P250" s="27">
        <f>+[1]モンスター計算!P253</f>
        <v>-0.01</v>
      </c>
      <c r="Q250" s="5">
        <f>+[1]モンスター計算!Q253</f>
        <v>-0.01</v>
      </c>
      <c r="R250" s="5">
        <f>+[1]モンスター計算!R253</f>
        <v>0.19</v>
      </c>
      <c r="S250" s="5">
        <f>+[1]モンスター計算!S253</f>
        <v>-0.11</v>
      </c>
      <c r="T250" s="5">
        <f>+[1]モンスター計算!T253</f>
        <v>-0.01</v>
      </c>
      <c r="U250" s="5">
        <f>+[1]モンスター計算!U253</f>
        <v>-0.01</v>
      </c>
      <c r="V250" s="13">
        <f>+[1]モンスター計算!V253</f>
        <v>8.6</v>
      </c>
      <c r="W250" s="30">
        <v>9</v>
      </c>
      <c r="X250" s="27" t="s">
        <v>66</v>
      </c>
      <c r="Y250" s="33" t="s">
        <v>89</v>
      </c>
      <c r="Z250" s="13">
        <v>1.22</v>
      </c>
      <c r="AA250" s="30">
        <v>10</v>
      </c>
      <c r="AB250" s="30">
        <f t="shared" si="6"/>
        <v>163</v>
      </c>
      <c r="AC250" s="47">
        <f t="shared" si="7"/>
        <v>42</v>
      </c>
      <c r="AD250" s="27" t="s">
        <v>53</v>
      </c>
      <c r="AE250" s="5">
        <v>8.5</v>
      </c>
      <c r="AF250" s="5">
        <v>3</v>
      </c>
      <c r="AG250" s="13" t="b">
        <v>1</v>
      </c>
      <c r="AH250" s="30" t="s">
        <v>1161</v>
      </c>
      <c r="AI250" s="33" t="s">
        <v>1825</v>
      </c>
    </row>
    <row r="251" spans="1:35">
      <c r="A251" s="52" t="s">
        <v>766</v>
      </c>
      <c r="B251" s="13" t="s">
        <v>442</v>
      </c>
      <c r="C251" s="27" t="s">
        <v>44</v>
      </c>
      <c r="D251" s="13" t="s">
        <v>59</v>
      </c>
      <c r="E251" s="27">
        <f>+[1]モンスター計算!E254</f>
        <v>4481</v>
      </c>
      <c r="F251" s="5">
        <f>+[1]モンスター計算!F254</f>
        <v>258</v>
      </c>
      <c r="G251" s="5">
        <f>+[1]モンスター計算!G254</f>
        <v>857</v>
      </c>
      <c r="H251" s="5">
        <f>+[1]モンスター計算!H254</f>
        <v>386</v>
      </c>
      <c r="I251" s="5">
        <f>+[1]モンスター計算!I254</f>
        <v>358</v>
      </c>
      <c r="J251" s="13">
        <f>+[1]モンスター計算!J254</f>
        <v>358</v>
      </c>
      <c r="K251" s="27">
        <f>+[1]モンスター計算!K254</f>
        <v>0.11</v>
      </c>
      <c r="L251" s="13">
        <f>+[1]モンスター計算!L254</f>
        <v>1.75</v>
      </c>
      <c r="M251" s="27">
        <f>+[1]モンスター計算!M254</f>
        <v>3</v>
      </c>
      <c r="N251" s="5">
        <f>+[1]モンスター計算!N254</f>
        <v>1.18</v>
      </c>
      <c r="O251" s="13">
        <f>+[1]モンスター計算!O254</f>
        <v>1</v>
      </c>
      <c r="P251" s="27">
        <f>+[1]モンスター計算!P254</f>
        <v>0.17</v>
      </c>
      <c r="Q251" s="5">
        <f>+[1]モンスター計算!Q254</f>
        <v>-0.13</v>
      </c>
      <c r="R251" s="5">
        <f>+[1]モンスター計算!R254</f>
        <v>-0.03</v>
      </c>
      <c r="S251" s="5">
        <f>+[1]モンスター計算!S254</f>
        <v>-0.03</v>
      </c>
      <c r="T251" s="5">
        <f>+[1]モンスター計算!T254</f>
        <v>-0.03</v>
      </c>
      <c r="U251" s="5">
        <f>+[1]モンスター計算!U254</f>
        <v>-0.03</v>
      </c>
      <c r="V251" s="13">
        <f>+[1]モンスター計算!V254</f>
        <v>4.2</v>
      </c>
      <c r="W251" s="30">
        <v>10</v>
      </c>
      <c r="X251" s="27" t="s">
        <v>68</v>
      </c>
      <c r="Y251" s="33" t="s">
        <v>90</v>
      </c>
      <c r="Z251" s="13">
        <v>1.25</v>
      </c>
      <c r="AA251" s="30">
        <v>15</v>
      </c>
      <c r="AB251" s="30">
        <f t="shared" si="6"/>
        <v>212</v>
      </c>
      <c r="AC251" s="47">
        <f t="shared" si="7"/>
        <v>42</v>
      </c>
      <c r="AD251" s="27" t="s">
        <v>74</v>
      </c>
      <c r="AE251" s="5">
        <v>0</v>
      </c>
      <c r="AF251" s="5">
        <v>0</v>
      </c>
      <c r="AG251" s="13" t="b">
        <v>0</v>
      </c>
      <c r="AH251" s="30" t="s">
        <v>1162</v>
      </c>
      <c r="AI251" s="33" t="s">
        <v>1825</v>
      </c>
    </row>
    <row r="252" spans="1:35">
      <c r="A252" s="52" t="s">
        <v>767</v>
      </c>
      <c r="B252" s="13" t="s">
        <v>443</v>
      </c>
      <c r="C252" s="27" t="s">
        <v>45</v>
      </c>
      <c r="D252" s="13" t="s">
        <v>59</v>
      </c>
      <c r="E252" s="27">
        <f>+[1]モンスター計算!E255</f>
        <v>3485</v>
      </c>
      <c r="F252" s="5">
        <f>+[1]モンスター計算!F255</f>
        <v>274</v>
      </c>
      <c r="G252" s="5">
        <f>+[1]モンスター計算!G255</f>
        <v>1064</v>
      </c>
      <c r="H252" s="5">
        <f>+[1]モンスター計算!H255</f>
        <v>359</v>
      </c>
      <c r="I252" s="5">
        <f>+[1]モンスター計算!I255</f>
        <v>303</v>
      </c>
      <c r="J252" s="13">
        <f>+[1]モンスター計算!J255</f>
        <v>311</v>
      </c>
      <c r="K252" s="27">
        <f>+[1]モンスター計算!K255</f>
        <v>0.11</v>
      </c>
      <c r="L252" s="13">
        <f>+[1]モンスター計算!L255</f>
        <v>1.58</v>
      </c>
      <c r="M252" s="27">
        <f>+[1]モンスター計算!M255</f>
        <v>4.45</v>
      </c>
      <c r="N252" s="5">
        <f>+[1]モンスター計算!N255</f>
        <v>1.3</v>
      </c>
      <c r="O252" s="13">
        <f>+[1]モンスター計算!O255</f>
        <v>1</v>
      </c>
      <c r="P252" s="27">
        <f>+[1]モンスター計算!P255</f>
        <v>-0.16</v>
      </c>
      <c r="Q252" s="5">
        <f>+[1]モンスター計算!Q255</f>
        <v>0.14000000000000001</v>
      </c>
      <c r="R252" s="5">
        <f>+[1]モンスター計算!R255</f>
        <v>-0.06</v>
      </c>
      <c r="S252" s="5">
        <f>+[1]モンスター計算!S255</f>
        <v>-0.06</v>
      </c>
      <c r="T252" s="5">
        <f>+[1]モンスター計算!T255</f>
        <v>-0.06</v>
      </c>
      <c r="U252" s="5">
        <f>+[1]モンスター計算!U255</f>
        <v>-0.06</v>
      </c>
      <c r="V252" s="13">
        <f>+[1]モンスター計算!V255</f>
        <v>5.6</v>
      </c>
      <c r="W252" s="30">
        <v>11</v>
      </c>
      <c r="X252" s="27" t="s">
        <v>70</v>
      </c>
      <c r="Y252" s="33" t="s">
        <v>91</v>
      </c>
      <c r="Z252" s="13">
        <v>1.25</v>
      </c>
      <c r="AA252" s="30">
        <v>20</v>
      </c>
      <c r="AB252" s="30">
        <f t="shared" si="6"/>
        <v>247</v>
      </c>
      <c r="AC252" s="47">
        <f t="shared" si="7"/>
        <v>42</v>
      </c>
      <c r="AD252" s="27" t="s">
        <v>74</v>
      </c>
      <c r="AE252" s="5">
        <v>0</v>
      </c>
      <c r="AF252" s="5">
        <v>0</v>
      </c>
      <c r="AG252" s="13" t="b">
        <v>0</v>
      </c>
      <c r="AH252" s="30" t="s">
        <v>1163</v>
      </c>
      <c r="AI252" s="33" t="s">
        <v>1825</v>
      </c>
    </row>
    <row r="253" spans="1:35" ht="19.5" thickBot="1">
      <c r="A253" s="53" t="s">
        <v>768</v>
      </c>
      <c r="B253" s="16" t="s">
        <v>444</v>
      </c>
      <c r="C253" s="28" t="s">
        <v>47</v>
      </c>
      <c r="D253" s="16" t="s">
        <v>61</v>
      </c>
      <c r="E253" s="28">
        <f>+[1]モンスター計算!E256</f>
        <v>5277</v>
      </c>
      <c r="F253" s="15">
        <f>+[1]モンスター計算!F256</f>
        <v>1270</v>
      </c>
      <c r="G253" s="15">
        <f>+[1]モンスター計算!G256</f>
        <v>256</v>
      </c>
      <c r="H253" s="15">
        <f>+[1]モンスター計算!H256</f>
        <v>875</v>
      </c>
      <c r="I253" s="15">
        <f>+[1]モンスター計算!I256</f>
        <v>307</v>
      </c>
      <c r="J253" s="16">
        <f>+[1]モンスター計算!J256</f>
        <v>816</v>
      </c>
      <c r="K253" s="28">
        <f>+[1]モンスター計算!K256</f>
        <v>4.4999999999999998E-2</v>
      </c>
      <c r="L253" s="16">
        <f>+[1]モンスター計算!L256</f>
        <v>1.45</v>
      </c>
      <c r="M253" s="28">
        <f>+[1]モンスター計算!M256</f>
        <v>1.9</v>
      </c>
      <c r="N253" s="15">
        <f>+[1]モンスター計算!N256</f>
        <v>0.84</v>
      </c>
      <c r="O253" s="16">
        <f>+[1]モンスター計算!O256</f>
        <v>2.65</v>
      </c>
      <c r="P253" s="28">
        <f>+[1]モンスター計算!P256</f>
        <v>0.09</v>
      </c>
      <c r="Q253" s="15">
        <f>+[1]モンスター計算!Q256</f>
        <v>0.09</v>
      </c>
      <c r="R253" s="15">
        <f>+[1]モンスター計算!R256</f>
        <v>0.09</v>
      </c>
      <c r="S253" s="15">
        <f>+[1]モンスター計算!S256</f>
        <v>0.09</v>
      </c>
      <c r="T253" s="15">
        <f>+[1]モンスター計算!T256</f>
        <v>0.29000000000000004</v>
      </c>
      <c r="U253" s="15">
        <f>+[1]モンスター計算!U256</f>
        <v>-1.0000000000000009E-2</v>
      </c>
      <c r="V253" s="16">
        <f>+[1]モンスター計算!V256</f>
        <v>4.4000000000000004</v>
      </c>
      <c r="W253" s="31">
        <v>15</v>
      </c>
      <c r="X253" s="28" t="s">
        <v>72</v>
      </c>
      <c r="Y253" s="34" t="s">
        <v>92</v>
      </c>
      <c r="Z253" s="16">
        <v>1.3</v>
      </c>
      <c r="AA253" s="31">
        <v>40</v>
      </c>
      <c r="AB253" s="31">
        <f t="shared" si="6"/>
        <v>356</v>
      </c>
      <c r="AC253" s="48">
        <f t="shared" si="7"/>
        <v>42</v>
      </c>
      <c r="AD253" s="28" t="s">
        <v>55</v>
      </c>
      <c r="AE253" s="15">
        <v>10</v>
      </c>
      <c r="AF253" s="15">
        <v>4</v>
      </c>
      <c r="AG253" s="16" t="b">
        <v>1</v>
      </c>
      <c r="AH253" s="31" t="s">
        <v>1164</v>
      </c>
      <c r="AI253" s="34" t="s">
        <v>1825</v>
      </c>
    </row>
    <row r="254" spans="1:35">
      <c r="A254" s="51" t="s">
        <v>769</v>
      </c>
      <c r="B254" s="11" t="s">
        <v>445</v>
      </c>
      <c r="C254" s="26" t="s">
        <v>45</v>
      </c>
      <c r="D254" s="11" t="s">
        <v>61</v>
      </c>
      <c r="E254" s="26">
        <f>+[1]モンスター計算!E257</f>
        <v>5257</v>
      </c>
      <c r="F254" s="10">
        <f>+[1]モンスター計算!F257</f>
        <v>878</v>
      </c>
      <c r="G254" s="10">
        <f>+[1]モンスター計算!G257</f>
        <v>291</v>
      </c>
      <c r="H254" s="10">
        <f>+[1]モンスター計算!H257</f>
        <v>1042</v>
      </c>
      <c r="I254" s="10">
        <f>+[1]モンスター計算!I257</f>
        <v>359</v>
      </c>
      <c r="J254" s="11">
        <f>+[1]モンスター計算!J257</f>
        <v>399</v>
      </c>
      <c r="K254" s="26">
        <f>+[1]モンスター計算!K257</f>
        <v>0.06</v>
      </c>
      <c r="L254" s="11">
        <f>+[1]モンスター計算!L257</f>
        <v>1.6</v>
      </c>
      <c r="M254" s="26">
        <f>+[1]モンスター計算!M257</f>
        <v>2.25</v>
      </c>
      <c r="N254" s="10">
        <f>+[1]モンスター計算!N257</f>
        <v>0.91</v>
      </c>
      <c r="O254" s="11">
        <f>+[1]モンスター計算!O257</f>
        <v>4.75</v>
      </c>
      <c r="P254" s="26">
        <f>+[1]モンスター計算!P257</f>
        <v>-0.12000000000000001</v>
      </c>
      <c r="Q254" s="10">
        <f>+[1]モンスター計算!Q257</f>
        <v>0.18000000000000002</v>
      </c>
      <c r="R254" s="10">
        <f>+[1]モンスター計算!R257</f>
        <v>-0.02</v>
      </c>
      <c r="S254" s="10">
        <f>+[1]モンスター計算!S257</f>
        <v>-0.02</v>
      </c>
      <c r="T254" s="10">
        <f>+[1]モンスター計算!T257</f>
        <v>-0.02</v>
      </c>
      <c r="U254" s="10">
        <f>+[1]モンスター計算!U257</f>
        <v>-0.02</v>
      </c>
      <c r="V254" s="11">
        <f>+[1]モンスター計算!V257</f>
        <v>6.6</v>
      </c>
      <c r="W254" s="29">
        <v>8</v>
      </c>
      <c r="X254" s="26" t="s">
        <v>109</v>
      </c>
      <c r="Y254" s="32" t="s">
        <v>87</v>
      </c>
      <c r="Z254" s="11">
        <v>1.2</v>
      </c>
      <c r="AA254" s="29">
        <v>5</v>
      </c>
      <c r="AB254" s="29">
        <f t="shared" si="6"/>
        <v>133</v>
      </c>
      <c r="AC254" s="46">
        <f t="shared" si="7"/>
        <v>43</v>
      </c>
      <c r="AD254" s="26" t="s">
        <v>51</v>
      </c>
      <c r="AE254" s="10">
        <v>7</v>
      </c>
      <c r="AF254" s="10">
        <v>3</v>
      </c>
      <c r="AG254" s="11" t="b">
        <v>1</v>
      </c>
      <c r="AH254" s="29" t="s">
        <v>1165</v>
      </c>
      <c r="AI254" s="32" t="s">
        <v>1825</v>
      </c>
    </row>
    <row r="255" spans="1:35">
      <c r="A255" s="52" t="s">
        <v>770</v>
      </c>
      <c r="B255" s="13" t="s">
        <v>446</v>
      </c>
      <c r="C255" s="27" t="s">
        <v>44</v>
      </c>
      <c r="D255" s="13" t="s">
        <v>61</v>
      </c>
      <c r="E255" s="27">
        <f>+[1]モンスター計算!E258</f>
        <v>5641</v>
      </c>
      <c r="F255" s="5">
        <f>+[1]モンスター計算!F258</f>
        <v>2116</v>
      </c>
      <c r="G255" s="5">
        <f>+[1]モンスター計算!G258</f>
        <v>318</v>
      </c>
      <c r="H255" s="5">
        <f>+[1]モンスター計算!H258</f>
        <v>1010</v>
      </c>
      <c r="I255" s="5">
        <f>+[1]モンスター計算!I258</f>
        <v>421</v>
      </c>
      <c r="J255" s="13">
        <f>+[1]モンスター計算!J258</f>
        <v>517</v>
      </c>
      <c r="K255" s="27">
        <f>+[1]モンスター計算!K258</f>
        <v>6.5000000000000002E-2</v>
      </c>
      <c r="L255" s="13">
        <f>+[1]モンスター計算!L258</f>
        <v>1.45</v>
      </c>
      <c r="M255" s="27">
        <f>+[1]モンスター計算!M258</f>
        <v>2.1</v>
      </c>
      <c r="N255" s="5">
        <f>+[1]モンスター計算!N258</f>
        <v>0.9</v>
      </c>
      <c r="O255" s="13">
        <f>+[1]モンスター計算!O258</f>
        <v>2.8</v>
      </c>
      <c r="P255" s="27">
        <f>+[1]モンスター計算!P258</f>
        <v>0.22</v>
      </c>
      <c r="Q255" s="5">
        <f>+[1]モンスター計算!Q258</f>
        <v>-0.08</v>
      </c>
      <c r="R255" s="5">
        <f>+[1]モンスター計算!R258</f>
        <v>0.02</v>
      </c>
      <c r="S255" s="5">
        <f>+[1]モンスター計算!S258</f>
        <v>0.02</v>
      </c>
      <c r="T255" s="5">
        <f>+[1]モンスター計算!T258</f>
        <v>0.02</v>
      </c>
      <c r="U255" s="5">
        <f>+[1]モンスター計算!U258</f>
        <v>0.02</v>
      </c>
      <c r="V255" s="13">
        <f>+[1]モンスター計算!V258</f>
        <v>4.2</v>
      </c>
      <c r="W255" s="30">
        <v>8</v>
      </c>
      <c r="X255" s="27" t="s">
        <v>64</v>
      </c>
      <c r="Y255" s="33" t="s">
        <v>88</v>
      </c>
      <c r="Z255" s="13">
        <v>1.2</v>
      </c>
      <c r="AA255" s="30">
        <v>7</v>
      </c>
      <c r="AB255" s="30">
        <f t="shared" si="6"/>
        <v>147</v>
      </c>
      <c r="AC255" s="47">
        <f t="shared" si="7"/>
        <v>43</v>
      </c>
      <c r="AD255" s="27" t="s">
        <v>49</v>
      </c>
      <c r="AE255" s="5">
        <v>7.5</v>
      </c>
      <c r="AF255" s="5">
        <v>3</v>
      </c>
      <c r="AG255" s="13" t="b">
        <v>1</v>
      </c>
      <c r="AH255" s="30" t="s">
        <v>1166</v>
      </c>
      <c r="AI255" s="33" t="s">
        <v>1825</v>
      </c>
    </row>
    <row r="256" spans="1:35">
      <c r="A256" s="52" t="s">
        <v>771</v>
      </c>
      <c r="B256" s="13" t="s">
        <v>447</v>
      </c>
      <c r="C256" s="27" t="s">
        <v>46</v>
      </c>
      <c r="D256" s="13" t="s">
        <v>61</v>
      </c>
      <c r="E256" s="27">
        <f>+[1]モンスター計算!E259</f>
        <v>5476</v>
      </c>
      <c r="F256" s="5">
        <f>+[1]モンスター計算!F259</f>
        <v>878</v>
      </c>
      <c r="G256" s="5">
        <f>+[1]モンスター計算!G259</f>
        <v>394</v>
      </c>
      <c r="H256" s="5">
        <f>+[1]モンスター計算!H259</f>
        <v>876</v>
      </c>
      <c r="I256" s="5">
        <f>+[1]モンスター計算!I259</f>
        <v>416</v>
      </c>
      <c r="J256" s="13">
        <f>+[1]モンスター計算!J259</f>
        <v>482</v>
      </c>
      <c r="K256" s="27">
        <f>+[1]モンスター計算!K259</f>
        <v>7.0000000000000007E-2</v>
      </c>
      <c r="L256" s="13">
        <f>+[1]モンスター計算!L259</f>
        <v>1.55</v>
      </c>
      <c r="M256" s="27">
        <f>+[1]モンスター計算!M259</f>
        <v>2.2999999999999998</v>
      </c>
      <c r="N256" s="5">
        <f>+[1]モンスター計算!N259</f>
        <v>1.1000000000000001</v>
      </c>
      <c r="O256" s="13">
        <f>+[1]モンスター計算!O259</f>
        <v>2.7</v>
      </c>
      <c r="P256" s="27">
        <f>+[1]モンスター計算!P259</f>
        <v>-0.03</v>
      </c>
      <c r="Q256" s="5">
        <f>+[1]モンスター計算!Q259</f>
        <v>-0.03</v>
      </c>
      <c r="R256" s="5">
        <f>+[1]モンスター計算!R259</f>
        <v>0.17</v>
      </c>
      <c r="S256" s="5">
        <f>+[1]モンスター計算!S259</f>
        <v>-0.13</v>
      </c>
      <c r="T256" s="5">
        <f>+[1]モンスター計算!T259</f>
        <v>-0.03</v>
      </c>
      <c r="U256" s="5">
        <f>+[1]モンスター計算!U259</f>
        <v>-0.03</v>
      </c>
      <c r="V256" s="13">
        <f>+[1]モンスター計算!V259</f>
        <v>4</v>
      </c>
      <c r="W256" s="30">
        <v>9</v>
      </c>
      <c r="X256" s="27" t="s">
        <v>66</v>
      </c>
      <c r="Y256" s="33" t="s">
        <v>89</v>
      </c>
      <c r="Z256" s="13">
        <v>1.22</v>
      </c>
      <c r="AA256" s="30">
        <v>10</v>
      </c>
      <c r="AB256" s="30">
        <f t="shared" si="6"/>
        <v>172</v>
      </c>
      <c r="AC256" s="47">
        <f t="shared" si="7"/>
        <v>43</v>
      </c>
      <c r="AD256" s="27" t="s">
        <v>53</v>
      </c>
      <c r="AE256" s="5">
        <v>8.5</v>
      </c>
      <c r="AF256" s="5">
        <v>3</v>
      </c>
      <c r="AG256" s="13" t="b">
        <v>1</v>
      </c>
      <c r="AH256" s="30" t="s">
        <v>1167</v>
      </c>
      <c r="AI256" s="33" t="s">
        <v>1825</v>
      </c>
    </row>
    <row r="257" spans="1:35">
      <c r="A257" s="52" t="s">
        <v>772</v>
      </c>
      <c r="B257" s="13" t="s">
        <v>448</v>
      </c>
      <c r="C257" s="27" t="s">
        <v>44</v>
      </c>
      <c r="D257" s="13" t="s">
        <v>59</v>
      </c>
      <c r="E257" s="27">
        <f>+[1]モンスター計算!E260</f>
        <v>4436</v>
      </c>
      <c r="F257" s="5">
        <f>+[1]モンスター計算!F260</f>
        <v>277</v>
      </c>
      <c r="G257" s="5">
        <f>+[1]モンスター計算!G260</f>
        <v>768</v>
      </c>
      <c r="H257" s="5">
        <f>+[1]モンスター計算!H260</f>
        <v>242</v>
      </c>
      <c r="I257" s="5">
        <f>+[1]モンスター計算!I260</f>
        <v>329</v>
      </c>
      <c r="J257" s="13">
        <f>+[1]モンスター計算!J260</f>
        <v>346</v>
      </c>
      <c r="K257" s="27">
        <f>+[1]モンスター計算!K260</f>
        <v>7.0000000000000007E-2</v>
      </c>
      <c r="L257" s="13">
        <f>+[1]モンスター計算!L260</f>
        <v>1.45</v>
      </c>
      <c r="M257" s="27">
        <f>+[1]モンスター計算!M260</f>
        <v>3.35</v>
      </c>
      <c r="N257" s="5">
        <f>+[1]モンスター計算!N260</f>
        <v>1.77</v>
      </c>
      <c r="O257" s="13">
        <f>+[1]モンスター計算!O260</f>
        <v>1</v>
      </c>
      <c r="P257" s="27">
        <f>+[1]モンスター計算!P260</f>
        <v>0.13500000000000001</v>
      </c>
      <c r="Q257" s="5">
        <f>+[1]モンスター計算!Q260</f>
        <v>-0.16500000000000001</v>
      </c>
      <c r="R257" s="5">
        <f>+[1]モンスター計算!R260</f>
        <v>-6.5000000000000002E-2</v>
      </c>
      <c r="S257" s="5">
        <f>+[1]モンスター計算!S260</f>
        <v>-6.5000000000000002E-2</v>
      </c>
      <c r="T257" s="5">
        <f>+[1]モンスター計算!T260</f>
        <v>-6.5000000000000002E-2</v>
      </c>
      <c r="U257" s="5">
        <f>+[1]モンスター計算!U260</f>
        <v>-6.5000000000000002E-2</v>
      </c>
      <c r="V257" s="13">
        <f>+[1]モンスター計算!V260</f>
        <v>5</v>
      </c>
      <c r="W257" s="30">
        <v>10</v>
      </c>
      <c r="X257" s="27" t="s">
        <v>68</v>
      </c>
      <c r="Y257" s="33" t="s">
        <v>90</v>
      </c>
      <c r="Z257" s="13">
        <v>1.25</v>
      </c>
      <c r="AA257" s="30">
        <v>15</v>
      </c>
      <c r="AB257" s="30">
        <f t="shared" si="6"/>
        <v>223</v>
      </c>
      <c r="AC257" s="47">
        <f t="shared" si="7"/>
        <v>43</v>
      </c>
      <c r="AD257" s="27" t="s">
        <v>74</v>
      </c>
      <c r="AE257" s="5">
        <v>0</v>
      </c>
      <c r="AF257" s="5">
        <v>0</v>
      </c>
      <c r="AG257" s="13" t="b">
        <v>0</v>
      </c>
      <c r="AH257" s="30" t="s">
        <v>1168</v>
      </c>
      <c r="AI257" s="33" t="s">
        <v>1825</v>
      </c>
    </row>
    <row r="258" spans="1:35">
      <c r="A258" s="52" t="s">
        <v>773</v>
      </c>
      <c r="B258" s="13" t="s">
        <v>449</v>
      </c>
      <c r="C258" s="27" t="s">
        <v>45</v>
      </c>
      <c r="D258" s="13" t="s">
        <v>59</v>
      </c>
      <c r="E258" s="27">
        <f>+[1]モンスター計算!E261</f>
        <v>3176</v>
      </c>
      <c r="F258" s="5">
        <f>+[1]モンスター計算!F261</f>
        <v>177</v>
      </c>
      <c r="G258" s="5">
        <f>+[1]モンスター計算!G261</f>
        <v>1804</v>
      </c>
      <c r="H258" s="5">
        <f>+[1]モンスター計算!H261</f>
        <v>406</v>
      </c>
      <c r="I258" s="5">
        <f>+[1]モンスター計算!I261</f>
        <v>241</v>
      </c>
      <c r="J258" s="13">
        <f>+[1]モンスター計算!J261</f>
        <v>245</v>
      </c>
      <c r="K258" s="27">
        <f>+[1]モンスター計算!K261</f>
        <v>0.08</v>
      </c>
      <c r="L258" s="13">
        <f>+[1]モンスター計算!L261</f>
        <v>1.95</v>
      </c>
      <c r="M258" s="27">
        <f>+[1]モンスター計算!M261</f>
        <v>2.85</v>
      </c>
      <c r="N258" s="5">
        <f>+[1]モンスター計算!N261</f>
        <v>1.0900000000000001</v>
      </c>
      <c r="O258" s="13">
        <f>+[1]モンスター計算!O261</f>
        <v>1</v>
      </c>
      <c r="P258" s="27">
        <f>+[1]モンスター計算!P261</f>
        <v>-0.21500000000000002</v>
      </c>
      <c r="Q258" s="5">
        <f>+[1]モンスター計算!Q261</f>
        <v>8.5000000000000006E-2</v>
      </c>
      <c r="R258" s="5">
        <f>+[1]モンスター計算!R261</f>
        <v>-0.115</v>
      </c>
      <c r="S258" s="5">
        <f>+[1]モンスター計算!S261</f>
        <v>-0.115</v>
      </c>
      <c r="T258" s="5">
        <f>+[1]モンスター計算!T261</f>
        <v>-0.115</v>
      </c>
      <c r="U258" s="5">
        <f>+[1]モンスター計算!U261</f>
        <v>-0.115</v>
      </c>
      <c r="V258" s="13">
        <f>+[1]モンスター計算!V261</f>
        <v>4.4000000000000004</v>
      </c>
      <c r="W258" s="30">
        <v>11</v>
      </c>
      <c r="X258" s="27" t="s">
        <v>70</v>
      </c>
      <c r="Y258" s="33" t="s">
        <v>91</v>
      </c>
      <c r="Z258" s="13">
        <v>1.25</v>
      </c>
      <c r="AA258" s="30">
        <v>20</v>
      </c>
      <c r="AB258" s="30">
        <f t="shared" si="6"/>
        <v>260</v>
      </c>
      <c r="AC258" s="47">
        <f t="shared" si="7"/>
        <v>43</v>
      </c>
      <c r="AD258" s="27" t="s">
        <v>74</v>
      </c>
      <c r="AE258" s="5">
        <v>0</v>
      </c>
      <c r="AF258" s="5">
        <v>0</v>
      </c>
      <c r="AG258" s="13" t="b">
        <v>0</v>
      </c>
      <c r="AH258" s="30" t="s">
        <v>1169</v>
      </c>
      <c r="AI258" s="33" t="s">
        <v>1825</v>
      </c>
    </row>
    <row r="259" spans="1:35" ht="19.5" thickBot="1">
      <c r="A259" s="53" t="s">
        <v>774</v>
      </c>
      <c r="B259" s="16" t="s">
        <v>450</v>
      </c>
      <c r="C259" s="28" t="s">
        <v>47</v>
      </c>
      <c r="D259" s="16" t="s">
        <v>61</v>
      </c>
      <c r="E259" s="28">
        <f>+[1]モンスター計算!E262</f>
        <v>7667</v>
      </c>
      <c r="F259" s="15">
        <f>+[1]モンスター計算!F262</f>
        <v>1757</v>
      </c>
      <c r="G259" s="15">
        <f>+[1]モンスター計算!G262</f>
        <v>294</v>
      </c>
      <c r="H259" s="15">
        <f>+[1]モンスター計算!H262</f>
        <v>777</v>
      </c>
      <c r="I259" s="15">
        <f>+[1]モンスター計算!I262</f>
        <v>416</v>
      </c>
      <c r="J259" s="16">
        <f>+[1]モンスター計算!J262</f>
        <v>736</v>
      </c>
      <c r="K259" s="28">
        <f>+[1]モンスター計算!K262</f>
        <v>0.115</v>
      </c>
      <c r="L259" s="16">
        <f>+[1]モンスター計算!L262</f>
        <v>1.95</v>
      </c>
      <c r="M259" s="28">
        <f>+[1]モンスター計算!M262</f>
        <v>1.2</v>
      </c>
      <c r="N259" s="15">
        <f>+[1]モンスター計算!N262</f>
        <v>0.72</v>
      </c>
      <c r="O259" s="16">
        <f>+[1]モンスター計算!O262</f>
        <v>3.3250000000000002</v>
      </c>
      <c r="P259" s="28">
        <f>+[1]モンスター計算!P262</f>
        <v>0.08</v>
      </c>
      <c r="Q259" s="15">
        <f>+[1]モンスター計算!Q262</f>
        <v>0.08</v>
      </c>
      <c r="R259" s="15">
        <f>+[1]モンスター計算!R262</f>
        <v>0.08</v>
      </c>
      <c r="S259" s="15">
        <f>+[1]モンスター計算!S262</f>
        <v>0.08</v>
      </c>
      <c r="T259" s="15">
        <f>+[1]モンスター計算!T262</f>
        <v>0.28000000000000003</v>
      </c>
      <c r="U259" s="15">
        <f>+[1]モンスター計算!U262</f>
        <v>-2.0000000000000004E-2</v>
      </c>
      <c r="V259" s="16">
        <f>+[1]モンスター計算!V262</f>
        <v>5</v>
      </c>
      <c r="W259" s="31">
        <v>15</v>
      </c>
      <c r="X259" s="28" t="s">
        <v>72</v>
      </c>
      <c r="Y259" s="34" t="s">
        <v>92</v>
      </c>
      <c r="Z259" s="16">
        <v>1.3</v>
      </c>
      <c r="AA259" s="31">
        <v>40</v>
      </c>
      <c r="AB259" s="31">
        <f t="shared" si="6"/>
        <v>374</v>
      </c>
      <c r="AC259" s="48">
        <f t="shared" si="7"/>
        <v>43</v>
      </c>
      <c r="AD259" s="28" t="s">
        <v>55</v>
      </c>
      <c r="AE259" s="15">
        <v>10</v>
      </c>
      <c r="AF259" s="15">
        <v>4</v>
      </c>
      <c r="AG259" s="16" t="b">
        <v>1</v>
      </c>
      <c r="AH259" s="31" t="s">
        <v>1170</v>
      </c>
      <c r="AI259" s="34" t="s">
        <v>1825</v>
      </c>
    </row>
    <row r="260" spans="1:35">
      <c r="A260" s="51" t="s">
        <v>775</v>
      </c>
      <c r="B260" s="11" t="s">
        <v>451</v>
      </c>
      <c r="C260" s="26" t="s">
        <v>45</v>
      </c>
      <c r="D260" s="11" t="s">
        <v>61</v>
      </c>
      <c r="E260" s="26">
        <f>+[1]モンスター計算!E263</f>
        <v>6024</v>
      </c>
      <c r="F260" s="10">
        <f>+[1]モンスター計算!F263</f>
        <v>1054</v>
      </c>
      <c r="G260" s="10">
        <f>+[1]モンスター計算!G263</f>
        <v>340</v>
      </c>
      <c r="H260" s="10">
        <f>+[1]モンスター計算!H263</f>
        <v>1079</v>
      </c>
      <c r="I260" s="10">
        <f>+[1]モンスター計算!I263</f>
        <v>463</v>
      </c>
      <c r="J260" s="11">
        <f>+[1]モンスター計算!J263</f>
        <v>492</v>
      </c>
      <c r="K260" s="26">
        <f>+[1]モンスター計算!K263</f>
        <v>4.4999999999999998E-2</v>
      </c>
      <c r="L260" s="11">
        <f>+[1]モンスター計算!L263</f>
        <v>1.4</v>
      </c>
      <c r="M260" s="26">
        <f>+[1]モンスター計算!M263</f>
        <v>2.0499999999999998</v>
      </c>
      <c r="N260" s="10">
        <f>+[1]モンスター計算!N263</f>
        <v>0.92</v>
      </c>
      <c r="O260" s="11">
        <f>+[1]モンスター計算!O263</f>
        <v>2.6749999999999998</v>
      </c>
      <c r="P260" s="26">
        <f>+[1]モンスター計算!P263</f>
        <v>0.09</v>
      </c>
      <c r="Q260" s="10">
        <f>+[1]モンスター計算!Q263</f>
        <v>0.39</v>
      </c>
      <c r="R260" s="10">
        <f>+[1]モンスター計算!R263</f>
        <v>0.19</v>
      </c>
      <c r="S260" s="10">
        <f>+[1]モンスター計算!S263</f>
        <v>0.19</v>
      </c>
      <c r="T260" s="10">
        <f>+[1]モンスター計算!T263</f>
        <v>0.19</v>
      </c>
      <c r="U260" s="10">
        <f>+[1]モンスター計算!U263</f>
        <v>0.19</v>
      </c>
      <c r="V260" s="11">
        <f>+[1]モンスター計算!V263</f>
        <v>4</v>
      </c>
      <c r="W260" s="29">
        <v>8</v>
      </c>
      <c r="X260" s="26" t="s">
        <v>109</v>
      </c>
      <c r="Y260" s="32" t="s">
        <v>87</v>
      </c>
      <c r="Z260" s="11">
        <v>1.2</v>
      </c>
      <c r="AA260" s="29">
        <v>5</v>
      </c>
      <c r="AB260" s="29">
        <f t="shared" si="6"/>
        <v>140</v>
      </c>
      <c r="AC260" s="46">
        <f t="shared" si="7"/>
        <v>44</v>
      </c>
      <c r="AD260" s="26" t="s">
        <v>51</v>
      </c>
      <c r="AE260" s="10">
        <v>7</v>
      </c>
      <c r="AF260" s="10">
        <v>3</v>
      </c>
      <c r="AG260" s="11" t="b">
        <v>1</v>
      </c>
      <c r="AH260" s="29" t="s">
        <v>1171</v>
      </c>
      <c r="AI260" s="32" t="s">
        <v>1825</v>
      </c>
    </row>
    <row r="261" spans="1:35">
      <c r="A261" s="52" t="s">
        <v>776</v>
      </c>
      <c r="B261" s="13" t="s">
        <v>452</v>
      </c>
      <c r="C261" s="27" t="s">
        <v>44</v>
      </c>
      <c r="D261" s="13" t="s">
        <v>61</v>
      </c>
      <c r="E261" s="27">
        <f>+[1]モンスター計算!E264</f>
        <v>5542</v>
      </c>
      <c r="F261" s="5">
        <f>+[1]モンスター計算!F264</f>
        <v>878</v>
      </c>
      <c r="G261" s="5">
        <f>+[1]モンスター計算!G264</f>
        <v>501</v>
      </c>
      <c r="H261" s="5">
        <f>+[1]モンスター計算!H264</f>
        <v>1114</v>
      </c>
      <c r="I261" s="5">
        <f>+[1]モンスター計算!I264</f>
        <v>458</v>
      </c>
      <c r="J261" s="13">
        <f>+[1]モンスター計算!J264</f>
        <v>506</v>
      </c>
      <c r="K261" s="27">
        <f>+[1]モンスター計算!K264</f>
        <v>0.05</v>
      </c>
      <c r="L261" s="13">
        <f>+[1]モンスター計算!L264</f>
        <v>1.5</v>
      </c>
      <c r="M261" s="27">
        <f>+[1]モンスター計算!M264</f>
        <v>2</v>
      </c>
      <c r="N261" s="5">
        <f>+[1]モンスター計算!N264</f>
        <v>1.05</v>
      </c>
      <c r="O261" s="13">
        <f>+[1]モンスター計算!O264</f>
        <v>2.5</v>
      </c>
      <c r="P261" s="27">
        <f>+[1]モンスター計算!P264</f>
        <v>0.2</v>
      </c>
      <c r="Q261" s="5">
        <f>+[1]モンスター計算!Q264</f>
        <v>-0.1</v>
      </c>
      <c r="R261" s="5">
        <f>+[1]モンスター計算!R264</f>
        <v>0</v>
      </c>
      <c r="S261" s="5">
        <f>+[1]モンスター計算!S264</f>
        <v>0</v>
      </c>
      <c r="T261" s="5">
        <f>+[1]モンスター計算!T264</f>
        <v>0</v>
      </c>
      <c r="U261" s="5">
        <f>+[1]モンスター計算!U264</f>
        <v>0</v>
      </c>
      <c r="V261" s="13">
        <f>+[1]モンスター計算!V264</f>
        <v>4</v>
      </c>
      <c r="W261" s="30">
        <v>8</v>
      </c>
      <c r="X261" s="27" t="s">
        <v>64</v>
      </c>
      <c r="Y261" s="33" t="s">
        <v>88</v>
      </c>
      <c r="Z261" s="13">
        <v>1.2</v>
      </c>
      <c r="AA261" s="30">
        <v>7</v>
      </c>
      <c r="AB261" s="30">
        <f t="shared" si="6"/>
        <v>155</v>
      </c>
      <c r="AC261" s="47">
        <f t="shared" si="7"/>
        <v>44</v>
      </c>
      <c r="AD261" s="27" t="s">
        <v>49</v>
      </c>
      <c r="AE261" s="5">
        <v>7.5</v>
      </c>
      <c r="AF261" s="5">
        <v>3</v>
      </c>
      <c r="AG261" s="13" t="b">
        <v>1</v>
      </c>
      <c r="AH261" s="30" t="s">
        <v>1172</v>
      </c>
      <c r="AI261" s="33" t="s">
        <v>1825</v>
      </c>
    </row>
    <row r="262" spans="1:35">
      <c r="A262" s="52" t="s">
        <v>777</v>
      </c>
      <c r="B262" s="13" t="s">
        <v>453</v>
      </c>
      <c r="C262" s="27" t="s">
        <v>46</v>
      </c>
      <c r="D262" s="13" t="s">
        <v>61</v>
      </c>
      <c r="E262" s="27">
        <f>+[1]モンスター計算!E265</f>
        <v>4458</v>
      </c>
      <c r="F262" s="5">
        <f>+[1]モンスター計算!F265</f>
        <v>834</v>
      </c>
      <c r="G262" s="5">
        <f>+[1]モンスター計算!G265</f>
        <v>303</v>
      </c>
      <c r="H262" s="5">
        <f>+[1]モンスター計算!H265</f>
        <v>1035</v>
      </c>
      <c r="I262" s="5">
        <f>+[1]モンスター計算!I265</f>
        <v>347</v>
      </c>
      <c r="J262" s="13">
        <f>+[1]モンスター計算!J265</f>
        <v>405</v>
      </c>
      <c r="K262" s="27">
        <f>+[1]モンスター計算!K265</f>
        <v>0.05</v>
      </c>
      <c r="L262" s="13">
        <f>+[1]モンスター計算!L265</f>
        <v>1.4</v>
      </c>
      <c r="M262" s="27">
        <f>+[1]モンスター計算!M265</f>
        <v>3.35</v>
      </c>
      <c r="N262" s="5">
        <f>+[1]モンスター計算!N265</f>
        <v>1.55</v>
      </c>
      <c r="O262" s="13">
        <f>+[1]モンスター計算!O265</f>
        <v>2.2999999999999998</v>
      </c>
      <c r="P262" s="27">
        <f>+[1]モンスター計算!P265</f>
        <v>-7.0000000000000007E-2</v>
      </c>
      <c r="Q262" s="5">
        <f>+[1]モンスター計算!Q265</f>
        <v>-7.0000000000000007E-2</v>
      </c>
      <c r="R262" s="5">
        <f>+[1]モンスター計算!R265</f>
        <v>0.13</v>
      </c>
      <c r="S262" s="5">
        <f>+[1]モンスター計算!S265</f>
        <v>-0.17</v>
      </c>
      <c r="T262" s="5">
        <f>+[1]モンスター計算!T265</f>
        <v>-7.0000000000000007E-2</v>
      </c>
      <c r="U262" s="5">
        <f>+[1]モンスター計算!U265</f>
        <v>-7.0000000000000007E-2</v>
      </c>
      <c r="V262" s="13">
        <f>+[1]モンスター計算!V265</f>
        <v>4</v>
      </c>
      <c r="W262" s="30">
        <v>9</v>
      </c>
      <c r="X262" s="27" t="s">
        <v>66</v>
      </c>
      <c r="Y262" s="33" t="s">
        <v>89</v>
      </c>
      <c r="Z262" s="13">
        <v>1.22</v>
      </c>
      <c r="AA262" s="30">
        <v>10</v>
      </c>
      <c r="AB262" s="30">
        <f t="shared" si="6"/>
        <v>181</v>
      </c>
      <c r="AC262" s="47">
        <f t="shared" si="7"/>
        <v>44</v>
      </c>
      <c r="AD262" s="27" t="s">
        <v>53</v>
      </c>
      <c r="AE262" s="5">
        <v>8.5</v>
      </c>
      <c r="AF262" s="5">
        <v>3</v>
      </c>
      <c r="AG262" s="13" t="b">
        <v>1</v>
      </c>
      <c r="AH262" s="30" t="s">
        <v>1173</v>
      </c>
      <c r="AI262" s="33" t="s">
        <v>1825</v>
      </c>
    </row>
    <row r="263" spans="1:35">
      <c r="A263" s="52" t="s">
        <v>778</v>
      </c>
      <c r="B263" s="13" t="s">
        <v>454</v>
      </c>
      <c r="C263" s="27" t="s">
        <v>44</v>
      </c>
      <c r="D263" s="13" t="s">
        <v>59</v>
      </c>
      <c r="E263" s="27">
        <f>+[1]モンスター計算!E266</f>
        <v>3976</v>
      </c>
      <c r="F263" s="5">
        <f>+[1]モンスター計算!F266</f>
        <v>234</v>
      </c>
      <c r="G263" s="5">
        <f>+[1]モンスター計算!G266</f>
        <v>1067</v>
      </c>
      <c r="H263" s="5">
        <f>+[1]モンスター計算!H266</f>
        <v>264</v>
      </c>
      <c r="I263" s="5">
        <f>+[1]モンスター計算!I266</f>
        <v>337</v>
      </c>
      <c r="J263" s="13">
        <f>+[1]モンスター計算!J266</f>
        <v>342</v>
      </c>
      <c r="K263" s="27">
        <f>+[1]モンスター計算!K266</f>
        <v>0.21</v>
      </c>
      <c r="L263" s="13">
        <f>+[1]モンスター計算!L266</f>
        <v>1.78</v>
      </c>
      <c r="M263" s="27">
        <f>+[1]モンスター計算!M266</f>
        <v>4.05</v>
      </c>
      <c r="N263" s="5">
        <f>+[1]モンスター計算!N266</f>
        <v>1.56</v>
      </c>
      <c r="O263" s="13">
        <f>+[1]モンスター計算!O266</f>
        <v>1</v>
      </c>
      <c r="P263" s="27">
        <f>+[1]モンスター計算!P266</f>
        <v>0.12000000000000001</v>
      </c>
      <c r="Q263" s="5">
        <f>+[1]モンスター計算!Q266</f>
        <v>-0.18</v>
      </c>
      <c r="R263" s="5">
        <f>+[1]モンスター計算!R266</f>
        <v>-0.08</v>
      </c>
      <c r="S263" s="5">
        <f>+[1]モンスター計算!S266</f>
        <v>-0.08</v>
      </c>
      <c r="T263" s="5">
        <f>+[1]モンスター計算!T266</f>
        <v>-0.08</v>
      </c>
      <c r="U263" s="5">
        <f>+[1]モンスター計算!U266</f>
        <v>-0.08</v>
      </c>
      <c r="V263" s="13">
        <f>+[1]モンスター計算!V266</f>
        <v>5</v>
      </c>
      <c r="W263" s="30">
        <v>10</v>
      </c>
      <c r="X263" s="27" t="s">
        <v>68</v>
      </c>
      <c r="Y263" s="33" t="s">
        <v>90</v>
      </c>
      <c r="Z263" s="13">
        <v>1.25</v>
      </c>
      <c r="AA263" s="30">
        <v>15</v>
      </c>
      <c r="AB263" s="30">
        <f t="shared" si="6"/>
        <v>235</v>
      </c>
      <c r="AC263" s="47">
        <f t="shared" si="7"/>
        <v>44</v>
      </c>
      <c r="AD263" s="27" t="s">
        <v>74</v>
      </c>
      <c r="AE263" s="5">
        <v>0</v>
      </c>
      <c r="AF263" s="5">
        <v>0</v>
      </c>
      <c r="AG263" s="13" t="b">
        <v>0</v>
      </c>
      <c r="AH263" s="30" t="s">
        <v>1174</v>
      </c>
      <c r="AI263" s="33" t="s">
        <v>1825</v>
      </c>
    </row>
    <row r="264" spans="1:35">
      <c r="A264" s="52" t="s">
        <v>779</v>
      </c>
      <c r="B264" s="13" t="s">
        <v>455</v>
      </c>
      <c r="C264" s="27" t="s">
        <v>45</v>
      </c>
      <c r="D264" s="13" t="s">
        <v>59</v>
      </c>
      <c r="E264" s="27">
        <f>+[1]モンスター計算!E267</f>
        <v>4819</v>
      </c>
      <c r="F264" s="5">
        <f>+[1]モンスター計算!F267</f>
        <v>410</v>
      </c>
      <c r="G264" s="5">
        <f>+[1]モンスター計算!G267</f>
        <v>1154</v>
      </c>
      <c r="H264" s="5">
        <f>+[1]モンスター計算!H267</f>
        <v>364</v>
      </c>
      <c r="I264" s="5">
        <f>+[1]モンスター計算!I267</f>
        <v>371</v>
      </c>
      <c r="J264" s="13">
        <f>+[1]モンスター計算!J267</f>
        <v>400</v>
      </c>
      <c r="K264" s="27">
        <f>+[1]モンスター計算!K267</f>
        <v>6.5000000000000002E-2</v>
      </c>
      <c r="L264" s="13">
        <f>+[1]モンスター計算!L267</f>
        <v>1.46</v>
      </c>
      <c r="M264" s="27">
        <f>+[1]モンスター計算!M267</f>
        <v>3.88</v>
      </c>
      <c r="N264" s="5">
        <f>+[1]モンスター計算!N267</f>
        <v>1.29</v>
      </c>
      <c r="O264" s="13">
        <f>+[1]モンスター計算!O267</f>
        <v>1</v>
      </c>
      <c r="P264" s="27">
        <f>+[1]モンスター計算!P267</f>
        <v>-0.14000000000000001</v>
      </c>
      <c r="Q264" s="5">
        <f>+[1]モンスター計算!Q267</f>
        <v>0.16</v>
      </c>
      <c r="R264" s="5">
        <f>+[1]モンスター計算!R267</f>
        <v>-0.04</v>
      </c>
      <c r="S264" s="5">
        <f>+[1]モンスター計算!S267</f>
        <v>-0.04</v>
      </c>
      <c r="T264" s="5">
        <f>+[1]モンスター計算!T267</f>
        <v>-0.04</v>
      </c>
      <c r="U264" s="5">
        <f>+[1]モンスター計算!U267</f>
        <v>-0.04</v>
      </c>
      <c r="V264" s="13">
        <f>+[1]モンスター計算!V267</f>
        <v>9.1999999999999993</v>
      </c>
      <c r="W264" s="30">
        <v>11</v>
      </c>
      <c r="X264" s="27" t="s">
        <v>70</v>
      </c>
      <c r="Y264" s="33" t="s">
        <v>91</v>
      </c>
      <c r="Z264" s="13">
        <v>1.25</v>
      </c>
      <c r="AA264" s="30">
        <v>20</v>
      </c>
      <c r="AB264" s="30">
        <f t="shared" si="6"/>
        <v>273</v>
      </c>
      <c r="AC264" s="47">
        <f t="shared" si="7"/>
        <v>44</v>
      </c>
      <c r="AD264" s="27" t="s">
        <v>74</v>
      </c>
      <c r="AE264" s="5">
        <v>0</v>
      </c>
      <c r="AF264" s="5">
        <v>0</v>
      </c>
      <c r="AG264" s="13" t="b">
        <v>0</v>
      </c>
      <c r="AH264" s="30" t="s">
        <v>1175</v>
      </c>
      <c r="AI264" s="33" t="s">
        <v>1825</v>
      </c>
    </row>
    <row r="265" spans="1:35" ht="19.5" thickBot="1">
      <c r="A265" s="53" t="s">
        <v>780</v>
      </c>
      <c r="B265" s="16" t="s">
        <v>456</v>
      </c>
      <c r="C265" s="28" t="s">
        <v>47</v>
      </c>
      <c r="D265" s="16" t="s">
        <v>61</v>
      </c>
      <c r="E265" s="28">
        <f>+[1]モンスター計算!E268</f>
        <v>7229</v>
      </c>
      <c r="F265" s="15">
        <f>+[1]モンスター計算!F268</f>
        <v>878</v>
      </c>
      <c r="G265" s="15">
        <f>+[1]モンスター計算!G268</f>
        <v>386</v>
      </c>
      <c r="H265" s="15">
        <f>+[1]モンスター計算!H268</f>
        <v>857</v>
      </c>
      <c r="I265" s="15">
        <f>+[1]モンスター計算!I268</f>
        <v>626</v>
      </c>
      <c r="J265" s="16">
        <f>+[1]モンスター計算!J268</f>
        <v>410</v>
      </c>
      <c r="K265" s="28">
        <f>+[1]モンスター計算!K268</f>
        <v>0.08</v>
      </c>
      <c r="L265" s="16">
        <f>+[1]モンスター計算!L268</f>
        <v>1.6</v>
      </c>
      <c r="M265" s="28">
        <f>+[1]モンスター計算!M268</f>
        <v>2.8</v>
      </c>
      <c r="N265" s="15">
        <f>+[1]モンスター計算!N268</f>
        <v>1</v>
      </c>
      <c r="O265" s="16">
        <f>+[1]モンスター計算!O268</f>
        <v>2.5</v>
      </c>
      <c r="P265" s="28">
        <f>+[1]モンスター計算!P268</f>
        <v>1.4999999999999999E-2</v>
      </c>
      <c r="Q265" s="15">
        <f>+[1]モンスター計算!Q268</f>
        <v>1.4999999999999999E-2</v>
      </c>
      <c r="R265" s="15">
        <f>+[1]モンスター計算!R268</f>
        <v>1.4999999999999999E-2</v>
      </c>
      <c r="S265" s="15">
        <f>+[1]モンスター計算!S268</f>
        <v>1.4999999999999999E-2</v>
      </c>
      <c r="T265" s="15">
        <f>+[1]モンスター計算!T268</f>
        <v>0.21500000000000002</v>
      </c>
      <c r="U265" s="15">
        <f>+[1]モンスター計算!U268</f>
        <v>-8.5000000000000006E-2</v>
      </c>
      <c r="V265" s="16">
        <f>+[1]モンスター計算!V268</f>
        <v>4</v>
      </c>
      <c r="W265" s="31">
        <v>15</v>
      </c>
      <c r="X265" s="28" t="s">
        <v>72</v>
      </c>
      <c r="Y265" s="34" t="s">
        <v>92</v>
      </c>
      <c r="Z265" s="16">
        <v>1.3</v>
      </c>
      <c r="AA265" s="31">
        <v>40</v>
      </c>
      <c r="AB265" s="31">
        <f t="shared" ref="AB265:AB328" si="8">ROUNDUP(AB259*1.05,0)</f>
        <v>393</v>
      </c>
      <c r="AC265" s="48">
        <f t="shared" ref="AC265:AC328" si="9">+AC259+1</f>
        <v>44</v>
      </c>
      <c r="AD265" s="28" t="s">
        <v>55</v>
      </c>
      <c r="AE265" s="15">
        <v>10</v>
      </c>
      <c r="AF265" s="15">
        <v>4</v>
      </c>
      <c r="AG265" s="16" t="b">
        <v>1</v>
      </c>
      <c r="AH265" s="31" t="s">
        <v>1176</v>
      </c>
      <c r="AI265" s="34" t="s">
        <v>1825</v>
      </c>
    </row>
    <row r="266" spans="1:35">
      <c r="A266" s="51" t="s">
        <v>781</v>
      </c>
      <c r="B266" s="11" t="s">
        <v>457</v>
      </c>
      <c r="C266" s="26" t="s">
        <v>45</v>
      </c>
      <c r="D266" s="11" t="s">
        <v>61</v>
      </c>
      <c r="E266" s="26">
        <f>+[1]モンスター計算!E269</f>
        <v>5434</v>
      </c>
      <c r="F266" s="10">
        <f>+[1]モンスター計算!F269</f>
        <v>870</v>
      </c>
      <c r="G266" s="10">
        <f>+[1]モンスター計算!G269</f>
        <v>667</v>
      </c>
      <c r="H266" s="10">
        <f>+[1]モンスター計算!H269</f>
        <v>1482</v>
      </c>
      <c r="I266" s="10">
        <f>+[1]モンスター計算!I269</f>
        <v>451</v>
      </c>
      <c r="J266" s="11">
        <f>+[1]モンスター計算!J269</f>
        <v>530</v>
      </c>
      <c r="K266" s="26">
        <f>+[1]モンスター計算!K269</f>
        <v>0.05</v>
      </c>
      <c r="L266" s="11">
        <f>+[1]モンスター計算!L269</f>
        <v>1.5</v>
      </c>
      <c r="M266" s="26">
        <f>+[1]モンスター計算!M269</f>
        <v>2</v>
      </c>
      <c r="N266" s="10">
        <f>+[1]モンスター計算!N269</f>
        <v>1</v>
      </c>
      <c r="O266" s="11">
        <f>+[1]モンスター計算!O269</f>
        <v>2.5</v>
      </c>
      <c r="P266" s="26">
        <f>+[1]モンスター計算!P269</f>
        <v>-0.12000000000000001</v>
      </c>
      <c r="Q266" s="10">
        <f>+[1]モンスター計算!Q269</f>
        <v>0.18000000000000002</v>
      </c>
      <c r="R266" s="10">
        <f>+[1]モンスター計算!R269</f>
        <v>-0.02</v>
      </c>
      <c r="S266" s="10">
        <f>+[1]モンスター計算!S269</f>
        <v>-0.02</v>
      </c>
      <c r="T266" s="10">
        <f>+[1]モンスター計算!T269</f>
        <v>-0.02</v>
      </c>
      <c r="U266" s="10">
        <f>+[1]モンスター計算!U269</f>
        <v>-0.02</v>
      </c>
      <c r="V266" s="11">
        <f>+[1]モンスター計算!V269</f>
        <v>4</v>
      </c>
      <c r="W266" s="29">
        <v>8</v>
      </c>
      <c r="X266" s="26" t="s">
        <v>109</v>
      </c>
      <c r="Y266" s="32" t="s">
        <v>87</v>
      </c>
      <c r="Z266" s="11">
        <v>1.2</v>
      </c>
      <c r="AA266" s="29">
        <v>5</v>
      </c>
      <c r="AB266" s="29">
        <f t="shared" si="8"/>
        <v>147</v>
      </c>
      <c r="AC266" s="46">
        <f t="shared" si="9"/>
        <v>45</v>
      </c>
      <c r="AD266" s="26" t="s">
        <v>51</v>
      </c>
      <c r="AE266" s="10">
        <v>7</v>
      </c>
      <c r="AF266" s="10">
        <v>3</v>
      </c>
      <c r="AG266" s="11" t="b">
        <v>1</v>
      </c>
      <c r="AH266" s="29" t="s">
        <v>1177</v>
      </c>
      <c r="AI266" s="32" t="s">
        <v>1825</v>
      </c>
    </row>
    <row r="267" spans="1:35">
      <c r="A267" s="52" t="s">
        <v>782</v>
      </c>
      <c r="B267" s="13" t="s">
        <v>458</v>
      </c>
      <c r="C267" s="27" t="s">
        <v>44</v>
      </c>
      <c r="D267" s="13" t="s">
        <v>61</v>
      </c>
      <c r="E267" s="27">
        <f>+[1]モンスター計算!E270</f>
        <v>7289</v>
      </c>
      <c r="F267" s="5">
        <f>+[1]モンスター計算!F270</f>
        <v>1014</v>
      </c>
      <c r="G267" s="5">
        <f>+[1]モンスター計算!G270</f>
        <v>463</v>
      </c>
      <c r="H267" s="5">
        <f>+[1]モンスター計算!H270</f>
        <v>1029</v>
      </c>
      <c r="I267" s="5">
        <f>+[1]モンスター計算!I270</f>
        <v>583</v>
      </c>
      <c r="J267" s="13">
        <f>+[1]モンスター計算!J270</f>
        <v>583</v>
      </c>
      <c r="K267" s="27">
        <f>+[1]モンスター計算!K270</f>
        <v>7.0000000000000007E-2</v>
      </c>
      <c r="L267" s="13">
        <f>+[1]モンスター計算!L270</f>
        <v>1.55</v>
      </c>
      <c r="M267" s="27">
        <f>+[1]モンスター計算!M270</f>
        <v>2.4</v>
      </c>
      <c r="N267" s="5">
        <f>+[1]モンスター計算!N270</f>
        <v>1</v>
      </c>
      <c r="O267" s="13">
        <f>+[1]モンスター計算!O270</f>
        <v>2.5</v>
      </c>
      <c r="P267" s="27">
        <f>+[1]モンスター計算!P270</f>
        <v>0.22</v>
      </c>
      <c r="Q267" s="5">
        <f>+[1]モンスター計算!Q270</f>
        <v>-0.08</v>
      </c>
      <c r="R267" s="5">
        <f>+[1]モンスター計算!R270</f>
        <v>0.02</v>
      </c>
      <c r="S267" s="5">
        <f>+[1]モンスター計算!S270</f>
        <v>0.02</v>
      </c>
      <c r="T267" s="5">
        <f>+[1]モンスター計算!T270</f>
        <v>0.02</v>
      </c>
      <c r="U267" s="5">
        <f>+[1]モンスター計算!U270</f>
        <v>0.02</v>
      </c>
      <c r="V267" s="13">
        <f>+[1]モンスター計算!V270</f>
        <v>4</v>
      </c>
      <c r="W267" s="30">
        <v>8</v>
      </c>
      <c r="X267" s="27" t="s">
        <v>64</v>
      </c>
      <c r="Y267" s="33" t="s">
        <v>88</v>
      </c>
      <c r="Z267" s="13">
        <v>1.2</v>
      </c>
      <c r="AA267" s="30">
        <v>7</v>
      </c>
      <c r="AB267" s="30">
        <f t="shared" si="8"/>
        <v>163</v>
      </c>
      <c r="AC267" s="47">
        <f t="shared" si="9"/>
        <v>45</v>
      </c>
      <c r="AD267" s="27" t="s">
        <v>49</v>
      </c>
      <c r="AE267" s="5">
        <v>7.5</v>
      </c>
      <c r="AF267" s="5">
        <v>3</v>
      </c>
      <c r="AG267" s="13" t="b">
        <v>1</v>
      </c>
      <c r="AH267" s="30" t="s">
        <v>1178</v>
      </c>
      <c r="AI267" s="33" t="s">
        <v>1825</v>
      </c>
    </row>
    <row r="268" spans="1:35">
      <c r="A268" s="52" t="s">
        <v>783</v>
      </c>
      <c r="B268" s="13" t="s">
        <v>459</v>
      </c>
      <c r="C268" s="27" t="s">
        <v>46</v>
      </c>
      <c r="D268" s="13" t="s">
        <v>61</v>
      </c>
      <c r="E268" s="27">
        <f>+[1]モンスター計算!E271</f>
        <v>8482</v>
      </c>
      <c r="F268" s="5">
        <f>+[1]モンスター計算!F271</f>
        <v>918</v>
      </c>
      <c r="G268" s="5">
        <f>+[1]モンスター計算!G271</f>
        <v>240</v>
      </c>
      <c r="H268" s="5">
        <f>+[1]モンスター計算!H271</f>
        <v>628</v>
      </c>
      <c r="I268" s="5">
        <f>+[1]モンスター計算!I271</f>
        <v>652</v>
      </c>
      <c r="J268" s="13">
        <f>+[1]モンスター計算!J271</f>
        <v>594</v>
      </c>
      <c r="K268" s="27">
        <f>+[1]モンスター計算!K271</f>
        <v>7.0000000000000007E-2</v>
      </c>
      <c r="L268" s="13">
        <f>+[1]モンスター計算!L271</f>
        <v>1.5</v>
      </c>
      <c r="M268" s="27">
        <f>+[1]モンスター計算!M271</f>
        <v>2.8</v>
      </c>
      <c r="N268" s="5">
        <f>+[1]モンスター計算!N271</f>
        <v>1.45</v>
      </c>
      <c r="O268" s="13">
        <f>+[1]モンスター計算!O271</f>
        <v>1.55</v>
      </c>
      <c r="P268" s="27">
        <f>+[1]モンスター計算!P271</f>
        <v>0.03</v>
      </c>
      <c r="Q268" s="5">
        <f>+[1]モンスター計算!Q271</f>
        <v>0.03</v>
      </c>
      <c r="R268" s="5">
        <f>+[1]モンスター計算!R271</f>
        <v>0.23</v>
      </c>
      <c r="S268" s="5">
        <f>+[1]モンスター計算!S271</f>
        <v>-7.0000000000000007E-2</v>
      </c>
      <c r="T268" s="5">
        <f>+[1]モンスター計算!T271</f>
        <v>0.03</v>
      </c>
      <c r="U268" s="5">
        <f>+[1]モンスター計算!U271</f>
        <v>0.03</v>
      </c>
      <c r="V268" s="13">
        <f>+[1]モンスター計算!V271</f>
        <v>3.6</v>
      </c>
      <c r="W268" s="30">
        <v>9</v>
      </c>
      <c r="X268" s="27" t="s">
        <v>66</v>
      </c>
      <c r="Y268" s="33" t="s">
        <v>89</v>
      </c>
      <c r="Z268" s="13">
        <v>1.22</v>
      </c>
      <c r="AA268" s="30">
        <v>10</v>
      </c>
      <c r="AB268" s="30">
        <f t="shared" si="8"/>
        <v>191</v>
      </c>
      <c r="AC268" s="47">
        <f t="shared" si="9"/>
        <v>45</v>
      </c>
      <c r="AD268" s="27" t="s">
        <v>53</v>
      </c>
      <c r="AE268" s="5">
        <v>8.5</v>
      </c>
      <c r="AF268" s="5">
        <v>3</v>
      </c>
      <c r="AG268" s="13" t="b">
        <v>1</v>
      </c>
      <c r="AH268" s="30" t="s">
        <v>1179</v>
      </c>
      <c r="AI268" s="33" t="s">
        <v>1825</v>
      </c>
    </row>
    <row r="269" spans="1:35">
      <c r="A269" s="52" t="s">
        <v>784</v>
      </c>
      <c r="B269" s="13" t="s">
        <v>460</v>
      </c>
      <c r="C269" s="27" t="s">
        <v>44</v>
      </c>
      <c r="D269" s="13" t="s">
        <v>59</v>
      </c>
      <c r="E269" s="27">
        <f>+[1]モンスター計算!E272</f>
        <v>7952</v>
      </c>
      <c r="F269" s="5">
        <f>+[1]モンスター計算!F272</f>
        <v>481</v>
      </c>
      <c r="G269" s="5">
        <f>+[1]モンスター計算!G272</f>
        <v>910</v>
      </c>
      <c r="H269" s="5">
        <f>+[1]モンスター計算!H272</f>
        <v>340</v>
      </c>
      <c r="I269" s="5">
        <f>+[1]モンスター計算!I272</f>
        <v>403</v>
      </c>
      <c r="J269" s="13">
        <f>+[1]モンスター計算!J272</f>
        <v>1113</v>
      </c>
      <c r="K269" s="27">
        <f>+[1]モンスター計算!K272</f>
        <v>0.05</v>
      </c>
      <c r="L269" s="13">
        <f>+[1]モンスター計算!L272</f>
        <v>1.47</v>
      </c>
      <c r="M269" s="27">
        <f>+[1]モンスター計算!M272</f>
        <v>2.4500000000000002</v>
      </c>
      <c r="N269" s="5">
        <f>+[1]モンスター計算!N272</f>
        <v>1</v>
      </c>
      <c r="O269" s="13">
        <f>+[1]モンスター計算!O272</f>
        <v>1</v>
      </c>
      <c r="P269" s="27">
        <f>+[1]モンスター計算!P272</f>
        <v>0.26500000000000001</v>
      </c>
      <c r="Q269" s="5">
        <f>+[1]モンスター計算!Q272</f>
        <v>-3.5000000000000003E-2</v>
      </c>
      <c r="R269" s="5">
        <f>+[1]モンスター計算!R272</f>
        <v>6.5000000000000002E-2</v>
      </c>
      <c r="S269" s="5">
        <f>+[1]モンスター計算!S272</f>
        <v>6.5000000000000002E-2</v>
      </c>
      <c r="T269" s="5">
        <f>+[1]モンスター計算!T272</f>
        <v>6.5000000000000002E-2</v>
      </c>
      <c r="U269" s="5">
        <f>+[1]モンスター計算!U272</f>
        <v>6.5000000000000002E-2</v>
      </c>
      <c r="V269" s="13">
        <f>+[1]モンスター計算!V272</f>
        <v>4.2</v>
      </c>
      <c r="W269" s="30">
        <v>10</v>
      </c>
      <c r="X269" s="27" t="s">
        <v>68</v>
      </c>
      <c r="Y269" s="33" t="s">
        <v>90</v>
      </c>
      <c r="Z269" s="13">
        <v>1.25</v>
      </c>
      <c r="AA269" s="30">
        <v>15</v>
      </c>
      <c r="AB269" s="30">
        <f t="shared" si="8"/>
        <v>247</v>
      </c>
      <c r="AC269" s="47">
        <f t="shared" si="9"/>
        <v>45</v>
      </c>
      <c r="AD269" s="27" t="s">
        <v>74</v>
      </c>
      <c r="AE269" s="5">
        <v>0</v>
      </c>
      <c r="AF269" s="5">
        <v>0</v>
      </c>
      <c r="AG269" s="13" t="b">
        <v>0</v>
      </c>
      <c r="AH269" s="30" t="s">
        <v>1180</v>
      </c>
      <c r="AI269" s="33" t="s">
        <v>1825</v>
      </c>
    </row>
    <row r="270" spans="1:35">
      <c r="A270" s="52" t="s">
        <v>785</v>
      </c>
      <c r="B270" s="13" t="s">
        <v>461</v>
      </c>
      <c r="C270" s="27" t="s">
        <v>45</v>
      </c>
      <c r="D270" s="13" t="s">
        <v>59</v>
      </c>
      <c r="E270" s="27">
        <f>+[1]モンスター計算!E273</f>
        <v>5964</v>
      </c>
      <c r="F270" s="5">
        <f>+[1]モンスター計算!F273</f>
        <v>344</v>
      </c>
      <c r="G270" s="5">
        <f>+[1]モンスター計算!G273</f>
        <v>1141</v>
      </c>
      <c r="H270" s="5">
        <f>+[1]モンスター計算!H273</f>
        <v>513</v>
      </c>
      <c r="I270" s="5">
        <f>+[1]モンスター計算!I273</f>
        <v>477</v>
      </c>
      <c r="J270" s="13">
        <f>+[1]モンスター計算!J273</f>
        <v>477</v>
      </c>
      <c r="K270" s="27">
        <f>+[1]モンスター計算!K273</f>
        <v>0.11</v>
      </c>
      <c r="L270" s="13">
        <f>+[1]モンスター計算!L273</f>
        <v>1.75</v>
      </c>
      <c r="M270" s="27">
        <f>+[1]モンスター計算!M273</f>
        <v>3</v>
      </c>
      <c r="N270" s="5">
        <f>+[1]モンスター計算!N273</f>
        <v>1.18</v>
      </c>
      <c r="O270" s="13">
        <f>+[1]モンスター計算!O273</f>
        <v>1</v>
      </c>
      <c r="P270" s="27">
        <f>+[1]モンスター計算!P273</f>
        <v>-0.13</v>
      </c>
      <c r="Q270" s="5">
        <f>+[1]モンスター計算!Q273</f>
        <v>0.17</v>
      </c>
      <c r="R270" s="5">
        <f>+[1]モンスター計算!R273</f>
        <v>-0.03</v>
      </c>
      <c r="S270" s="5">
        <f>+[1]モンスター計算!S273</f>
        <v>-0.03</v>
      </c>
      <c r="T270" s="5">
        <f>+[1]モンスター計算!T273</f>
        <v>-0.03</v>
      </c>
      <c r="U270" s="5">
        <f>+[1]モンスター計算!U273</f>
        <v>-0.03</v>
      </c>
      <c r="V270" s="13">
        <f>+[1]モンスター計算!V273</f>
        <v>4.2</v>
      </c>
      <c r="W270" s="30">
        <v>11</v>
      </c>
      <c r="X270" s="27" t="s">
        <v>70</v>
      </c>
      <c r="Y270" s="33" t="s">
        <v>91</v>
      </c>
      <c r="Z270" s="13">
        <v>1.25</v>
      </c>
      <c r="AA270" s="30">
        <v>20</v>
      </c>
      <c r="AB270" s="30">
        <f t="shared" si="8"/>
        <v>287</v>
      </c>
      <c r="AC270" s="47">
        <f t="shared" si="9"/>
        <v>45</v>
      </c>
      <c r="AD270" s="27" t="s">
        <v>74</v>
      </c>
      <c r="AE270" s="5">
        <v>0</v>
      </c>
      <c r="AF270" s="5">
        <v>0</v>
      </c>
      <c r="AG270" s="13" t="b">
        <v>0</v>
      </c>
      <c r="AH270" s="30" t="s">
        <v>1181</v>
      </c>
      <c r="AI270" s="33" t="s">
        <v>1825</v>
      </c>
    </row>
    <row r="271" spans="1:35" ht="19.5" thickBot="1">
      <c r="A271" s="53" t="s">
        <v>786</v>
      </c>
      <c r="B271" s="16" t="s">
        <v>462</v>
      </c>
      <c r="C271" s="28" t="s">
        <v>47</v>
      </c>
      <c r="D271" s="16" t="s">
        <v>61</v>
      </c>
      <c r="E271" s="28">
        <f>+[1]モンスター計算!E274</f>
        <v>6030</v>
      </c>
      <c r="F271" s="15">
        <f>+[1]モンスター計算!F274</f>
        <v>1546</v>
      </c>
      <c r="G271" s="15">
        <f>+[1]モンスター計算!G274</f>
        <v>654</v>
      </c>
      <c r="H271" s="15">
        <f>+[1]モンスター計算!H274</f>
        <v>1939</v>
      </c>
      <c r="I271" s="15">
        <f>+[1]モンスター計算!I274</f>
        <v>466</v>
      </c>
      <c r="J271" s="16">
        <f>+[1]モンスター計算!J274</f>
        <v>504</v>
      </c>
      <c r="K271" s="28">
        <f>+[1]モンスター計算!K274</f>
        <v>0.04</v>
      </c>
      <c r="L271" s="16">
        <f>+[1]モンスター計算!L274</f>
        <v>2.2000000000000002</v>
      </c>
      <c r="M271" s="28">
        <f>+[1]モンスター計算!M274</f>
        <v>1.65</v>
      </c>
      <c r="N271" s="15">
        <f>+[1]モンスター計算!N274</f>
        <v>0.64</v>
      </c>
      <c r="O271" s="16">
        <f>+[1]モンスター計算!O274</f>
        <v>3.7</v>
      </c>
      <c r="P271" s="28">
        <f>+[1]モンスター計算!P274</f>
        <v>-2.5000000000000001E-2</v>
      </c>
      <c r="Q271" s="15">
        <f>+[1]モンスター計算!Q274</f>
        <v>-2.5000000000000001E-2</v>
      </c>
      <c r="R271" s="15">
        <f>+[1]モンスター計算!R274</f>
        <v>-2.5000000000000001E-2</v>
      </c>
      <c r="S271" s="15">
        <f>+[1]モンスター計算!S274</f>
        <v>-2.5000000000000001E-2</v>
      </c>
      <c r="T271" s="15">
        <f>+[1]モンスター計算!T274</f>
        <v>0.17500000000000002</v>
      </c>
      <c r="U271" s="15">
        <f>+[1]モンスター計算!U274</f>
        <v>-0.125</v>
      </c>
      <c r="V271" s="16">
        <f>+[1]モンスター計算!V274</f>
        <v>5</v>
      </c>
      <c r="W271" s="31">
        <v>15</v>
      </c>
      <c r="X271" s="28" t="s">
        <v>72</v>
      </c>
      <c r="Y271" s="34" t="s">
        <v>92</v>
      </c>
      <c r="Z271" s="16">
        <v>1.3</v>
      </c>
      <c r="AA271" s="31">
        <v>40</v>
      </c>
      <c r="AB271" s="31">
        <f t="shared" si="8"/>
        <v>413</v>
      </c>
      <c r="AC271" s="48">
        <f t="shared" si="9"/>
        <v>45</v>
      </c>
      <c r="AD271" s="28" t="s">
        <v>55</v>
      </c>
      <c r="AE271" s="15">
        <v>10</v>
      </c>
      <c r="AF271" s="15">
        <v>4</v>
      </c>
      <c r="AG271" s="16" t="b">
        <v>1</v>
      </c>
      <c r="AH271" s="31" t="s">
        <v>1182</v>
      </c>
      <c r="AI271" s="34" t="s">
        <v>1825</v>
      </c>
    </row>
    <row r="272" spans="1:35">
      <c r="A272" s="51" t="s">
        <v>787</v>
      </c>
      <c r="B272" s="11" t="s">
        <v>463</v>
      </c>
      <c r="C272" s="26" t="s">
        <v>45</v>
      </c>
      <c r="D272" s="11" t="s">
        <v>61</v>
      </c>
      <c r="E272" s="26">
        <f>+[1]モンスター計算!E275</f>
        <v>7289</v>
      </c>
      <c r="F272" s="10">
        <f>+[1]モンスター計算!F275</f>
        <v>1541</v>
      </c>
      <c r="G272" s="10">
        <f>+[1]モンスター計算!G275</f>
        <v>585</v>
      </c>
      <c r="H272" s="10">
        <f>+[1]モンスター計算!H275</f>
        <v>1300</v>
      </c>
      <c r="I272" s="10">
        <f>+[1]モンスター計算!I275</f>
        <v>583</v>
      </c>
      <c r="J272" s="11">
        <f>+[1]モンスター計算!J275</f>
        <v>700</v>
      </c>
      <c r="K272" s="26">
        <f>+[1]モンスター計算!K275</f>
        <v>0.06</v>
      </c>
      <c r="L272" s="11">
        <f>+[1]モンスター計算!L275</f>
        <v>1.4</v>
      </c>
      <c r="M272" s="26">
        <f>+[1]モンスター計算!M275</f>
        <v>2.1</v>
      </c>
      <c r="N272" s="10">
        <f>+[1]モンスター計算!N275</f>
        <v>0.95</v>
      </c>
      <c r="O272" s="11">
        <f>+[1]モンスター計算!O275</f>
        <v>2.875</v>
      </c>
      <c r="P272" s="26">
        <f>+[1]モンスター計算!P275</f>
        <v>-7.0000000000000007E-2</v>
      </c>
      <c r="Q272" s="10">
        <f>+[1]モンスター計算!Q275</f>
        <v>0.23</v>
      </c>
      <c r="R272" s="10">
        <f>+[1]モンスター計算!R275</f>
        <v>0.03</v>
      </c>
      <c r="S272" s="10">
        <f>+[1]モンスター計算!S275</f>
        <v>0.03</v>
      </c>
      <c r="T272" s="10">
        <f>+[1]モンスター計算!T275</f>
        <v>0.03</v>
      </c>
      <c r="U272" s="10">
        <f>+[1]モンスター計算!U275</f>
        <v>0.03</v>
      </c>
      <c r="V272" s="11">
        <f>+[1]モンスター計算!V275</f>
        <v>4.8</v>
      </c>
      <c r="W272" s="29">
        <v>8</v>
      </c>
      <c r="X272" s="26" t="s">
        <v>109</v>
      </c>
      <c r="Y272" s="32" t="s">
        <v>87</v>
      </c>
      <c r="Z272" s="11">
        <v>1.2</v>
      </c>
      <c r="AA272" s="29">
        <v>5</v>
      </c>
      <c r="AB272" s="29">
        <f t="shared" si="8"/>
        <v>155</v>
      </c>
      <c r="AC272" s="46">
        <f t="shared" si="9"/>
        <v>46</v>
      </c>
      <c r="AD272" s="26" t="s">
        <v>51</v>
      </c>
      <c r="AE272" s="10">
        <v>7</v>
      </c>
      <c r="AF272" s="10">
        <v>3</v>
      </c>
      <c r="AG272" s="11" t="b">
        <v>1</v>
      </c>
      <c r="AH272" s="29" t="s">
        <v>1183</v>
      </c>
      <c r="AI272" s="32" t="s">
        <v>1825</v>
      </c>
    </row>
    <row r="273" spans="1:35">
      <c r="A273" s="52" t="s">
        <v>788</v>
      </c>
      <c r="B273" s="13" t="s">
        <v>464</v>
      </c>
      <c r="C273" s="27" t="s">
        <v>44</v>
      </c>
      <c r="D273" s="13" t="s">
        <v>61</v>
      </c>
      <c r="E273" s="27">
        <f>+[1]モンスター計算!E276</f>
        <v>6997</v>
      </c>
      <c r="F273" s="5">
        <f>+[1]モンスター計算!F276</f>
        <v>1169</v>
      </c>
      <c r="G273" s="5">
        <f>+[1]モンスター計算!G276</f>
        <v>387</v>
      </c>
      <c r="H273" s="5">
        <f>+[1]モンスター計算!H276</f>
        <v>1386</v>
      </c>
      <c r="I273" s="5">
        <f>+[1]モンスター計算!I276</f>
        <v>478</v>
      </c>
      <c r="J273" s="13">
        <f>+[1]モンスター計算!J276</f>
        <v>531</v>
      </c>
      <c r="K273" s="27">
        <f>+[1]モンスター計算!K276</f>
        <v>0.06</v>
      </c>
      <c r="L273" s="13">
        <f>+[1]モンスター計算!L276</f>
        <v>1.6</v>
      </c>
      <c r="M273" s="27">
        <f>+[1]モンスター計算!M276</f>
        <v>2.25</v>
      </c>
      <c r="N273" s="5">
        <f>+[1]モンスター計算!N276</f>
        <v>0.91</v>
      </c>
      <c r="O273" s="13">
        <f>+[1]モンスター計算!O276</f>
        <v>4.75</v>
      </c>
      <c r="P273" s="27">
        <f>+[1]モンスター計算!P276</f>
        <v>0.18000000000000002</v>
      </c>
      <c r="Q273" s="5">
        <f>+[1]モンスター計算!Q276</f>
        <v>-0.12000000000000001</v>
      </c>
      <c r="R273" s="5">
        <f>+[1]モンスター計算!R276</f>
        <v>-0.02</v>
      </c>
      <c r="S273" s="5">
        <f>+[1]モンスター計算!S276</f>
        <v>-0.02</v>
      </c>
      <c r="T273" s="5">
        <f>+[1]モンスター計算!T276</f>
        <v>-0.02</v>
      </c>
      <c r="U273" s="5">
        <f>+[1]モンスター計算!U276</f>
        <v>-0.02</v>
      </c>
      <c r="V273" s="13">
        <f>+[1]モンスター計算!V276</f>
        <v>6.6</v>
      </c>
      <c r="W273" s="30">
        <v>8</v>
      </c>
      <c r="X273" s="27" t="s">
        <v>64</v>
      </c>
      <c r="Y273" s="33" t="s">
        <v>88</v>
      </c>
      <c r="Z273" s="13">
        <v>1.2</v>
      </c>
      <c r="AA273" s="30">
        <v>7</v>
      </c>
      <c r="AB273" s="30">
        <f t="shared" si="8"/>
        <v>172</v>
      </c>
      <c r="AC273" s="47">
        <f t="shared" si="9"/>
        <v>46</v>
      </c>
      <c r="AD273" s="27" t="s">
        <v>49</v>
      </c>
      <c r="AE273" s="5">
        <v>7.5</v>
      </c>
      <c r="AF273" s="5">
        <v>3</v>
      </c>
      <c r="AG273" s="13" t="b">
        <v>1</v>
      </c>
      <c r="AH273" s="30" t="s">
        <v>1184</v>
      </c>
      <c r="AI273" s="33" t="s">
        <v>1825</v>
      </c>
    </row>
    <row r="274" spans="1:35">
      <c r="A274" s="52" t="s">
        <v>789</v>
      </c>
      <c r="B274" s="13" t="s">
        <v>465</v>
      </c>
      <c r="C274" s="27" t="s">
        <v>46</v>
      </c>
      <c r="D274" s="13" t="s">
        <v>61</v>
      </c>
      <c r="E274" s="27">
        <f>+[1]モンスター計算!E277</f>
        <v>7508</v>
      </c>
      <c r="F274" s="5">
        <f>+[1]モンスター計算!F277</f>
        <v>2816</v>
      </c>
      <c r="G274" s="5">
        <f>+[1]モンスター計算!G277</f>
        <v>424</v>
      </c>
      <c r="H274" s="5">
        <f>+[1]モンスター計算!H277</f>
        <v>1345</v>
      </c>
      <c r="I274" s="5">
        <f>+[1]モンスター計算!I277</f>
        <v>560</v>
      </c>
      <c r="J274" s="13">
        <f>+[1]モンスター計算!J277</f>
        <v>688</v>
      </c>
      <c r="K274" s="27">
        <f>+[1]モンスター計算!K277</f>
        <v>6.5000000000000002E-2</v>
      </c>
      <c r="L274" s="13">
        <f>+[1]モンスター計算!L277</f>
        <v>1.45</v>
      </c>
      <c r="M274" s="27">
        <f>+[1]モンスター計算!M277</f>
        <v>2.1</v>
      </c>
      <c r="N274" s="5">
        <f>+[1]モンスター計算!N277</f>
        <v>0.9</v>
      </c>
      <c r="O274" s="13">
        <f>+[1]モンスター計算!O277</f>
        <v>2.8</v>
      </c>
      <c r="P274" s="27">
        <f>+[1]モンスター計算!P277</f>
        <v>0.02</v>
      </c>
      <c r="Q274" s="5">
        <f>+[1]モンスター計算!Q277</f>
        <v>0.02</v>
      </c>
      <c r="R274" s="5">
        <f>+[1]モンスター計算!R277</f>
        <v>0.22</v>
      </c>
      <c r="S274" s="5">
        <f>+[1]モンスター計算!S277</f>
        <v>-0.08</v>
      </c>
      <c r="T274" s="5">
        <f>+[1]モンスター計算!T277</f>
        <v>0.02</v>
      </c>
      <c r="U274" s="5">
        <f>+[1]モンスター計算!U277</f>
        <v>0.02</v>
      </c>
      <c r="V274" s="13">
        <f>+[1]モンスター計算!V277</f>
        <v>4.2</v>
      </c>
      <c r="W274" s="30">
        <v>9</v>
      </c>
      <c r="X274" s="27" t="s">
        <v>66</v>
      </c>
      <c r="Y274" s="33" t="s">
        <v>89</v>
      </c>
      <c r="Z274" s="13">
        <v>1.22</v>
      </c>
      <c r="AA274" s="30">
        <v>10</v>
      </c>
      <c r="AB274" s="30">
        <f t="shared" si="8"/>
        <v>201</v>
      </c>
      <c r="AC274" s="47">
        <f t="shared" si="9"/>
        <v>46</v>
      </c>
      <c r="AD274" s="27" t="s">
        <v>53</v>
      </c>
      <c r="AE274" s="5">
        <v>8.5</v>
      </c>
      <c r="AF274" s="5">
        <v>3</v>
      </c>
      <c r="AG274" s="13" t="b">
        <v>1</v>
      </c>
      <c r="AH274" s="30" t="s">
        <v>1185</v>
      </c>
      <c r="AI274" s="33" t="s">
        <v>1825</v>
      </c>
    </row>
    <row r="275" spans="1:35">
      <c r="A275" s="52" t="s">
        <v>790</v>
      </c>
      <c r="B275" s="13" t="s">
        <v>466</v>
      </c>
      <c r="C275" s="27" t="s">
        <v>44</v>
      </c>
      <c r="D275" s="13" t="s">
        <v>59</v>
      </c>
      <c r="E275" s="27">
        <f>+[1]モンスター計算!E278</f>
        <v>6706</v>
      </c>
      <c r="F275" s="5">
        <f>+[1]モンスター計算!F278</f>
        <v>472</v>
      </c>
      <c r="G275" s="5">
        <f>+[1]モンスター計算!G278</f>
        <v>1398</v>
      </c>
      <c r="H275" s="5">
        <f>+[1]モンスター計算!H278</f>
        <v>629</v>
      </c>
      <c r="I275" s="5">
        <f>+[1]モンスター計算!I278</f>
        <v>554</v>
      </c>
      <c r="J275" s="13">
        <f>+[1]モンスター計算!J278</f>
        <v>612</v>
      </c>
      <c r="K275" s="27">
        <f>+[1]モンスター計算!K278</f>
        <v>0.05</v>
      </c>
      <c r="L275" s="13">
        <f>+[1]モンスター計算!L278</f>
        <v>1.5</v>
      </c>
      <c r="M275" s="27">
        <f>+[1]モンスター計算!M278</f>
        <v>2</v>
      </c>
      <c r="N275" s="5">
        <f>+[1]モンスター計算!N278</f>
        <v>1.05</v>
      </c>
      <c r="O275" s="13">
        <f>+[1]モンスター計算!O278</f>
        <v>1</v>
      </c>
      <c r="P275" s="27">
        <f>+[1]モンスター計算!P278</f>
        <v>0.21000000000000002</v>
      </c>
      <c r="Q275" s="5">
        <f>+[1]モンスター計算!Q278</f>
        <v>-9.0000000000000011E-2</v>
      </c>
      <c r="R275" s="5">
        <f>+[1]モンスター計算!R278</f>
        <v>0.01</v>
      </c>
      <c r="S275" s="5">
        <f>+[1]モンスター計算!S278</f>
        <v>0.01</v>
      </c>
      <c r="T275" s="5">
        <f>+[1]モンスター計算!T278</f>
        <v>0.01</v>
      </c>
      <c r="U275" s="5">
        <f>+[1]モンスター計算!U278</f>
        <v>0.01</v>
      </c>
      <c r="V275" s="13">
        <f>+[1]モンスター計算!V278</f>
        <v>4</v>
      </c>
      <c r="W275" s="30">
        <v>10</v>
      </c>
      <c r="X275" s="27" t="s">
        <v>68</v>
      </c>
      <c r="Y275" s="33" t="s">
        <v>90</v>
      </c>
      <c r="Z275" s="13">
        <v>1.25</v>
      </c>
      <c r="AA275" s="30">
        <v>15</v>
      </c>
      <c r="AB275" s="30">
        <f t="shared" si="8"/>
        <v>260</v>
      </c>
      <c r="AC275" s="47">
        <f t="shared" si="9"/>
        <v>46</v>
      </c>
      <c r="AD275" s="27" t="s">
        <v>74</v>
      </c>
      <c r="AE275" s="5">
        <v>0</v>
      </c>
      <c r="AF275" s="5">
        <v>0</v>
      </c>
      <c r="AG275" s="13" t="b">
        <v>0</v>
      </c>
      <c r="AH275" s="30" t="s">
        <v>1186</v>
      </c>
      <c r="AI275" s="33" t="s">
        <v>1825</v>
      </c>
    </row>
    <row r="276" spans="1:35">
      <c r="A276" s="52" t="s">
        <v>791</v>
      </c>
      <c r="B276" s="13" t="s">
        <v>467</v>
      </c>
      <c r="C276" s="27" t="s">
        <v>45</v>
      </c>
      <c r="D276" s="13" t="s">
        <v>59</v>
      </c>
      <c r="E276" s="27">
        <f>+[1]モンスター計算!E279</f>
        <v>5904</v>
      </c>
      <c r="F276" s="5">
        <f>+[1]モンスター計算!F279</f>
        <v>368</v>
      </c>
      <c r="G276" s="5">
        <f>+[1]モンスター計算!G279</f>
        <v>1023</v>
      </c>
      <c r="H276" s="5">
        <f>+[1]モンスター計算!H279</f>
        <v>322</v>
      </c>
      <c r="I276" s="5">
        <f>+[1]モンスター計算!I279</f>
        <v>437</v>
      </c>
      <c r="J276" s="13">
        <f>+[1]モンスター計算!J279</f>
        <v>461</v>
      </c>
      <c r="K276" s="27">
        <f>+[1]モンスター計算!K279</f>
        <v>7.0000000000000007E-2</v>
      </c>
      <c r="L276" s="13">
        <f>+[1]モンスター計算!L279</f>
        <v>1.45</v>
      </c>
      <c r="M276" s="27">
        <f>+[1]モンスター計算!M279</f>
        <v>3.35</v>
      </c>
      <c r="N276" s="5">
        <f>+[1]モンスター計算!N279</f>
        <v>1.77</v>
      </c>
      <c r="O276" s="13">
        <f>+[1]モンスター計算!O279</f>
        <v>1</v>
      </c>
      <c r="P276" s="27">
        <f>+[1]モンスター計算!P279</f>
        <v>-0.16500000000000001</v>
      </c>
      <c r="Q276" s="5">
        <f>+[1]モンスター計算!Q279</f>
        <v>0.13500000000000001</v>
      </c>
      <c r="R276" s="5">
        <f>+[1]モンスター計算!R279</f>
        <v>-6.5000000000000002E-2</v>
      </c>
      <c r="S276" s="5">
        <f>+[1]モンスター計算!S279</f>
        <v>-6.5000000000000002E-2</v>
      </c>
      <c r="T276" s="5">
        <f>+[1]モンスター計算!T279</f>
        <v>-6.5000000000000002E-2</v>
      </c>
      <c r="U276" s="5">
        <f>+[1]モンスター計算!U279</f>
        <v>-6.5000000000000002E-2</v>
      </c>
      <c r="V276" s="13">
        <f>+[1]モンスター計算!V279</f>
        <v>5</v>
      </c>
      <c r="W276" s="30">
        <v>11</v>
      </c>
      <c r="X276" s="27" t="s">
        <v>70</v>
      </c>
      <c r="Y276" s="33" t="s">
        <v>91</v>
      </c>
      <c r="Z276" s="13">
        <v>1.25</v>
      </c>
      <c r="AA276" s="30">
        <v>20</v>
      </c>
      <c r="AB276" s="30">
        <f t="shared" si="8"/>
        <v>302</v>
      </c>
      <c r="AC276" s="47">
        <f t="shared" si="9"/>
        <v>46</v>
      </c>
      <c r="AD276" s="27" t="s">
        <v>74</v>
      </c>
      <c r="AE276" s="5">
        <v>0</v>
      </c>
      <c r="AF276" s="5">
        <v>0</v>
      </c>
      <c r="AG276" s="13" t="b">
        <v>0</v>
      </c>
      <c r="AH276" s="30" t="s">
        <v>1187</v>
      </c>
      <c r="AI276" s="33" t="s">
        <v>1825</v>
      </c>
    </row>
    <row r="277" spans="1:35" ht="19.5" thickBot="1">
      <c r="A277" s="53" t="s">
        <v>792</v>
      </c>
      <c r="B277" s="16" t="s">
        <v>468</v>
      </c>
      <c r="C277" s="28" t="s">
        <v>47</v>
      </c>
      <c r="D277" s="16" t="s">
        <v>61</v>
      </c>
      <c r="E277" s="28">
        <f>+[1]モンスター計算!E280</f>
        <v>5977</v>
      </c>
      <c r="F277" s="15">
        <f>+[1]モンスター計算!F280</f>
        <v>1435</v>
      </c>
      <c r="G277" s="15">
        <f>+[1]モンスター計算!G280</f>
        <v>552</v>
      </c>
      <c r="H277" s="15">
        <f>+[1]モンスター計算!H280</f>
        <v>2046</v>
      </c>
      <c r="I277" s="15">
        <f>+[1]モンスター計算!I280</f>
        <v>472</v>
      </c>
      <c r="J277" s="16">
        <f>+[1]モンスター計算!J280</f>
        <v>507</v>
      </c>
      <c r="K277" s="28">
        <f>+[1]モンスター計算!K280</f>
        <v>0.12</v>
      </c>
      <c r="L277" s="16">
        <f>+[1]モンスター計算!L280</f>
        <v>2.5499999999999998</v>
      </c>
      <c r="M277" s="28">
        <f>+[1]モンスター計算!M280</f>
        <v>2.2999999999999998</v>
      </c>
      <c r="N277" s="15">
        <f>+[1]モンスター計算!N280</f>
        <v>0.68</v>
      </c>
      <c r="O277" s="16">
        <f>+[1]モンスター計算!O280</f>
        <v>3.55</v>
      </c>
      <c r="P277" s="28">
        <f>+[1]モンスター計算!P280</f>
        <v>-5.5E-2</v>
      </c>
      <c r="Q277" s="15">
        <f>+[1]モンスター計算!Q280</f>
        <v>-5.5E-2</v>
      </c>
      <c r="R277" s="15">
        <f>+[1]モンスター計算!R280</f>
        <v>-5.5E-2</v>
      </c>
      <c r="S277" s="15">
        <f>+[1]モンスター計算!S280</f>
        <v>-5.5E-2</v>
      </c>
      <c r="T277" s="15">
        <f>+[1]モンスター計算!T280</f>
        <v>0.14500000000000002</v>
      </c>
      <c r="U277" s="15">
        <f>+[1]モンスター計算!U280</f>
        <v>-0.155</v>
      </c>
      <c r="V277" s="16">
        <f>+[1]モンスター計算!V280</f>
        <v>4.8</v>
      </c>
      <c r="W277" s="31">
        <v>15</v>
      </c>
      <c r="X277" s="28" t="s">
        <v>72</v>
      </c>
      <c r="Y277" s="34" t="s">
        <v>92</v>
      </c>
      <c r="Z277" s="16">
        <v>1.3</v>
      </c>
      <c r="AA277" s="31">
        <v>40</v>
      </c>
      <c r="AB277" s="31">
        <f t="shared" si="8"/>
        <v>434</v>
      </c>
      <c r="AC277" s="48">
        <f t="shared" si="9"/>
        <v>46</v>
      </c>
      <c r="AD277" s="28" t="s">
        <v>55</v>
      </c>
      <c r="AE277" s="15">
        <v>10</v>
      </c>
      <c r="AF277" s="15">
        <v>4</v>
      </c>
      <c r="AG277" s="16" t="b">
        <v>1</v>
      </c>
      <c r="AH277" s="31" t="s">
        <v>1188</v>
      </c>
      <c r="AI277" s="34" t="s">
        <v>1825</v>
      </c>
    </row>
    <row r="278" spans="1:35">
      <c r="A278" s="51" t="s">
        <v>793</v>
      </c>
      <c r="B278" s="11" t="s">
        <v>469</v>
      </c>
      <c r="C278" s="26" t="s">
        <v>45</v>
      </c>
      <c r="D278" s="11" t="s">
        <v>61</v>
      </c>
      <c r="E278" s="26">
        <f>+[1]モンスター計算!E281</f>
        <v>13791</v>
      </c>
      <c r="F278" s="10">
        <f>+[1]モンスター計算!F281</f>
        <v>1578</v>
      </c>
      <c r="G278" s="10">
        <f>+[1]モンスター計算!G281</f>
        <v>333</v>
      </c>
      <c r="H278" s="10">
        <f>+[1]モンスター計算!H281</f>
        <v>1138</v>
      </c>
      <c r="I278" s="10">
        <f>+[1]モンスター計算!I281</f>
        <v>1052</v>
      </c>
      <c r="J278" s="11">
        <f>+[1]モンスター計算!J281</f>
        <v>994</v>
      </c>
      <c r="K278" s="26">
        <f>+[1]モンスター計算!K281</f>
        <v>3.5000000000000003E-2</v>
      </c>
      <c r="L278" s="11">
        <f>+[1]モンスター計算!L281</f>
        <v>1.4</v>
      </c>
      <c r="M278" s="26">
        <f>+[1]モンスター計算!M281</f>
        <v>1.5</v>
      </c>
      <c r="N278" s="10">
        <f>+[1]モンスター計算!N281</f>
        <v>0.6</v>
      </c>
      <c r="O278" s="11">
        <f>+[1]モンスター計算!O281</f>
        <v>3.1</v>
      </c>
      <c r="P278" s="26">
        <f>+[1]モンスター計算!P281</f>
        <v>1.999999999999999E-2</v>
      </c>
      <c r="Q278" s="10">
        <f>+[1]モンスター計算!Q281</f>
        <v>0.32</v>
      </c>
      <c r="R278" s="10">
        <f>+[1]モンスター計算!R281</f>
        <v>0.12</v>
      </c>
      <c r="S278" s="10">
        <f>+[1]モンスター計算!S281</f>
        <v>0.12</v>
      </c>
      <c r="T278" s="10">
        <f>+[1]モンスター計算!T281</f>
        <v>0.12</v>
      </c>
      <c r="U278" s="10">
        <f>+[1]モンスター計算!U281</f>
        <v>0.12</v>
      </c>
      <c r="V278" s="11">
        <f>+[1]モンスター計算!V281</f>
        <v>4.12</v>
      </c>
      <c r="W278" s="29">
        <v>8</v>
      </c>
      <c r="X278" s="26" t="s">
        <v>109</v>
      </c>
      <c r="Y278" s="32" t="s">
        <v>87</v>
      </c>
      <c r="Z278" s="11">
        <v>1.2</v>
      </c>
      <c r="AA278" s="29">
        <v>5</v>
      </c>
      <c r="AB278" s="29">
        <f t="shared" si="8"/>
        <v>163</v>
      </c>
      <c r="AC278" s="46">
        <f t="shared" si="9"/>
        <v>47</v>
      </c>
      <c r="AD278" s="26" t="s">
        <v>51</v>
      </c>
      <c r="AE278" s="10">
        <v>7</v>
      </c>
      <c r="AF278" s="10">
        <v>3</v>
      </c>
      <c r="AG278" s="11" t="b">
        <v>1</v>
      </c>
      <c r="AH278" s="29" t="s">
        <v>1189</v>
      </c>
      <c r="AI278" s="32" t="s">
        <v>1825</v>
      </c>
    </row>
    <row r="279" spans="1:35">
      <c r="A279" s="52" t="s">
        <v>794</v>
      </c>
      <c r="B279" s="13" t="s">
        <v>470</v>
      </c>
      <c r="C279" s="27" t="s">
        <v>44</v>
      </c>
      <c r="D279" s="13" t="s">
        <v>61</v>
      </c>
      <c r="E279" s="27">
        <f>+[1]モンスター計算!E282</f>
        <v>8018</v>
      </c>
      <c r="F279" s="5">
        <f>+[1]モンスター計算!F282</f>
        <v>1403</v>
      </c>
      <c r="G279" s="5">
        <f>+[1]モンスター計算!G282</f>
        <v>452</v>
      </c>
      <c r="H279" s="5">
        <f>+[1]モンスター計算!H282</f>
        <v>1436</v>
      </c>
      <c r="I279" s="5">
        <f>+[1]モンスター計算!I282</f>
        <v>616</v>
      </c>
      <c r="J279" s="13">
        <f>+[1]モンスター計算!J282</f>
        <v>654</v>
      </c>
      <c r="K279" s="27">
        <f>+[1]モンスター計算!K282</f>
        <v>4.4999999999999998E-2</v>
      </c>
      <c r="L279" s="13">
        <f>+[1]モンスター計算!L282</f>
        <v>1.4</v>
      </c>
      <c r="M279" s="27">
        <f>+[1]モンスター計算!M282</f>
        <v>2.0499999999999998</v>
      </c>
      <c r="N279" s="5">
        <f>+[1]モンスター計算!N282</f>
        <v>0.92</v>
      </c>
      <c r="O279" s="13">
        <f>+[1]モンスター計算!O282</f>
        <v>2.6749999999999998</v>
      </c>
      <c r="P279" s="27">
        <f>+[1]モンスター計算!P282</f>
        <v>0.39</v>
      </c>
      <c r="Q279" s="5">
        <f>+[1]モンスター計算!Q282</f>
        <v>0.09</v>
      </c>
      <c r="R279" s="5">
        <f>+[1]モンスター計算!R282</f>
        <v>0.19</v>
      </c>
      <c r="S279" s="5">
        <f>+[1]モンスター計算!S282</f>
        <v>0.19</v>
      </c>
      <c r="T279" s="5">
        <f>+[1]モンスター計算!T282</f>
        <v>0.19</v>
      </c>
      <c r="U279" s="5">
        <f>+[1]モンスター計算!U282</f>
        <v>0.19</v>
      </c>
      <c r="V279" s="13">
        <f>+[1]モンスター計算!V282</f>
        <v>4</v>
      </c>
      <c r="W279" s="30">
        <v>8</v>
      </c>
      <c r="X279" s="27" t="s">
        <v>64</v>
      </c>
      <c r="Y279" s="33" t="s">
        <v>88</v>
      </c>
      <c r="Z279" s="13">
        <v>1.2</v>
      </c>
      <c r="AA279" s="30">
        <v>7</v>
      </c>
      <c r="AB279" s="30">
        <f t="shared" si="8"/>
        <v>181</v>
      </c>
      <c r="AC279" s="47">
        <f t="shared" si="9"/>
        <v>47</v>
      </c>
      <c r="AD279" s="27" t="s">
        <v>49</v>
      </c>
      <c r="AE279" s="5">
        <v>7.5</v>
      </c>
      <c r="AF279" s="5">
        <v>3</v>
      </c>
      <c r="AG279" s="13" t="b">
        <v>1</v>
      </c>
      <c r="AH279" s="30" t="s">
        <v>1190</v>
      </c>
      <c r="AI279" s="33" t="s">
        <v>1825</v>
      </c>
    </row>
    <row r="280" spans="1:35">
      <c r="A280" s="52" t="s">
        <v>795</v>
      </c>
      <c r="B280" s="13" t="s">
        <v>471</v>
      </c>
      <c r="C280" s="27" t="s">
        <v>46</v>
      </c>
      <c r="D280" s="13" t="s">
        <v>61</v>
      </c>
      <c r="E280" s="27">
        <f>+[1]モンスター計算!E283</f>
        <v>7377</v>
      </c>
      <c r="F280" s="5">
        <f>+[1]モンスター計算!F283</f>
        <v>1169</v>
      </c>
      <c r="G280" s="5">
        <f>+[1]モンスター計算!G283</f>
        <v>667</v>
      </c>
      <c r="H280" s="5">
        <f>+[1]モンスター計算!H283</f>
        <v>1483</v>
      </c>
      <c r="I280" s="5">
        <f>+[1]モンスター計算!I283</f>
        <v>609</v>
      </c>
      <c r="J280" s="13">
        <f>+[1]モンスター計算!J283</f>
        <v>674</v>
      </c>
      <c r="K280" s="27">
        <f>+[1]モンスター計算!K283</f>
        <v>0.05</v>
      </c>
      <c r="L280" s="13">
        <f>+[1]モンスター計算!L283</f>
        <v>1.5</v>
      </c>
      <c r="M280" s="27">
        <f>+[1]モンスター計算!M283</f>
        <v>2</v>
      </c>
      <c r="N280" s="5">
        <f>+[1]モンスター計算!N283</f>
        <v>1.05</v>
      </c>
      <c r="O280" s="13">
        <f>+[1]モンスター計算!O283</f>
        <v>2.5</v>
      </c>
      <c r="P280" s="27">
        <f>+[1]モンスター計算!P283</f>
        <v>0</v>
      </c>
      <c r="Q280" s="5">
        <f>+[1]モンスター計算!Q283</f>
        <v>0</v>
      </c>
      <c r="R280" s="5">
        <f>+[1]モンスター計算!R283</f>
        <v>0.2</v>
      </c>
      <c r="S280" s="5">
        <f>+[1]モンスター計算!S283</f>
        <v>-0.1</v>
      </c>
      <c r="T280" s="5">
        <f>+[1]モンスター計算!T283</f>
        <v>0</v>
      </c>
      <c r="U280" s="5">
        <f>+[1]モンスター計算!U283</f>
        <v>0</v>
      </c>
      <c r="V280" s="13">
        <f>+[1]モンスター計算!V283</f>
        <v>4</v>
      </c>
      <c r="W280" s="30">
        <v>9</v>
      </c>
      <c r="X280" s="27" t="s">
        <v>66</v>
      </c>
      <c r="Y280" s="33" t="s">
        <v>89</v>
      </c>
      <c r="Z280" s="13">
        <v>1.22</v>
      </c>
      <c r="AA280" s="30">
        <v>10</v>
      </c>
      <c r="AB280" s="30">
        <f t="shared" si="8"/>
        <v>212</v>
      </c>
      <c r="AC280" s="47">
        <f t="shared" si="9"/>
        <v>47</v>
      </c>
      <c r="AD280" s="27" t="s">
        <v>53</v>
      </c>
      <c r="AE280" s="5">
        <v>8.5</v>
      </c>
      <c r="AF280" s="5">
        <v>3</v>
      </c>
      <c r="AG280" s="13" t="b">
        <v>1</v>
      </c>
      <c r="AH280" s="30" t="s">
        <v>1191</v>
      </c>
      <c r="AI280" s="33" t="s">
        <v>1825</v>
      </c>
    </row>
    <row r="281" spans="1:35">
      <c r="A281" s="52" t="s">
        <v>796</v>
      </c>
      <c r="B281" s="13" t="s">
        <v>472</v>
      </c>
      <c r="C281" s="27" t="s">
        <v>44</v>
      </c>
      <c r="D281" s="13" t="s">
        <v>59</v>
      </c>
      <c r="E281" s="27">
        <f>+[1]モンスター計算!E284</f>
        <v>6414</v>
      </c>
      <c r="F281" s="5">
        <f>+[1]モンスター計算!F284</f>
        <v>390</v>
      </c>
      <c r="G281" s="5">
        <f>+[1]モンスター計算!G284</f>
        <v>1773</v>
      </c>
      <c r="H281" s="5">
        <f>+[1]モンスター計算!H284</f>
        <v>606</v>
      </c>
      <c r="I281" s="5">
        <f>+[1]モンスター計算!I284</f>
        <v>526</v>
      </c>
      <c r="J281" s="13">
        <f>+[1]モンスター計算!J284</f>
        <v>487</v>
      </c>
      <c r="K281" s="27">
        <f>+[1]モンスター計算!K284</f>
        <v>0.13</v>
      </c>
      <c r="L281" s="13">
        <f>+[1]モンスター計算!L284</f>
        <v>1.7</v>
      </c>
      <c r="M281" s="27">
        <f>+[1]モンスター計算!M284</f>
        <v>3</v>
      </c>
      <c r="N281" s="5">
        <f>+[1]モンスター計算!N284</f>
        <v>1.06</v>
      </c>
      <c r="O281" s="13">
        <f>+[1]モンスター計算!O284</f>
        <v>1</v>
      </c>
      <c r="P281" s="27">
        <f>+[1]モンスター計算!P284</f>
        <v>0.15500000000000003</v>
      </c>
      <c r="Q281" s="5">
        <f>+[1]モンスター計算!Q284</f>
        <v>-0.14500000000000002</v>
      </c>
      <c r="R281" s="5">
        <f>+[1]モンスター計算!R284</f>
        <v>-4.4999999999999998E-2</v>
      </c>
      <c r="S281" s="5">
        <f>+[1]モンスター計算!S284</f>
        <v>-4.4999999999999998E-2</v>
      </c>
      <c r="T281" s="5">
        <f>+[1]モンスター計算!T284</f>
        <v>-4.4999999999999998E-2</v>
      </c>
      <c r="U281" s="5">
        <f>+[1]モンスター計算!U284</f>
        <v>-4.4999999999999998E-2</v>
      </c>
      <c r="V281" s="13">
        <f>+[1]モンスター計算!V284</f>
        <v>5.2</v>
      </c>
      <c r="W281" s="30">
        <v>10</v>
      </c>
      <c r="X281" s="27" t="s">
        <v>68</v>
      </c>
      <c r="Y281" s="33" t="s">
        <v>90</v>
      </c>
      <c r="Z281" s="13">
        <v>1.25</v>
      </c>
      <c r="AA281" s="30">
        <v>15</v>
      </c>
      <c r="AB281" s="30">
        <f t="shared" si="8"/>
        <v>273</v>
      </c>
      <c r="AC281" s="47">
        <f t="shared" si="9"/>
        <v>47</v>
      </c>
      <c r="AD281" s="27" t="s">
        <v>74</v>
      </c>
      <c r="AE281" s="5">
        <v>0</v>
      </c>
      <c r="AF281" s="5">
        <v>0</v>
      </c>
      <c r="AG281" s="13" t="b">
        <v>0</v>
      </c>
      <c r="AH281" s="30" t="s">
        <v>1192</v>
      </c>
      <c r="AI281" s="33" t="s">
        <v>1825</v>
      </c>
    </row>
    <row r="282" spans="1:35">
      <c r="A282" s="52" t="s">
        <v>797</v>
      </c>
      <c r="B282" s="13" t="s">
        <v>473</v>
      </c>
      <c r="C282" s="27" t="s">
        <v>45</v>
      </c>
      <c r="D282" s="13" t="s">
        <v>59</v>
      </c>
      <c r="E282" s="27">
        <f>+[1]モンスター計算!E285</f>
        <v>5292</v>
      </c>
      <c r="F282" s="5">
        <f>+[1]モンスター計算!F285</f>
        <v>312</v>
      </c>
      <c r="G282" s="5">
        <f>+[1]モンスター計算!G285</f>
        <v>1421</v>
      </c>
      <c r="H282" s="5">
        <f>+[1]モンスター計算!H285</f>
        <v>352</v>
      </c>
      <c r="I282" s="5">
        <f>+[1]モンスター計算!I285</f>
        <v>449</v>
      </c>
      <c r="J282" s="13">
        <f>+[1]モンスター計算!J285</f>
        <v>455</v>
      </c>
      <c r="K282" s="27">
        <f>+[1]モンスター計算!K285</f>
        <v>0.21</v>
      </c>
      <c r="L282" s="13">
        <f>+[1]モンスター計算!L285</f>
        <v>1.78</v>
      </c>
      <c r="M282" s="27">
        <f>+[1]モンスター計算!M285</f>
        <v>4.05</v>
      </c>
      <c r="N282" s="5">
        <f>+[1]モンスター計算!N285</f>
        <v>1.56</v>
      </c>
      <c r="O282" s="13">
        <f>+[1]モンスター計算!O285</f>
        <v>1</v>
      </c>
      <c r="P282" s="27">
        <f>+[1]モンスター計算!P285</f>
        <v>-0.18</v>
      </c>
      <c r="Q282" s="5">
        <f>+[1]モンスター計算!Q285</f>
        <v>0.12000000000000001</v>
      </c>
      <c r="R282" s="5">
        <f>+[1]モンスター計算!R285</f>
        <v>-0.08</v>
      </c>
      <c r="S282" s="5">
        <f>+[1]モンスター計算!S285</f>
        <v>-0.08</v>
      </c>
      <c r="T282" s="5">
        <f>+[1]モンスター計算!T285</f>
        <v>-0.08</v>
      </c>
      <c r="U282" s="5">
        <f>+[1]モンスター計算!U285</f>
        <v>-0.08</v>
      </c>
      <c r="V282" s="13">
        <f>+[1]モンスター計算!V285</f>
        <v>5</v>
      </c>
      <c r="W282" s="30">
        <v>11</v>
      </c>
      <c r="X282" s="27" t="s">
        <v>70</v>
      </c>
      <c r="Y282" s="33" t="s">
        <v>91</v>
      </c>
      <c r="Z282" s="13">
        <v>1.25</v>
      </c>
      <c r="AA282" s="30">
        <v>20</v>
      </c>
      <c r="AB282" s="30">
        <f t="shared" si="8"/>
        <v>318</v>
      </c>
      <c r="AC282" s="47">
        <f t="shared" si="9"/>
        <v>47</v>
      </c>
      <c r="AD282" s="27" t="s">
        <v>74</v>
      </c>
      <c r="AE282" s="5">
        <v>0</v>
      </c>
      <c r="AF282" s="5">
        <v>0</v>
      </c>
      <c r="AG282" s="13" t="b">
        <v>0</v>
      </c>
      <c r="AH282" s="30" t="s">
        <v>1193</v>
      </c>
      <c r="AI282" s="33" t="s">
        <v>1825</v>
      </c>
    </row>
    <row r="283" spans="1:35" ht="19.5" thickBot="1">
      <c r="A283" s="53" t="s">
        <v>798</v>
      </c>
      <c r="B283" s="16" t="s">
        <v>474</v>
      </c>
      <c r="C283" s="28" t="s">
        <v>47</v>
      </c>
      <c r="D283" s="16" t="s">
        <v>61</v>
      </c>
      <c r="E283" s="28">
        <f>+[1]モンスター計算!E286</f>
        <v>6334</v>
      </c>
      <c r="F283" s="15">
        <f>+[1]モンスター計算!F286</f>
        <v>1052</v>
      </c>
      <c r="G283" s="15">
        <f>+[1]モンスター計算!G286</f>
        <v>277</v>
      </c>
      <c r="H283" s="15">
        <f>+[1]モンスター計算!H286</f>
        <v>1161</v>
      </c>
      <c r="I283" s="15">
        <f>+[1]モンスター計算!I286</f>
        <v>545</v>
      </c>
      <c r="J283" s="16">
        <f>+[1]モンスター計算!J286</f>
        <v>520</v>
      </c>
      <c r="K283" s="28">
        <f>+[1]モンスター計算!K286</f>
        <v>6.5000000000000002E-2</v>
      </c>
      <c r="L283" s="16">
        <f>+[1]モンスター計算!L286</f>
        <v>1.45</v>
      </c>
      <c r="M283" s="28">
        <f>+[1]モンスター計算!M286</f>
        <v>4</v>
      </c>
      <c r="N283" s="15">
        <f>+[1]モンスター計算!N286</f>
        <v>1.72</v>
      </c>
      <c r="O283" s="16">
        <f>+[1]モンスター計算!O286</f>
        <v>1.9</v>
      </c>
      <c r="P283" s="28">
        <f>+[1]モンスター計算!P286</f>
        <v>-7.0000000000000007E-2</v>
      </c>
      <c r="Q283" s="15">
        <f>+[1]モンスター計算!Q286</f>
        <v>-7.0000000000000007E-2</v>
      </c>
      <c r="R283" s="15">
        <f>+[1]モンスター計算!R286</f>
        <v>-7.0000000000000007E-2</v>
      </c>
      <c r="S283" s="15">
        <f>+[1]モンスター計算!S286</f>
        <v>-7.0000000000000007E-2</v>
      </c>
      <c r="T283" s="15">
        <f>+[1]モンスター計算!T286</f>
        <v>0.13</v>
      </c>
      <c r="U283" s="15">
        <f>+[1]モンスター計算!U286</f>
        <v>-0.17</v>
      </c>
      <c r="V283" s="16">
        <f>+[1]モンスター計算!V286</f>
        <v>5.4</v>
      </c>
      <c r="W283" s="31">
        <v>15</v>
      </c>
      <c r="X283" s="28" t="s">
        <v>72</v>
      </c>
      <c r="Y283" s="34" t="s">
        <v>92</v>
      </c>
      <c r="Z283" s="16">
        <v>1.3</v>
      </c>
      <c r="AA283" s="31">
        <v>40</v>
      </c>
      <c r="AB283" s="31">
        <f t="shared" si="8"/>
        <v>456</v>
      </c>
      <c r="AC283" s="48">
        <f t="shared" si="9"/>
        <v>47</v>
      </c>
      <c r="AD283" s="28" t="s">
        <v>55</v>
      </c>
      <c r="AE283" s="15">
        <v>10</v>
      </c>
      <c r="AF283" s="15">
        <v>4</v>
      </c>
      <c r="AG283" s="16" t="b">
        <v>1</v>
      </c>
      <c r="AH283" s="31" t="s">
        <v>1194</v>
      </c>
      <c r="AI283" s="34" t="s">
        <v>1825</v>
      </c>
    </row>
    <row r="284" spans="1:35">
      <c r="A284" s="51" t="s">
        <v>799</v>
      </c>
      <c r="B284" s="11" t="s">
        <v>475</v>
      </c>
      <c r="C284" s="26" t="s">
        <v>45</v>
      </c>
      <c r="D284" s="11" t="s">
        <v>61</v>
      </c>
      <c r="E284" s="26">
        <f>+[1]モンスター計算!E287</f>
        <v>9878</v>
      </c>
      <c r="F284" s="10">
        <f>+[1]モンスター計算!F287</f>
        <v>1736</v>
      </c>
      <c r="G284" s="10">
        <f>+[1]モンスター計算!G287</f>
        <v>435</v>
      </c>
      <c r="H284" s="10">
        <f>+[1]モンスター計算!H287</f>
        <v>1466</v>
      </c>
      <c r="I284" s="10">
        <f>+[1]モンスター計算!I287</f>
        <v>1376</v>
      </c>
      <c r="J284" s="11">
        <f>+[1]モンスター計算!J287</f>
        <v>508</v>
      </c>
      <c r="K284" s="26">
        <f>+[1]モンスター計算!K287</f>
        <v>5.5E-2</v>
      </c>
      <c r="L284" s="11">
        <f>+[1]モンスター計算!L287</f>
        <v>1.5</v>
      </c>
      <c r="M284" s="26">
        <f>+[1]モンスター計算!M287</f>
        <v>1.85</v>
      </c>
      <c r="N284" s="10">
        <f>+[1]モンスター計算!N287</f>
        <v>0.87</v>
      </c>
      <c r="O284" s="11">
        <f>+[1]モンスター計算!O287</f>
        <v>2.35</v>
      </c>
      <c r="P284" s="26">
        <f>+[1]モンスター計算!P287</f>
        <v>-3.5000000000000003E-2</v>
      </c>
      <c r="Q284" s="10">
        <f>+[1]モンスター計算!Q287</f>
        <v>0.26500000000000001</v>
      </c>
      <c r="R284" s="10">
        <f>+[1]モンスター計算!R287</f>
        <v>6.5000000000000002E-2</v>
      </c>
      <c r="S284" s="10">
        <f>+[1]モンスター計算!S287</f>
        <v>6.5000000000000002E-2</v>
      </c>
      <c r="T284" s="10">
        <f>+[1]モンスター計算!T287</f>
        <v>6.5000000000000002E-2</v>
      </c>
      <c r="U284" s="10">
        <f>+[1]モンスター計算!U287</f>
        <v>6.5000000000000002E-2</v>
      </c>
      <c r="V284" s="11">
        <f>+[1]モンスター計算!V287</f>
        <v>4.2</v>
      </c>
      <c r="W284" s="29">
        <v>8</v>
      </c>
      <c r="X284" s="26" t="s">
        <v>109</v>
      </c>
      <c r="Y284" s="32" t="s">
        <v>87</v>
      </c>
      <c r="Z284" s="11">
        <v>1.2</v>
      </c>
      <c r="AA284" s="29">
        <v>5</v>
      </c>
      <c r="AB284" s="29">
        <f t="shared" si="8"/>
        <v>172</v>
      </c>
      <c r="AC284" s="46">
        <f t="shared" si="9"/>
        <v>48</v>
      </c>
      <c r="AD284" s="26" t="s">
        <v>51</v>
      </c>
      <c r="AE284" s="10">
        <v>7</v>
      </c>
      <c r="AF284" s="10">
        <v>3</v>
      </c>
      <c r="AG284" s="11" t="b">
        <v>1</v>
      </c>
      <c r="AH284" s="29" t="s">
        <v>1195</v>
      </c>
      <c r="AI284" s="32" t="s">
        <v>1825</v>
      </c>
    </row>
    <row r="285" spans="1:35">
      <c r="A285" s="52" t="s">
        <v>800</v>
      </c>
      <c r="B285" s="13" t="s">
        <v>476</v>
      </c>
      <c r="C285" s="27" t="s">
        <v>44</v>
      </c>
      <c r="D285" s="13" t="s">
        <v>61</v>
      </c>
      <c r="E285" s="27">
        <f>+[1]モンスター計算!E288</f>
        <v>7232</v>
      </c>
      <c r="F285" s="5">
        <f>+[1]モンスター計算!F288</f>
        <v>1157</v>
      </c>
      <c r="G285" s="5">
        <f>+[1]モンスター計算!G288</f>
        <v>888</v>
      </c>
      <c r="H285" s="5">
        <f>+[1]モンスター計算!H288</f>
        <v>1973</v>
      </c>
      <c r="I285" s="5">
        <f>+[1]モンスター計算!I288</f>
        <v>600</v>
      </c>
      <c r="J285" s="13">
        <f>+[1]モンスター計算!J288</f>
        <v>706</v>
      </c>
      <c r="K285" s="27">
        <f>+[1]モンスター計算!K288</f>
        <v>0.05</v>
      </c>
      <c r="L285" s="13">
        <f>+[1]モンスター計算!L288</f>
        <v>1.5</v>
      </c>
      <c r="M285" s="27">
        <f>+[1]モンスター計算!M288</f>
        <v>2</v>
      </c>
      <c r="N285" s="5">
        <f>+[1]モンスター計算!N288</f>
        <v>1</v>
      </c>
      <c r="O285" s="13">
        <f>+[1]モンスター計算!O288</f>
        <v>2.5</v>
      </c>
      <c r="P285" s="27">
        <f>+[1]モンスター計算!P288</f>
        <v>0.18000000000000002</v>
      </c>
      <c r="Q285" s="5">
        <f>+[1]モンスター計算!Q288</f>
        <v>-0.12000000000000001</v>
      </c>
      <c r="R285" s="5">
        <f>+[1]モンスター計算!R288</f>
        <v>-0.02</v>
      </c>
      <c r="S285" s="5">
        <f>+[1]モンスター計算!S288</f>
        <v>-0.02</v>
      </c>
      <c r="T285" s="5">
        <f>+[1]モンスター計算!T288</f>
        <v>-0.02</v>
      </c>
      <c r="U285" s="5">
        <f>+[1]モンスター計算!U288</f>
        <v>-0.02</v>
      </c>
      <c r="V285" s="13">
        <f>+[1]モンスター計算!V288</f>
        <v>4</v>
      </c>
      <c r="W285" s="30">
        <v>8</v>
      </c>
      <c r="X285" s="27" t="s">
        <v>64</v>
      </c>
      <c r="Y285" s="33" t="s">
        <v>88</v>
      </c>
      <c r="Z285" s="13">
        <v>1.2</v>
      </c>
      <c r="AA285" s="30">
        <v>7</v>
      </c>
      <c r="AB285" s="30">
        <f t="shared" si="8"/>
        <v>191</v>
      </c>
      <c r="AC285" s="47">
        <f t="shared" si="9"/>
        <v>48</v>
      </c>
      <c r="AD285" s="27" t="s">
        <v>49</v>
      </c>
      <c r="AE285" s="5">
        <v>7.5</v>
      </c>
      <c r="AF285" s="5">
        <v>3</v>
      </c>
      <c r="AG285" s="13" t="b">
        <v>1</v>
      </c>
      <c r="AH285" s="30" t="s">
        <v>1196</v>
      </c>
      <c r="AI285" s="33" t="s">
        <v>1825</v>
      </c>
    </row>
    <row r="286" spans="1:35">
      <c r="A286" s="52" t="s">
        <v>801</v>
      </c>
      <c r="B286" s="13" t="s">
        <v>477</v>
      </c>
      <c r="C286" s="27" t="s">
        <v>46</v>
      </c>
      <c r="D286" s="13" t="s">
        <v>61</v>
      </c>
      <c r="E286" s="27">
        <f>+[1]モンスター計算!E289</f>
        <v>9702</v>
      </c>
      <c r="F286" s="5">
        <f>+[1]モンスター計算!F289</f>
        <v>1350</v>
      </c>
      <c r="G286" s="5">
        <f>+[1]モンスター計算!G289</f>
        <v>617</v>
      </c>
      <c r="H286" s="5">
        <f>+[1]モンスター計算!H289</f>
        <v>1370</v>
      </c>
      <c r="I286" s="5">
        <f>+[1]モンスター計算!I289</f>
        <v>776</v>
      </c>
      <c r="J286" s="13">
        <f>+[1]モンスター計算!J289</f>
        <v>776</v>
      </c>
      <c r="K286" s="27">
        <f>+[1]モンスター計算!K289</f>
        <v>7.0000000000000007E-2</v>
      </c>
      <c r="L286" s="13">
        <f>+[1]モンスター計算!L289</f>
        <v>1.55</v>
      </c>
      <c r="M286" s="27">
        <f>+[1]モンスター計算!M289</f>
        <v>2.4</v>
      </c>
      <c r="N286" s="5">
        <f>+[1]モンスター計算!N289</f>
        <v>1</v>
      </c>
      <c r="O286" s="13">
        <f>+[1]モンスター計算!O289</f>
        <v>2.5</v>
      </c>
      <c r="P286" s="27">
        <f>+[1]モンスター計算!P289</f>
        <v>0.02</v>
      </c>
      <c r="Q286" s="5">
        <f>+[1]モンスター計算!Q289</f>
        <v>0.02</v>
      </c>
      <c r="R286" s="5">
        <f>+[1]モンスター計算!R289</f>
        <v>0.22</v>
      </c>
      <c r="S286" s="5">
        <f>+[1]モンスター計算!S289</f>
        <v>-0.08</v>
      </c>
      <c r="T286" s="5">
        <f>+[1]モンスター計算!T289</f>
        <v>0.02</v>
      </c>
      <c r="U286" s="5">
        <f>+[1]モンスター計算!U289</f>
        <v>0.02</v>
      </c>
      <c r="V286" s="13">
        <f>+[1]モンスター計算!V289</f>
        <v>4</v>
      </c>
      <c r="W286" s="30">
        <v>9</v>
      </c>
      <c r="X286" s="27" t="s">
        <v>66</v>
      </c>
      <c r="Y286" s="33" t="s">
        <v>89</v>
      </c>
      <c r="Z286" s="13">
        <v>1.22</v>
      </c>
      <c r="AA286" s="30">
        <v>10</v>
      </c>
      <c r="AB286" s="30">
        <f t="shared" si="8"/>
        <v>223</v>
      </c>
      <c r="AC286" s="47">
        <f t="shared" si="9"/>
        <v>48</v>
      </c>
      <c r="AD286" s="27" t="s">
        <v>53</v>
      </c>
      <c r="AE286" s="5">
        <v>8.5</v>
      </c>
      <c r="AF286" s="5">
        <v>3</v>
      </c>
      <c r="AG286" s="13" t="b">
        <v>1</v>
      </c>
      <c r="AH286" s="30" t="s">
        <v>1197</v>
      </c>
      <c r="AI286" s="33" t="s">
        <v>1825</v>
      </c>
    </row>
    <row r="287" spans="1:35">
      <c r="A287" s="52" t="s">
        <v>802</v>
      </c>
      <c r="B287" s="13" t="s">
        <v>478</v>
      </c>
      <c r="C287" s="27" t="s">
        <v>44</v>
      </c>
      <c r="D287" s="13" t="s">
        <v>59</v>
      </c>
      <c r="E287" s="27">
        <f>+[1]モンスター計算!E290</f>
        <v>8114</v>
      </c>
      <c r="F287" s="5">
        <f>+[1]モンスター計算!F290</f>
        <v>514</v>
      </c>
      <c r="G287" s="5">
        <f>+[1]モンスター計算!G290</f>
        <v>1948</v>
      </c>
      <c r="H287" s="5">
        <f>+[1]モンスター計算!H290</f>
        <v>701</v>
      </c>
      <c r="I287" s="5">
        <f>+[1]モンスター計算!I290</f>
        <v>649</v>
      </c>
      <c r="J287" s="13">
        <f>+[1]モンスター計算!J290</f>
        <v>600</v>
      </c>
      <c r="K287" s="27">
        <f>+[1]モンスター計算!K290</f>
        <v>7.0000000000000007E-2</v>
      </c>
      <c r="L287" s="13">
        <f>+[1]モンスター計算!L290</f>
        <v>1.6</v>
      </c>
      <c r="M287" s="27">
        <f>+[1]モンスター計算!M290</f>
        <v>2.4500000000000002</v>
      </c>
      <c r="N287" s="5">
        <f>+[1]モンスター計算!N290</f>
        <v>0.94</v>
      </c>
      <c r="O287" s="13">
        <f>+[1]モンスター計算!O290</f>
        <v>1</v>
      </c>
      <c r="P287" s="27">
        <f>+[1]モンスター計算!P290</f>
        <v>0.16500000000000001</v>
      </c>
      <c r="Q287" s="5">
        <f>+[1]モンスター計算!Q290</f>
        <v>-0.13500000000000001</v>
      </c>
      <c r="R287" s="5">
        <f>+[1]モンスター計算!R290</f>
        <v>-3.5000000000000003E-2</v>
      </c>
      <c r="S287" s="5">
        <f>+[1]モンスター計算!S290</f>
        <v>-3.5000000000000003E-2</v>
      </c>
      <c r="T287" s="5">
        <f>+[1]モンスター計算!T290</f>
        <v>-3.5000000000000003E-2</v>
      </c>
      <c r="U287" s="5">
        <f>+[1]モンスター計算!U290</f>
        <v>-3.5000000000000003E-2</v>
      </c>
      <c r="V287" s="13">
        <f>+[1]モンスター計算!V290</f>
        <v>5.6</v>
      </c>
      <c r="W287" s="30">
        <v>10</v>
      </c>
      <c r="X287" s="27" t="s">
        <v>68</v>
      </c>
      <c r="Y287" s="33" t="s">
        <v>90</v>
      </c>
      <c r="Z287" s="13">
        <v>1.25</v>
      </c>
      <c r="AA287" s="30">
        <v>15</v>
      </c>
      <c r="AB287" s="30">
        <f t="shared" si="8"/>
        <v>287</v>
      </c>
      <c r="AC287" s="47">
        <f t="shared" si="9"/>
        <v>48</v>
      </c>
      <c r="AD287" s="27" t="s">
        <v>74</v>
      </c>
      <c r="AE287" s="5">
        <v>0</v>
      </c>
      <c r="AF287" s="5">
        <v>0</v>
      </c>
      <c r="AG287" s="13" t="b">
        <v>0</v>
      </c>
      <c r="AH287" s="30" t="s">
        <v>1198</v>
      </c>
      <c r="AI287" s="33" t="s">
        <v>1825</v>
      </c>
    </row>
    <row r="288" spans="1:35">
      <c r="A288" s="52" t="s">
        <v>803</v>
      </c>
      <c r="B288" s="13" t="s">
        <v>479</v>
      </c>
      <c r="C288" s="27" t="s">
        <v>45</v>
      </c>
      <c r="D288" s="13" t="s">
        <v>59</v>
      </c>
      <c r="E288" s="27">
        <f>+[1]モンスター計算!E291</f>
        <v>10584</v>
      </c>
      <c r="F288" s="5">
        <f>+[1]モンスター計算!F291</f>
        <v>640</v>
      </c>
      <c r="G288" s="5">
        <f>+[1]モンスター計算!G291</f>
        <v>1211</v>
      </c>
      <c r="H288" s="5">
        <f>+[1]モンスター計算!H291</f>
        <v>452</v>
      </c>
      <c r="I288" s="5">
        <f>+[1]モンスター計算!I291</f>
        <v>536</v>
      </c>
      <c r="J288" s="13">
        <f>+[1]モンスター計算!J291</f>
        <v>1482</v>
      </c>
      <c r="K288" s="27">
        <f>+[1]モンスター計算!K291</f>
        <v>0.05</v>
      </c>
      <c r="L288" s="13">
        <f>+[1]モンスター計算!L291</f>
        <v>1.47</v>
      </c>
      <c r="M288" s="27">
        <f>+[1]モンスター計算!M291</f>
        <v>2.4500000000000002</v>
      </c>
      <c r="N288" s="5">
        <f>+[1]モンスター計算!N291</f>
        <v>1</v>
      </c>
      <c r="O288" s="13">
        <f>+[1]モンスター計算!O291</f>
        <v>1</v>
      </c>
      <c r="P288" s="27">
        <f>+[1]モンスター計算!P291</f>
        <v>-3.5000000000000003E-2</v>
      </c>
      <c r="Q288" s="5">
        <f>+[1]モンスター計算!Q291</f>
        <v>0.26500000000000001</v>
      </c>
      <c r="R288" s="5">
        <f>+[1]モンスター計算!R291</f>
        <v>6.5000000000000002E-2</v>
      </c>
      <c r="S288" s="5">
        <f>+[1]モンスター計算!S291</f>
        <v>6.5000000000000002E-2</v>
      </c>
      <c r="T288" s="5">
        <f>+[1]モンスター計算!T291</f>
        <v>6.5000000000000002E-2</v>
      </c>
      <c r="U288" s="5">
        <f>+[1]モンスター計算!U291</f>
        <v>6.5000000000000002E-2</v>
      </c>
      <c r="V288" s="13">
        <f>+[1]モンスター計算!V291</f>
        <v>4.2</v>
      </c>
      <c r="W288" s="30">
        <v>11</v>
      </c>
      <c r="X288" s="27" t="s">
        <v>70</v>
      </c>
      <c r="Y288" s="33" t="s">
        <v>91</v>
      </c>
      <c r="Z288" s="13">
        <v>1.25</v>
      </c>
      <c r="AA288" s="30">
        <v>20</v>
      </c>
      <c r="AB288" s="30">
        <f t="shared" si="8"/>
        <v>334</v>
      </c>
      <c r="AC288" s="47">
        <f t="shared" si="9"/>
        <v>48</v>
      </c>
      <c r="AD288" s="27" t="s">
        <v>74</v>
      </c>
      <c r="AE288" s="5">
        <v>0</v>
      </c>
      <c r="AF288" s="5">
        <v>0</v>
      </c>
      <c r="AG288" s="13" t="b">
        <v>0</v>
      </c>
      <c r="AH288" s="30" t="s">
        <v>1199</v>
      </c>
      <c r="AI288" s="33" t="s">
        <v>1825</v>
      </c>
    </row>
    <row r="289" spans="1:35" ht="19.5" thickBot="1">
      <c r="A289" s="53" t="s">
        <v>804</v>
      </c>
      <c r="B289" s="16" t="s">
        <v>480</v>
      </c>
      <c r="C289" s="28" t="s">
        <v>47</v>
      </c>
      <c r="D289" s="16" t="s">
        <v>61</v>
      </c>
      <c r="E289" s="28">
        <f>+[1]モンスター計算!E292</f>
        <v>13230</v>
      </c>
      <c r="F289" s="15">
        <f>+[1]モンスター計算!F292</f>
        <v>1607</v>
      </c>
      <c r="G289" s="15">
        <f>+[1]モンスター計算!G292</f>
        <v>321</v>
      </c>
      <c r="H289" s="15">
        <f>+[1]モンスター計算!H292</f>
        <v>713</v>
      </c>
      <c r="I289" s="15">
        <f>+[1]モンスター計算!I292</f>
        <v>1058</v>
      </c>
      <c r="J289" s="16">
        <f>+[1]モンスター計算!J292</f>
        <v>988</v>
      </c>
      <c r="K289" s="28">
        <f>+[1]モンスター計算!K292</f>
        <v>0.1</v>
      </c>
      <c r="L289" s="16">
        <f>+[1]モンスター計算!L292</f>
        <v>1.75</v>
      </c>
      <c r="M289" s="28">
        <f>+[1]モンスター計算!M292</f>
        <v>2.4</v>
      </c>
      <c r="N289" s="15">
        <f>+[1]モンスター計算!N292</f>
        <v>1.2</v>
      </c>
      <c r="O289" s="16">
        <f>+[1]モンスター計算!O292</f>
        <v>3</v>
      </c>
      <c r="P289" s="28">
        <f>+[1]モンスター計算!P292</f>
        <v>0.08</v>
      </c>
      <c r="Q289" s="15">
        <f>+[1]モンスター計算!Q292</f>
        <v>0.08</v>
      </c>
      <c r="R289" s="15">
        <f>+[1]モンスター計算!R292</f>
        <v>0.08</v>
      </c>
      <c r="S289" s="15">
        <f>+[1]モンスター計算!S292</f>
        <v>0.08</v>
      </c>
      <c r="T289" s="15">
        <f>+[1]モンスター計算!T292</f>
        <v>0.28000000000000003</v>
      </c>
      <c r="U289" s="15">
        <f>+[1]モンスター計算!U292</f>
        <v>-2.0000000000000004E-2</v>
      </c>
      <c r="V289" s="16">
        <f>+[1]モンスター計算!V292</f>
        <v>4</v>
      </c>
      <c r="W289" s="31">
        <v>15</v>
      </c>
      <c r="X289" s="28" t="s">
        <v>72</v>
      </c>
      <c r="Y289" s="34" t="s">
        <v>92</v>
      </c>
      <c r="Z289" s="16">
        <v>1.3</v>
      </c>
      <c r="AA289" s="31">
        <v>40</v>
      </c>
      <c r="AB289" s="31">
        <f t="shared" si="8"/>
        <v>479</v>
      </c>
      <c r="AC289" s="48">
        <f t="shared" si="9"/>
        <v>48</v>
      </c>
      <c r="AD289" s="28" t="s">
        <v>55</v>
      </c>
      <c r="AE289" s="15">
        <v>10</v>
      </c>
      <c r="AF289" s="15">
        <v>4</v>
      </c>
      <c r="AG289" s="16" t="b">
        <v>1</v>
      </c>
      <c r="AH289" s="31" t="s">
        <v>1200</v>
      </c>
      <c r="AI289" s="34" t="s">
        <v>1825</v>
      </c>
    </row>
    <row r="290" spans="1:35">
      <c r="A290" s="51" t="s">
        <v>805</v>
      </c>
      <c r="B290" s="11" t="s">
        <v>481</v>
      </c>
      <c r="C290" s="26" t="s">
        <v>45</v>
      </c>
      <c r="D290" s="11" t="s">
        <v>61</v>
      </c>
      <c r="E290" s="26">
        <f>+[1]モンスター計算!E293</f>
        <v>5336</v>
      </c>
      <c r="F290" s="10">
        <f>+[1]モンスター計算!F293</f>
        <v>2122</v>
      </c>
      <c r="G290" s="10">
        <f>+[1]モンスター計算!G293</f>
        <v>998</v>
      </c>
      <c r="H290" s="10">
        <f>+[1]モンスター計算!H293</f>
        <v>2771</v>
      </c>
      <c r="I290" s="10">
        <f>+[1]モンスター計算!I293</f>
        <v>1125</v>
      </c>
      <c r="J290" s="11">
        <f>+[1]モンスター計算!J293</f>
        <v>1746</v>
      </c>
      <c r="K290" s="26">
        <f>+[1]モンスター計算!K293</f>
        <v>0.04</v>
      </c>
      <c r="L290" s="11">
        <f>+[1]モンスター計算!L293</f>
        <v>1.38</v>
      </c>
      <c r="M290" s="26">
        <f>+[1]モンスター計算!M293</f>
        <v>2.2000000000000002</v>
      </c>
      <c r="N290" s="10">
        <f>+[1]モンスター計算!N293</f>
        <v>0.88</v>
      </c>
      <c r="O290" s="11">
        <f>+[1]モンスター計算!O293</f>
        <v>3.15</v>
      </c>
      <c r="P290" s="26">
        <f>+[1]モンスター計算!P293</f>
        <v>0.03</v>
      </c>
      <c r="Q290" s="10">
        <f>+[1]モンスター計算!Q293</f>
        <v>0.33</v>
      </c>
      <c r="R290" s="10">
        <f>+[1]モンスター計算!R293</f>
        <v>0.13</v>
      </c>
      <c r="S290" s="10">
        <f>+[1]モンスター計算!S293</f>
        <v>0.13</v>
      </c>
      <c r="T290" s="10">
        <f>+[1]モンスター計算!T293</f>
        <v>0.13</v>
      </c>
      <c r="U290" s="10">
        <f>+[1]モンスター計算!U293</f>
        <v>0.13</v>
      </c>
      <c r="V290" s="11">
        <f>+[1]モンスター計算!V293</f>
        <v>4.4800000000000004</v>
      </c>
      <c r="W290" s="29">
        <v>8</v>
      </c>
      <c r="X290" s="26" t="s">
        <v>109</v>
      </c>
      <c r="Y290" s="32" t="s">
        <v>87</v>
      </c>
      <c r="Z290" s="11">
        <v>1.2</v>
      </c>
      <c r="AA290" s="29">
        <v>5</v>
      </c>
      <c r="AB290" s="29">
        <f t="shared" si="8"/>
        <v>181</v>
      </c>
      <c r="AC290" s="46">
        <f t="shared" si="9"/>
        <v>49</v>
      </c>
      <c r="AD290" s="26" t="s">
        <v>51</v>
      </c>
      <c r="AE290" s="10">
        <v>7</v>
      </c>
      <c r="AF290" s="10">
        <v>3</v>
      </c>
      <c r="AG290" s="11" t="b">
        <v>1</v>
      </c>
      <c r="AH290" s="29" t="s">
        <v>1201</v>
      </c>
      <c r="AI290" s="32" t="s">
        <v>1825</v>
      </c>
    </row>
    <row r="291" spans="1:35">
      <c r="A291" s="52" t="s">
        <v>806</v>
      </c>
      <c r="B291" s="13" t="s">
        <v>482</v>
      </c>
      <c r="C291" s="27" t="s">
        <v>44</v>
      </c>
      <c r="D291" s="13" t="s">
        <v>61</v>
      </c>
      <c r="E291" s="27">
        <f>+[1]モンスター計算!E294</f>
        <v>9702</v>
      </c>
      <c r="F291" s="5">
        <f>+[1]モンスター計算!F294</f>
        <v>2051</v>
      </c>
      <c r="G291" s="5">
        <f>+[1]モンスター計算!G294</f>
        <v>779</v>
      </c>
      <c r="H291" s="5">
        <f>+[1]モンスター計算!H294</f>
        <v>1730</v>
      </c>
      <c r="I291" s="5">
        <f>+[1]モンスター計算!I294</f>
        <v>776</v>
      </c>
      <c r="J291" s="13">
        <f>+[1]モンスター計算!J294</f>
        <v>931</v>
      </c>
      <c r="K291" s="27">
        <f>+[1]モンスター計算!K294</f>
        <v>0.06</v>
      </c>
      <c r="L291" s="13">
        <f>+[1]モンスター計算!L294</f>
        <v>1.4</v>
      </c>
      <c r="M291" s="27">
        <f>+[1]モンスター計算!M294</f>
        <v>2.1</v>
      </c>
      <c r="N291" s="5">
        <f>+[1]モンスター計算!N294</f>
        <v>0.95</v>
      </c>
      <c r="O291" s="13">
        <f>+[1]モンスター計算!O294</f>
        <v>2.875</v>
      </c>
      <c r="P291" s="27">
        <f>+[1]モンスター計算!P294</f>
        <v>0.23</v>
      </c>
      <c r="Q291" s="5">
        <f>+[1]モンスター計算!Q294</f>
        <v>-7.0000000000000007E-2</v>
      </c>
      <c r="R291" s="5">
        <f>+[1]モンスター計算!R294</f>
        <v>0.03</v>
      </c>
      <c r="S291" s="5">
        <f>+[1]モンスター計算!S294</f>
        <v>0.03</v>
      </c>
      <c r="T291" s="5">
        <f>+[1]モンスター計算!T294</f>
        <v>0.03</v>
      </c>
      <c r="U291" s="5">
        <f>+[1]モンスター計算!U294</f>
        <v>0.03</v>
      </c>
      <c r="V291" s="13">
        <f>+[1]モンスター計算!V294</f>
        <v>4.8</v>
      </c>
      <c r="W291" s="30">
        <v>8</v>
      </c>
      <c r="X291" s="27" t="s">
        <v>64</v>
      </c>
      <c r="Y291" s="33" t="s">
        <v>88</v>
      </c>
      <c r="Z291" s="13">
        <v>1.2</v>
      </c>
      <c r="AA291" s="30">
        <v>7</v>
      </c>
      <c r="AB291" s="30">
        <f t="shared" si="8"/>
        <v>201</v>
      </c>
      <c r="AC291" s="47">
        <f t="shared" si="9"/>
        <v>49</v>
      </c>
      <c r="AD291" s="27" t="s">
        <v>49</v>
      </c>
      <c r="AE291" s="5">
        <v>7.5</v>
      </c>
      <c r="AF291" s="5">
        <v>3</v>
      </c>
      <c r="AG291" s="13" t="b">
        <v>1</v>
      </c>
      <c r="AH291" s="30" t="s">
        <v>1202</v>
      </c>
      <c r="AI291" s="33" t="s">
        <v>1825</v>
      </c>
    </row>
    <row r="292" spans="1:35">
      <c r="A292" s="52" t="s">
        <v>807</v>
      </c>
      <c r="B292" s="13" t="s">
        <v>483</v>
      </c>
      <c r="C292" s="27" t="s">
        <v>46</v>
      </c>
      <c r="D292" s="13" t="s">
        <v>61</v>
      </c>
      <c r="E292" s="27">
        <f>+[1]モンスター計算!E295</f>
        <v>9314</v>
      </c>
      <c r="F292" s="5">
        <f>+[1]モンスター計算!F295</f>
        <v>1556</v>
      </c>
      <c r="G292" s="5">
        <f>+[1]モンスター計算!G295</f>
        <v>515</v>
      </c>
      <c r="H292" s="5">
        <f>+[1]モンスター計算!H295</f>
        <v>1845</v>
      </c>
      <c r="I292" s="5">
        <f>+[1]モンスター計算!I295</f>
        <v>636</v>
      </c>
      <c r="J292" s="13">
        <f>+[1]モンスター計算!J295</f>
        <v>706</v>
      </c>
      <c r="K292" s="27">
        <f>+[1]モンスター計算!K295</f>
        <v>0.06</v>
      </c>
      <c r="L292" s="13">
        <f>+[1]モンスター計算!L295</f>
        <v>1.6</v>
      </c>
      <c r="M292" s="27">
        <f>+[1]モンスター計算!M295</f>
        <v>2.25</v>
      </c>
      <c r="N292" s="5">
        <f>+[1]モンスター計算!N295</f>
        <v>0.91</v>
      </c>
      <c r="O292" s="13">
        <f>+[1]モンスター計算!O295</f>
        <v>4.75</v>
      </c>
      <c r="P292" s="27">
        <f>+[1]モンスター計算!P295</f>
        <v>-0.02</v>
      </c>
      <c r="Q292" s="5">
        <f>+[1]モンスター計算!Q295</f>
        <v>-0.02</v>
      </c>
      <c r="R292" s="5">
        <f>+[1]モンスター計算!R295</f>
        <v>0.18000000000000002</v>
      </c>
      <c r="S292" s="5">
        <f>+[1]モンスター計算!S295</f>
        <v>-0.12000000000000001</v>
      </c>
      <c r="T292" s="5">
        <f>+[1]モンスター計算!T295</f>
        <v>-0.02</v>
      </c>
      <c r="U292" s="5">
        <f>+[1]モンスター計算!U295</f>
        <v>-0.02</v>
      </c>
      <c r="V292" s="13">
        <f>+[1]モンスター計算!V295</f>
        <v>6.6</v>
      </c>
      <c r="W292" s="30">
        <v>9</v>
      </c>
      <c r="X292" s="27" t="s">
        <v>66</v>
      </c>
      <c r="Y292" s="33" t="s">
        <v>89</v>
      </c>
      <c r="Z292" s="13">
        <v>1.22</v>
      </c>
      <c r="AA292" s="30">
        <v>10</v>
      </c>
      <c r="AB292" s="30">
        <f t="shared" si="8"/>
        <v>235</v>
      </c>
      <c r="AC292" s="47">
        <f t="shared" si="9"/>
        <v>49</v>
      </c>
      <c r="AD292" s="27" t="s">
        <v>53</v>
      </c>
      <c r="AE292" s="5">
        <v>8.5</v>
      </c>
      <c r="AF292" s="5">
        <v>3</v>
      </c>
      <c r="AG292" s="13" t="b">
        <v>1</v>
      </c>
      <c r="AH292" s="30" t="s">
        <v>1203</v>
      </c>
      <c r="AI292" s="33" t="s">
        <v>1825</v>
      </c>
    </row>
    <row r="293" spans="1:35">
      <c r="A293" s="52" t="s">
        <v>808</v>
      </c>
      <c r="B293" s="13" t="s">
        <v>484</v>
      </c>
      <c r="C293" s="27" t="s">
        <v>44</v>
      </c>
      <c r="D293" s="13" t="s">
        <v>59</v>
      </c>
      <c r="E293" s="27">
        <f>+[1]モンスター計算!E296</f>
        <v>8440</v>
      </c>
      <c r="F293" s="5">
        <f>+[1]モンスター計算!F296</f>
        <v>453</v>
      </c>
      <c r="G293" s="5">
        <f>+[1]モンスター計算!G296</f>
        <v>1718</v>
      </c>
      <c r="H293" s="5">
        <f>+[1]モンスター計算!H296</f>
        <v>503</v>
      </c>
      <c r="I293" s="5">
        <f>+[1]モンスター計算!I296</f>
        <v>667</v>
      </c>
      <c r="J293" s="13">
        <f>+[1]モンスター計算!J296</f>
        <v>598</v>
      </c>
      <c r="K293" s="27">
        <f>+[1]モンスター計算!K296</f>
        <v>0.27</v>
      </c>
      <c r="L293" s="13">
        <f>+[1]モンスター計算!L296</f>
        <v>2.0299999999999998</v>
      </c>
      <c r="M293" s="27">
        <f>+[1]モンスター計算!M296</f>
        <v>2.75</v>
      </c>
      <c r="N293" s="5">
        <f>+[1]モンスター計算!N296</f>
        <v>1.04</v>
      </c>
      <c r="O293" s="13">
        <f>+[1]モンスター計算!O296</f>
        <v>1</v>
      </c>
      <c r="P293" s="27">
        <f>+[1]モンスター計算!P296</f>
        <v>0.14000000000000001</v>
      </c>
      <c r="Q293" s="5">
        <f>+[1]モンスター計算!Q296</f>
        <v>-0.16</v>
      </c>
      <c r="R293" s="5">
        <f>+[1]モンスター計算!R296</f>
        <v>-0.06</v>
      </c>
      <c r="S293" s="5">
        <f>+[1]モンスター計算!S296</f>
        <v>-0.06</v>
      </c>
      <c r="T293" s="5">
        <f>+[1]モンスター計算!T296</f>
        <v>-0.06</v>
      </c>
      <c r="U293" s="5">
        <f>+[1]モンスター計算!U296</f>
        <v>-0.06</v>
      </c>
      <c r="V293" s="13">
        <f>+[1]モンスター計算!V296</f>
        <v>4.2</v>
      </c>
      <c r="W293" s="30">
        <v>10</v>
      </c>
      <c r="X293" s="27" t="s">
        <v>68</v>
      </c>
      <c r="Y293" s="33" t="s">
        <v>90</v>
      </c>
      <c r="Z293" s="13">
        <v>1.25</v>
      </c>
      <c r="AA293" s="30">
        <v>15</v>
      </c>
      <c r="AB293" s="30">
        <f t="shared" si="8"/>
        <v>302</v>
      </c>
      <c r="AC293" s="47">
        <f t="shared" si="9"/>
        <v>49</v>
      </c>
      <c r="AD293" s="27" t="s">
        <v>74</v>
      </c>
      <c r="AE293" s="5">
        <v>0</v>
      </c>
      <c r="AF293" s="5">
        <v>0</v>
      </c>
      <c r="AG293" s="13" t="b">
        <v>0</v>
      </c>
      <c r="AH293" s="30" t="s">
        <v>1204</v>
      </c>
      <c r="AI293" s="33" t="s">
        <v>1825</v>
      </c>
    </row>
    <row r="294" spans="1:35">
      <c r="A294" s="52" t="s">
        <v>809</v>
      </c>
      <c r="B294" s="13" t="s">
        <v>485</v>
      </c>
      <c r="C294" s="27" t="s">
        <v>45</v>
      </c>
      <c r="D294" s="13" t="s">
        <v>59</v>
      </c>
      <c r="E294" s="27">
        <f>+[1]モンスター計算!E297</f>
        <v>8926</v>
      </c>
      <c r="F294" s="5">
        <f>+[1]モンスター計算!F297</f>
        <v>629</v>
      </c>
      <c r="G294" s="5">
        <f>+[1]モンスター計算!G297</f>
        <v>1861</v>
      </c>
      <c r="H294" s="5">
        <f>+[1]モンスター計算!H297</f>
        <v>837</v>
      </c>
      <c r="I294" s="5">
        <f>+[1]モンスター計算!I297</f>
        <v>737</v>
      </c>
      <c r="J294" s="13">
        <f>+[1]モンスター計算!J297</f>
        <v>815</v>
      </c>
      <c r="K294" s="27">
        <f>+[1]モンスター計算!K297</f>
        <v>0.05</v>
      </c>
      <c r="L294" s="13">
        <f>+[1]モンスター計算!L297</f>
        <v>1.5</v>
      </c>
      <c r="M294" s="27">
        <f>+[1]モンスター計算!M297</f>
        <v>2</v>
      </c>
      <c r="N294" s="5">
        <f>+[1]モンスター計算!N297</f>
        <v>1.05</v>
      </c>
      <c r="O294" s="13">
        <f>+[1]モンスター計算!O297</f>
        <v>1</v>
      </c>
      <c r="P294" s="27">
        <f>+[1]モンスター計算!P297</f>
        <v>-9.0000000000000011E-2</v>
      </c>
      <c r="Q294" s="5">
        <f>+[1]モンスター計算!Q297</f>
        <v>0.21000000000000002</v>
      </c>
      <c r="R294" s="5">
        <f>+[1]モンスター計算!R297</f>
        <v>0.01</v>
      </c>
      <c r="S294" s="5">
        <f>+[1]モンスター計算!S297</f>
        <v>0.01</v>
      </c>
      <c r="T294" s="5">
        <f>+[1]モンスター計算!T297</f>
        <v>0.01</v>
      </c>
      <c r="U294" s="5">
        <f>+[1]モンスター計算!U297</f>
        <v>0.01</v>
      </c>
      <c r="V294" s="13">
        <f>+[1]モンスター計算!V297</f>
        <v>4</v>
      </c>
      <c r="W294" s="30">
        <v>11</v>
      </c>
      <c r="X294" s="27" t="s">
        <v>70</v>
      </c>
      <c r="Y294" s="33" t="s">
        <v>91</v>
      </c>
      <c r="Z294" s="13">
        <v>1.25</v>
      </c>
      <c r="AA294" s="30">
        <v>20</v>
      </c>
      <c r="AB294" s="30">
        <f t="shared" si="8"/>
        <v>351</v>
      </c>
      <c r="AC294" s="47">
        <f t="shared" si="9"/>
        <v>49</v>
      </c>
      <c r="AD294" s="27" t="s">
        <v>74</v>
      </c>
      <c r="AE294" s="5">
        <v>0</v>
      </c>
      <c r="AF294" s="5">
        <v>0</v>
      </c>
      <c r="AG294" s="13" t="b">
        <v>0</v>
      </c>
      <c r="AH294" s="30" t="s">
        <v>1205</v>
      </c>
      <c r="AI294" s="33" t="s">
        <v>1825</v>
      </c>
    </row>
    <row r="295" spans="1:35" ht="19.5" thickBot="1">
      <c r="A295" s="53" t="s">
        <v>810</v>
      </c>
      <c r="B295" s="16" t="s">
        <v>486</v>
      </c>
      <c r="C295" s="28" t="s">
        <v>47</v>
      </c>
      <c r="D295" s="16" t="s">
        <v>61</v>
      </c>
      <c r="E295" s="28">
        <f>+[1]モンスター計算!E298</f>
        <v>6500</v>
      </c>
      <c r="F295" s="15">
        <f>+[1]モンスター計算!F298</f>
        <v>1556</v>
      </c>
      <c r="G295" s="15">
        <f>+[1]モンスター計算!G298</f>
        <v>720</v>
      </c>
      <c r="H295" s="15">
        <f>+[1]モンスター計算!H298</f>
        <v>3077</v>
      </c>
      <c r="I295" s="15">
        <f>+[1]モンスター計算!I298</f>
        <v>504</v>
      </c>
      <c r="J295" s="16">
        <f>+[1]モンスター計算!J298</f>
        <v>621</v>
      </c>
      <c r="K295" s="28">
        <f>+[1]モンスター計算!K298</f>
        <v>0.18</v>
      </c>
      <c r="L295" s="16">
        <f>+[1]モンスター計算!L298</f>
        <v>1.85</v>
      </c>
      <c r="M295" s="28">
        <f>+[1]モンスター計算!M298</f>
        <v>2.0499999999999998</v>
      </c>
      <c r="N295" s="15">
        <f>+[1]モンスター計算!N298</f>
        <v>0.75</v>
      </c>
      <c r="O295" s="16">
        <f>+[1]モンスター計算!O298</f>
        <v>4.45</v>
      </c>
      <c r="P295" s="28">
        <f>+[1]モンスター計算!P298</f>
        <v>-0.06</v>
      </c>
      <c r="Q295" s="15">
        <f>+[1]モンスター計算!Q298</f>
        <v>-0.06</v>
      </c>
      <c r="R295" s="15">
        <f>+[1]モンスター計算!R298</f>
        <v>-0.06</v>
      </c>
      <c r="S295" s="15">
        <f>+[1]モンスター計算!S298</f>
        <v>-0.06</v>
      </c>
      <c r="T295" s="15">
        <f>+[1]モンスター計算!T298</f>
        <v>0.14000000000000001</v>
      </c>
      <c r="U295" s="15">
        <f>+[1]モンスター計算!U298</f>
        <v>-0.16</v>
      </c>
      <c r="V295" s="16">
        <f>+[1]モンスター計算!V298</f>
        <v>5.6</v>
      </c>
      <c r="W295" s="31">
        <v>15</v>
      </c>
      <c r="X295" s="28" t="s">
        <v>72</v>
      </c>
      <c r="Y295" s="34" t="s">
        <v>92</v>
      </c>
      <c r="Z295" s="16">
        <v>1.3</v>
      </c>
      <c r="AA295" s="31">
        <v>40</v>
      </c>
      <c r="AB295" s="31">
        <f t="shared" si="8"/>
        <v>503</v>
      </c>
      <c r="AC295" s="48">
        <f t="shared" si="9"/>
        <v>49</v>
      </c>
      <c r="AD295" s="28" t="s">
        <v>55</v>
      </c>
      <c r="AE295" s="15">
        <v>10</v>
      </c>
      <c r="AF295" s="15">
        <v>4</v>
      </c>
      <c r="AG295" s="16" t="b">
        <v>1</v>
      </c>
      <c r="AH295" s="31" t="s">
        <v>1206</v>
      </c>
      <c r="AI295" s="34" t="s">
        <v>1825</v>
      </c>
    </row>
    <row r="296" spans="1:35">
      <c r="A296" s="51" t="s">
        <v>811</v>
      </c>
      <c r="B296" s="11" t="s">
        <v>487</v>
      </c>
      <c r="C296" s="26" t="s">
        <v>45</v>
      </c>
      <c r="D296" s="11" t="s">
        <v>61</v>
      </c>
      <c r="E296" s="26">
        <f>+[1]モンスター計算!E299</f>
        <v>8324</v>
      </c>
      <c r="F296" s="10">
        <f>+[1]モンスター計算!F299</f>
        <v>1789</v>
      </c>
      <c r="G296" s="10">
        <f>+[1]モンスター計算!G299</f>
        <v>1015</v>
      </c>
      <c r="H296" s="10">
        <f>+[1]モンスター計算!H299</f>
        <v>2256</v>
      </c>
      <c r="I296" s="10">
        <f>+[1]モンスター計算!I299</f>
        <v>640</v>
      </c>
      <c r="J296" s="11">
        <f>+[1]モンスター計算!J299</f>
        <v>683</v>
      </c>
      <c r="K296" s="26">
        <f>+[1]モンスター計算!K299</f>
        <v>0.11</v>
      </c>
      <c r="L296" s="11">
        <f>+[1]モンスター計算!L299</f>
        <v>1.65</v>
      </c>
      <c r="M296" s="26">
        <f>+[1]モンスター計算!M299</f>
        <v>2.2000000000000002</v>
      </c>
      <c r="N296" s="10">
        <f>+[1]モンスター計算!N299</f>
        <v>1.1000000000000001</v>
      </c>
      <c r="O296" s="11">
        <f>+[1]モンスター計算!O299</f>
        <v>2.75</v>
      </c>
      <c r="P296" s="26">
        <f>+[1]モンスター計算!P299</f>
        <v>-0.14000000000000001</v>
      </c>
      <c r="Q296" s="10">
        <f>+[1]モンスター計算!Q299</f>
        <v>0.16</v>
      </c>
      <c r="R296" s="10">
        <f>+[1]モンスター計算!R299</f>
        <v>-0.04</v>
      </c>
      <c r="S296" s="10">
        <f>+[1]モンスター計算!S299</f>
        <v>-0.04</v>
      </c>
      <c r="T296" s="10">
        <f>+[1]モンスター計算!T299</f>
        <v>-0.04</v>
      </c>
      <c r="U296" s="10">
        <f>+[1]モンスター計算!U299</f>
        <v>-0.04</v>
      </c>
      <c r="V296" s="11">
        <f>+[1]モンスター計算!V299</f>
        <v>4.2</v>
      </c>
      <c r="W296" s="29">
        <v>8</v>
      </c>
      <c r="X296" s="26" t="s">
        <v>109</v>
      </c>
      <c r="Y296" s="32" t="s">
        <v>87</v>
      </c>
      <c r="Z296" s="11">
        <v>1.2</v>
      </c>
      <c r="AA296" s="29">
        <v>5</v>
      </c>
      <c r="AB296" s="29">
        <f t="shared" si="8"/>
        <v>191</v>
      </c>
      <c r="AC296" s="46">
        <f t="shared" si="9"/>
        <v>50</v>
      </c>
      <c r="AD296" s="26" t="s">
        <v>51</v>
      </c>
      <c r="AE296" s="10">
        <v>7</v>
      </c>
      <c r="AF296" s="10">
        <v>3</v>
      </c>
      <c r="AG296" s="11" t="b">
        <v>1</v>
      </c>
      <c r="AH296" s="29" t="s">
        <v>1207</v>
      </c>
      <c r="AI296" s="32" t="s">
        <v>1825</v>
      </c>
    </row>
    <row r="297" spans="1:35">
      <c r="A297" s="52" t="s">
        <v>812</v>
      </c>
      <c r="B297" s="13" t="s">
        <v>488</v>
      </c>
      <c r="C297" s="27" t="s">
        <v>44</v>
      </c>
      <c r="D297" s="13" t="s">
        <v>61</v>
      </c>
      <c r="E297" s="27">
        <f>+[1]モンスター計算!E300</f>
        <v>18356</v>
      </c>
      <c r="F297" s="5">
        <f>+[1]モンスター計算!F300</f>
        <v>2101</v>
      </c>
      <c r="G297" s="5">
        <f>+[1]モンスター計算!G300</f>
        <v>443</v>
      </c>
      <c r="H297" s="5">
        <f>+[1]モンスター計算!H300</f>
        <v>1515</v>
      </c>
      <c r="I297" s="5">
        <f>+[1]モンスター計算!I300</f>
        <v>1400</v>
      </c>
      <c r="J297" s="13">
        <f>+[1]モンスター計算!J300</f>
        <v>1323</v>
      </c>
      <c r="K297" s="27">
        <f>+[1]モンスター計算!K300</f>
        <v>3.5000000000000003E-2</v>
      </c>
      <c r="L297" s="13">
        <f>+[1]モンスター計算!L300</f>
        <v>1.4</v>
      </c>
      <c r="M297" s="27">
        <f>+[1]モンスター計算!M300</f>
        <v>1.5</v>
      </c>
      <c r="N297" s="5">
        <f>+[1]モンスター計算!N300</f>
        <v>0.6</v>
      </c>
      <c r="O297" s="13">
        <f>+[1]モンスター計算!O300</f>
        <v>3.1</v>
      </c>
      <c r="P297" s="27">
        <f>+[1]モンスター計算!P300</f>
        <v>0.32</v>
      </c>
      <c r="Q297" s="5">
        <f>+[1]モンスター計算!Q300</f>
        <v>1.999999999999999E-2</v>
      </c>
      <c r="R297" s="5">
        <f>+[1]モンスター計算!R300</f>
        <v>0.12</v>
      </c>
      <c r="S297" s="5">
        <f>+[1]モンスター計算!S300</f>
        <v>0.12</v>
      </c>
      <c r="T297" s="5">
        <f>+[1]モンスター計算!T300</f>
        <v>0.12</v>
      </c>
      <c r="U297" s="5">
        <f>+[1]モンスター計算!U300</f>
        <v>0.12</v>
      </c>
      <c r="V297" s="13">
        <f>+[1]モンスター計算!V300</f>
        <v>4.12</v>
      </c>
      <c r="W297" s="30">
        <v>8</v>
      </c>
      <c r="X297" s="27" t="s">
        <v>64</v>
      </c>
      <c r="Y297" s="33" t="s">
        <v>88</v>
      </c>
      <c r="Z297" s="13">
        <v>1.2</v>
      </c>
      <c r="AA297" s="30">
        <v>7</v>
      </c>
      <c r="AB297" s="30">
        <f t="shared" si="8"/>
        <v>212</v>
      </c>
      <c r="AC297" s="47">
        <f t="shared" si="9"/>
        <v>50</v>
      </c>
      <c r="AD297" s="27" t="s">
        <v>49</v>
      </c>
      <c r="AE297" s="5">
        <v>7.5</v>
      </c>
      <c r="AF297" s="5">
        <v>3</v>
      </c>
      <c r="AG297" s="13" t="b">
        <v>1</v>
      </c>
      <c r="AH297" s="30" t="s">
        <v>1208</v>
      </c>
      <c r="AI297" s="33" t="s">
        <v>1825</v>
      </c>
    </row>
    <row r="298" spans="1:35">
      <c r="A298" s="52" t="s">
        <v>813</v>
      </c>
      <c r="B298" s="13" t="s">
        <v>489</v>
      </c>
      <c r="C298" s="27" t="s">
        <v>46</v>
      </c>
      <c r="D298" s="13" t="s">
        <v>61</v>
      </c>
      <c r="E298" s="27">
        <f>+[1]モンスター計算!E301</f>
        <v>10672</v>
      </c>
      <c r="F298" s="5">
        <f>+[1]モンスター計算!F301</f>
        <v>1867</v>
      </c>
      <c r="G298" s="5">
        <f>+[1]モンスター計算!G301</f>
        <v>602</v>
      </c>
      <c r="H298" s="5">
        <f>+[1]モンスター計算!H301</f>
        <v>1912</v>
      </c>
      <c r="I298" s="5">
        <f>+[1]モンスター計算!I301</f>
        <v>820</v>
      </c>
      <c r="J298" s="13">
        <f>+[1]モンスター計算!J301</f>
        <v>871</v>
      </c>
      <c r="K298" s="27">
        <f>+[1]モンスター計算!K301</f>
        <v>4.4999999999999998E-2</v>
      </c>
      <c r="L298" s="13">
        <f>+[1]モンスター計算!L301</f>
        <v>1.4</v>
      </c>
      <c r="M298" s="27">
        <f>+[1]モンスター計算!M301</f>
        <v>2.0499999999999998</v>
      </c>
      <c r="N298" s="5">
        <f>+[1]モンスター計算!N301</f>
        <v>0.92</v>
      </c>
      <c r="O298" s="13">
        <f>+[1]モンスター計算!O301</f>
        <v>2.6749999999999998</v>
      </c>
      <c r="P298" s="27">
        <f>+[1]モンスター計算!P301</f>
        <v>0.19</v>
      </c>
      <c r="Q298" s="5">
        <f>+[1]モンスター計算!Q301</f>
        <v>0.19</v>
      </c>
      <c r="R298" s="5">
        <f>+[1]モンスター計算!R301</f>
        <v>0.39</v>
      </c>
      <c r="S298" s="5">
        <f>+[1]モンスター計算!S301</f>
        <v>0.09</v>
      </c>
      <c r="T298" s="5">
        <f>+[1]モンスター計算!T301</f>
        <v>0.19</v>
      </c>
      <c r="U298" s="5">
        <f>+[1]モンスター計算!U301</f>
        <v>0.19</v>
      </c>
      <c r="V298" s="13">
        <f>+[1]モンスター計算!V301</f>
        <v>4</v>
      </c>
      <c r="W298" s="30">
        <v>9</v>
      </c>
      <c r="X298" s="27" t="s">
        <v>66</v>
      </c>
      <c r="Y298" s="33" t="s">
        <v>89</v>
      </c>
      <c r="Z298" s="13">
        <v>1.22</v>
      </c>
      <c r="AA298" s="30">
        <v>10</v>
      </c>
      <c r="AB298" s="30">
        <f t="shared" si="8"/>
        <v>247</v>
      </c>
      <c r="AC298" s="47">
        <f t="shared" si="9"/>
        <v>50</v>
      </c>
      <c r="AD298" s="27" t="s">
        <v>53</v>
      </c>
      <c r="AE298" s="5">
        <v>8.5</v>
      </c>
      <c r="AF298" s="5">
        <v>3</v>
      </c>
      <c r="AG298" s="13" t="b">
        <v>1</v>
      </c>
      <c r="AH298" s="30" t="s">
        <v>1209</v>
      </c>
      <c r="AI298" s="33" t="s">
        <v>1825</v>
      </c>
    </row>
    <row r="299" spans="1:35">
      <c r="A299" s="52" t="s">
        <v>814</v>
      </c>
      <c r="B299" s="13" t="s">
        <v>490</v>
      </c>
      <c r="C299" s="27" t="s">
        <v>44</v>
      </c>
      <c r="D299" s="13" t="s">
        <v>59</v>
      </c>
      <c r="E299" s="27">
        <f>+[1]モンスター計算!E302</f>
        <v>14407</v>
      </c>
      <c r="F299" s="5">
        <f>+[1]モンスター計算!F302</f>
        <v>622</v>
      </c>
      <c r="G299" s="5">
        <f>+[1]モンスター計算!G302</f>
        <v>1273</v>
      </c>
      <c r="H299" s="5">
        <f>+[1]モンスター計算!H302</f>
        <v>573</v>
      </c>
      <c r="I299" s="5">
        <f>+[1]モンスター計算!I302</f>
        <v>1195</v>
      </c>
      <c r="J299" s="13">
        <f>+[1]モンスター計算!J302</f>
        <v>854</v>
      </c>
      <c r="K299" s="27">
        <f>+[1]モンスター計算!K302</f>
        <v>0.08</v>
      </c>
      <c r="L299" s="13">
        <f>+[1]モンスター計算!L302</f>
        <v>1.6</v>
      </c>
      <c r="M299" s="27">
        <f>+[1]モンスター計算!M302</f>
        <v>2.7</v>
      </c>
      <c r="N299" s="5">
        <f>+[1]モンスター計算!N302</f>
        <v>1.05</v>
      </c>
      <c r="O299" s="13">
        <f>+[1]モンスター計算!O302</f>
        <v>1</v>
      </c>
      <c r="P299" s="27">
        <f>+[1]モンスター計算!P302</f>
        <v>0.26500000000000001</v>
      </c>
      <c r="Q299" s="5">
        <f>+[1]モンスター計算!Q302</f>
        <v>-3.5000000000000003E-2</v>
      </c>
      <c r="R299" s="5">
        <f>+[1]モンスター計算!R302</f>
        <v>6.5000000000000002E-2</v>
      </c>
      <c r="S299" s="5">
        <f>+[1]モンスター計算!S302</f>
        <v>6.5000000000000002E-2</v>
      </c>
      <c r="T299" s="5">
        <f>+[1]モンスター計算!T302</f>
        <v>6.5000000000000002E-2</v>
      </c>
      <c r="U299" s="5">
        <f>+[1]モンスター計算!U302</f>
        <v>6.5000000000000002E-2</v>
      </c>
      <c r="V299" s="13">
        <f>+[1]モンスター計算!V302</f>
        <v>4</v>
      </c>
      <c r="W299" s="30">
        <v>10</v>
      </c>
      <c r="X299" s="27" t="s">
        <v>68</v>
      </c>
      <c r="Y299" s="33" t="s">
        <v>90</v>
      </c>
      <c r="Z299" s="13">
        <v>1.25</v>
      </c>
      <c r="AA299" s="30">
        <v>15</v>
      </c>
      <c r="AB299" s="30">
        <f t="shared" si="8"/>
        <v>318</v>
      </c>
      <c r="AC299" s="47">
        <f t="shared" si="9"/>
        <v>50</v>
      </c>
      <c r="AD299" s="27" t="s">
        <v>74</v>
      </c>
      <c r="AE299" s="5">
        <v>0</v>
      </c>
      <c r="AF299" s="5">
        <v>0</v>
      </c>
      <c r="AG299" s="13" t="b">
        <v>0</v>
      </c>
      <c r="AH299" s="30" t="s">
        <v>1210</v>
      </c>
      <c r="AI299" s="33" t="s">
        <v>1825</v>
      </c>
    </row>
    <row r="300" spans="1:35">
      <c r="A300" s="52" t="s">
        <v>815</v>
      </c>
      <c r="B300" s="13" t="s">
        <v>491</v>
      </c>
      <c r="C300" s="27" t="s">
        <v>45</v>
      </c>
      <c r="D300" s="13" t="s">
        <v>59</v>
      </c>
      <c r="E300" s="27">
        <f>+[1]モンスター計算!E303</f>
        <v>8538</v>
      </c>
      <c r="F300" s="5">
        <f>+[1]モンスター計算!F303</f>
        <v>519</v>
      </c>
      <c r="G300" s="5">
        <f>+[1]モンスター計算!G303</f>
        <v>2360</v>
      </c>
      <c r="H300" s="5">
        <f>+[1]モンスター計算!H303</f>
        <v>807</v>
      </c>
      <c r="I300" s="5">
        <f>+[1]モンスター計算!I303</f>
        <v>700</v>
      </c>
      <c r="J300" s="13">
        <f>+[1]モンスター計算!J303</f>
        <v>649</v>
      </c>
      <c r="K300" s="27">
        <f>+[1]モンスター計算!K303</f>
        <v>0.13</v>
      </c>
      <c r="L300" s="13">
        <f>+[1]モンスター計算!L303</f>
        <v>1.7</v>
      </c>
      <c r="M300" s="27">
        <f>+[1]モンスター計算!M303</f>
        <v>3</v>
      </c>
      <c r="N300" s="5">
        <f>+[1]モンスター計算!N303</f>
        <v>1.06</v>
      </c>
      <c r="O300" s="13">
        <f>+[1]モンスター計算!O303</f>
        <v>1</v>
      </c>
      <c r="P300" s="27">
        <f>+[1]モンスター計算!P303</f>
        <v>-0.14500000000000002</v>
      </c>
      <c r="Q300" s="5">
        <f>+[1]モンスター計算!Q303</f>
        <v>0.15500000000000003</v>
      </c>
      <c r="R300" s="5">
        <f>+[1]モンスター計算!R303</f>
        <v>-4.4999999999999998E-2</v>
      </c>
      <c r="S300" s="5">
        <f>+[1]モンスター計算!S303</f>
        <v>-4.4999999999999998E-2</v>
      </c>
      <c r="T300" s="5">
        <f>+[1]モンスター計算!T303</f>
        <v>-4.4999999999999998E-2</v>
      </c>
      <c r="U300" s="5">
        <f>+[1]モンスター計算!U303</f>
        <v>-4.4999999999999998E-2</v>
      </c>
      <c r="V300" s="13">
        <f>+[1]モンスター計算!V303</f>
        <v>5.2</v>
      </c>
      <c r="W300" s="30">
        <v>11</v>
      </c>
      <c r="X300" s="27" t="s">
        <v>70</v>
      </c>
      <c r="Y300" s="33" t="s">
        <v>91</v>
      </c>
      <c r="Z300" s="13">
        <v>1.25</v>
      </c>
      <c r="AA300" s="30">
        <v>20</v>
      </c>
      <c r="AB300" s="30">
        <f t="shared" si="8"/>
        <v>369</v>
      </c>
      <c r="AC300" s="47">
        <f t="shared" si="9"/>
        <v>50</v>
      </c>
      <c r="AD300" s="27" t="s">
        <v>74</v>
      </c>
      <c r="AE300" s="5">
        <v>0</v>
      </c>
      <c r="AF300" s="5">
        <v>0</v>
      </c>
      <c r="AG300" s="13" t="b">
        <v>0</v>
      </c>
      <c r="AH300" s="30" t="s">
        <v>1211</v>
      </c>
      <c r="AI300" s="33" t="s">
        <v>1825</v>
      </c>
    </row>
    <row r="301" spans="1:35" ht="19.5" thickBot="1">
      <c r="A301" s="53" t="s">
        <v>816</v>
      </c>
      <c r="B301" s="16" t="s">
        <v>492</v>
      </c>
      <c r="C301" s="28" t="s">
        <v>47</v>
      </c>
      <c r="D301" s="16" t="s">
        <v>61</v>
      </c>
      <c r="E301" s="28">
        <f>+[1]モンスター計算!E304</f>
        <v>7790</v>
      </c>
      <c r="F301" s="15">
        <f>+[1]モンスター計算!F304</f>
        <v>1836</v>
      </c>
      <c r="G301" s="15">
        <f>+[1]モンスター計算!G304</f>
        <v>601</v>
      </c>
      <c r="H301" s="15">
        <f>+[1]モンスター計算!H304</f>
        <v>2383</v>
      </c>
      <c r="I301" s="15">
        <f>+[1]モンスター計算!I304</f>
        <v>657</v>
      </c>
      <c r="J301" s="16">
        <f>+[1]モンスター計算!J304</f>
        <v>726</v>
      </c>
      <c r="K301" s="28">
        <f>+[1]モンスター計算!K304</f>
        <v>0.26</v>
      </c>
      <c r="L301" s="16">
        <f>+[1]モンスター計算!L304</f>
        <v>1.95</v>
      </c>
      <c r="M301" s="28">
        <f>+[1]モンスター計算!M304</f>
        <v>2.75</v>
      </c>
      <c r="N301" s="15">
        <f>+[1]モンスター計算!N304</f>
        <v>0.95</v>
      </c>
      <c r="O301" s="16">
        <f>+[1]モンスター計算!O304</f>
        <v>2.8</v>
      </c>
      <c r="P301" s="28">
        <f>+[1]モンスター計算!P304</f>
        <v>-0.05</v>
      </c>
      <c r="Q301" s="15">
        <f>+[1]モンスター計算!Q304</f>
        <v>-0.05</v>
      </c>
      <c r="R301" s="15">
        <f>+[1]モンスター計算!R304</f>
        <v>-0.05</v>
      </c>
      <c r="S301" s="15">
        <f>+[1]モンスター計算!S304</f>
        <v>-0.05</v>
      </c>
      <c r="T301" s="15">
        <f>+[1]モンスター計算!T304</f>
        <v>0.15000000000000002</v>
      </c>
      <c r="U301" s="15">
        <f>+[1]モンスター計算!U304</f>
        <v>-0.15000000000000002</v>
      </c>
      <c r="V301" s="16">
        <f>+[1]モンスター計算!V304</f>
        <v>4.4000000000000004</v>
      </c>
      <c r="W301" s="31">
        <v>15</v>
      </c>
      <c r="X301" s="28" t="s">
        <v>72</v>
      </c>
      <c r="Y301" s="34" t="s">
        <v>92</v>
      </c>
      <c r="Z301" s="16">
        <v>1.3</v>
      </c>
      <c r="AA301" s="31">
        <v>40</v>
      </c>
      <c r="AB301" s="31">
        <f t="shared" si="8"/>
        <v>529</v>
      </c>
      <c r="AC301" s="48">
        <f t="shared" si="9"/>
        <v>50</v>
      </c>
      <c r="AD301" s="28" t="s">
        <v>55</v>
      </c>
      <c r="AE301" s="15">
        <v>10</v>
      </c>
      <c r="AF301" s="15">
        <v>4</v>
      </c>
      <c r="AG301" s="16" t="b">
        <v>1</v>
      </c>
      <c r="AH301" s="31" t="s">
        <v>1212</v>
      </c>
      <c r="AI301" s="34" t="s">
        <v>1825</v>
      </c>
    </row>
    <row r="302" spans="1:35">
      <c r="A302" s="51" t="s">
        <v>817</v>
      </c>
      <c r="B302" s="11" t="s">
        <v>493</v>
      </c>
      <c r="C302" s="26" t="s">
        <v>45</v>
      </c>
      <c r="D302" s="11" t="s">
        <v>61</v>
      </c>
      <c r="E302" s="26">
        <f>+[1]モンスター計算!E305</f>
        <v>6809</v>
      </c>
      <c r="F302" s="10">
        <f>+[1]モンスター計算!F305</f>
        <v>1335</v>
      </c>
      <c r="G302" s="10">
        <f>+[1]モンスター計算!G305</f>
        <v>669</v>
      </c>
      <c r="H302" s="10">
        <f>+[1]モンスター計算!H305</f>
        <v>3099</v>
      </c>
      <c r="I302" s="10">
        <f>+[1]モンスター計算!I305</f>
        <v>601</v>
      </c>
      <c r="J302" s="11">
        <f>+[1]モンスター計算!J305</f>
        <v>610</v>
      </c>
      <c r="K302" s="26">
        <f>+[1]モンスター計算!K305</f>
        <v>0.08</v>
      </c>
      <c r="L302" s="11">
        <f>+[1]モンスター計算!L305</f>
        <v>1.55</v>
      </c>
      <c r="M302" s="26">
        <f>+[1]モンスター計算!M305</f>
        <v>4.2</v>
      </c>
      <c r="N302" s="10">
        <f>+[1]モンスター計算!N305</f>
        <v>1.3</v>
      </c>
      <c r="O302" s="11">
        <f>+[1]モンスター計算!O305</f>
        <v>2.5</v>
      </c>
      <c r="P302" s="26">
        <f>+[1]モンスター計算!P305</f>
        <v>-0.19</v>
      </c>
      <c r="Q302" s="10">
        <f>+[1]モンスター計算!Q305</f>
        <v>0.11000000000000001</v>
      </c>
      <c r="R302" s="10">
        <f>+[1]モンスター計算!R305</f>
        <v>-0.09</v>
      </c>
      <c r="S302" s="10">
        <f>+[1]モンスター計算!S305</f>
        <v>-0.09</v>
      </c>
      <c r="T302" s="10">
        <f>+[1]モンスター計算!T305</f>
        <v>-0.09</v>
      </c>
      <c r="U302" s="10">
        <f>+[1]モンスター計算!U305</f>
        <v>-0.09</v>
      </c>
      <c r="V302" s="11">
        <f>+[1]モンスター計算!V305</f>
        <v>4.2</v>
      </c>
      <c r="W302" s="29">
        <v>8</v>
      </c>
      <c r="X302" s="26" t="s">
        <v>109</v>
      </c>
      <c r="Y302" s="32" t="s">
        <v>87</v>
      </c>
      <c r="Z302" s="11">
        <v>1.2</v>
      </c>
      <c r="AA302" s="29">
        <v>5</v>
      </c>
      <c r="AB302" s="29">
        <f t="shared" si="8"/>
        <v>201</v>
      </c>
      <c r="AC302" s="46">
        <f t="shared" si="9"/>
        <v>51</v>
      </c>
      <c r="AD302" s="26" t="s">
        <v>51</v>
      </c>
      <c r="AE302" s="10">
        <v>7</v>
      </c>
      <c r="AF302" s="10">
        <v>3</v>
      </c>
      <c r="AG302" s="11" t="b">
        <v>1</v>
      </c>
      <c r="AH302" s="29" t="s">
        <v>1213</v>
      </c>
      <c r="AI302" s="32" t="s">
        <v>1825</v>
      </c>
    </row>
    <row r="303" spans="1:35">
      <c r="A303" s="52" t="s">
        <v>818</v>
      </c>
      <c r="B303" s="13" t="s">
        <v>494</v>
      </c>
      <c r="C303" s="27" t="s">
        <v>44</v>
      </c>
      <c r="D303" s="13" t="s">
        <v>61</v>
      </c>
      <c r="E303" s="27">
        <f>+[1]モンスター計算!E306</f>
        <v>13148</v>
      </c>
      <c r="F303" s="5">
        <f>+[1]モンスター計算!F306</f>
        <v>2311</v>
      </c>
      <c r="G303" s="5">
        <f>+[1]モンスター計算!G306</f>
        <v>579</v>
      </c>
      <c r="H303" s="5">
        <f>+[1]モンスター計算!H306</f>
        <v>1951</v>
      </c>
      <c r="I303" s="5">
        <f>+[1]モンスター計算!I306</f>
        <v>1831</v>
      </c>
      <c r="J303" s="13">
        <f>+[1]モンスター計算!J306</f>
        <v>676</v>
      </c>
      <c r="K303" s="27">
        <f>+[1]モンスター計算!K306</f>
        <v>5.5E-2</v>
      </c>
      <c r="L303" s="13">
        <f>+[1]モンスター計算!L306</f>
        <v>1.5</v>
      </c>
      <c r="M303" s="27">
        <f>+[1]モンスター計算!M306</f>
        <v>1.85</v>
      </c>
      <c r="N303" s="5">
        <f>+[1]モンスター計算!N306</f>
        <v>0.87</v>
      </c>
      <c r="O303" s="13">
        <f>+[1]モンスター計算!O306</f>
        <v>2.35</v>
      </c>
      <c r="P303" s="27">
        <f>+[1]モンスター計算!P306</f>
        <v>0.26500000000000001</v>
      </c>
      <c r="Q303" s="5">
        <f>+[1]モンスター計算!Q306</f>
        <v>-3.5000000000000003E-2</v>
      </c>
      <c r="R303" s="5">
        <f>+[1]モンスター計算!R306</f>
        <v>6.5000000000000002E-2</v>
      </c>
      <c r="S303" s="5">
        <f>+[1]モンスター計算!S306</f>
        <v>6.5000000000000002E-2</v>
      </c>
      <c r="T303" s="5">
        <f>+[1]モンスター計算!T306</f>
        <v>6.5000000000000002E-2</v>
      </c>
      <c r="U303" s="5">
        <f>+[1]モンスター計算!U306</f>
        <v>6.5000000000000002E-2</v>
      </c>
      <c r="V303" s="13">
        <f>+[1]モンスター計算!V306</f>
        <v>4.2</v>
      </c>
      <c r="W303" s="30">
        <v>8</v>
      </c>
      <c r="X303" s="27" t="s">
        <v>64</v>
      </c>
      <c r="Y303" s="33" t="s">
        <v>88</v>
      </c>
      <c r="Z303" s="13">
        <v>1.2</v>
      </c>
      <c r="AA303" s="30">
        <v>7</v>
      </c>
      <c r="AB303" s="30">
        <f t="shared" si="8"/>
        <v>223</v>
      </c>
      <c r="AC303" s="47">
        <f t="shared" si="9"/>
        <v>51</v>
      </c>
      <c r="AD303" s="27" t="s">
        <v>49</v>
      </c>
      <c r="AE303" s="5">
        <v>7.5</v>
      </c>
      <c r="AF303" s="5">
        <v>3</v>
      </c>
      <c r="AG303" s="13" t="b">
        <v>1</v>
      </c>
      <c r="AH303" s="30" t="s">
        <v>1214</v>
      </c>
      <c r="AI303" s="33" t="s">
        <v>1825</v>
      </c>
    </row>
    <row r="304" spans="1:35">
      <c r="A304" s="52" t="s">
        <v>819</v>
      </c>
      <c r="B304" s="13" t="s">
        <v>495</v>
      </c>
      <c r="C304" s="27" t="s">
        <v>46</v>
      </c>
      <c r="D304" s="13" t="s">
        <v>61</v>
      </c>
      <c r="E304" s="27">
        <f>+[1]モンスター計算!E307</f>
        <v>9626</v>
      </c>
      <c r="F304" s="5">
        <f>+[1]モンスター計算!F307</f>
        <v>1540</v>
      </c>
      <c r="G304" s="5">
        <f>+[1]モンスター計算!G307</f>
        <v>1182</v>
      </c>
      <c r="H304" s="5">
        <f>+[1]モンスター計算!H307</f>
        <v>2626</v>
      </c>
      <c r="I304" s="5">
        <f>+[1]モンスター計算!I307</f>
        <v>798</v>
      </c>
      <c r="J304" s="13">
        <f>+[1]モンスター計算!J307</f>
        <v>939</v>
      </c>
      <c r="K304" s="27">
        <f>+[1]モンスター計算!K307</f>
        <v>0.05</v>
      </c>
      <c r="L304" s="13">
        <f>+[1]モンスター計算!L307</f>
        <v>1.5</v>
      </c>
      <c r="M304" s="27">
        <f>+[1]モンスター計算!M307</f>
        <v>2</v>
      </c>
      <c r="N304" s="5">
        <f>+[1]モンスター計算!N307</f>
        <v>1</v>
      </c>
      <c r="O304" s="13">
        <f>+[1]モンスター計算!O307</f>
        <v>2.5</v>
      </c>
      <c r="P304" s="27">
        <f>+[1]モンスター計算!P307</f>
        <v>-0.02</v>
      </c>
      <c r="Q304" s="5">
        <f>+[1]モンスター計算!Q307</f>
        <v>-0.02</v>
      </c>
      <c r="R304" s="5">
        <f>+[1]モンスター計算!R307</f>
        <v>0.18000000000000002</v>
      </c>
      <c r="S304" s="5">
        <f>+[1]モンスター計算!S307</f>
        <v>-0.12000000000000001</v>
      </c>
      <c r="T304" s="5">
        <f>+[1]モンスター計算!T307</f>
        <v>-0.02</v>
      </c>
      <c r="U304" s="5">
        <f>+[1]モンスター計算!U307</f>
        <v>-0.02</v>
      </c>
      <c r="V304" s="13">
        <f>+[1]モンスター計算!V307</f>
        <v>4</v>
      </c>
      <c r="W304" s="30">
        <v>9</v>
      </c>
      <c r="X304" s="27" t="s">
        <v>66</v>
      </c>
      <c r="Y304" s="33" t="s">
        <v>89</v>
      </c>
      <c r="Z304" s="13">
        <v>1.22</v>
      </c>
      <c r="AA304" s="30">
        <v>10</v>
      </c>
      <c r="AB304" s="30">
        <f t="shared" si="8"/>
        <v>260</v>
      </c>
      <c r="AC304" s="47">
        <f t="shared" si="9"/>
        <v>51</v>
      </c>
      <c r="AD304" s="27" t="s">
        <v>53</v>
      </c>
      <c r="AE304" s="5">
        <v>8.5</v>
      </c>
      <c r="AF304" s="5">
        <v>3</v>
      </c>
      <c r="AG304" s="13" t="b">
        <v>1</v>
      </c>
      <c r="AH304" s="30" t="s">
        <v>1215</v>
      </c>
      <c r="AI304" s="33" t="s">
        <v>1825</v>
      </c>
    </row>
    <row r="305" spans="1:35">
      <c r="A305" s="52" t="s">
        <v>820</v>
      </c>
      <c r="B305" s="13" t="s">
        <v>496</v>
      </c>
      <c r="C305" s="27" t="s">
        <v>44</v>
      </c>
      <c r="D305" s="13" t="s">
        <v>59</v>
      </c>
      <c r="E305" s="27">
        <f>+[1]モンスター計算!E308</f>
        <v>14909</v>
      </c>
      <c r="F305" s="5">
        <f>+[1]モンスター計算!F308</f>
        <v>532</v>
      </c>
      <c r="G305" s="5">
        <f>+[1]モンスター計算!G308</f>
        <v>3173</v>
      </c>
      <c r="H305" s="5">
        <f>+[1]モンスター計算!H308</f>
        <v>928</v>
      </c>
      <c r="I305" s="5">
        <f>+[1]モンスター計算!I308</f>
        <v>986</v>
      </c>
      <c r="J305" s="13">
        <f>+[1]モンスター計算!J308</f>
        <v>826</v>
      </c>
      <c r="K305" s="27">
        <f>+[1]モンスター計算!K308</f>
        <v>0.06</v>
      </c>
      <c r="L305" s="13">
        <f>+[1]モンスター計算!L308</f>
        <v>2.15</v>
      </c>
      <c r="M305" s="27">
        <f>+[1]モンスター計算!M308</f>
        <v>1.65</v>
      </c>
      <c r="N305" s="5">
        <f>+[1]モンスター計算!N308</f>
        <v>0.53</v>
      </c>
      <c r="O305" s="13">
        <f>+[1]モンスター計算!O308</f>
        <v>1</v>
      </c>
      <c r="P305" s="27">
        <f>+[1]モンスター計算!P308</f>
        <v>0.17500000000000002</v>
      </c>
      <c r="Q305" s="5">
        <f>+[1]モンスター計算!Q308</f>
        <v>-0.125</v>
      </c>
      <c r="R305" s="5">
        <f>+[1]モンスター計算!R308</f>
        <v>-2.5000000000000001E-2</v>
      </c>
      <c r="S305" s="5">
        <f>+[1]モンスター計算!S308</f>
        <v>-2.5000000000000001E-2</v>
      </c>
      <c r="T305" s="5">
        <f>+[1]モンスター計算!T308</f>
        <v>-2.5000000000000001E-2</v>
      </c>
      <c r="U305" s="5">
        <f>+[1]モンスター計算!U308</f>
        <v>-2.5000000000000001E-2</v>
      </c>
      <c r="V305" s="13">
        <f>+[1]モンスター計算!V308</f>
        <v>4.4000000000000004</v>
      </c>
      <c r="W305" s="30">
        <v>10</v>
      </c>
      <c r="X305" s="27" t="s">
        <v>68</v>
      </c>
      <c r="Y305" s="33" t="s">
        <v>90</v>
      </c>
      <c r="Z305" s="13">
        <v>1.25</v>
      </c>
      <c r="AA305" s="30">
        <v>15</v>
      </c>
      <c r="AB305" s="30">
        <f t="shared" si="8"/>
        <v>334</v>
      </c>
      <c r="AC305" s="47">
        <f t="shared" si="9"/>
        <v>51</v>
      </c>
      <c r="AD305" s="27" t="s">
        <v>74</v>
      </c>
      <c r="AE305" s="5">
        <v>0</v>
      </c>
      <c r="AF305" s="5">
        <v>0</v>
      </c>
      <c r="AG305" s="13" t="b">
        <v>0</v>
      </c>
      <c r="AH305" s="30" t="s">
        <v>1216</v>
      </c>
      <c r="AI305" s="33" t="s">
        <v>1825</v>
      </c>
    </row>
    <row r="306" spans="1:35">
      <c r="A306" s="52" t="s">
        <v>821</v>
      </c>
      <c r="B306" s="13" t="s">
        <v>497</v>
      </c>
      <c r="C306" s="27" t="s">
        <v>45</v>
      </c>
      <c r="D306" s="13" t="s">
        <v>59</v>
      </c>
      <c r="E306" s="27">
        <f>+[1]モンスター計算!E309</f>
        <v>10800</v>
      </c>
      <c r="F306" s="5">
        <f>+[1]モンスター計算!F309</f>
        <v>685</v>
      </c>
      <c r="G306" s="5">
        <f>+[1]モンスター計算!G309</f>
        <v>2593</v>
      </c>
      <c r="H306" s="5">
        <f>+[1]モンスター計算!H309</f>
        <v>933</v>
      </c>
      <c r="I306" s="5">
        <f>+[1]モンスター計算!I309</f>
        <v>864</v>
      </c>
      <c r="J306" s="13">
        <f>+[1]モンスター計算!J309</f>
        <v>798</v>
      </c>
      <c r="K306" s="27">
        <f>+[1]モンスター計算!K309</f>
        <v>7.0000000000000007E-2</v>
      </c>
      <c r="L306" s="13">
        <f>+[1]モンスター計算!L309</f>
        <v>1.6</v>
      </c>
      <c r="M306" s="27">
        <f>+[1]モンスター計算!M309</f>
        <v>2.4500000000000002</v>
      </c>
      <c r="N306" s="5">
        <f>+[1]モンスター計算!N309</f>
        <v>0.94</v>
      </c>
      <c r="O306" s="13">
        <f>+[1]モンスター計算!O309</f>
        <v>1</v>
      </c>
      <c r="P306" s="27">
        <f>+[1]モンスター計算!P309</f>
        <v>-0.13500000000000001</v>
      </c>
      <c r="Q306" s="5">
        <f>+[1]モンスター計算!Q309</f>
        <v>0.16500000000000001</v>
      </c>
      <c r="R306" s="5">
        <f>+[1]モンスター計算!R309</f>
        <v>-3.5000000000000003E-2</v>
      </c>
      <c r="S306" s="5">
        <f>+[1]モンスター計算!S309</f>
        <v>-3.5000000000000003E-2</v>
      </c>
      <c r="T306" s="5">
        <f>+[1]モンスター計算!T309</f>
        <v>-3.5000000000000003E-2</v>
      </c>
      <c r="U306" s="5">
        <f>+[1]モンスター計算!U309</f>
        <v>-3.5000000000000003E-2</v>
      </c>
      <c r="V306" s="13">
        <f>+[1]モンスター計算!V309</f>
        <v>5.6</v>
      </c>
      <c r="W306" s="30">
        <v>11</v>
      </c>
      <c r="X306" s="27" t="s">
        <v>70</v>
      </c>
      <c r="Y306" s="33" t="s">
        <v>91</v>
      </c>
      <c r="Z306" s="13">
        <v>1.25</v>
      </c>
      <c r="AA306" s="30">
        <v>20</v>
      </c>
      <c r="AB306" s="30">
        <f t="shared" si="8"/>
        <v>388</v>
      </c>
      <c r="AC306" s="47">
        <f t="shared" si="9"/>
        <v>51</v>
      </c>
      <c r="AD306" s="27" t="s">
        <v>74</v>
      </c>
      <c r="AE306" s="5">
        <v>0</v>
      </c>
      <c r="AF306" s="5">
        <v>0</v>
      </c>
      <c r="AG306" s="13" t="b">
        <v>0</v>
      </c>
      <c r="AH306" s="30" t="s">
        <v>1217</v>
      </c>
      <c r="AI306" s="33" t="s">
        <v>1825</v>
      </c>
    </row>
    <row r="307" spans="1:35" ht="19.5" thickBot="1">
      <c r="A307" s="53" t="s">
        <v>822</v>
      </c>
      <c r="B307" s="16" t="s">
        <v>498</v>
      </c>
      <c r="C307" s="28" t="s">
        <v>47</v>
      </c>
      <c r="D307" s="16" t="s">
        <v>61</v>
      </c>
      <c r="E307" s="28">
        <f>+[1]モンスター計算!E310</f>
        <v>10448</v>
      </c>
      <c r="F307" s="15">
        <f>+[1]モンスター計算!F310</f>
        <v>1626</v>
      </c>
      <c r="G307" s="15">
        <f>+[1]モンスター計算!G310</f>
        <v>545</v>
      </c>
      <c r="H307" s="15">
        <f>+[1]モンスター計算!H310</f>
        <v>2018</v>
      </c>
      <c r="I307" s="15">
        <f>+[1]モンスター計算!I310</f>
        <v>864</v>
      </c>
      <c r="J307" s="16">
        <f>+[1]モンスター計算!J310</f>
        <v>855</v>
      </c>
      <c r="K307" s="28">
        <f>+[1]モンスター計算!K310</f>
        <v>7.4999999999999997E-2</v>
      </c>
      <c r="L307" s="16">
        <f>+[1]モンスター計算!L310</f>
        <v>1.5</v>
      </c>
      <c r="M307" s="28">
        <f>+[1]モンスター計算!M310</f>
        <v>3.1</v>
      </c>
      <c r="N307" s="15">
        <f>+[1]モンスター計算!N310</f>
        <v>1.1499999999999999</v>
      </c>
      <c r="O307" s="16">
        <f>+[1]モンスター計算!O310</f>
        <v>3.0750000000000002</v>
      </c>
      <c r="P307" s="28">
        <f>+[1]モンスター計算!P310</f>
        <v>-0.01</v>
      </c>
      <c r="Q307" s="15">
        <f>+[1]モンスター計算!Q310</f>
        <v>-0.01</v>
      </c>
      <c r="R307" s="15">
        <f>+[1]モンスター計算!R310</f>
        <v>-0.01</v>
      </c>
      <c r="S307" s="15">
        <f>+[1]モンスター計算!S310</f>
        <v>-0.01</v>
      </c>
      <c r="T307" s="15">
        <f>+[1]モンスター計算!T310</f>
        <v>0.19</v>
      </c>
      <c r="U307" s="15">
        <f>+[1]モンスター計算!U310</f>
        <v>-0.11</v>
      </c>
      <c r="V307" s="16">
        <f>+[1]モンスター計算!V310</f>
        <v>8.6</v>
      </c>
      <c r="W307" s="31">
        <v>15</v>
      </c>
      <c r="X307" s="28" t="s">
        <v>72</v>
      </c>
      <c r="Y307" s="34" t="s">
        <v>92</v>
      </c>
      <c r="Z307" s="16">
        <v>1.3</v>
      </c>
      <c r="AA307" s="31">
        <v>40</v>
      </c>
      <c r="AB307" s="31">
        <f t="shared" si="8"/>
        <v>556</v>
      </c>
      <c r="AC307" s="48">
        <f t="shared" si="9"/>
        <v>51</v>
      </c>
      <c r="AD307" s="28" t="s">
        <v>55</v>
      </c>
      <c r="AE307" s="15">
        <v>10</v>
      </c>
      <c r="AF307" s="15">
        <v>4</v>
      </c>
      <c r="AG307" s="16" t="b">
        <v>1</v>
      </c>
      <c r="AH307" s="31" t="s">
        <v>1218</v>
      </c>
      <c r="AI307" s="34" t="s">
        <v>1825</v>
      </c>
    </row>
    <row r="308" spans="1:35">
      <c r="A308" s="51" t="s">
        <v>823</v>
      </c>
      <c r="B308" s="11" t="s">
        <v>499</v>
      </c>
      <c r="C308" s="26" t="s">
        <v>45</v>
      </c>
      <c r="D308" s="11" t="s">
        <v>61</v>
      </c>
      <c r="E308" s="26">
        <f>+[1]モンスター計算!E311</f>
        <v>13688</v>
      </c>
      <c r="F308" s="10">
        <f>+[1]モンスター計算!F311</f>
        <v>3295</v>
      </c>
      <c r="G308" s="10">
        <f>+[1]モンスター計算!G311</f>
        <v>664</v>
      </c>
      <c r="H308" s="10">
        <f>+[1]モンスター計算!H311</f>
        <v>2270</v>
      </c>
      <c r="I308" s="10">
        <f>+[1]モンスター計算!I311</f>
        <v>795</v>
      </c>
      <c r="J308" s="11">
        <f>+[1]モンスター計算!J311</f>
        <v>2118</v>
      </c>
      <c r="K308" s="26">
        <f>+[1]モンスター計算!K311</f>
        <v>4.4999999999999998E-2</v>
      </c>
      <c r="L308" s="11">
        <f>+[1]モンスター計算!L311</f>
        <v>1.45</v>
      </c>
      <c r="M308" s="26">
        <f>+[1]モンスター計算!M311</f>
        <v>1.9</v>
      </c>
      <c r="N308" s="10">
        <f>+[1]モンスター計算!N311</f>
        <v>0.84</v>
      </c>
      <c r="O308" s="11">
        <f>+[1]モンスター計算!O311</f>
        <v>2.65</v>
      </c>
      <c r="P308" s="26">
        <f>+[1]モンスター計算!P311</f>
        <v>-1.0000000000000009E-2</v>
      </c>
      <c r="Q308" s="10">
        <f>+[1]モンスター計算!Q311</f>
        <v>0.29000000000000004</v>
      </c>
      <c r="R308" s="10">
        <f>+[1]モンスター計算!R311</f>
        <v>0.09</v>
      </c>
      <c r="S308" s="10">
        <f>+[1]モンスター計算!S311</f>
        <v>0.09</v>
      </c>
      <c r="T308" s="10">
        <f>+[1]モンスター計算!T311</f>
        <v>0.09</v>
      </c>
      <c r="U308" s="10">
        <f>+[1]モンスター計算!U311</f>
        <v>0.09</v>
      </c>
      <c r="V308" s="11">
        <f>+[1]モンスター計算!V311</f>
        <v>4.4000000000000004</v>
      </c>
      <c r="W308" s="29">
        <v>8</v>
      </c>
      <c r="X308" s="26" t="s">
        <v>109</v>
      </c>
      <c r="Y308" s="32" t="s">
        <v>87</v>
      </c>
      <c r="Z308" s="11">
        <v>1.2</v>
      </c>
      <c r="AA308" s="29">
        <v>5</v>
      </c>
      <c r="AB308" s="29">
        <f t="shared" si="8"/>
        <v>212</v>
      </c>
      <c r="AC308" s="46">
        <f t="shared" si="9"/>
        <v>52</v>
      </c>
      <c r="AD308" s="26" t="s">
        <v>51</v>
      </c>
      <c r="AE308" s="10">
        <v>7</v>
      </c>
      <c r="AF308" s="10">
        <v>3</v>
      </c>
      <c r="AG308" s="11" t="b">
        <v>1</v>
      </c>
      <c r="AH308" s="29" t="s">
        <v>1219</v>
      </c>
      <c r="AI308" s="32" t="s">
        <v>1825</v>
      </c>
    </row>
    <row r="309" spans="1:35">
      <c r="A309" s="52" t="s">
        <v>824</v>
      </c>
      <c r="B309" s="13" t="s">
        <v>500</v>
      </c>
      <c r="C309" s="27" t="s">
        <v>44</v>
      </c>
      <c r="D309" s="13" t="s">
        <v>61</v>
      </c>
      <c r="E309" s="27">
        <f>+[1]モンスター計算!E312</f>
        <v>7102</v>
      </c>
      <c r="F309" s="5">
        <f>+[1]モンスター計算!F312</f>
        <v>2824</v>
      </c>
      <c r="G309" s="5">
        <f>+[1]モンスター計算!G312</f>
        <v>1328</v>
      </c>
      <c r="H309" s="5">
        <f>+[1]モンスター計算!H312</f>
        <v>3688</v>
      </c>
      <c r="I309" s="5">
        <f>+[1]モンスター計算!I312</f>
        <v>1498</v>
      </c>
      <c r="J309" s="13">
        <f>+[1]モンスター計算!J312</f>
        <v>2324</v>
      </c>
      <c r="K309" s="27">
        <f>+[1]モンスター計算!K312</f>
        <v>0.04</v>
      </c>
      <c r="L309" s="13">
        <f>+[1]モンスター計算!L312</f>
        <v>1.38</v>
      </c>
      <c r="M309" s="27">
        <f>+[1]モンスター計算!M312</f>
        <v>2.2000000000000002</v>
      </c>
      <c r="N309" s="5">
        <f>+[1]モンスター計算!N312</f>
        <v>0.88</v>
      </c>
      <c r="O309" s="13">
        <f>+[1]モンスター計算!O312</f>
        <v>3.15</v>
      </c>
      <c r="P309" s="27">
        <f>+[1]モンスター計算!P312</f>
        <v>0.33</v>
      </c>
      <c r="Q309" s="5">
        <f>+[1]モンスター計算!Q312</f>
        <v>0.03</v>
      </c>
      <c r="R309" s="5">
        <f>+[1]モンスター計算!R312</f>
        <v>0.13</v>
      </c>
      <c r="S309" s="5">
        <f>+[1]モンスター計算!S312</f>
        <v>0.13</v>
      </c>
      <c r="T309" s="5">
        <f>+[1]モンスター計算!T312</f>
        <v>0.13</v>
      </c>
      <c r="U309" s="5">
        <f>+[1]モンスター計算!U312</f>
        <v>0.13</v>
      </c>
      <c r="V309" s="13">
        <f>+[1]モンスター計算!V312</f>
        <v>4.4800000000000004</v>
      </c>
      <c r="W309" s="30">
        <v>8</v>
      </c>
      <c r="X309" s="27" t="s">
        <v>64</v>
      </c>
      <c r="Y309" s="33" t="s">
        <v>88</v>
      </c>
      <c r="Z309" s="13">
        <v>1.2</v>
      </c>
      <c r="AA309" s="30">
        <v>7</v>
      </c>
      <c r="AB309" s="30">
        <f t="shared" si="8"/>
        <v>235</v>
      </c>
      <c r="AC309" s="47">
        <f t="shared" si="9"/>
        <v>52</v>
      </c>
      <c r="AD309" s="27" t="s">
        <v>49</v>
      </c>
      <c r="AE309" s="5">
        <v>7.5</v>
      </c>
      <c r="AF309" s="5">
        <v>3</v>
      </c>
      <c r="AG309" s="13" t="b">
        <v>1</v>
      </c>
      <c r="AH309" s="30" t="s">
        <v>1220</v>
      </c>
      <c r="AI309" s="33" t="s">
        <v>1825</v>
      </c>
    </row>
    <row r="310" spans="1:35">
      <c r="A310" s="52" t="s">
        <v>825</v>
      </c>
      <c r="B310" s="13" t="s">
        <v>501</v>
      </c>
      <c r="C310" s="27" t="s">
        <v>46</v>
      </c>
      <c r="D310" s="13" t="s">
        <v>61</v>
      </c>
      <c r="E310" s="27">
        <f>+[1]モンスター計算!E313</f>
        <v>12913</v>
      </c>
      <c r="F310" s="5">
        <f>+[1]モンスター計算!F313</f>
        <v>2730</v>
      </c>
      <c r="G310" s="5">
        <f>+[1]モンスター計算!G313</f>
        <v>1036</v>
      </c>
      <c r="H310" s="5">
        <f>+[1]モンスター計算!H313</f>
        <v>2303</v>
      </c>
      <c r="I310" s="5">
        <f>+[1]モンスター計算!I313</f>
        <v>1033</v>
      </c>
      <c r="J310" s="13">
        <f>+[1]モンスター計算!J313</f>
        <v>1240</v>
      </c>
      <c r="K310" s="27">
        <f>+[1]モンスター計算!K313</f>
        <v>0.06</v>
      </c>
      <c r="L310" s="13">
        <f>+[1]モンスター計算!L313</f>
        <v>1.4</v>
      </c>
      <c r="M310" s="27">
        <f>+[1]モンスター計算!M313</f>
        <v>2.1</v>
      </c>
      <c r="N310" s="5">
        <f>+[1]モンスター計算!N313</f>
        <v>0.95</v>
      </c>
      <c r="O310" s="13">
        <f>+[1]モンスター計算!O313</f>
        <v>2.875</v>
      </c>
      <c r="P310" s="27">
        <f>+[1]モンスター計算!P313</f>
        <v>0.03</v>
      </c>
      <c r="Q310" s="5">
        <f>+[1]モンスター計算!Q313</f>
        <v>0.03</v>
      </c>
      <c r="R310" s="5">
        <f>+[1]モンスター計算!R313</f>
        <v>0.23</v>
      </c>
      <c r="S310" s="5">
        <f>+[1]モンスター計算!S313</f>
        <v>-7.0000000000000007E-2</v>
      </c>
      <c r="T310" s="5">
        <f>+[1]モンスター計算!T313</f>
        <v>0.03</v>
      </c>
      <c r="U310" s="5">
        <f>+[1]モンスター計算!U313</f>
        <v>0.03</v>
      </c>
      <c r="V310" s="13">
        <f>+[1]モンスター計算!V313</f>
        <v>4.8</v>
      </c>
      <c r="W310" s="30">
        <v>9</v>
      </c>
      <c r="X310" s="27" t="s">
        <v>66</v>
      </c>
      <c r="Y310" s="33" t="s">
        <v>89</v>
      </c>
      <c r="Z310" s="13">
        <v>1.22</v>
      </c>
      <c r="AA310" s="30">
        <v>10</v>
      </c>
      <c r="AB310" s="30">
        <f t="shared" si="8"/>
        <v>273</v>
      </c>
      <c r="AC310" s="47">
        <f t="shared" si="9"/>
        <v>52</v>
      </c>
      <c r="AD310" s="27" t="s">
        <v>53</v>
      </c>
      <c r="AE310" s="5">
        <v>8.5</v>
      </c>
      <c r="AF310" s="5">
        <v>3</v>
      </c>
      <c r="AG310" s="13" t="b">
        <v>1</v>
      </c>
      <c r="AH310" s="30" t="s">
        <v>1221</v>
      </c>
      <c r="AI310" s="33" t="s">
        <v>1825</v>
      </c>
    </row>
    <row r="311" spans="1:35">
      <c r="A311" s="52" t="s">
        <v>826</v>
      </c>
      <c r="B311" s="13" t="s">
        <v>502</v>
      </c>
      <c r="C311" s="27" t="s">
        <v>44</v>
      </c>
      <c r="D311" s="13" t="s">
        <v>59</v>
      </c>
      <c r="E311" s="27">
        <f>+[1]モンスター計算!E314</f>
        <v>15237</v>
      </c>
      <c r="F311" s="5">
        <f>+[1]モンスター計算!F314</f>
        <v>879</v>
      </c>
      <c r="G311" s="5">
        <f>+[1]モンスター計算!G314</f>
        <v>2082</v>
      </c>
      <c r="H311" s="5">
        <f>+[1]モンスター計算!H314</f>
        <v>656</v>
      </c>
      <c r="I311" s="5">
        <f>+[1]モンスター計算!I314</f>
        <v>1178</v>
      </c>
      <c r="J311" s="13">
        <f>+[1]モンスター計算!J314</f>
        <v>1178</v>
      </c>
      <c r="K311" s="27">
        <f>+[1]モンスター計算!K314</f>
        <v>0.04</v>
      </c>
      <c r="L311" s="13">
        <f>+[1]モンスター計算!L314</f>
        <v>1.43</v>
      </c>
      <c r="M311" s="27">
        <f>+[1]モンスター計算!M314</f>
        <v>2.15</v>
      </c>
      <c r="N311" s="5">
        <f>+[1]モンスター計算!N314</f>
        <v>0.88</v>
      </c>
      <c r="O311" s="13">
        <f>+[1]モンスター計算!O314</f>
        <v>1</v>
      </c>
      <c r="P311" s="27">
        <f>+[1]モンスター計算!P314</f>
        <v>0.39</v>
      </c>
      <c r="Q311" s="5">
        <f>+[1]モンスター計算!Q314</f>
        <v>0.09</v>
      </c>
      <c r="R311" s="5">
        <f>+[1]モンスター計算!R314</f>
        <v>0.19</v>
      </c>
      <c r="S311" s="5">
        <f>+[1]モンスター計算!S314</f>
        <v>0.19</v>
      </c>
      <c r="T311" s="5">
        <f>+[1]モンスター計算!T314</f>
        <v>0.19</v>
      </c>
      <c r="U311" s="5">
        <f>+[1]モンスター計算!U314</f>
        <v>0.19</v>
      </c>
      <c r="V311" s="13">
        <f>+[1]モンスター計算!V314</f>
        <v>3.8</v>
      </c>
      <c r="W311" s="30">
        <v>10</v>
      </c>
      <c r="X311" s="27" t="s">
        <v>68</v>
      </c>
      <c r="Y311" s="33" t="s">
        <v>90</v>
      </c>
      <c r="Z311" s="13">
        <v>1.25</v>
      </c>
      <c r="AA311" s="30">
        <v>15</v>
      </c>
      <c r="AB311" s="30">
        <f t="shared" si="8"/>
        <v>351</v>
      </c>
      <c r="AC311" s="47">
        <f t="shared" si="9"/>
        <v>52</v>
      </c>
      <c r="AD311" s="27" t="s">
        <v>74</v>
      </c>
      <c r="AE311" s="5">
        <v>0</v>
      </c>
      <c r="AF311" s="5">
        <v>0</v>
      </c>
      <c r="AG311" s="13" t="b">
        <v>0</v>
      </c>
      <c r="AH311" s="30" t="s">
        <v>1222</v>
      </c>
      <c r="AI311" s="33" t="s">
        <v>1825</v>
      </c>
    </row>
    <row r="312" spans="1:35">
      <c r="A312" s="52" t="s">
        <v>827</v>
      </c>
      <c r="B312" s="13" t="s">
        <v>503</v>
      </c>
      <c r="C312" s="27" t="s">
        <v>45</v>
      </c>
      <c r="D312" s="13" t="s">
        <v>59</v>
      </c>
      <c r="E312" s="27">
        <f>+[1]モンスター計算!E315</f>
        <v>11234</v>
      </c>
      <c r="F312" s="5">
        <f>+[1]モンスター計算!F315</f>
        <v>602</v>
      </c>
      <c r="G312" s="5">
        <f>+[1]モンスター計算!G315</f>
        <v>2287</v>
      </c>
      <c r="H312" s="5">
        <f>+[1]モンスター計算!H315</f>
        <v>669</v>
      </c>
      <c r="I312" s="5">
        <f>+[1]モンスター計算!I315</f>
        <v>888</v>
      </c>
      <c r="J312" s="13">
        <f>+[1]モンスター計算!J315</f>
        <v>795</v>
      </c>
      <c r="K312" s="27">
        <f>+[1]モンスター計算!K315</f>
        <v>0.27</v>
      </c>
      <c r="L312" s="13">
        <f>+[1]モンスター計算!L315</f>
        <v>2.0299999999999998</v>
      </c>
      <c r="M312" s="27">
        <f>+[1]モンスター計算!M315</f>
        <v>2.75</v>
      </c>
      <c r="N312" s="5">
        <f>+[1]モンスター計算!N315</f>
        <v>1.04</v>
      </c>
      <c r="O312" s="13">
        <f>+[1]モンスター計算!O315</f>
        <v>1</v>
      </c>
      <c r="P312" s="27">
        <f>+[1]モンスター計算!P315</f>
        <v>-0.16</v>
      </c>
      <c r="Q312" s="5">
        <f>+[1]モンスター計算!Q315</f>
        <v>0.14000000000000001</v>
      </c>
      <c r="R312" s="5">
        <f>+[1]モンスター計算!R315</f>
        <v>-0.06</v>
      </c>
      <c r="S312" s="5">
        <f>+[1]モンスター計算!S315</f>
        <v>-0.06</v>
      </c>
      <c r="T312" s="5">
        <f>+[1]モンスター計算!T315</f>
        <v>-0.06</v>
      </c>
      <c r="U312" s="5">
        <f>+[1]モンスター計算!U315</f>
        <v>-0.06</v>
      </c>
      <c r="V312" s="13">
        <f>+[1]モンスター計算!V315</f>
        <v>4.2</v>
      </c>
      <c r="W312" s="30">
        <v>11</v>
      </c>
      <c r="X312" s="27" t="s">
        <v>70</v>
      </c>
      <c r="Y312" s="33" t="s">
        <v>91</v>
      </c>
      <c r="Z312" s="13">
        <v>1.25</v>
      </c>
      <c r="AA312" s="30">
        <v>20</v>
      </c>
      <c r="AB312" s="30">
        <f t="shared" si="8"/>
        <v>408</v>
      </c>
      <c r="AC312" s="47">
        <f t="shared" si="9"/>
        <v>52</v>
      </c>
      <c r="AD312" s="27" t="s">
        <v>74</v>
      </c>
      <c r="AE312" s="5">
        <v>0</v>
      </c>
      <c r="AF312" s="5">
        <v>0</v>
      </c>
      <c r="AG312" s="13" t="b">
        <v>0</v>
      </c>
      <c r="AH312" s="30" t="s">
        <v>1223</v>
      </c>
      <c r="AI312" s="33" t="s">
        <v>1825</v>
      </c>
    </row>
    <row r="313" spans="1:35" ht="19.5" thickBot="1">
      <c r="A313" s="53" t="s">
        <v>828</v>
      </c>
      <c r="B313" s="16" t="s">
        <v>504</v>
      </c>
      <c r="C313" s="28" t="s">
        <v>47</v>
      </c>
      <c r="D313" s="16" t="s">
        <v>61</v>
      </c>
      <c r="E313" s="28">
        <f>+[1]モンスター計算!E316</f>
        <v>12913</v>
      </c>
      <c r="F313" s="15">
        <f>+[1]モンスター計算!F316</f>
        <v>2071</v>
      </c>
      <c r="G313" s="15">
        <f>+[1]モンスター計算!G316</f>
        <v>930</v>
      </c>
      <c r="H313" s="15">
        <f>+[1]モンスター計算!H316</f>
        <v>2066</v>
      </c>
      <c r="I313" s="15">
        <f>+[1]モンスター計算!I316</f>
        <v>981</v>
      </c>
      <c r="J313" s="16">
        <f>+[1]モンスター計算!J316</f>
        <v>1136</v>
      </c>
      <c r="K313" s="28">
        <f>+[1]モンスター計算!K316</f>
        <v>7.0000000000000007E-2</v>
      </c>
      <c r="L313" s="16">
        <f>+[1]モンスター計算!L316</f>
        <v>1.55</v>
      </c>
      <c r="M313" s="28">
        <f>+[1]モンスター計算!M316</f>
        <v>2.2999999999999998</v>
      </c>
      <c r="N313" s="15">
        <f>+[1]モンスター計算!N316</f>
        <v>1.1000000000000001</v>
      </c>
      <c r="O313" s="16">
        <f>+[1]モンスター計算!O316</f>
        <v>2.7</v>
      </c>
      <c r="P313" s="28">
        <f>+[1]モンスター計算!P316</f>
        <v>-0.03</v>
      </c>
      <c r="Q313" s="15">
        <f>+[1]モンスター計算!Q316</f>
        <v>-0.03</v>
      </c>
      <c r="R313" s="15">
        <f>+[1]モンスター計算!R316</f>
        <v>-0.03</v>
      </c>
      <c r="S313" s="15">
        <f>+[1]モンスター計算!S316</f>
        <v>-0.03</v>
      </c>
      <c r="T313" s="15">
        <f>+[1]モンスター計算!T316</f>
        <v>0.17</v>
      </c>
      <c r="U313" s="15">
        <f>+[1]モンスター計算!U316</f>
        <v>-0.13</v>
      </c>
      <c r="V313" s="16">
        <f>+[1]モンスター計算!V316</f>
        <v>4</v>
      </c>
      <c r="W313" s="31">
        <v>15</v>
      </c>
      <c r="X313" s="28" t="s">
        <v>72</v>
      </c>
      <c r="Y313" s="34" t="s">
        <v>92</v>
      </c>
      <c r="Z313" s="16">
        <v>1.3</v>
      </c>
      <c r="AA313" s="31">
        <v>40</v>
      </c>
      <c r="AB313" s="31">
        <f t="shared" si="8"/>
        <v>584</v>
      </c>
      <c r="AC313" s="48">
        <f t="shared" si="9"/>
        <v>52</v>
      </c>
      <c r="AD313" s="28" t="s">
        <v>55</v>
      </c>
      <c r="AE313" s="15">
        <v>10</v>
      </c>
      <c r="AF313" s="15">
        <v>4</v>
      </c>
      <c r="AG313" s="16" t="b">
        <v>1</v>
      </c>
      <c r="AH313" s="31" t="s">
        <v>1224</v>
      </c>
      <c r="AI313" s="34" t="s">
        <v>1825</v>
      </c>
    </row>
    <row r="314" spans="1:35">
      <c r="A314" s="51" t="s">
        <v>829</v>
      </c>
      <c r="B314" s="11" t="s">
        <v>505</v>
      </c>
      <c r="C314" s="26" t="s">
        <v>45</v>
      </c>
      <c r="D314" s="11" t="s">
        <v>61</v>
      </c>
      <c r="E314" s="26">
        <f>+[1]モンスター計算!E317</f>
        <v>19886</v>
      </c>
      <c r="F314" s="10">
        <f>+[1]モンスター計算!F317</f>
        <v>4556</v>
      </c>
      <c r="G314" s="10">
        <f>+[1]モンスター計算!G317</f>
        <v>761</v>
      </c>
      <c r="H314" s="10">
        <f>+[1]モンスター計算!H317</f>
        <v>2014</v>
      </c>
      <c r="I314" s="10">
        <f>+[1]モンスター計算!I317</f>
        <v>1080</v>
      </c>
      <c r="J314" s="11">
        <f>+[1]モンスター計算!J317</f>
        <v>1909</v>
      </c>
      <c r="K314" s="26">
        <f>+[1]モンスター計算!K317</f>
        <v>0.115</v>
      </c>
      <c r="L314" s="11">
        <f>+[1]モンスター計算!L317</f>
        <v>1.95</v>
      </c>
      <c r="M314" s="26">
        <f>+[1]モンスター計算!M317</f>
        <v>1.2</v>
      </c>
      <c r="N314" s="10">
        <f>+[1]モンスター計算!N317</f>
        <v>0.72</v>
      </c>
      <c r="O314" s="11">
        <f>+[1]モンスター計算!O317</f>
        <v>3.3250000000000002</v>
      </c>
      <c r="P314" s="26">
        <f>+[1]モンスター計算!P317</f>
        <v>-2.0000000000000004E-2</v>
      </c>
      <c r="Q314" s="10">
        <f>+[1]モンスター計算!Q317</f>
        <v>0.28000000000000003</v>
      </c>
      <c r="R314" s="10">
        <f>+[1]モンスター計算!R317</f>
        <v>0.08</v>
      </c>
      <c r="S314" s="10">
        <f>+[1]モンスター計算!S317</f>
        <v>0.08</v>
      </c>
      <c r="T314" s="10">
        <f>+[1]モンスター計算!T317</f>
        <v>0.08</v>
      </c>
      <c r="U314" s="10">
        <f>+[1]モンスター計算!U317</f>
        <v>0.08</v>
      </c>
      <c r="V314" s="11">
        <f>+[1]モンスター計算!V317</f>
        <v>5</v>
      </c>
      <c r="W314" s="29">
        <v>8</v>
      </c>
      <c r="X314" s="26" t="s">
        <v>109</v>
      </c>
      <c r="Y314" s="32" t="s">
        <v>87</v>
      </c>
      <c r="Z314" s="11">
        <v>1.2</v>
      </c>
      <c r="AA314" s="29">
        <v>5</v>
      </c>
      <c r="AB314" s="29">
        <f t="shared" si="8"/>
        <v>223</v>
      </c>
      <c r="AC314" s="46">
        <f t="shared" si="9"/>
        <v>53</v>
      </c>
      <c r="AD314" s="26" t="s">
        <v>51</v>
      </c>
      <c r="AE314" s="10">
        <v>7</v>
      </c>
      <c r="AF314" s="10">
        <v>3</v>
      </c>
      <c r="AG314" s="11" t="b">
        <v>1</v>
      </c>
      <c r="AH314" s="29" t="s">
        <v>1225</v>
      </c>
      <c r="AI314" s="32" t="s">
        <v>1825</v>
      </c>
    </row>
    <row r="315" spans="1:35">
      <c r="A315" s="52" t="s">
        <v>830</v>
      </c>
      <c r="B315" s="13" t="s">
        <v>506</v>
      </c>
      <c r="C315" s="27" t="s">
        <v>44</v>
      </c>
      <c r="D315" s="13" t="s">
        <v>61</v>
      </c>
      <c r="E315" s="27">
        <f>+[1]モンスター計算!E318</f>
        <v>11079</v>
      </c>
      <c r="F315" s="5">
        <f>+[1]モンスター計算!F318</f>
        <v>2382</v>
      </c>
      <c r="G315" s="5">
        <f>+[1]モンスター計算!G318</f>
        <v>1351</v>
      </c>
      <c r="H315" s="5">
        <f>+[1]モンスター計算!H318</f>
        <v>3003</v>
      </c>
      <c r="I315" s="5">
        <f>+[1]モンスター計算!I318</f>
        <v>852</v>
      </c>
      <c r="J315" s="13">
        <f>+[1]モンスター計算!J318</f>
        <v>909</v>
      </c>
      <c r="K315" s="27">
        <f>+[1]モンスター計算!K318</f>
        <v>0.11</v>
      </c>
      <c r="L315" s="13">
        <f>+[1]モンスター計算!L318</f>
        <v>1.65</v>
      </c>
      <c r="M315" s="27">
        <f>+[1]モンスター計算!M318</f>
        <v>2.2000000000000002</v>
      </c>
      <c r="N315" s="5">
        <f>+[1]モンスター計算!N318</f>
        <v>1.1000000000000001</v>
      </c>
      <c r="O315" s="13">
        <f>+[1]モンスター計算!O318</f>
        <v>2.75</v>
      </c>
      <c r="P315" s="27">
        <f>+[1]モンスター計算!P318</f>
        <v>0.16</v>
      </c>
      <c r="Q315" s="5">
        <f>+[1]モンスター計算!Q318</f>
        <v>-0.14000000000000001</v>
      </c>
      <c r="R315" s="5">
        <f>+[1]モンスター計算!R318</f>
        <v>-0.04</v>
      </c>
      <c r="S315" s="5">
        <f>+[1]モンスター計算!S318</f>
        <v>-0.04</v>
      </c>
      <c r="T315" s="5">
        <f>+[1]モンスター計算!T318</f>
        <v>-0.04</v>
      </c>
      <c r="U315" s="5">
        <f>+[1]モンスター計算!U318</f>
        <v>-0.04</v>
      </c>
      <c r="V315" s="13">
        <f>+[1]モンスター計算!V318</f>
        <v>4.2</v>
      </c>
      <c r="W315" s="30">
        <v>8</v>
      </c>
      <c r="X315" s="27" t="s">
        <v>64</v>
      </c>
      <c r="Y315" s="33" t="s">
        <v>88</v>
      </c>
      <c r="Z315" s="13">
        <v>1.2</v>
      </c>
      <c r="AA315" s="30">
        <v>7</v>
      </c>
      <c r="AB315" s="30">
        <f t="shared" si="8"/>
        <v>247</v>
      </c>
      <c r="AC315" s="47">
        <f t="shared" si="9"/>
        <v>53</v>
      </c>
      <c r="AD315" s="27" t="s">
        <v>49</v>
      </c>
      <c r="AE315" s="5">
        <v>7.5</v>
      </c>
      <c r="AF315" s="5">
        <v>3</v>
      </c>
      <c r="AG315" s="13" t="b">
        <v>1</v>
      </c>
      <c r="AH315" s="30" t="s">
        <v>1226</v>
      </c>
      <c r="AI315" s="33" t="s">
        <v>1825</v>
      </c>
    </row>
    <row r="316" spans="1:35">
      <c r="A316" s="52" t="s">
        <v>831</v>
      </c>
      <c r="B316" s="13" t="s">
        <v>507</v>
      </c>
      <c r="C316" s="27" t="s">
        <v>46</v>
      </c>
      <c r="D316" s="13" t="s">
        <v>61</v>
      </c>
      <c r="E316" s="27">
        <f>+[1]モンスター計算!E319</f>
        <v>24431</v>
      </c>
      <c r="F316" s="5">
        <f>+[1]モンスター計算!F319</f>
        <v>2796</v>
      </c>
      <c r="G316" s="5">
        <f>+[1]モンスター計算!G319</f>
        <v>590</v>
      </c>
      <c r="H316" s="5">
        <f>+[1]モンスター計算!H319</f>
        <v>2016</v>
      </c>
      <c r="I316" s="5">
        <f>+[1]モンスター計算!I319</f>
        <v>1864</v>
      </c>
      <c r="J316" s="13">
        <f>+[1]モンスター計算!J319</f>
        <v>1761</v>
      </c>
      <c r="K316" s="27">
        <f>+[1]モンスター計算!K319</f>
        <v>3.5000000000000003E-2</v>
      </c>
      <c r="L316" s="13">
        <f>+[1]モンスター計算!L319</f>
        <v>1.4</v>
      </c>
      <c r="M316" s="27">
        <f>+[1]モンスター計算!M319</f>
        <v>1.5</v>
      </c>
      <c r="N316" s="5">
        <f>+[1]モンスター計算!N319</f>
        <v>0.6</v>
      </c>
      <c r="O316" s="13">
        <f>+[1]モンスター計算!O319</f>
        <v>3.1</v>
      </c>
      <c r="P316" s="27">
        <f>+[1]モンスター計算!P319</f>
        <v>0.12</v>
      </c>
      <c r="Q316" s="5">
        <f>+[1]モンスター計算!Q319</f>
        <v>0.12</v>
      </c>
      <c r="R316" s="5">
        <f>+[1]モンスター計算!R319</f>
        <v>0.32</v>
      </c>
      <c r="S316" s="5">
        <f>+[1]モンスター計算!S319</f>
        <v>1.999999999999999E-2</v>
      </c>
      <c r="T316" s="5">
        <f>+[1]モンスター計算!T319</f>
        <v>0.12</v>
      </c>
      <c r="U316" s="5">
        <f>+[1]モンスター計算!U319</f>
        <v>0.12</v>
      </c>
      <c r="V316" s="13">
        <f>+[1]モンスター計算!V319</f>
        <v>4.12</v>
      </c>
      <c r="W316" s="30">
        <v>9</v>
      </c>
      <c r="X316" s="27" t="s">
        <v>66</v>
      </c>
      <c r="Y316" s="33" t="s">
        <v>89</v>
      </c>
      <c r="Z316" s="13">
        <v>1.22</v>
      </c>
      <c r="AA316" s="30">
        <v>10</v>
      </c>
      <c r="AB316" s="30">
        <f t="shared" si="8"/>
        <v>287</v>
      </c>
      <c r="AC316" s="47">
        <f t="shared" si="9"/>
        <v>53</v>
      </c>
      <c r="AD316" s="27" t="s">
        <v>53</v>
      </c>
      <c r="AE316" s="5">
        <v>8.5</v>
      </c>
      <c r="AF316" s="5">
        <v>3</v>
      </c>
      <c r="AG316" s="13" t="b">
        <v>1</v>
      </c>
      <c r="AH316" s="30" t="s">
        <v>1227</v>
      </c>
      <c r="AI316" s="33" t="s">
        <v>1825</v>
      </c>
    </row>
    <row r="317" spans="1:35">
      <c r="A317" s="52" t="s">
        <v>832</v>
      </c>
      <c r="B317" s="13" t="s">
        <v>508</v>
      </c>
      <c r="C317" s="27" t="s">
        <v>44</v>
      </c>
      <c r="D317" s="13" t="s">
        <v>59</v>
      </c>
      <c r="E317" s="27">
        <f>+[1]モンスター計算!E320</f>
        <v>29119</v>
      </c>
      <c r="F317" s="5">
        <f>+[1]モンスター計算!F320</f>
        <v>552</v>
      </c>
      <c r="G317" s="5">
        <f>+[1]モンスター計算!G320</f>
        <v>2296</v>
      </c>
      <c r="H317" s="5">
        <f>+[1]モンスター計算!H320</f>
        <v>930</v>
      </c>
      <c r="I317" s="5">
        <f>+[1]モンスター計算!I320</f>
        <v>1727</v>
      </c>
      <c r="J317" s="13">
        <f>+[1]モンスター計算!J320</f>
        <v>1477</v>
      </c>
      <c r="K317" s="27">
        <f>+[1]モンスター計算!K320</f>
        <v>2.5000000000000001E-2</v>
      </c>
      <c r="L317" s="13">
        <f>+[1]モンスター計算!L320</f>
        <v>1.35</v>
      </c>
      <c r="M317" s="27">
        <f>+[1]モンスター計算!M320</f>
        <v>1.1499999999999999</v>
      </c>
      <c r="N317" s="5">
        <f>+[1]モンスター計算!N320</f>
        <v>0.51</v>
      </c>
      <c r="O317" s="13">
        <f>+[1]モンスター計算!O320</f>
        <v>1</v>
      </c>
      <c r="P317" s="27">
        <f>+[1]モンスター計算!P320</f>
        <v>0.25</v>
      </c>
      <c r="Q317" s="5">
        <f>+[1]モンスター計算!Q320</f>
        <v>-0.05</v>
      </c>
      <c r="R317" s="5">
        <f>+[1]モンスター計算!R320</f>
        <v>0.05</v>
      </c>
      <c r="S317" s="5">
        <f>+[1]モンスター計算!S320</f>
        <v>0.05</v>
      </c>
      <c r="T317" s="5">
        <f>+[1]モンスター計算!T320</f>
        <v>0.05</v>
      </c>
      <c r="U317" s="5">
        <f>+[1]モンスター計算!U320</f>
        <v>0.05</v>
      </c>
      <c r="V317" s="13">
        <f>+[1]モンスター計算!V320</f>
        <v>3.2</v>
      </c>
      <c r="W317" s="30">
        <v>10</v>
      </c>
      <c r="X317" s="27" t="s">
        <v>68</v>
      </c>
      <c r="Y317" s="33" t="s">
        <v>90</v>
      </c>
      <c r="Z317" s="13">
        <v>1.25</v>
      </c>
      <c r="AA317" s="30">
        <v>15</v>
      </c>
      <c r="AB317" s="30">
        <f t="shared" si="8"/>
        <v>369</v>
      </c>
      <c r="AC317" s="47">
        <f t="shared" si="9"/>
        <v>53</v>
      </c>
      <c r="AD317" s="27" t="s">
        <v>74</v>
      </c>
      <c r="AE317" s="5">
        <v>0</v>
      </c>
      <c r="AF317" s="5">
        <v>0</v>
      </c>
      <c r="AG317" s="13" t="b">
        <v>0</v>
      </c>
      <c r="AH317" s="30" t="s">
        <v>1228</v>
      </c>
      <c r="AI317" s="33" t="s">
        <v>1825</v>
      </c>
    </row>
    <row r="318" spans="1:35">
      <c r="A318" s="52" t="s">
        <v>833</v>
      </c>
      <c r="B318" s="13" t="s">
        <v>509</v>
      </c>
      <c r="C318" s="27" t="s">
        <v>45</v>
      </c>
      <c r="D318" s="13" t="s">
        <v>59</v>
      </c>
      <c r="E318" s="27">
        <f>+[1]モンスター計算!E321</f>
        <v>19176</v>
      </c>
      <c r="F318" s="5">
        <f>+[1]モンスター計算!F321</f>
        <v>828</v>
      </c>
      <c r="G318" s="5">
        <f>+[1]モンスター計算!G321</f>
        <v>1694</v>
      </c>
      <c r="H318" s="5">
        <f>+[1]モンスター計算!H321</f>
        <v>762</v>
      </c>
      <c r="I318" s="5">
        <f>+[1]モンスター計算!I321</f>
        <v>1591</v>
      </c>
      <c r="J318" s="13">
        <f>+[1]モンスター計算!J321</f>
        <v>1136</v>
      </c>
      <c r="K318" s="27">
        <f>+[1]モンスター計算!K321</f>
        <v>0.08</v>
      </c>
      <c r="L318" s="13">
        <f>+[1]モンスター計算!L321</f>
        <v>1.6</v>
      </c>
      <c r="M318" s="27">
        <f>+[1]モンスター計算!M321</f>
        <v>2.7</v>
      </c>
      <c r="N318" s="5">
        <f>+[1]モンスター計算!N321</f>
        <v>1.05</v>
      </c>
      <c r="O318" s="13">
        <f>+[1]モンスター計算!O321</f>
        <v>1</v>
      </c>
      <c r="P318" s="27">
        <f>+[1]モンスター計算!P321</f>
        <v>-3.5000000000000003E-2</v>
      </c>
      <c r="Q318" s="5">
        <f>+[1]モンスター計算!Q321</f>
        <v>0.26500000000000001</v>
      </c>
      <c r="R318" s="5">
        <f>+[1]モンスター計算!R321</f>
        <v>6.5000000000000002E-2</v>
      </c>
      <c r="S318" s="5">
        <f>+[1]モンスター計算!S321</f>
        <v>6.5000000000000002E-2</v>
      </c>
      <c r="T318" s="5">
        <f>+[1]モンスター計算!T321</f>
        <v>6.5000000000000002E-2</v>
      </c>
      <c r="U318" s="5">
        <f>+[1]モンスター計算!U321</f>
        <v>6.5000000000000002E-2</v>
      </c>
      <c r="V318" s="13">
        <f>+[1]モンスター計算!V321</f>
        <v>4</v>
      </c>
      <c r="W318" s="30">
        <v>11</v>
      </c>
      <c r="X318" s="27" t="s">
        <v>70</v>
      </c>
      <c r="Y318" s="33" t="s">
        <v>91</v>
      </c>
      <c r="Z318" s="13">
        <v>1.25</v>
      </c>
      <c r="AA318" s="30">
        <v>20</v>
      </c>
      <c r="AB318" s="30">
        <f t="shared" si="8"/>
        <v>429</v>
      </c>
      <c r="AC318" s="47">
        <f t="shared" si="9"/>
        <v>53</v>
      </c>
      <c r="AD318" s="27" t="s">
        <v>74</v>
      </c>
      <c r="AE318" s="5">
        <v>0</v>
      </c>
      <c r="AF318" s="5">
        <v>0</v>
      </c>
      <c r="AG318" s="13" t="b">
        <v>0</v>
      </c>
      <c r="AH318" s="30" t="s">
        <v>1229</v>
      </c>
      <c r="AI318" s="33" t="s">
        <v>1825</v>
      </c>
    </row>
    <row r="319" spans="1:35" ht="19.5" thickBot="1">
      <c r="A319" s="53" t="s">
        <v>834</v>
      </c>
      <c r="B319" s="16" t="s">
        <v>510</v>
      </c>
      <c r="C319" s="28" t="s">
        <v>47</v>
      </c>
      <c r="D319" s="16" t="s">
        <v>61</v>
      </c>
      <c r="E319" s="28">
        <f>+[1]モンスター計算!E322</f>
        <v>10511</v>
      </c>
      <c r="F319" s="15">
        <f>+[1]モンスター計算!F322</f>
        <v>1967</v>
      </c>
      <c r="G319" s="15">
        <f>+[1]モンスター計算!G322</f>
        <v>714</v>
      </c>
      <c r="H319" s="15">
        <f>+[1]モンスター計算!H322</f>
        <v>2441</v>
      </c>
      <c r="I319" s="15">
        <f>+[1]モンスター計算!I322</f>
        <v>818</v>
      </c>
      <c r="J319" s="16">
        <f>+[1]モンスター計算!J322</f>
        <v>955</v>
      </c>
      <c r="K319" s="28">
        <f>+[1]モンスター計算!K322</f>
        <v>0.05</v>
      </c>
      <c r="L319" s="16">
        <f>+[1]モンスター計算!L322</f>
        <v>1.4</v>
      </c>
      <c r="M319" s="28">
        <f>+[1]モンスター計算!M322</f>
        <v>3.35</v>
      </c>
      <c r="N319" s="15">
        <f>+[1]モンスター計算!N322</f>
        <v>1.55</v>
      </c>
      <c r="O319" s="16">
        <f>+[1]モンスター計算!O322</f>
        <v>2.2999999999999998</v>
      </c>
      <c r="P319" s="28">
        <f>+[1]モンスター計算!P322</f>
        <v>-7.0000000000000007E-2</v>
      </c>
      <c r="Q319" s="15">
        <f>+[1]モンスター計算!Q322</f>
        <v>-7.0000000000000007E-2</v>
      </c>
      <c r="R319" s="15">
        <f>+[1]モンスター計算!R322</f>
        <v>-7.0000000000000007E-2</v>
      </c>
      <c r="S319" s="15">
        <f>+[1]モンスター計算!S322</f>
        <v>-7.0000000000000007E-2</v>
      </c>
      <c r="T319" s="15">
        <f>+[1]モンスター計算!T322</f>
        <v>0.13</v>
      </c>
      <c r="U319" s="15">
        <f>+[1]モンスター計算!U322</f>
        <v>-0.17</v>
      </c>
      <c r="V319" s="16">
        <f>+[1]モンスター計算!V322</f>
        <v>4</v>
      </c>
      <c r="W319" s="31">
        <v>15</v>
      </c>
      <c r="X319" s="28" t="s">
        <v>72</v>
      </c>
      <c r="Y319" s="34" t="s">
        <v>92</v>
      </c>
      <c r="Z319" s="16">
        <v>1.3</v>
      </c>
      <c r="AA319" s="31">
        <v>40</v>
      </c>
      <c r="AB319" s="31">
        <f t="shared" si="8"/>
        <v>614</v>
      </c>
      <c r="AC319" s="48">
        <f t="shared" si="9"/>
        <v>53</v>
      </c>
      <c r="AD319" s="28" t="s">
        <v>55</v>
      </c>
      <c r="AE319" s="15">
        <v>10</v>
      </c>
      <c r="AF319" s="15">
        <v>4</v>
      </c>
      <c r="AG319" s="16" t="b">
        <v>1</v>
      </c>
      <c r="AH319" s="31" t="s">
        <v>1230</v>
      </c>
      <c r="AI319" s="34" t="s">
        <v>1825</v>
      </c>
    </row>
    <row r="320" spans="1:35">
      <c r="A320" s="51" t="s">
        <v>835</v>
      </c>
      <c r="B320" s="11" t="s">
        <v>511</v>
      </c>
      <c r="C320" s="26" t="s">
        <v>45</v>
      </c>
      <c r="D320" s="11" t="s">
        <v>61</v>
      </c>
      <c r="E320" s="26">
        <f>+[1]モンスター計算!E323</f>
        <v>18750</v>
      </c>
      <c r="F320" s="10">
        <f>+[1]モンスター計算!F323</f>
        <v>2278</v>
      </c>
      <c r="G320" s="10">
        <f>+[1]モンスター計算!G323</f>
        <v>1000</v>
      </c>
      <c r="H320" s="10">
        <f>+[1]モンスター計算!H323</f>
        <v>2222</v>
      </c>
      <c r="I320" s="10">
        <f>+[1]モンスター計算!I323</f>
        <v>1625</v>
      </c>
      <c r="J320" s="11">
        <f>+[1]モンスター計算!J323</f>
        <v>1062</v>
      </c>
      <c r="K320" s="26">
        <f>+[1]モンスター計算!K323</f>
        <v>0.08</v>
      </c>
      <c r="L320" s="11">
        <f>+[1]モンスター計算!L323</f>
        <v>1.6</v>
      </c>
      <c r="M320" s="26">
        <f>+[1]モンスター計算!M323</f>
        <v>2.8</v>
      </c>
      <c r="N320" s="10">
        <f>+[1]モンスター計算!N323</f>
        <v>1</v>
      </c>
      <c r="O320" s="11">
        <f>+[1]モンスター計算!O323</f>
        <v>2.5</v>
      </c>
      <c r="P320" s="26">
        <f>+[1]モンスター計算!P323</f>
        <v>-8.5000000000000006E-2</v>
      </c>
      <c r="Q320" s="10">
        <f>+[1]モンスター計算!Q323</f>
        <v>0.21500000000000002</v>
      </c>
      <c r="R320" s="10">
        <f>+[1]モンスター計算!R323</f>
        <v>1.4999999999999999E-2</v>
      </c>
      <c r="S320" s="10">
        <f>+[1]モンスター計算!S323</f>
        <v>1.4999999999999999E-2</v>
      </c>
      <c r="T320" s="10">
        <f>+[1]モンスター計算!T323</f>
        <v>1.4999999999999999E-2</v>
      </c>
      <c r="U320" s="10">
        <f>+[1]モンスター計算!U323</f>
        <v>1.4999999999999999E-2</v>
      </c>
      <c r="V320" s="11">
        <f>+[1]モンスター計算!V323</f>
        <v>4</v>
      </c>
      <c r="W320" s="29">
        <v>8</v>
      </c>
      <c r="X320" s="26" t="s">
        <v>109</v>
      </c>
      <c r="Y320" s="32" t="s">
        <v>87</v>
      </c>
      <c r="Z320" s="11">
        <v>1.2</v>
      </c>
      <c r="AA320" s="29">
        <v>5</v>
      </c>
      <c r="AB320" s="29">
        <f t="shared" si="8"/>
        <v>235</v>
      </c>
      <c r="AC320" s="46">
        <f t="shared" si="9"/>
        <v>54</v>
      </c>
      <c r="AD320" s="26" t="s">
        <v>51</v>
      </c>
      <c r="AE320" s="10">
        <v>7</v>
      </c>
      <c r="AF320" s="10">
        <v>3</v>
      </c>
      <c r="AG320" s="11" t="b">
        <v>1</v>
      </c>
      <c r="AH320" s="29" t="s">
        <v>1231</v>
      </c>
      <c r="AI320" s="32" t="s">
        <v>1825</v>
      </c>
    </row>
    <row r="321" spans="1:35">
      <c r="A321" s="52" t="s">
        <v>836</v>
      </c>
      <c r="B321" s="13" t="s">
        <v>512</v>
      </c>
      <c r="C321" s="27" t="s">
        <v>44</v>
      </c>
      <c r="D321" s="13" t="s">
        <v>61</v>
      </c>
      <c r="E321" s="27">
        <f>+[1]モンスター計算!E324</f>
        <v>9062</v>
      </c>
      <c r="F321" s="5">
        <f>+[1]モンスター計算!F324</f>
        <v>1777</v>
      </c>
      <c r="G321" s="5">
        <f>+[1]モンスター計算!G324</f>
        <v>891</v>
      </c>
      <c r="H321" s="5">
        <f>+[1]モンスター計算!H324</f>
        <v>4125</v>
      </c>
      <c r="I321" s="5">
        <f>+[1]モンスター計算!I324</f>
        <v>800</v>
      </c>
      <c r="J321" s="13">
        <f>+[1]モンスター計算!J324</f>
        <v>812</v>
      </c>
      <c r="K321" s="27">
        <f>+[1]モンスター計算!K324</f>
        <v>0.08</v>
      </c>
      <c r="L321" s="13">
        <f>+[1]モンスター計算!L324</f>
        <v>1.55</v>
      </c>
      <c r="M321" s="27">
        <f>+[1]モンスター計算!M324</f>
        <v>4.2</v>
      </c>
      <c r="N321" s="5">
        <f>+[1]モンスター計算!N324</f>
        <v>1.3</v>
      </c>
      <c r="O321" s="13">
        <f>+[1]モンスター計算!O324</f>
        <v>2.5</v>
      </c>
      <c r="P321" s="27">
        <f>+[1]モンスター計算!P324</f>
        <v>0.11000000000000001</v>
      </c>
      <c r="Q321" s="5">
        <f>+[1]モンスター計算!Q324</f>
        <v>-0.19</v>
      </c>
      <c r="R321" s="5">
        <f>+[1]モンスター計算!R324</f>
        <v>-0.09</v>
      </c>
      <c r="S321" s="5">
        <f>+[1]モンスター計算!S324</f>
        <v>-0.09</v>
      </c>
      <c r="T321" s="5">
        <f>+[1]モンスター計算!T324</f>
        <v>-0.09</v>
      </c>
      <c r="U321" s="5">
        <f>+[1]モンスター計算!U324</f>
        <v>-0.09</v>
      </c>
      <c r="V321" s="13">
        <f>+[1]モンスター計算!V324</f>
        <v>4.2</v>
      </c>
      <c r="W321" s="30">
        <v>8</v>
      </c>
      <c r="X321" s="27" t="s">
        <v>64</v>
      </c>
      <c r="Y321" s="33" t="s">
        <v>88</v>
      </c>
      <c r="Z321" s="13">
        <v>1.2</v>
      </c>
      <c r="AA321" s="30">
        <v>7</v>
      </c>
      <c r="AB321" s="30">
        <f t="shared" si="8"/>
        <v>260</v>
      </c>
      <c r="AC321" s="47">
        <f t="shared" si="9"/>
        <v>54</v>
      </c>
      <c r="AD321" s="27" t="s">
        <v>49</v>
      </c>
      <c r="AE321" s="5">
        <v>7.5</v>
      </c>
      <c r="AF321" s="5">
        <v>3</v>
      </c>
      <c r="AG321" s="13" t="b">
        <v>1</v>
      </c>
      <c r="AH321" s="30" t="s">
        <v>1232</v>
      </c>
      <c r="AI321" s="33" t="s">
        <v>1825</v>
      </c>
    </row>
    <row r="322" spans="1:35">
      <c r="A322" s="52" t="s">
        <v>837</v>
      </c>
      <c r="B322" s="13" t="s">
        <v>513</v>
      </c>
      <c r="C322" s="27" t="s">
        <v>46</v>
      </c>
      <c r="D322" s="13" t="s">
        <v>61</v>
      </c>
      <c r="E322" s="27">
        <f>+[1]モンスター計算!E325</f>
        <v>17500</v>
      </c>
      <c r="F322" s="5">
        <f>+[1]モンスター計算!F325</f>
        <v>3075</v>
      </c>
      <c r="G322" s="5">
        <f>+[1]モンスター計算!G325</f>
        <v>771</v>
      </c>
      <c r="H322" s="5">
        <f>+[1]モンスター計算!H325</f>
        <v>2597</v>
      </c>
      <c r="I322" s="5">
        <f>+[1]モンスター計算!I325</f>
        <v>2437</v>
      </c>
      <c r="J322" s="13">
        <f>+[1]モンスター計算!J325</f>
        <v>900</v>
      </c>
      <c r="K322" s="27">
        <f>+[1]モンスター計算!K325</f>
        <v>5.5E-2</v>
      </c>
      <c r="L322" s="13">
        <f>+[1]モンスター計算!L325</f>
        <v>1.5</v>
      </c>
      <c r="M322" s="27">
        <f>+[1]モンスター計算!M325</f>
        <v>1.85</v>
      </c>
      <c r="N322" s="5">
        <f>+[1]モンスター計算!N325</f>
        <v>0.87</v>
      </c>
      <c r="O322" s="13">
        <f>+[1]モンスター計算!O325</f>
        <v>2.35</v>
      </c>
      <c r="P322" s="27">
        <f>+[1]モンスター計算!P325</f>
        <v>6.5000000000000002E-2</v>
      </c>
      <c r="Q322" s="5">
        <f>+[1]モンスター計算!Q325</f>
        <v>6.5000000000000002E-2</v>
      </c>
      <c r="R322" s="5">
        <f>+[1]モンスター計算!R325</f>
        <v>0.26500000000000001</v>
      </c>
      <c r="S322" s="5">
        <f>+[1]モンスター計算!S325</f>
        <v>-3.5000000000000003E-2</v>
      </c>
      <c r="T322" s="5">
        <f>+[1]モンスター計算!T325</f>
        <v>6.5000000000000002E-2</v>
      </c>
      <c r="U322" s="5">
        <f>+[1]モンスター計算!U325</f>
        <v>6.5000000000000002E-2</v>
      </c>
      <c r="V322" s="13">
        <f>+[1]モンスター計算!V325</f>
        <v>4.2</v>
      </c>
      <c r="W322" s="30">
        <v>9</v>
      </c>
      <c r="X322" s="27" t="s">
        <v>66</v>
      </c>
      <c r="Y322" s="33" t="s">
        <v>89</v>
      </c>
      <c r="Z322" s="13">
        <v>1.22</v>
      </c>
      <c r="AA322" s="30">
        <v>10</v>
      </c>
      <c r="AB322" s="30">
        <f t="shared" si="8"/>
        <v>302</v>
      </c>
      <c r="AC322" s="47">
        <f t="shared" si="9"/>
        <v>54</v>
      </c>
      <c r="AD322" s="27" t="s">
        <v>53</v>
      </c>
      <c r="AE322" s="5">
        <v>8.5</v>
      </c>
      <c r="AF322" s="5">
        <v>3</v>
      </c>
      <c r="AG322" s="13" t="b">
        <v>1</v>
      </c>
      <c r="AH322" s="30" t="s">
        <v>1233</v>
      </c>
      <c r="AI322" s="33" t="s">
        <v>1825</v>
      </c>
    </row>
    <row r="323" spans="1:35">
      <c r="A323" s="52" t="s">
        <v>838</v>
      </c>
      <c r="B323" s="13" t="s">
        <v>514</v>
      </c>
      <c r="C323" s="27" t="s">
        <v>44</v>
      </c>
      <c r="D323" s="13" t="s">
        <v>59</v>
      </c>
      <c r="E323" s="27">
        <f>+[1]モンスター計算!E326</f>
        <v>18750</v>
      </c>
      <c r="F323" s="5">
        <f>+[1]モンスター計算!F326</f>
        <v>861</v>
      </c>
      <c r="G323" s="5">
        <f>+[1]モンスター計算!G326</f>
        <v>2294</v>
      </c>
      <c r="H323" s="5">
        <f>+[1]モンスター計算!H326</f>
        <v>1032</v>
      </c>
      <c r="I323" s="5">
        <f>+[1]モンスター計算!I326</f>
        <v>1625</v>
      </c>
      <c r="J323" s="13">
        <f>+[1]モンスター計算!J326</f>
        <v>1062</v>
      </c>
      <c r="K323" s="27">
        <f>+[1]モンスター計算!K326</f>
        <v>0.08</v>
      </c>
      <c r="L323" s="13">
        <f>+[1]モンスター計算!L326</f>
        <v>1.6</v>
      </c>
      <c r="M323" s="27">
        <f>+[1]モンスター計算!M326</f>
        <v>2.8</v>
      </c>
      <c r="N323" s="5">
        <f>+[1]モンスター計算!N326</f>
        <v>1</v>
      </c>
      <c r="O323" s="13">
        <f>+[1]モンスター計算!O326</f>
        <v>1</v>
      </c>
      <c r="P323" s="27">
        <f>+[1]モンスター計算!P326</f>
        <v>0.23500000000000001</v>
      </c>
      <c r="Q323" s="5">
        <f>+[1]モンスター計算!Q326</f>
        <v>-6.5000000000000002E-2</v>
      </c>
      <c r="R323" s="5">
        <f>+[1]モンスター計算!R326</f>
        <v>3.5000000000000003E-2</v>
      </c>
      <c r="S323" s="5">
        <f>+[1]モンスター計算!S326</f>
        <v>3.5000000000000003E-2</v>
      </c>
      <c r="T323" s="5">
        <f>+[1]モンスター計算!T326</f>
        <v>3.5000000000000003E-2</v>
      </c>
      <c r="U323" s="5">
        <f>+[1]モンスター計算!U326</f>
        <v>3.5000000000000003E-2</v>
      </c>
      <c r="V323" s="13">
        <f>+[1]モンスター計算!V326</f>
        <v>4</v>
      </c>
      <c r="W323" s="30">
        <v>10</v>
      </c>
      <c r="X323" s="27" t="s">
        <v>68</v>
      </c>
      <c r="Y323" s="33" t="s">
        <v>90</v>
      </c>
      <c r="Z323" s="13">
        <v>1.25</v>
      </c>
      <c r="AA323" s="30">
        <v>15</v>
      </c>
      <c r="AB323" s="30">
        <f t="shared" si="8"/>
        <v>388</v>
      </c>
      <c r="AC323" s="47">
        <f t="shared" si="9"/>
        <v>54</v>
      </c>
      <c r="AD323" s="27" t="s">
        <v>74</v>
      </c>
      <c r="AE323" s="5">
        <v>0</v>
      </c>
      <c r="AF323" s="5">
        <v>0</v>
      </c>
      <c r="AG323" s="13" t="b">
        <v>0</v>
      </c>
      <c r="AH323" s="30" t="s">
        <v>1234</v>
      </c>
      <c r="AI323" s="33" t="s">
        <v>1825</v>
      </c>
    </row>
    <row r="324" spans="1:35">
      <c r="A324" s="52" t="s">
        <v>839</v>
      </c>
      <c r="B324" s="13" t="s">
        <v>515</v>
      </c>
      <c r="C324" s="27" t="s">
        <v>45</v>
      </c>
      <c r="D324" s="13" t="s">
        <v>59</v>
      </c>
      <c r="E324" s="27">
        <f>+[1]モンスター計算!E327</f>
        <v>19843</v>
      </c>
      <c r="F324" s="5">
        <f>+[1]モンスター計算!F327</f>
        <v>709</v>
      </c>
      <c r="G324" s="5">
        <f>+[1]モンスター計算!G327</f>
        <v>4223</v>
      </c>
      <c r="H324" s="5">
        <f>+[1]モンスター計算!H327</f>
        <v>1235</v>
      </c>
      <c r="I324" s="5">
        <f>+[1]モンスター計算!I327</f>
        <v>1312</v>
      </c>
      <c r="J324" s="13">
        <f>+[1]モンスター計算!J327</f>
        <v>1100</v>
      </c>
      <c r="K324" s="27">
        <f>+[1]モンスター計算!K327</f>
        <v>0.06</v>
      </c>
      <c r="L324" s="13">
        <f>+[1]モンスター計算!L327</f>
        <v>2.15</v>
      </c>
      <c r="M324" s="27">
        <f>+[1]モンスター計算!M327</f>
        <v>1.65</v>
      </c>
      <c r="N324" s="5">
        <f>+[1]モンスター計算!N327</f>
        <v>0.53</v>
      </c>
      <c r="O324" s="13">
        <f>+[1]モンスター計算!O327</f>
        <v>1</v>
      </c>
      <c r="P324" s="27">
        <f>+[1]モンスター計算!P327</f>
        <v>-0.125</v>
      </c>
      <c r="Q324" s="5">
        <f>+[1]モンスター計算!Q327</f>
        <v>0.17500000000000002</v>
      </c>
      <c r="R324" s="5">
        <f>+[1]モンスター計算!R327</f>
        <v>-2.5000000000000001E-2</v>
      </c>
      <c r="S324" s="5">
        <f>+[1]モンスター計算!S327</f>
        <v>-2.5000000000000001E-2</v>
      </c>
      <c r="T324" s="5">
        <f>+[1]モンスター計算!T327</f>
        <v>-2.5000000000000001E-2</v>
      </c>
      <c r="U324" s="5">
        <f>+[1]モンスター計算!U327</f>
        <v>-2.5000000000000001E-2</v>
      </c>
      <c r="V324" s="13">
        <f>+[1]モンスター計算!V327</f>
        <v>4.4000000000000004</v>
      </c>
      <c r="W324" s="30">
        <v>11</v>
      </c>
      <c r="X324" s="27" t="s">
        <v>70</v>
      </c>
      <c r="Y324" s="33" t="s">
        <v>91</v>
      </c>
      <c r="Z324" s="13">
        <v>1.25</v>
      </c>
      <c r="AA324" s="30">
        <v>20</v>
      </c>
      <c r="AB324" s="30">
        <f t="shared" si="8"/>
        <v>451</v>
      </c>
      <c r="AC324" s="47">
        <f t="shared" si="9"/>
        <v>54</v>
      </c>
      <c r="AD324" s="27" t="s">
        <v>74</v>
      </c>
      <c r="AE324" s="5">
        <v>0</v>
      </c>
      <c r="AF324" s="5">
        <v>0</v>
      </c>
      <c r="AG324" s="13" t="b">
        <v>0</v>
      </c>
      <c r="AH324" s="30" t="s">
        <v>1235</v>
      </c>
      <c r="AI324" s="33" t="s">
        <v>1825</v>
      </c>
    </row>
    <row r="325" spans="1:35" ht="19.5" thickBot="1">
      <c r="A325" s="53" t="s">
        <v>840</v>
      </c>
      <c r="B325" s="16" t="s">
        <v>516</v>
      </c>
      <c r="C325" s="28" t="s">
        <v>47</v>
      </c>
      <c r="D325" s="16" t="s">
        <v>61</v>
      </c>
      <c r="E325" s="28">
        <f>+[1]モンスター計算!E328</f>
        <v>20000</v>
      </c>
      <c r="F325" s="15">
        <f>+[1]モンスター計算!F328</f>
        <v>2164</v>
      </c>
      <c r="G325" s="15">
        <f>+[1]モンスター計算!G328</f>
        <v>566</v>
      </c>
      <c r="H325" s="15">
        <f>+[1]モンスター計算!H328</f>
        <v>1480</v>
      </c>
      <c r="I325" s="15">
        <f>+[1]モンスター計算!I328</f>
        <v>1537</v>
      </c>
      <c r="J325" s="16">
        <f>+[1]モンスター計算!J328</f>
        <v>1400</v>
      </c>
      <c r="K325" s="28">
        <f>+[1]モンスター計算!K328</f>
        <v>7.0000000000000007E-2</v>
      </c>
      <c r="L325" s="16">
        <f>+[1]モンスター計算!L328</f>
        <v>1.5</v>
      </c>
      <c r="M325" s="28">
        <f>+[1]モンスター計算!M328</f>
        <v>2.8</v>
      </c>
      <c r="N325" s="15">
        <f>+[1]モンスター計算!N328</f>
        <v>1.45</v>
      </c>
      <c r="O325" s="16">
        <f>+[1]モンスター計算!O328</f>
        <v>1.55</v>
      </c>
      <c r="P325" s="28">
        <f>+[1]モンスター計算!P328</f>
        <v>0.03</v>
      </c>
      <c r="Q325" s="15">
        <f>+[1]モンスター計算!Q328</f>
        <v>0.03</v>
      </c>
      <c r="R325" s="15">
        <f>+[1]モンスター計算!R328</f>
        <v>0.03</v>
      </c>
      <c r="S325" s="15">
        <f>+[1]モンスター計算!S328</f>
        <v>0.03</v>
      </c>
      <c r="T325" s="15">
        <f>+[1]モンスター計算!T328</f>
        <v>0.23</v>
      </c>
      <c r="U325" s="15">
        <f>+[1]モンスター計算!U328</f>
        <v>-7.0000000000000007E-2</v>
      </c>
      <c r="V325" s="16">
        <f>+[1]モンスター計算!V328</f>
        <v>3.6</v>
      </c>
      <c r="W325" s="31">
        <v>15</v>
      </c>
      <c r="X325" s="28" t="s">
        <v>72</v>
      </c>
      <c r="Y325" s="34" t="s">
        <v>92</v>
      </c>
      <c r="Z325" s="16">
        <v>1.3</v>
      </c>
      <c r="AA325" s="31">
        <v>40</v>
      </c>
      <c r="AB325" s="31">
        <f t="shared" si="8"/>
        <v>645</v>
      </c>
      <c r="AC325" s="48">
        <f t="shared" si="9"/>
        <v>54</v>
      </c>
      <c r="AD325" s="28" t="s">
        <v>55</v>
      </c>
      <c r="AE325" s="15">
        <v>10</v>
      </c>
      <c r="AF325" s="15">
        <v>4</v>
      </c>
      <c r="AG325" s="16" t="b">
        <v>1</v>
      </c>
      <c r="AH325" s="31" t="s">
        <v>1236</v>
      </c>
      <c r="AI325" s="34" t="s">
        <v>1825</v>
      </c>
    </row>
    <row r="326" spans="1:35">
      <c r="A326" s="51" t="s">
        <v>841</v>
      </c>
      <c r="B326" s="11" t="s">
        <v>517</v>
      </c>
      <c r="C326" s="26" t="s">
        <v>45</v>
      </c>
      <c r="D326" s="11" t="s">
        <v>61</v>
      </c>
      <c r="E326" s="26">
        <f>+[1]モンスター計算!E329</f>
        <v>15640</v>
      </c>
      <c r="F326" s="10">
        <f>+[1]モンスター計算!F329</f>
        <v>4009</v>
      </c>
      <c r="G326" s="10">
        <f>+[1]モンスター計算!G329</f>
        <v>1698</v>
      </c>
      <c r="H326" s="10">
        <f>+[1]モンスター計算!H329</f>
        <v>5030</v>
      </c>
      <c r="I326" s="10">
        <f>+[1]モンスター計算!I329</f>
        <v>1210</v>
      </c>
      <c r="J326" s="11">
        <f>+[1]モンスター計算!J329</f>
        <v>1306</v>
      </c>
      <c r="K326" s="26">
        <f>+[1]モンスター計算!K329</f>
        <v>0.04</v>
      </c>
      <c r="L326" s="11">
        <f>+[1]モンスター計算!L329</f>
        <v>2.2000000000000002</v>
      </c>
      <c r="M326" s="26">
        <f>+[1]モンスター計算!M329</f>
        <v>1.65</v>
      </c>
      <c r="N326" s="10">
        <f>+[1]モンスター計算!N329</f>
        <v>0.64</v>
      </c>
      <c r="O326" s="11">
        <f>+[1]モンスター計算!O329</f>
        <v>3.7</v>
      </c>
      <c r="P326" s="26">
        <f>+[1]モンスター計算!P329</f>
        <v>-0.125</v>
      </c>
      <c r="Q326" s="10">
        <f>+[1]モンスター計算!Q329</f>
        <v>0.17500000000000002</v>
      </c>
      <c r="R326" s="10">
        <f>+[1]モンスター計算!R329</f>
        <v>-2.5000000000000001E-2</v>
      </c>
      <c r="S326" s="10">
        <f>+[1]モンスター計算!S329</f>
        <v>-2.5000000000000001E-2</v>
      </c>
      <c r="T326" s="10">
        <f>+[1]モンスター計算!T329</f>
        <v>-2.5000000000000001E-2</v>
      </c>
      <c r="U326" s="10">
        <f>+[1]モンスター計算!U329</f>
        <v>-2.5000000000000001E-2</v>
      </c>
      <c r="V326" s="11">
        <f>+[1]モンスター計算!V329</f>
        <v>5</v>
      </c>
      <c r="W326" s="29">
        <v>8</v>
      </c>
      <c r="X326" s="26" t="s">
        <v>109</v>
      </c>
      <c r="Y326" s="32" t="s">
        <v>87</v>
      </c>
      <c r="Z326" s="11">
        <v>1.2</v>
      </c>
      <c r="AA326" s="29">
        <v>5</v>
      </c>
      <c r="AB326" s="29">
        <f t="shared" si="8"/>
        <v>247</v>
      </c>
      <c r="AC326" s="46">
        <f t="shared" si="9"/>
        <v>55</v>
      </c>
      <c r="AD326" s="26" t="s">
        <v>51</v>
      </c>
      <c r="AE326" s="10">
        <v>7</v>
      </c>
      <c r="AF326" s="10">
        <v>3</v>
      </c>
      <c r="AG326" s="11" t="b">
        <v>1</v>
      </c>
      <c r="AH326" s="29" t="s">
        <v>1237</v>
      </c>
      <c r="AI326" s="32" t="s">
        <v>1825</v>
      </c>
    </row>
    <row r="327" spans="1:35">
      <c r="A327" s="52" t="s">
        <v>842</v>
      </c>
      <c r="B327" s="13" t="s">
        <v>518</v>
      </c>
      <c r="C327" s="27" t="s">
        <v>44</v>
      </c>
      <c r="D327" s="13" t="s">
        <v>61</v>
      </c>
      <c r="E327" s="27">
        <f>+[1]モンスター計算!E330</f>
        <v>18218</v>
      </c>
      <c r="F327" s="5">
        <f>+[1]モンスター計算!F330</f>
        <v>4385</v>
      </c>
      <c r="G327" s="5">
        <f>+[1]モンスター計算!G330</f>
        <v>884</v>
      </c>
      <c r="H327" s="5">
        <f>+[1]モンスター計算!H330</f>
        <v>3021</v>
      </c>
      <c r="I327" s="5">
        <f>+[1]モンスター計算!I330</f>
        <v>1059</v>
      </c>
      <c r="J327" s="13">
        <f>+[1]モンスター計算!J330</f>
        <v>2819</v>
      </c>
      <c r="K327" s="27">
        <f>+[1]モンスター計算!K330</f>
        <v>4.4999999999999998E-2</v>
      </c>
      <c r="L327" s="13">
        <f>+[1]モンスター計算!L330</f>
        <v>1.45</v>
      </c>
      <c r="M327" s="27">
        <f>+[1]モンスター計算!M330</f>
        <v>1.9</v>
      </c>
      <c r="N327" s="5">
        <f>+[1]モンスター計算!N330</f>
        <v>0.84</v>
      </c>
      <c r="O327" s="13">
        <f>+[1]モンスター計算!O330</f>
        <v>2.65</v>
      </c>
      <c r="P327" s="27">
        <f>+[1]モンスター計算!P330</f>
        <v>0.29000000000000004</v>
      </c>
      <c r="Q327" s="5">
        <f>+[1]モンスター計算!Q330</f>
        <v>-1.0000000000000009E-2</v>
      </c>
      <c r="R327" s="5">
        <f>+[1]モンスター計算!R330</f>
        <v>0.09</v>
      </c>
      <c r="S327" s="5">
        <f>+[1]モンスター計算!S330</f>
        <v>0.09</v>
      </c>
      <c r="T327" s="5">
        <f>+[1]モンスター計算!T330</f>
        <v>0.09</v>
      </c>
      <c r="U327" s="5">
        <f>+[1]モンスター計算!U330</f>
        <v>0.09</v>
      </c>
      <c r="V327" s="13">
        <f>+[1]モンスター計算!V330</f>
        <v>4.4000000000000004</v>
      </c>
      <c r="W327" s="30">
        <v>8</v>
      </c>
      <c r="X327" s="27" t="s">
        <v>64</v>
      </c>
      <c r="Y327" s="33" t="s">
        <v>88</v>
      </c>
      <c r="Z327" s="13">
        <v>1.2</v>
      </c>
      <c r="AA327" s="30">
        <v>7</v>
      </c>
      <c r="AB327" s="30">
        <f t="shared" si="8"/>
        <v>273</v>
      </c>
      <c r="AC327" s="47">
        <f t="shared" si="9"/>
        <v>55</v>
      </c>
      <c r="AD327" s="27" t="s">
        <v>49</v>
      </c>
      <c r="AE327" s="5">
        <v>7.5</v>
      </c>
      <c r="AF327" s="5">
        <v>3</v>
      </c>
      <c r="AG327" s="13" t="b">
        <v>1</v>
      </c>
      <c r="AH327" s="30" t="s">
        <v>1238</v>
      </c>
      <c r="AI327" s="33" t="s">
        <v>1825</v>
      </c>
    </row>
    <row r="328" spans="1:35">
      <c r="A328" s="52" t="s">
        <v>843</v>
      </c>
      <c r="B328" s="13" t="s">
        <v>519</v>
      </c>
      <c r="C328" s="27" t="s">
        <v>46</v>
      </c>
      <c r="D328" s="13" t="s">
        <v>61</v>
      </c>
      <c r="E328" s="27">
        <f>+[1]モンスター計算!E331</f>
        <v>9453</v>
      </c>
      <c r="F328" s="5">
        <f>+[1]モンスター計算!F331</f>
        <v>3759</v>
      </c>
      <c r="G328" s="5">
        <f>+[1]モンスター計算!G331</f>
        <v>1767</v>
      </c>
      <c r="H328" s="5">
        <f>+[1]モンスター計算!H331</f>
        <v>4908</v>
      </c>
      <c r="I328" s="5">
        <f>+[1]モンスター計算!I331</f>
        <v>1994</v>
      </c>
      <c r="J328" s="13">
        <f>+[1]モンスター計算!J331</f>
        <v>3094</v>
      </c>
      <c r="K328" s="27">
        <f>+[1]モンスター計算!K331</f>
        <v>0.04</v>
      </c>
      <c r="L328" s="13">
        <f>+[1]モンスター計算!L331</f>
        <v>1.38</v>
      </c>
      <c r="M328" s="27">
        <f>+[1]モンスター計算!M331</f>
        <v>2.2000000000000002</v>
      </c>
      <c r="N328" s="5">
        <f>+[1]モンスター計算!N331</f>
        <v>0.88</v>
      </c>
      <c r="O328" s="13">
        <f>+[1]モンスター計算!O331</f>
        <v>3.15</v>
      </c>
      <c r="P328" s="27">
        <f>+[1]モンスター計算!P331</f>
        <v>0.13</v>
      </c>
      <c r="Q328" s="5">
        <f>+[1]モンスター計算!Q331</f>
        <v>0.13</v>
      </c>
      <c r="R328" s="5">
        <f>+[1]モンスター計算!R331</f>
        <v>0.33</v>
      </c>
      <c r="S328" s="5">
        <f>+[1]モンスター計算!S331</f>
        <v>0.03</v>
      </c>
      <c r="T328" s="5">
        <f>+[1]モンスター計算!T331</f>
        <v>0.13</v>
      </c>
      <c r="U328" s="5">
        <f>+[1]モンスター計算!U331</f>
        <v>0.13</v>
      </c>
      <c r="V328" s="13">
        <f>+[1]モンスター計算!V331</f>
        <v>4.4800000000000004</v>
      </c>
      <c r="W328" s="30">
        <v>9</v>
      </c>
      <c r="X328" s="27" t="s">
        <v>66</v>
      </c>
      <c r="Y328" s="33" t="s">
        <v>89</v>
      </c>
      <c r="Z328" s="13">
        <v>1.22</v>
      </c>
      <c r="AA328" s="30">
        <v>10</v>
      </c>
      <c r="AB328" s="30">
        <f t="shared" si="8"/>
        <v>318</v>
      </c>
      <c r="AC328" s="47">
        <f t="shared" si="9"/>
        <v>55</v>
      </c>
      <c r="AD328" s="27" t="s">
        <v>53</v>
      </c>
      <c r="AE328" s="5">
        <v>8.5</v>
      </c>
      <c r="AF328" s="5">
        <v>3</v>
      </c>
      <c r="AG328" s="13" t="b">
        <v>1</v>
      </c>
      <c r="AH328" s="30" t="s">
        <v>1239</v>
      </c>
      <c r="AI328" s="33" t="s">
        <v>1825</v>
      </c>
    </row>
    <row r="329" spans="1:35">
      <c r="A329" s="52" t="s">
        <v>844</v>
      </c>
      <c r="B329" s="13" t="s">
        <v>520</v>
      </c>
      <c r="C329" s="27" t="s">
        <v>44</v>
      </c>
      <c r="D329" s="13" t="s">
        <v>59</v>
      </c>
      <c r="E329" s="27">
        <f>+[1]モンスター計算!E332</f>
        <v>11172</v>
      </c>
      <c r="F329" s="5">
        <f>+[1]モンスター計算!F332</f>
        <v>535</v>
      </c>
      <c r="G329" s="5">
        <f>+[1]モンスター計算!G332</f>
        <v>3519</v>
      </c>
      <c r="H329" s="5">
        <f>+[1]モンスター計算!H332</f>
        <v>1029</v>
      </c>
      <c r="I329" s="5">
        <f>+[1]モンスター計算!I332</f>
        <v>852</v>
      </c>
      <c r="J329" s="13">
        <f>+[1]モンスター計算!J332</f>
        <v>935</v>
      </c>
      <c r="K329" s="27">
        <f>+[1]モンスター計算!K332</f>
        <v>0.18</v>
      </c>
      <c r="L329" s="13">
        <f>+[1]モンスター計算!L332</f>
        <v>2.1</v>
      </c>
      <c r="M329" s="27">
        <f>+[1]モンスター計算!M332</f>
        <v>3.15</v>
      </c>
      <c r="N329" s="5">
        <f>+[1]モンスター計算!N332</f>
        <v>1.35</v>
      </c>
      <c r="O329" s="13">
        <f>+[1]モンスター計算!O332</f>
        <v>1</v>
      </c>
      <c r="P329" s="27">
        <f>+[1]モンスター計算!P332</f>
        <v>0.12000000000000001</v>
      </c>
      <c r="Q329" s="5">
        <f>+[1]モンスター計算!Q332</f>
        <v>-0.18</v>
      </c>
      <c r="R329" s="5">
        <f>+[1]モンスター計算!R332</f>
        <v>-0.08</v>
      </c>
      <c r="S329" s="5">
        <f>+[1]モンスター計算!S332</f>
        <v>-0.08</v>
      </c>
      <c r="T329" s="5">
        <f>+[1]モンスター計算!T332</f>
        <v>-0.08</v>
      </c>
      <c r="U329" s="5">
        <f>+[1]モンスター計算!U332</f>
        <v>-0.08</v>
      </c>
      <c r="V329" s="13">
        <f>+[1]モンスター計算!V332</f>
        <v>4.8</v>
      </c>
      <c r="W329" s="30">
        <v>10</v>
      </c>
      <c r="X329" s="27" t="s">
        <v>68</v>
      </c>
      <c r="Y329" s="33" t="s">
        <v>90</v>
      </c>
      <c r="Z329" s="13">
        <v>1.25</v>
      </c>
      <c r="AA329" s="30">
        <v>15</v>
      </c>
      <c r="AB329" s="30">
        <f t="shared" ref="AB329:AB367" si="10">ROUNDUP(AB323*1.05,0)</f>
        <v>408</v>
      </c>
      <c r="AC329" s="47">
        <f t="shared" ref="AC329:AC367" si="11">+AC323+1</f>
        <v>55</v>
      </c>
      <c r="AD329" s="27" t="s">
        <v>74</v>
      </c>
      <c r="AE329" s="5">
        <v>0</v>
      </c>
      <c r="AF329" s="5">
        <v>0</v>
      </c>
      <c r="AG329" s="13" t="b">
        <v>0</v>
      </c>
      <c r="AH329" s="30" t="s">
        <v>1240</v>
      </c>
      <c r="AI329" s="33" t="s">
        <v>1825</v>
      </c>
    </row>
    <row r="330" spans="1:35">
      <c r="A330" s="52" t="s">
        <v>845</v>
      </c>
      <c r="B330" s="13" t="s">
        <v>521</v>
      </c>
      <c r="C330" s="27" t="s">
        <v>45</v>
      </c>
      <c r="D330" s="13" t="s">
        <v>59</v>
      </c>
      <c r="E330" s="27">
        <f>+[1]モンスター計算!E333</f>
        <v>20281</v>
      </c>
      <c r="F330" s="5">
        <f>+[1]モンスター計算!F333</f>
        <v>1169</v>
      </c>
      <c r="G330" s="5">
        <f>+[1]モンスター計算!G333</f>
        <v>2772</v>
      </c>
      <c r="H330" s="5">
        <f>+[1]モンスター計算!H333</f>
        <v>873</v>
      </c>
      <c r="I330" s="5">
        <f>+[1]モンスター計算!I333</f>
        <v>1567</v>
      </c>
      <c r="J330" s="13">
        <f>+[1]モンスター計算!J333</f>
        <v>1567</v>
      </c>
      <c r="K330" s="27">
        <f>+[1]モンスター計算!K333</f>
        <v>0.04</v>
      </c>
      <c r="L330" s="13">
        <f>+[1]モンスター計算!L333</f>
        <v>1.43</v>
      </c>
      <c r="M330" s="27">
        <f>+[1]モンスター計算!M333</f>
        <v>2.15</v>
      </c>
      <c r="N330" s="5">
        <f>+[1]モンスター計算!N333</f>
        <v>0.88</v>
      </c>
      <c r="O330" s="13">
        <f>+[1]モンスター計算!O333</f>
        <v>1</v>
      </c>
      <c r="P330" s="27">
        <f>+[1]モンスター計算!P333</f>
        <v>0.09</v>
      </c>
      <c r="Q330" s="5">
        <f>+[1]モンスター計算!Q333</f>
        <v>0.39</v>
      </c>
      <c r="R330" s="5">
        <f>+[1]モンスター計算!R333</f>
        <v>0.19</v>
      </c>
      <c r="S330" s="5">
        <f>+[1]モンスター計算!S333</f>
        <v>0.19</v>
      </c>
      <c r="T330" s="5">
        <f>+[1]モンスター計算!T333</f>
        <v>0.19</v>
      </c>
      <c r="U330" s="5">
        <f>+[1]モンスター計算!U333</f>
        <v>0.19</v>
      </c>
      <c r="V330" s="13">
        <f>+[1]モンスター計算!V333</f>
        <v>3.8</v>
      </c>
      <c r="W330" s="30">
        <v>11</v>
      </c>
      <c r="X330" s="27" t="s">
        <v>70</v>
      </c>
      <c r="Y330" s="33" t="s">
        <v>91</v>
      </c>
      <c r="Z330" s="13">
        <v>1.25</v>
      </c>
      <c r="AA330" s="30">
        <v>20</v>
      </c>
      <c r="AB330" s="30">
        <f t="shared" si="10"/>
        <v>474</v>
      </c>
      <c r="AC330" s="47">
        <f t="shared" si="11"/>
        <v>55</v>
      </c>
      <c r="AD330" s="27" t="s">
        <v>74</v>
      </c>
      <c r="AE330" s="5">
        <v>0</v>
      </c>
      <c r="AF330" s="5">
        <v>0</v>
      </c>
      <c r="AG330" s="13" t="b">
        <v>0</v>
      </c>
      <c r="AH330" s="30" t="s">
        <v>1241</v>
      </c>
      <c r="AI330" s="33" t="s">
        <v>1825</v>
      </c>
    </row>
    <row r="331" spans="1:35" ht="19.5" thickBot="1">
      <c r="A331" s="53" t="s">
        <v>846</v>
      </c>
      <c r="B331" s="16" t="s">
        <v>522</v>
      </c>
      <c r="C331" s="28" t="s">
        <v>47</v>
      </c>
      <c r="D331" s="16" t="s">
        <v>61</v>
      </c>
      <c r="E331" s="28">
        <f>+[1]モンスター計算!E334</f>
        <v>17703</v>
      </c>
      <c r="F331" s="15">
        <f>+[1]モンスター計算!F334</f>
        <v>6641</v>
      </c>
      <c r="G331" s="15">
        <f>+[1]モンスター計算!G334</f>
        <v>999</v>
      </c>
      <c r="H331" s="15">
        <f>+[1]モンスター計算!H334</f>
        <v>3172</v>
      </c>
      <c r="I331" s="15">
        <f>+[1]モンスター計算!I334</f>
        <v>1320</v>
      </c>
      <c r="J331" s="16">
        <f>+[1]モンスター計算!J334</f>
        <v>1622</v>
      </c>
      <c r="K331" s="28">
        <f>+[1]モンスター計算!K334</f>
        <v>6.5000000000000002E-2</v>
      </c>
      <c r="L331" s="16">
        <f>+[1]モンスター計算!L334</f>
        <v>1.45</v>
      </c>
      <c r="M331" s="28">
        <f>+[1]モンスター計算!M334</f>
        <v>2.1</v>
      </c>
      <c r="N331" s="15">
        <f>+[1]モンスター計算!N334</f>
        <v>0.9</v>
      </c>
      <c r="O331" s="16">
        <f>+[1]モンスター計算!O334</f>
        <v>2.8</v>
      </c>
      <c r="P331" s="28">
        <f>+[1]モンスター計算!P334</f>
        <v>0.02</v>
      </c>
      <c r="Q331" s="15">
        <f>+[1]モンスター計算!Q334</f>
        <v>0.02</v>
      </c>
      <c r="R331" s="15">
        <f>+[1]モンスター計算!R334</f>
        <v>0.02</v>
      </c>
      <c r="S331" s="15">
        <f>+[1]モンスター計算!S334</f>
        <v>0.02</v>
      </c>
      <c r="T331" s="15">
        <f>+[1]モンスター計算!T334</f>
        <v>0.22</v>
      </c>
      <c r="U331" s="15">
        <f>+[1]モンスター計算!U334</f>
        <v>-0.08</v>
      </c>
      <c r="V331" s="16">
        <f>+[1]モンスター計算!V334</f>
        <v>4.2</v>
      </c>
      <c r="W331" s="31">
        <v>15</v>
      </c>
      <c r="X331" s="28" t="s">
        <v>72</v>
      </c>
      <c r="Y331" s="34" t="s">
        <v>92</v>
      </c>
      <c r="Z331" s="16">
        <v>1.3</v>
      </c>
      <c r="AA331" s="31">
        <v>40</v>
      </c>
      <c r="AB331" s="31">
        <f t="shared" si="10"/>
        <v>678</v>
      </c>
      <c r="AC331" s="48">
        <f t="shared" si="11"/>
        <v>55</v>
      </c>
      <c r="AD331" s="28" t="s">
        <v>55</v>
      </c>
      <c r="AE331" s="15">
        <v>10</v>
      </c>
      <c r="AF331" s="15">
        <v>4</v>
      </c>
      <c r="AG331" s="16" t="b">
        <v>1</v>
      </c>
      <c r="AH331" s="31" t="s">
        <v>1242</v>
      </c>
      <c r="AI331" s="34" t="s">
        <v>1825</v>
      </c>
    </row>
    <row r="332" spans="1:35">
      <c r="A332" s="51" t="s">
        <v>883</v>
      </c>
      <c r="B332" s="11" t="s">
        <v>847</v>
      </c>
      <c r="C332" s="26" t="s">
        <v>44</v>
      </c>
      <c r="D332" s="11" t="s">
        <v>59</v>
      </c>
      <c r="E332" s="26">
        <f>+[1]モンスター計算!E335</f>
        <v>15503</v>
      </c>
      <c r="F332" s="10">
        <f>+[1]モンスター計算!F335</f>
        <v>3721</v>
      </c>
      <c r="G332" s="10">
        <f>+[1]モンスター計算!G335</f>
        <v>1432</v>
      </c>
      <c r="H332" s="10">
        <f>+[1]モンスター計算!H335</f>
        <v>5305</v>
      </c>
      <c r="I332" s="10">
        <f>+[1]モンスター計算!I335</f>
        <v>1225</v>
      </c>
      <c r="J332" s="11">
        <f>+[1]モンスター計算!J335</f>
        <v>1316</v>
      </c>
      <c r="K332" s="26">
        <f>+[1]モンスター計算!K335</f>
        <v>0.12</v>
      </c>
      <c r="L332" s="11">
        <f>+[1]モンスター計算!L335</f>
        <v>2.5499999999999998</v>
      </c>
      <c r="M332" s="26">
        <f>+[1]モンスター計算!M335</f>
        <v>2.2999999999999998</v>
      </c>
      <c r="N332" s="10">
        <f>+[1]モンスター計算!N335</f>
        <v>0.68</v>
      </c>
      <c r="O332" s="11">
        <f>+[1]モンスター計算!O335</f>
        <v>3.55</v>
      </c>
      <c r="P332" s="26">
        <f>+[1]モンスター計算!P335</f>
        <v>0.14500000000000002</v>
      </c>
      <c r="Q332" s="10">
        <f>+[1]モンスター計算!Q335</f>
        <v>-0.155</v>
      </c>
      <c r="R332" s="10">
        <f>+[1]モンスター計算!R335</f>
        <v>-5.5E-2</v>
      </c>
      <c r="S332" s="10">
        <f>+[1]モンスター計算!S335</f>
        <v>-5.5E-2</v>
      </c>
      <c r="T332" s="10">
        <f>+[1]モンスター計算!T335</f>
        <v>-5.5E-2</v>
      </c>
      <c r="U332" s="10">
        <f>+[1]モンスター計算!U335</f>
        <v>-5.5E-2</v>
      </c>
      <c r="V332" s="11">
        <f>+[1]モンスター計算!V335</f>
        <v>4.8</v>
      </c>
      <c r="W332" s="29">
        <v>10</v>
      </c>
      <c r="X332" s="26" t="s">
        <v>1639</v>
      </c>
      <c r="Y332" s="32" t="s">
        <v>90</v>
      </c>
      <c r="Z332" s="11">
        <v>1.25</v>
      </c>
      <c r="AA332" s="29">
        <v>15</v>
      </c>
      <c r="AB332" s="29">
        <f t="shared" si="10"/>
        <v>260</v>
      </c>
      <c r="AC332" s="46">
        <f t="shared" si="11"/>
        <v>56</v>
      </c>
      <c r="AD332" s="26" t="s">
        <v>74</v>
      </c>
      <c r="AE332" s="10">
        <v>0</v>
      </c>
      <c r="AF332" s="10">
        <v>0</v>
      </c>
      <c r="AG332" s="11" t="b">
        <v>0</v>
      </c>
      <c r="AH332" s="29" t="s">
        <v>1243</v>
      </c>
      <c r="AI332" s="32" t="s">
        <v>1825</v>
      </c>
    </row>
    <row r="333" spans="1:35">
      <c r="A333" s="52" t="s">
        <v>884</v>
      </c>
      <c r="B333" s="13" t="s">
        <v>848</v>
      </c>
      <c r="C333" s="27" t="s">
        <v>45</v>
      </c>
      <c r="D333" s="13" t="s">
        <v>59</v>
      </c>
      <c r="E333" s="27">
        <f>+[1]モンスター計算!E336</f>
        <v>26468</v>
      </c>
      <c r="F333" s="5">
        <f>+[1]モンスター計算!F336</f>
        <v>6064</v>
      </c>
      <c r="G333" s="5">
        <f>+[1]モンスター計算!G336</f>
        <v>1013</v>
      </c>
      <c r="H333" s="5">
        <f>+[1]モンスター計算!H336</f>
        <v>2681</v>
      </c>
      <c r="I333" s="5">
        <f>+[1]モンスター計算!I336</f>
        <v>1437</v>
      </c>
      <c r="J333" s="13">
        <f>+[1]モンスター計算!J336</f>
        <v>2541</v>
      </c>
      <c r="K333" s="27">
        <f>+[1]モンスター計算!K336</f>
        <v>0.115</v>
      </c>
      <c r="L333" s="13">
        <f>+[1]モンスター計算!L336</f>
        <v>1.95</v>
      </c>
      <c r="M333" s="27">
        <f>+[1]モンスター計算!M336</f>
        <v>1.2</v>
      </c>
      <c r="N333" s="5">
        <f>+[1]モンスター計算!N336</f>
        <v>0.72</v>
      </c>
      <c r="O333" s="13">
        <f>+[1]モンスター計算!O336</f>
        <v>3.3250000000000002</v>
      </c>
      <c r="P333" s="27">
        <f>+[1]モンスター計算!P336</f>
        <v>-2.0000000000000004E-2</v>
      </c>
      <c r="Q333" s="5">
        <f>+[1]モンスター計算!Q336</f>
        <v>0.28000000000000003</v>
      </c>
      <c r="R333" s="5">
        <f>+[1]モンスター計算!R336</f>
        <v>0.08</v>
      </c>
      <c r="S333" s="5">
        <f>+[1]モンスター計算!S336</f>
        <v>0.08</v>
      </c>
      <c r="T333" s="5">
        <f>+[1]モンスター計算!T336</f>
        <v>0.08</v>
      </c>
      <c r="U333" s="5">
        <f>+[1]モンスター計算!U336</f>
        <v>0.08</v>
      </c>
      <c r="V333" s="13">
        <f>+[1]モンスター計算!V336</f>
        <v>5</v>
      </c>
      <c r="W333" s="30">
        <v>11</v>
      </c>
      <c r="X333" s="27" t="s">
        <v>70</v>
      </c>
      <c r="Y333" s="33" t="s">
        <v>91</v>
      </c>
      <c r="Z333" s="13">
        <v>1.25</v>
      </c>
      <c r="AA333" s="30">
        <v>20</v>
      </c>
      <c r="AB333" s="30">
        <f t="shared" si="10"/>
        <v>287</v>
      </c>
      <c r="AC333" s="47">
        <f t="shared" si="11"/>
        <v>56</v>
      </c>
      <c r="AD333" s="27" t="s">
        <v>74</v>
      </c>
      <c r="AE333" s="5">
        <v>0</v>
      </c>
      <c r="AF333" s="5">
        <v>0</v>
      </c>
      <c r="AG333" s="13" t="b">
        <v>0</v>
      </c>
      <c r="AH333" s="30" t="s">
        <v>1244</v>
      </c>
      <c r="AI333" s="33" t="s">
        <v>1825</v>
      </c>
    </row>
    <row r="334" spans="1:35">
      <c r="A334" s="52" t="s">
        <v>885</v>
      </c>
      <c r="B334" s="13" t="s">
        <v>849</v>
      </c>
      <c r="C334" s="27" t="s">
        <v>47</v>
      </c>
      <c r="D334" s="13" t="s">
        <v>61</v>
      </c>
      <c r="E334" s="27">
        <f>+[1]モンスター計算!E337</f>
        <v>14747</v>
      </c>
      <c r="F334" s="5">
        <f>+[1]モンスター計算!F337</f>
        <v>3170</v>
      </c>
      <c r="G334" s="5">
        <f>+[1]モンスター計算!G337</f>
        <v>1798</v>
      </c>
      <c r="H334" s="5">
        <f>+[1]モンスター計算!H337</f>
        <v>3996</v>
      </c>
      <c r="I334" s="5">
        <f>+[1]モンスター計算!I337</f>
        <v>1134</v>
      </c>
      <c r="J334" s="13">
        <f>+[1]モンスター計算!J337</f>
        <v>1210</v>
      </c>
      <c r="K334" s="27">
        <f>+[1]モンスター計算!K337</f>
        <v>0.11</v>
      </c>
      <c r="L334" s="13">
        <f>+[1]モンスター計算!L337</f>
        <v>1.65</v>
      </c>
      <c r="M334" s="27">
        <f>+[1]モンスター計算!M337</f>
        <v>2.2000000000000002</v>
      </c>
      <c r="N334" s="5">
        <f>+[1]モンスター計算!N337</f>
        <v>1.1000000000000001</v>
      </c>
      <c r="O334" s="13">
        <f>+[1]モンスター計算!O337</f>
        <v>2.75</v>
      </c>
      <c r="P334" s="27">
        <f>+[1]モンスター計算!P337</f>
        <v>-0.04</v>
      </c>
      <c r="Q334" s="5">
        <f>+[1]モンスター計算!Q337</f>
        <v>-0.04</v>
      </c>
      <c r="R334" s="5">
        <f>+[1]モンスター計算!R337</f>
        <v>-0.04</v>
      </c>
      <c r="S334" s="5">
        <f>+[1]モンスター計算!S337</f>
        <v>-0.04</v>
      </c>
      <c r="T334" s="5">
        <f>+[1]モンスター計算!T337</f>
        <v>0.16</v>
      </c>
      <c r="U334" s="5">
        <f>+[1]モンスター計算!U337</f>
        <v>-0.14000000000000001</v>
      </c>
      <c r="V334" s="13">
        <f>+[1]モンスター計算!V337</f>
        <v>4.2</v>
      </c>
      <c r="W334" s="30">
        <v>15</v>
      </c>
      <c r="X334" s="27" t="s">
        <v>72</v>
      </c>
      <c r="Y334" s="33" t="s">
        <v>92</v>
      </c>
      <c r="Z334" s="13">
        <v>1.3</v>
      </c>
      <c r="AA334" s="30">
        <v>40</v>
      </c>
      <c r="AB334" s="30">
        <f t="shared" si="10"/>
        <v>334</v>
      </c>
      <c r="AC334" s="47">
        <f t="shared" si="11"/>
        <v>56</v>
      </c>
      <c r="AD334" s="27" t="s">
        <v>55</v>
      </c>
      <c r="AE334" s="5">
        <v>10</v>
      </c>
      <c r="AF334" s="5">
        <v>4</v>
      </c>
      <c r="AG334" s="13" t="b">
        <v>1</v>
      </c>
      <c r="AH334" s="30" t="s">
        <v>1245</v>
      </c>
      <c r="AI334" s="33" t="s">
        <v>1825</v>
      </c>
    </row>
    <row r="335" spans="1:35">
      <c r="A335" s="52" t="s">
        <v>886</v>
      </c>
      <c r="B335" s="13" t="s">
        <v>850</v>
      </c>
      <c r="C335" s="27" t="s">
        <v>45</v>
      </c>
      <c r="D335" s="13" t="s">
        <v>61</v>
      </c>
      <c r="E335" s="27">
        <f>+[1]モンスター計算!E338</f>
        <v>27792</v>
      </c>
      <c r="F335" s="5">
        <f>+[1]モンスター計算!F338</f>
        <v>1225</v>
      </c>
      <c r="G335" s="5">
        <f>+[1]モンスター計算!G338</f>
        <v>2602</v>
      </c>
      <c r="H335" s="5">
        <f>+[1]モンスター計算!H338</f>
        <v>890</v>
      </c>
      <c r="I335" s="5">
        <f>+[1]モンスター計算!I338</f>
        <v>1391</v>
      </c>
      <c r="J335" s="13">
        <f>+[1]モンスター計算!J338</f>
        <v>3327</v>
      </c>
      <c r="K335" s="27">
        <f>+[1]モンスター計算!K338</f>
        <v>0.05</v>
      </c>
      <c r="L335" s="13">
        <f>+[1]モンスター計算!L338</f>
        <v>1.5</v>
      </c>
      <c r="M335" s="27">
        <f>+[1]モンスター計算!M338</f>
        <v>2.0499999999999998</v>
      </c>
      <c r="N335" s="5">
        <f>+[1]モンスター計算!N338</f>
        <v>0.79</v>
      </c>
      <c r="O335" s="13">
        <f>+[1]モンスター計算!O338</f>
        <v>1</v>
      </c>
      <c r="P335" s="27">
        <f>+[1]モンスター計算!P338</f>
        <v>-0.03</v>
      </c>
      <c r="Q335" s="5">
        <f>+[1]モンスター計算!Q338</f>
        <v>0.27</v>
      </c>
      <c r="R335" s="5">
        <f>+[1]モンスター計算!R338</f>
        <v>7.0000000000000007E-2</v>
      </c>
      <c r="S335" s="5">
        <f>+[1]モンスター計算!S338</f>
        <v>7.0000000000000007E-2</v>
      </c>
      <c r="T335" s="5">
        <f>+[1]モンスター計算!T338</f>
        <v>7.0000000000000007E-2</v>
      </c>
      <c r="U335" s="5">
        <f>+[1]モンスター計算!U338</f>
        <v>7.0000000000000007E-2</v>
      </c>
      <c r="V335" s="13">
        <f>+[1]モンスター計算!V338</f>
        <v>4</v>
      </c>
      <c r="W335" s="30">
        <v>8</v>
      </c>
      <c r="X335" s="27" t="s">
        <v>109</v>
      </c>
      <c r="Y335" s="33" t="s">
        <v>87</v>
      </c>
      <c r="Z335" s="13">
        <v>1.2</v>
      </c>
      <c r="AA335" s="30">
        <v>5</v>
      </c>
      <c r="AB335" s="30">
        <f t="shared" si="10"/>
        <v>429</v>
      </c>
      <c r="AC335" s="47">
        <f t="shared" si="11"/>
        <v>56</v>
      </c>
      <c r="AD335" s="27" t="s">
        <v>51</v>
      </c>
      <c r="AE335" s="5">
        <v>7</v>
      </c>
      <c r="AF335" s="5">
        <v>3</v>
      </c>
      <c r="AG335" s="13" t="b">
        <v>1</v>
      </c>
      <c r="AH335" s="30" t="s">
        <v>1246</v>
      </c>
      <c r="AI335" s="33" t="s">
        <v>1825</v>
      </c>
    </row>
    <row r="336" spans="1:35">
      <c r="A336" s="52" t="s">
        <v>887</v>
      </c>
      <c r="B336" s="13" t="s">
        <v>851</v>
      </c>
      <c r="C336" s="27" t="s">
        <v>44</v>
      </c>
      <c r="D336" s="13" t="s">
        <v>61</v>
      </c>
      <c r="E336" s="27">
        <f>+[1]モンスター計算!E339</f>
        <v>38757</v>
      </c>
      <c r="F336" s="5">
        <f>+[1]モンスター計算!F339</f>
        <v>735</v>
      </c>
      <c r="G336" s="5">
        <f>+[1]モンスター計算!G339</f>
        <v>3056</v>
      </c>
      <c r="H336" s="5">
        <f>+[1]モンスター計算!H339</f>
        <v>1238</v>
      </c>
      <c r="I336" s="5">
        <f>+[1]モンスター計算!I339</f>
        <v>2299</v>
      </c>
      <c r="J336" s="13">
        <f>+[1]モンスター計算!J339</f>
        <v>1966</v>
      </c>
      <c r="K336" s="27">
        <f>+[1]モンスター計算!K339</f>
        <v>2.5000000000000001E-2</v>
      </c>
      <c r="L336" s="13">
        <f>+[1]モンスター計算!L339</f>
        <v>1.35</v>
      </c>
      <c r="M336" s="27">
        <f>+[1]モンスター計算!M339</f>
        <v>1.1499999999999999</v>
      </c>
      <c r="N336" s="5">
        <f>+[1]モンスター計算!N339</f>
        <v>0.51</v>
      </c>
      <c r="O336" s="13">
        <f>+[1]モンスター計算!O339</f>
        <v>1</v>
      </c>
      <c r="P336" s="27">
        <f>+[1]モンスター計算!P339</f>
        <v>0.25</v>
      </c>
      <c r="Q336" s="5">
        <f>+[1]モンスター計算!Q339</f>
        <v>-0.05</v>
      </c>
      <c r="R336" s="5">
        <f>+[1]モンスター計算!R339</f>
        <v>0.05</v>
      </c>
      <c r="S336" s="5">
        <f>+[1]モンスター計算!S339</f>
        <v>0.05</v>
      </c>
      <c r="T336" s="5">
        <f>+[1]モンスター計算!T339</f>
        <v>0.05</v>
      </c>
      <c r="U336" s="5">
        <f>+[1]モンスター計算!U339</f>
        <v>0.05</v>
      </c>
      <c r="V336" s="13">
        <f>+[1]モンスター計算!V339</f>
        <v>3.2</v>
      </c>
      <c r="W336" s="30">
        <v>8</v>
      </c>
      <c r="X336" s="27" t="s">
        <v>64</v>
      </c>
      <c r="Y336" s="33" t="s">
        <v>88</v>
      </c>
      <c r="Z336" s="13">
        <v>1.2</v>
      </c>
      <c r="AA336" s="30">
        <v>7</v>
      </c>
      <c r="AB336" s="30">
        <f t="shared" si="10"/>
        <v>498</v>
      </c>
      <c r="AC336" s="47">
        <f t="shared" si="11"/>
        <v>56</v>
      </c>
      <c r="AD336" s="27" t="s">
        <v>49</v>
      </c>
      <c r="AE336" s="5">
        <v>7.5</v>
      </c>
      <c r="AF336" s="5">
        <v>3</v>
      </c>
      <c r="AG336" s="13" t="b">
        <v>1</v>
      </c>
      <c r="AH336" s="30" t="s">
        <v>1247</v>
      </c>
      <c r="AI336" s="33" t="s">
        <v>1825</v>
      </c>
    </row>
    <row r="337" spans="1:35" ht="19.5" thickBot="1">
      <c r="A337" s="53" t="s">
        <v>888</v>
      </c>
      <c r="B337" s="16" t="s">
        <v>852</v>
      </c>
      <c r="C337" s="28" t="s">
        <v>46</v>
      </c>
      <c r="D337" s="16" t="s">
        <v>61</v>
      </c>
      <c r="E337" s="28">
        <f>+[1]モンスター計算!E340</f>
        <v>17393</v>
      </c>
      <c r="F337" s="15">
        <f>+[1]モンスター計算!F340</f>
        <v>2756</v>
      </c>
      <c r="G337" s="15">
        <f>+[1]モンスター計算!G340</f>
        <v>1574</v>
      </c>
      <c r="H337" s="15">
        <f>+[1]モンスター計算!H340</f>
        <v>3497</v>
      </c>
      <c r="I337" s="15">
        <f>+[1]モンスター計算!I340</f>
        <v>1437</v>
      </c>
      <c r="J337" s="16">
        <f>+[1]モンスター計算!J340</f>
        <v>1588</v>
      </c>
      <c r="K337" s="28">
        <f>+[1]モンスター計算!K340</f>
        <v>0.05</v>
      </c>
      <c r="L337" s="16">
        <f>+[1]モンスター計算!L340</f>
        <v>1.5</v>
      </c>
      <c r="M337" s="28">
        <f>+[1]モンスター計算!M340</f>
        <v>2</v>
      </c>
      <c r="N337" s="15">
        <f>+[1]モンスター計算!N340</f>
        <v>1.05</v>
      </c>
      <c r="O337" s="16">
        <f>+[1]モンスター計算!O340</f>
        <v>2.5</v>
      </c>
      <c r="P337" s="28">
        <f>+[1]モンスター計算!P340</f>
        <v>0</v>
      </c>
      <c r="Q337" s="15">
        <f>+[1]モンスター計算!Q340</f>
        <v>0</v>
      </c>
      <c r="R337" s="15">
        <f>+[1]モンスター計算!R340</f>
        <v>0.2</v>
      </c>
      <c r="S337" s="15">
        <f>+[1]モンスター計算!S340</f>
        <v>-0.1</v>
      </c>
      <c r="T337" s="15">
        <f>+[1]モンスター計算!T340</f>
        <v>0</v>
      </c>
      <c r="U337" s="15">
        <f>+[1]モンスター計算!U340</f>
        <v>0</v>
      </c>
      <c r="V337" s="16">
        <f>+[1]モンスター計算!V340</f>
        <v>4</v>
      </c>
      <c r="W337" s="31">
        <v>9</v>
      </c>
      <c r="X337" s="28" t="s">
        <v>66</v>
      </c>
      <c r="Y337" s="34" t="s">
        <v>89</v>
      </c>
      <c r="Z337" s="16">
        <v>1.22</v>
      </c>
      <c r="AA337" s="31">
        <v>10</v>
      </c>
      <c r="AB337" s="31">
        <f t="shared" si="10"/>
        <v>712</v>
      </c>
      <c r="AC337" s="48">
        <f t="shared" si="11"/>
        <v>56</v>
      </c>
      <c r="AD337" s="28" t="s">
        <v>53</v>
      </c>
      <c r="AE337" s="15">
        <v>8.5</v>
      </c>
      <c r="AF337" s="15">
        <v>3</v>
      </c>
      <c r="AG337" s="16" t="b">
        <v>1</v>
      </c>
      <c r="AH337" s="31" t="s">
        <v>1248</v>
      </c>
      <c r="AI337" s="34" t="s">
        <v>1825</v>
      </c>
    </row>
    <row r="338" spans="1:35">
      <c r="A338" s="51" t="s">
        <v>889</v>
      </c>
      <c r="B338" s="11" t="s">
        <v>853</v>
      </c>
      <c r="C338" s="26" t="s">
        <v>44</v>
      </c>
      <c r="D338" s="11" t="s">
        <v>59</v>
      </c>
      <c r="E338" s="26">
        <f>+[1]モンスター計算!E341</f>
        <v>16429</v>
      </c>
      <c r="F338" s="10">
        <f>+[1]モンスター計算!F341</f>
        <v>2729</v>
      </c>
      <c r="G338" s="10">
        <f>+[1]モンスター計算!G341</f>
        <v>719</v>
      </c>
      <c r="H338" s="10">
        <f>+[1]モンスター計算!H341</f>
        <v>3013</v>
      </c>
      <c r="I338" s="10">
        <f>+[1]モンスター計算!I341</f>
        <v>1414</v>
      </c>
      <c r="J338" s="11">
        <f>+[1]モンスター計算!J341</f>
        <v>1348</v>
      </c>
      <c r="K338" s="26">
        <f>+[1]モンスター計算!K341</f>
        <v>6.5000000000000002E-2</v>
      </c>
      <c r="L338" s="11">
        <f>+[1]モンスター計算!L341</f>
        <v>1.45</v>
      </c>
      <c r="M338" s="26">
        <f>+[1]モンスター計算!M341</f>
        <v>4</v>
      </c>
      <c r="N338" s="10">
        <f>+[1]モンスター計算!N341</f>
        <v>1.72</v>
      </c>
      <c r="O338" s="11">
        <f>+[1]モンスター計算!O341</f>
        <v>1.9</v>
      </c>
      <c r="P338" s="26">
        <f>+[1]モンスター計算!P341</f>
        <v>0.13</v>
      </c>
      <c r="Q338" s="10">
        <f>+[1]モンスター計算!Q341</f>
        <v>-0.17</v>
      </c>
      <c r="R338" s="10">
        <f>+[1]モンスター計算!R341</f>
        <v>-7.0000000000000007E-2</v>
      </c>
      <c r="S338" s="10">
        <f>+[1]モンスター計算!S341</f>
        <v>-7.0000000000000007E-2</v>
      </c>
      <c r="T338" s="10">
        <f>+[1]モンスター計算!T341</f>
        <v>-7.0000000000000007E-2</v>
      </c>
      <c r="U338" s="10">
        <f>+[1]モンスター計算!U341</f>
        <v>-7.0000000000000007E-2</v>
      </c>
      <c r="V338" s="11">
        <f>+[1]モンスター計算!V341</f>
        <v>5.4</v>
      </c>
      <c r="W338" s="29">
        <v>10</v>
      </c>
      <c r="X338" s="26" t="s">
        <v>1639</v>
      </c>
      <c r="Y338" s="32" t="s">
        <v>90</v>
      </c>
      <c r="Z338" s="11">
        <v>1.25</v>
      </c>
      <c r="AA338" s="29">
        <v>15</v>
      </c>
      <c r="AB338" s="29">
        <f t="shared" si="10"/>
        <v>273</v>
      </c>
      <c r="AC338" s="46">
        <f t="shared" si="11"/>
        <v>57</v>
      </c>
      <c r="AD338" s="26" t="s">
        <v>74</v>
      </c>
      <c r="AE338" s="10">
        <v>0</v>
      </c>
      <c r="AF338" s="10">
        <v>0</v>
      </c>
      <c r="AG338" s="11" t="b">
        <v>0</v>
      </c>
      <c r="AH338" s="29" t="s">
        <v>1249</v>
      </c>
      <c r="AI338" s="32" t="s">
        <v>1825</v>
      </c>
    </row>
    <row r="339" spans="1:35">
      <c r="A339" s="52" t="s">
        <v>890</v>
      </c>
      <c r="B339" s="13" t="s">
        <v>854</v>
      </c>
      <c r="C339" s="27" t="s">
        <v>45</v>
      </c>
      <c r="D339" s="13" t="s">
        <v>59</v>
      </c>
      <c r="E339" s="27">
        <f>+[1]モンスター計算!E342</f>
        <v>24956</v>
      </c>
      <c r="F339" s="5">
        <f>+[1]モンスター計算!F342</f>
        <v>3032</v>
      </c>
      <c r="G339" s="5">
        <f>+[1]モンスター計算!G342</f>
        <v>1331</v>
      </c>
      <c r="H339" s="5">
        <f>+[1]モンスター計算!H342</f>
        <v>2957</v>
      </c>
      <c r="I339" s="5">
        <f>+[1]モンスター計算!I342</f>
        <v>2163</v>
      </c>
      <c r="J339" s="13">
        <f>+[1]モンスター計算!J342</f>
        <v>1414</v>
      </c>
      <c r="K339" s="27">
        <f>+[1]モンスター計算!K342</f>
        <v>0.08</v>
      </c>
      <c r="L339" s="13">
        <f>+[1]モンスター計算!L342</f>
        <v>1.6</v>
      </c>
      <c r="M339" s="27">
        <f>+[1]モンスター計算!M342</f>
        <v>2.8</v>
      </c>
      <c r="N339" s="5">
        <f>+[1]モンスター計算!N342</f>
        <v>1</v>
      </c>
      <c r="O339" s="13">
        <f>+[1]モンスター計算!O342</f>
        <v>2.5</v>
      </c>
      <c r="P339" s="27">
        <f>+[1]モンスター計算!P342</f>
        <v>-8.5000000000000006E-2</v>
      </c>
      <c r="Q339" s="5">
        <f>+[1]モンスター計算!Q342</f>
        <v>0.21500000000000002</v>
      </c>
      <c r="R339" s="5">
        <f>+[1]モンスター計算!R342</f>
        <v>1.4999999999999999E-2</v>
      </c>
      <c r="S339" s="5">
        <f>+[1]モンスター計算!S342</f>
        <v>1.4999999999999999E-2</v>
      </c>
      <c r="T339" s="5">
        <f>+[1]モンスター計算!T342</f>
        <v>1.4999999999999999E-2</v>
      </c>
      <c r="U339" s="5">
        <f>+[1]モンスター計算!U342</f>
        <v>1.4999999999999999E-2</v>
      </c>
      <c r="V339" s="13">
        <f>+[1]モンスター計算!V342</f>
        <v>4</v>
      </c>
      <c r="W339" s="30">
        <v>11</v>
      </c>
      <c r="X339" s="27" t="s">
        <v>70</v>
      </c>
      <c r="Y339" s="33" t="s">
        <v>91</v>
      </c>
      <c r="Z339" s="13">
        <v>1.25</v>
      </c>
      <c r="AA339" s="30">
        <v>20</v>
      </c>
      <c r="AB339" s="30">
        <f t="shared" si="10"/>
        <v>302</v>
      </c>
      <c r="AC339" s="47">
        <f t="shared" si="11"/>
        <v>57</v>
      </c>
      <c r="AD339" s="27" t="s">
        <v>74</v>
      </c>
      <c r="AE339" s="5">
        <v>0</v>
      </c>
      <c r="AF339" s="5">
        <v>0</v>
      </c>
      <c r="AG339" s="13" t="b">
        <v>0</v>
      </c>
      <c r="AH339" s="30" t="s">
        <v>1250</v>
      </c>
      <c r="AI339" s="33" t="s">
        <v>1825</v>
      </c>
    </row>
    <row r="340" spans="1:35">
      <c r="A340" s="52" t="s">
        <v>891</v>
      </c>
      <c r="B340" s="13" t="s">
        <v>855</v>
      </c>
      <c r="C340" s="27" t="s">
        <v>47</v>
      </c>
      <c r="D340" s="13" t="s">
        <v>61</v>
      </c>
      <c r="E340" s="27">
        <f>+[1]モンスター計算!E343</f>
        <v>12062</v>
      </c>
      <c r="F340" s="5">
        <f>+[1]モンスター計算!F343</f>
        <v>2365</v>
      </c>
      <c r="G340" s="5">
        <f>+[1]モンスター計算!G343</f>
        <v>1186</v>
      </c>
      <c r="H340" s="5">
        <f>+[1]モンスター計算!H343</f>
        <v>5491</v>
      </c>
      <c r="I340" s="5">
        <f>+[1]モンスター計算!I343</f>
        <v>1065</v>
      </c>
      <c r="J340" s="13">
        <f>+[1]モンスター計算!J343</f>
        <v>1081</v>
      </c>
      <c r="K340" s="27">
        <f>+[1]モンスター計算!K343</f>
        <v>0.08</v>
      </c>
      <c r="L340" s="13">
        <f>+[1]モンスター計算!L343</f>
        <v>1.55</v>
      </c>
      <c r="M340" s="27">
        <f>+[1]モンスター計算!M343</f>
        <v>4.2</v>
      </c>
      <c r="N340" s="5">
        <f>+[1]モンスター計算!N343</f>
        <v>1.3</v>
      </c>
      <c r="O340" s="13">
        <f>+[1]モンスター計算!O343</f>
        <v>2.5</v>
      </c>
      <c r="P340" s="27">
        <f>+[1]モンスター計算!P343</f>
        <v>-0.09</v>
      </c>
      <c r="Q340" s="5">
        <f>+[1]モンスター計算!Q343</f>
        <v>-0.09</v>
      </c>
      <c r="R340" s="5">
        <f>+[1]モンスター計算!R343</f>
        <v>-0.09</v>
      </c>
      <c r="S340" s="5">
        <f>+[1]モンスター計算!S343</f>
        <v>-0.09</v>
      </c>
      <c r="T340" s="5">
        <f>+[1]モンスター計算!T343</f>
        <v>0.11000000000000001</v>
      </c>
      <c r="U340" s="5">
        <f>+[1]モンスター計算!U343</f>
        <v>-0.19</v>
      </c>
      <c r="V340" s="13">
        <f>+[1]モンスター計算!V343</f>
        <v>4.2</v>
      </c>
      <c r="W340" s="30">
        <v>15</v>
      </c>
      <c r="X340" s="27" t="s">
        <v>72</v>
      </c>
      <c r="Y340" s="33" t="s">
        <v>92</v>
      </c>
      <c r="Z340" s="13">
        <v>1.3</v>
      </c>
      <c r="AA340" s="30">
        <v>40</v>
      </c>
      <c r="AB340" s="30">
        <f t="shared" si="10"/>
        <v>351</v>
      </c>
      <c r="AC340" s="47">
        <f t="shared" si="11"/>
        <v>57</v>
      </c>
      <c r="AD340" s="27" t="s">
        <v>55</v>
      </c>
      <c r="AE340" s="5">
        <v>10</v>
      </c>
      <c r="AF340" s="5">
        <v>4</v>
      </c>
      <c r="AG340" s="13" t="b">
        <v>1</v>
      </c>
      <c r="AH340" s="30" t="s">
        <v>1251</v>
      </c>
      <c r="AI340" s="33" t="s">
        <v>1825</v>
      </c>
    </row>
    <row r="341" spans="1:35">
      <c r="A341" s="52" t="s">
        <v>892</v>
      </c>
      <c r="B341" s="13" t="s">
        <v>856</v>
      </c>
      <c r="C341" s="27" t="s">
        <v>45</v>
      </c>
      <c r="D341" s="13" t="s">
        <v>61</v>
      </c>
      <c r="E341" s="27">
        <f>+[1]モンスター計算!E344</f>
        <v>16429</v>
      </c>
      <c r="F341" s="5">
        <f>+[1]モンスター計算!F344</f>
        <v>1145</v>
      </c>
      <c r="G341" s="5">
        <f>+[1]モンスター計算!G344</f>
        <v>3562</v>
      </c>
      <c r="H341" s="5">
        <f>+[1]モンスター計算!H344</f>
        <v>1122</v>
      </c>
      <c r="I341" s="5">
        <f>+[1]モンスター計算!I344</f>
        <v>1314</v>
      </c>
      <c r="J341" s="13">
        <f>+[1]モンスター計算!J344</f>
        <v>1215</v>
      </c>
      <c r="K341" s="27">
        <f>+[1]モンスター計算!K344</f>
        <v>0.1</v>
      </c>
      <c r="L341" s="13">
        <f>+[1]モンスター計算!L344</f>
        <v>1.85</v>
      </c>
      <c r="M341" s="27">
        <f>+[1]モンスター計算!M344</f>
        <v>4</v>
      </c>
      <c r="N341" s="5">
        <f>+[1]モンスター計算!N344</f>
        <v>1.41</v>
      </c>
      <c r="O341" s="13">
        <f>+[1]モンスター計算!O344</f>
        <v>1</v>
      </c>
      <c r="P341" s="27">
        <f>+[1]モンスター計算!P344</f>
        <v>-0.155</v>
      </c>
      <c r="Q341" s="5">
        <f>+[1]モンスター計算!Q344</f>
        <v>0.14500000000000002</v>
      </c>
      <c r="R341" s="5">
        <f>+[1]モンスター計算!R344</f>
        <v>-5.5E-2</v>
      </c>
      <c r="S341" s="5">
        <f>+[1]モンスター計算!S344</f>
        <v>-5.5E-2</v>
      </c>
      <c r="T341" s="5">
        <f>+[1]モンスター計算!T344</f>
        <v>-5.5E-2</v>
      </c>
      <c r="U341" s="5">
        <f>+[1]モンスター計算!U344</f>
        <v>-5.5E-2</v>
      </c>
      <c r="V341" s="13">
        <f>+[1]モンスター計算!V344</f>
        <v>6.4</v>
      </c>
      <c r="W341" s="30">
        <v>8</v>
      </c>
      <c r="X341" s="27" t="s">
        <v>109</v>
      </c>
      <c r="Y341" s="33" t="s">
        <v>87</v>
      </c>
      <c r="Z341" s="13">
        <v>1.2</v>
      </c>
      <c r="AA341" s="30">
        <v>5</v>
      </c>
      <c r="AB341" s="30">
        <f t="shared" si="10"/>
        <v>451</v>
      </c>
      <c r="AC341" s="47">
        <f t="shared" si="11"/>
        <v>57</v>
      </c>
      <c r="AD341" s="27" t="s">
        <v>51</v>
      </c>
      <c r="AE341" s="5">
        <v>7</v>
      </c>
      <c r="AF341" s="5">
        <v>3</v>
      </c>
      <c r="AG341" s="13" t="b">
        <v>1</v>
      </c>
      <c r="AH341" s="30" t="s">
        <v>1252</v>
      </c>
      <c r="AI341" s="33" t="s">
        <v>1825</v>
      </c>
    </row>
    <row r="342" spans="1:35">
      <c r="A342" s="52" t="s">
        <v>893</v>
      </c>
      <c r="B342" s="13" t="s">
        <v>857</v>
      </c>
      <c r="C342" s="27" t="s">
        <v>44</v>
      </c>
      <c r="D342" s="13" t="s">
        <v>61</v>
      </c>
      <c r="E342" s="27">
        <f>+[1]モンスター計算!E345</f>
        <v>24956</v>
      </c>
      <c r="F342" s="5">
        <f>+[1]モンスター計算!F345</f>
        <v>1145</v>
      </c>
      <c r="G342" s="5">
        <f>+[1]モンスター計算!G345</f>
        <v>3053</v>
      </c>
      <c r="H342" s="5">
        <f>+[1]モンスター計算!H345</f>
        <v>1374</v>
      </c>
      <c r="I342" s="5">
        <f>+[1]モンスター計算!I345</f>
        <v>2163</v>
      </c>
      <c r="J342" s="13">
        <f>+[1]モンスター計算!J345</f>
        <v>1414</v>
      </c>
      <c r="K342" s="27">
        <f>+[1]モンスター計算!K345</f>
        <v>0.08</v>
      </c>
      <c r="L342" s="13">
        <f>+[1]モンスター計算!L345</f>
        <v>1.6</v>
      </c>
      <c r="M342" s="27">
        <f>+[1]モンスター計算!M345</f>
        <v>2.8</v>
      </c>
      <c r="N342" s="5">
        <f>+[1]モンスター計算!N345</f>
        <v>1</v>
      </c>
      <c r="O342" s="13">
        <f>+[1]モンスター計算!O345</f>
        <v>1</v>
      </c>
      <c r="P342" s="27">
        <f>+[1]モンスター計算!P345</f>
        <v>0.23500000000000001</v>
      </c>
      <c r="Q342" s="5">
        <f>+[1]モンスター計算!Q345</f>
        <v>-6.5000000000000002E-2</v>
      </c>
      <c r="R342" s="5">
        <f>+[1]モンスター計算!R345</f>
        <v>3.5000000000000003E-2</v>
      </c>
      <c r="S342" s="5">
        <f>+[1]モンスター計算!S345</f>
        <v>3.5000000000000003E-2</v>
      </c>
      <c r="T342" s="5">
        <f>+[1]モンスター計算!T345</f>
        <v>3.5000000000000003E-2</v>
      </c>
      <c r="U342" s="5">
        <f>+[1]モンスター計算!U345</f>
        <v>3.5000000000000003E-2</v>
      </c>
      <c r="V342" s="13">
        <f>+[1]モンスター計算!V345</f>
        <v>4</v>
      </c>
      <c r="W342" s="30">
        <v>8</v>
      </c>
      <c r="X342" s="27" t="s">
        <v>64</v>
      </c>
      <c r="Y342" s="33" t="s">
        <v>88</v>
      </c>
      <c r="Z342" s="13">
        <v>1.2</v>
      </c>
      <c r="AA342" s="30">
        <v>7</v>
      </c>
      <c r="AB342" s="30">
        <f t="shared" si="10"/>
        <v>523</v>
      </c>
      <c r="AC342" s="47">
        <f t="shared" si="11"/>
        <v>57</v>
      </c>
      <c r="AD342" s="27" t="s">
        <v>49</v>
      </c>
      <c r="AE342" s="5">
        <v>7.5</v>
      </c>
      <c r="AF342" s="5">
        <v>3</v>
      </c>
      <c r="AG342" s="13" t="b">
        <v>1</v>
      </c>
      <c r="AH342" s="30" t="s">
        <v>1253</v>
      </c>
      <c r="AI342" s="33" t="s">
        <v>1825</v>
      </c>
    </row>
    <row r="343" spans="1:35" ht="19.5" thickBot="1">
      <c r="A343" s="53" t="s">
        <v>894</v>
      </c>
      <c r="B343" s="16" t="s">
        <v>858</v>
      </c>
      <c r="C343" s="28" t="s">
        <v>46</v>
      </c>
      <c r="D343" s="16" t="s">
        <v>61</v>
      </c>
      <c r="E343" s="28">
        <f>+[1]モンスター計算!E346</f>
        <v>22876</v>
      </c>
      <c r="F343" s="15">
        <f>+[1]モンスター計算!F346</f>
        <v>3184</v>
      </c>
      <c r="G343" s="15">
        <f>+[1]モンスター計算!G346</f>
        <v>1454</v>
      </c>
      <c r="H343" s="15">
        <f>+[1]モンスター計算!H346</f>
        <v>3230</v>
      </c>
      <c r="I343" s="15">
        <f>+[1]モンスター計算!I346</f>
        <v>1830</v>
      </c>
      <c r="J343" s="16">
        <f>+[1]モンスター計算!J346</f>
        <v>1830</v>
      </c>
      <c r="K343" s="28">
        <f>+[1]モンスター計算!K346</f>
        <v>7.0000000000000007E-2</v>
      </c>
      <c r="L343" s="16">
        <f>+[1]モンスター計算!L346</f>
        <v>1.55</v>
      </c>
      <c r="M343" s="28">
        <f>+[1]モンスター計算!M346</f>
        <v>2.4</v>
      </c>
      <c r="N343" s="15">
        <f>+[1]モンスター計算!N346</f>
        <v>1</v>
      </c>
      <c r="O343" s="16">
        <f>+[1]モンスター計算!O346</f>
        <v>2.5</v>
      </c>
      <c r="P343" s="28">
        <f>+[1]モンスター計算!P346</f>
        <v>0.02</v>
      </c>
      <c r="Q343" s="15">
        <f>+[1]モンスター計算!Q346</f>
        <v>0.02</v>
      </c>
      <c r="R343" s="15">
        <f>+[1]モンスター計算!R346</f>
        <v>0.22</v>
      </c>
      <c r="S343" s="15">
        <f>+[1]モンスター計算!S346</f>
        <v>-0.08</v>
      </c>
      <c r="T343" s="15">
        <f>+[1]モンスター計算!T346</f>
        <v>0.02</v>
      </c>
      <c r="U343" s="15">
        <f>+[1]モンスター計算!U346</f>
        <v>0.02</v>
      </c>
      <c r="V343" s="16">
        <f>+[1]モンスター計算!V346</f>
        <v>4</v>
      </c>
      <c r="W343" s="31">
        <v>9</v>
      </c>
      <c r="X343" s="28" t="s">
        <v>66</v>
      </c>
      <c r="Y343" s="34" t="s">
        <v>89</v>
      </c>
      <c r="Z343" s="16">
        <v>1.22</v>
      </c>
      <c r="AA343" s="31">
        <v>10</v>
      </c>
      <c r="AB343" s="31">
        <f t="shared" si="10"/>
        <v>748</v>
      </c>
      <c r="AC343" s="48">
        <f t="shared" si="11"/>
        <v>57</v>
      </c>
      <c r="AD343" s="28" t="s">
        <v>53</v>
      </c>
      <c r="AE343" s="15">
        <v>8.5</v>
      </c>
      <c r="AF343" s="15">
        <v>3</v>
      </c>
      <c r="AG343" s="16" t="b">
        <v>1</v>
      </c>
      <c r="AH343" s="31" t="s">
        <v>1254</v>
      </c>
      <c r="AI343" s="34" t="s">
        <v>1825</v>
      </c>
    </row>
    <row r="344" spans="1:35">
      <c r="A344" s="51" t="s">
        <v>895</v>
      </c>
      <c r="B344" s="11" t="s">
        <v>859</v>
      </c>
      <c r="C344" s="26" t="s">
        <v>44</v>
      </c>
      <c r="D344" s="11" t="s">
        <v>59</v>
      </c>
      <c r="E344" s="26">
        <f>+[1]モンスター計算!E347</f>
        <v>34314</v>
      </c>
      <c r="F344" s="10">
        <f>+[1]モンスター計算!F347</f>
        <v>4169</v>
      </c>
      <c r="G344" s="10">
        <f>+[1]モンスター計算!G347</f>
        <v>832</v>
      </c>
      <c r="H344" s="10">
        <f>+[1]モンスター計算!H347</f>
        <v>1849</v>
      </c>
      <c r="I344" s="10">
        <f>+[1]モンスター計算!I347</f>
        <v>2745</v>
      </c>
      <c r="J344" s="11">
        <f>+[1]モンスター計算!J347</f>
        <v>2562</v>
      </c>
      <c r="K344" s="26">
        <f>+[1]モンスター計算!K347</f>
        <v>0.1</v>
      </c>
      <c r="L344" s="11">
        <f>+[1]モンスター計算!L347</f>
        <v>1.75</v>
      </c>
      <c r="M344" s="26">
        <f>+[1]モンスター計算!M347</f>
        <v>2.4</v>
      </c>
      <c r="N344" s="10">
        <f>+[1]モンスター計算!N347</f>
        <v>1.2</v>
      </c>
      <c r="O344" s="11">
        <f>+[1]モンスター計算!O347</f>
        <v>3</v>
      </c>
      <c r="P344" s="26">
        <f>+[1]モンスター計算!P347</f>
        <v>0.28000000000000003</v>
      </c>
      <c r="Q344" s="10">
        <f>+[1]モンスター計算!Q347</f>
        <v>-2.0000000000000004E-2</v>
      </c>
      <c r="R344" s="10">
        <f>+[1]モンスター計算!R347</f>
        <v>0.08</v>
      </c>
      <c r="S344" s="10">
        <f>+[1]モンスター計算!S347</f>
        <v>0.08</v>
      </c>
      <c r="T344" s="10">
        <f>+[1]モンスター計算!T347</f>
        <v>0.08</v>
      </c>
      <c r="U344" s="10">
        <f>+[1]モンスター計算!U347</f>
        <v>0.08</v>
      </c>
      <c r="V344" s="11">
        <f>+[1]モンスター計算!V347</f>
        <v>4</v>
      </c>
      <c r="W344" s="29">
        <v>10</v>
      </c>
      <c r="X344" s="26" t="s">
        <v>1639</v>
      </c>
      <c r="Y344" s="32" t="s">
        <v>90</v>
      </c>
      <c r="Z344" s="11">
        <v>1.25</v>
      </c>
      <c r="AA344" s="29">
        <v>15</v>
      </c>
      <c r="AB344" s="29">
        <f t="shared" si="10"/>
        <v>287</v>
      </c>
      <c r="AC344" s="46">
        <f t="shared" si="11"/>
        <v>58</v>
      </c>
      <c r="AD344" s="26" t="s">
        <v>74</v>
      </c>
      <c r="AE344" s="10">
        <v>0</v>
      </c>
      <c r="AF344" s="10">
        <v>0</v>
      </c>
      <c r="AG344" s="11" t="b">
        <v>0</v>
      </c>
      <c r="AH344" s="29" t="s">
        <v>1255</v>
      </c>
      <c r="AI344" s="32" t="s">
        <v>1825</v>
      </c>
    </row>
    <row r="345" spans="1:35">
      <c r="A345" s="52" t="s">
        <v>896</v>
      </c>
      <c r="B345" s="13" t="s">
        <v>860</v>
      </c>
      <c r="C345" s="27" t="s">
        <v>45</v>
      </c>
      <c r="D345" s="13" t="s">
        <v>59</v>
      </c>
      <c r="E345" s="27">
        <f>+[1]モンスター計算!E348</f>
        <v>20817</v>
      </c>
      <c r="F345" s="5">
        <f>+[1]モンスター計算!F348</f>
        <v>5337</v>
      </c>
      <c r="G345" s="5">
        <f>+[1]モンスター計算!G348</f>
        <v>2260</v>
      </c>
      <c r="H345" s="5">
        <f>+[1]モンスター計算!H348</f>
        <v>6695</v>
      </c>
      <c r="I345" s="5">
        <f>+[1]モンスター計算!I348</f>
        <v>1610</v>
      </c>
      <c r="J345" s="13">
        <f>+[1]モンスター計算!J348</f>
        <v>1739</v>
      </c>
      <c r="K345" s="27">
        <f>+[1]モンスター計算!K348</f>
        <v>0.04</v>
      </c>
      <c r="L345" s="13">
        <f>+[1]モンスター計算!L348</f>
        <v>2.2000000000000002</v>
      </c>
      <c r="M345" s="27">
        <f>+[1]モンスター計算!M348</f>
        <v>1.65</v>
      </c>
      <c r="N345" s="5">
        <f>+[1]モンスター計算!N348</f>
        <v>0.64</v>
      </c>
      <c r="O345" s="13">
        <f>+[1]モンスター計算!O348</f>
        <v>3.7</v>
      </c>
      <c r="P345" s="27">
        <f>+[1]モンスター計算!P348</f>
        <v>-0.125</v>
      </c>
      <c r="Q345" s="5">
        <f>+[1]モンスター計算!Q348</f>
        <v>0.17500000000000002</v>
      </c>
      <c r="R345" s="5">
        <f>+[1]モンスター計算!R348</f>
        <v>-2.5000000000000001E-2</v>
      </c>
      <c r="S345" s="5">
        <f>+[1]モンスター計算!S348</f>
        <v>-2.5000000000000001E-2</v>
      </c>
      <c r="T345" s="5">
        <f>+[1]モンスター計算!T348</f>
        <v>-2.5000000000000001E-2</v>
      </c>
      <c r="U345" s="5">
        <f>+[1]モンスター計算!U348</f>
        <v>-2.5000000000000001E-2</v>
      </c>
      <c r="V345" s="13">
        <f>+[1]モンスター計算!V348</f>
        <v>5</v>
      </c>
      <c r="W345" s="30">
        <v>11</v>
      </c>
      <c r="X345" s="27" t="s">
        <v>70</v>
      </c>
      <c r="Y345" s="33" t="s">
        <v>91</v>
      </c>
      <c r="Z345" s="13">
        <v>1.25</v>
      </c>
      <c r="AA345" s="30">
        <v>20</v>
      </c>
      <c r="AB345" s="30">
        <f t="shared" si="10"/>
        <v>318</v>
      </c>
      <c r="AC345" s="47">
        <f t="shared" si="11"/>
        <v>58</v>
      </c>
      <c r="AD345" s="27" t="s">
        <v>74</v>
      </c>
      <c r="AE345" s="5">
        <v>0</v>
      </c>
      <c r="AF345" s="5">
        <v>0</v>
      </c>
      <c r="AG345" s="13" t="b">
        <v>0</v>
      </c>
      <c r="AH345" s="30" t="s">
        <v>1256</v>
      </c>
      <c r="AI345" s="33" t="s">
        <v>1825</v>
      </c>
    </row>
    <row r="346" spans="1:35">
      <c r="A346" s="52" t="s">
        <v>897</v>
      </c>
      <c r="B346" s="13" t="s">
        <v>861</v>
      </c>
      <c r="C346" s="27" t="s">
        <v>47</v>
      </c>
      <c r="D346" s="13" t="s">
        <v>61</v>
      </c>
      <c r="E346" s="27">
        <f>+[1]モンスター計算!E349</f>
        <v>24249</v>
      </c>
      <c r="F346" s="5">
        <f>+[1]モンスター計算!F349</f>
        <v>5837</v>
      </c>
      <c r="G346" s="5">
        <f>+[1]モンスター計算!G349</f>
        <v>1176</v>
      </c>
      <c r="H346" s="5">
        <f>+[1]モンスター計算!H349</f>
        <v>4021</v>
      </c>
      <c r="I346" s="5">
        <f>+[1]モンスター計算!I349</f>
        <v>1409</v>
      </c>
      <c r="J346" s="13">
        <f>+[1]モンスター計算!J349</f>
        <v>3752</v>
      </c>
      <c r="K346" s="27">
        <f>+[1]モンスター計算!K349</f>
        <v>4.4999999999999998E-2</v>
      </c>
      <c r="L346" s="13">
        <f>+[1]モンスター計算!L349</f>
        <v>1.45</v>
      </c>
      <c r="M346" s="27">
        <f>+[1]モンスター計算!M349</f>
        <v>1.9</v>
      </c>
      <c r="N346" s="5">
        <f>+[1]モンスター計算!N349</f>
        <v>0.84</v>
      </c>
      <c r="O346" s="13">
        <f>+[1]モンスター計算!O349</f>
        <v>2.65</v>
      </c>
      <c r="P346" s="27">
        <f>+[1]モンスター計算!P349</f>
        <v>0.09</v>
      </c>
      <c r="Q346" s="5">
        <f>+[1]モンスター計算!Q349</f>
        <v>0.09</v>
      </c>
      <c r="R346" s="5">
        <f>+[1]モンスター計算!R349</f>
        <v>0.09</v>
      </c>
      <c r="S346" s="5">
        <f>+[1]モンスター計算!S349</f>
        <v>0.09</v>
      </c>
      <c r="T346" s="5">
        <f>+[1]モンスター計算!T349</f>
        <v>0.29000000000000004</v>
      </c>
      <c r="U346" s="5">
        <f>+[1]モンスター計算!U349</f>
        <v>-1.0000000000000009E-2</v>
      </c>
      <c r="V346" s="13">
        <f>+[1]モンスター計算!V349</f>
        <v>4.4000000000000004</v>
      </c>
      <c r="W346" s="30">
        <v>15</v>
      </c>
      <c r="X346" s="27" t="s">
        <v>72</v>
      </c>
      <c r="Y346" s="33" t="s">
        <v>92</v>
      </c>
      <c r="Z346" s="13">
        <v>1.3</v>
      </c>
      <c r="AA346" s="30">
        <v>40</v>
      </c>
      <c r="AB346" s="30">
        <f t="shared" si="10"/>
        <v>369</v>
      </c>
      <c r="AC346" s="47">
        <f t="shared" si="11"/>
        <v>58</v>
      </c>
      <c r="AD346" s="27" t="s">
        <v>55</v>
      </c>
      <c r="AE346" s="5">
        <v>10</v>
      </c>
      <c r="AF346" s="5">
        <v>4</v>
      </c>
      <c r="AG346" s="13" t="b">
        <v>1</v>
      </c>
      <c r="AH346" s="30" t="s">
        <v>1257</v>
      </c>
      <c r="AI346" s="33" t="s">
        <v>1825</v>
      </c>
    </row>
    <row r="347" spans="1:35">
      <c r="A347" s="52" t="s">
        <v>898</v>
      </c>
      <c r="B347" s="13" t="s">
        <v>862</v>
      </c>
      <c r="C347" s="27" t="s">
        <v>45</v>
      </c>
      <c r="D347" s="13" t="s">
        <v>61</v>
      </c>
      <c r="E347" s="27">
        <f>+[1]モンスター計算!E350</f>
        <v>17386</v>
      </c>
      <c r="F347" s="5">
        <f>+[1]モンスター計算!F350</f>
        <v>919</v>
      </c>
      <c r="G347" s="5">
        <f>+[1]モンスター計算!G350</f>
        <v>6487</v>
      </c>
      <c r="H347" s="5">
        <f>+[1]モンスター計算!H350</f>
        <v>1810</v>
      </c>
      <c r="I347" s="5">
        <f>+[1]モンスター計算!I350</f>
        <v>1391</v>
      </c>
      <c r="J347" s="13">
        <f>+[1]モンスター計算!J350</f>
        <v>1281</v>
      </c>
      <c r="K347" s="27">
        <f>+[1]モンスター計算!K350</f>
        <v>9.5000000000000001E-2</v>
      </c>
      <c r="L347" s="13">
        <f>+[1]モンスター計算!L350</f>
        <v>2.4</v>
      </c>
      <c r="M347" s="27">
        <f>+[1]モンスター計算!M350</f>
        <v>3.35</v>
      </c>
      <c r="N347" s="5">
        <f>+[1]モンスター計算!N350</f>
        <v>0.86</v>
      </c>
      <c r="O347" s="13">
        <f>+[1]モンスター計算!O350</f>
        <v>1</v>
      </c>
      <c r="P347" s="27">
        <f>+[1]モンスター計算!P350</f>
        <v>-0.17</v>
      </c>
      <c r="Q347" s="5">
        <f>+[1]モンスター計算!Q350</f>
        <v>0.13</v>
      </c>
      <c r="R347" s="5">
        <f>+[1]モンスター計算!R350</f>
        <v>-7.0000000000000007E-2</v>
      </c>
      <c r="S347" s="5">
        <f>+[1]モンスター計算!S350</f>
        <v>-7.0000000000000007E-2</v>
      </c>
      <c r="T347" s="5">
        <f>+[1]モンスター計算!T350</f>
        <v>-7.0000000000000007E-2</v>
      </c>
      <c r="U347" s="5">
        <f>+[1]モンスター計算!U350</f>
        <v>-7.0000000000000007E-2</v>
      </c>
      <c r="V347" s="13">
        <f>+[1]モンスター計算!V350</f>
        <v>4.5999999999999996</v>
      </c>
      <c r="W347" s="30">
        <v>8</v>
      </c>
      <c r="X347" s="27" t="s">
        <v>109</v>
      </c>
      <c r="Y347" s="33" t="s">
        <v>87</v>
      </c>
      <c r="Z347" s="13">
        <v>1.2</v>
      </c>
      <c r="AA347" s="30">
        <v>5</v>
      </c>
      <c r="AB347" s="30">
        <f t="shared" si="10"/>
        <v>474</v>
      </c>
      <c r="AC347" s="47">
        <f t="shared" si="11"/>
        <v>58</v>
      </c>
      <c r="AD347" s="27" t="s">
        <v>51</v>
      </c>
      <c r="AE347" s="5">
        <v>7</v>
      </c>
      <c r="AF347" s="5">
        <v>3</v>
      </c>
      <c r="AG347" s="13" t="b">
        <v>1</v>
      </c>
      <c r="AH347" s="30" t="s">
        <v>1258</v>
      </c>
      <c r="AI347" s="33" t="s">
        <v>1825</v>
      </c>
    </row>
    <row r="348" spans="1:35">
      <c r="A348" s="52" t="s">
        <v>899</v>
      </c>
      <c r="B348" s="13" t="s">
        <v>863</v>
      </c>
      <c r="C348" s="27" t="s">
        <v>44</v>
      </c>
      <c r="D348" s="13" t="s">
        <v>61</v>
      </c>
      <c r="E348" s="27">
        <f>+[1]モンスター計算!E351</f>
        <v>14870</v>
      </c>
      <c r="F348" s="5">
        <f>+[1]モンスター計算!F351</f>
        <v>712</v>
      </c>
      <c r="G348" s="5">
        <f>+[1]モンスター計算!G351</f>
        <v>4683</v>
      </c>
      <c r="H348" s="5">
        <f>+[1]モンスター計算!H351</f>
        <v>1370</v>
      </c>
      <c r="I348" s="5">
        <f>+[1]モンスター計算!I351</f>
        <v>1135</v>
      </c>
      <c r="J348" s="13">
        <f>+[1]モンスター計算!J351</f>
        <v>1244</v>
      </c>
      <c r="K348" s="27">
        <f>+[1]モンスター計算!K351</f>
        <v>0.18</v>
      </c>
      <c r="L348" s="13">
        <f>+[1]モンスター計算!L351</f>
        <v>2.1</v>
      </c>
      <c r="M348" s="27">
        <f>+[1]モンスター計算!M351</f>
        <v>3.15</v>
      </c>
      <c r="N348" s="5">
        <f>+[1]モンスター計算!N351</f>
        <v>1.35</v>
      </c>
      <c r="O348" s="13">
        <f>+[1]モンスター計算!O351</f>
        <v>1</v>
      </c>
      <c r="P348" s="27">
        <f>+[1]モンスター計算!P351</f>
        <v>0.12000000000000001</v>
      </c>
      <c r="Q348" s="5">
        <f>+[1]モンスター計算!Q351</f>
        <v>-0.18</v>
      </c>
      <c r="R348" s="5">
        <f>+[1]モンスター計算!R351</f>
        <v>-0.08</v>
      </c>
      <c r="S348" s="5">
        <f>+[1]モンスター計算!S351</f>
        <v>-0.08</v>
      </c>
      <c r="T348" s="5">
        <f>+[1]モンスター計算!T351</f>
        <v>-0.08</v>
      </c>
      <c r="U348" s="5">
        <f>+[1]モンスター計算!U351</f>
        <v>-0.08</v>
      </c>
      <c r="V348" s="13">
        <f>+[1]モンスター計算!V351</f>
        <v>4.8</v>
      </c>
      <c r="W348" s="30">
        <v>8</v>
      </c>
      <c r="X348" s="27" t="s">
        <v>64</v>
      </c>
      <c r="Y348" s="33" t="s">
        <v>88</v>
      </c>
      <c r="Z348" s="13">
        <v>1.2</v>
      </c>
      <c r="AA348" s="30">
        <v>7</v>
      </c>
      <c r="AB348" s="30">
        <f t="shared" si="10"/>
        <v>550</v>
      </c>
      <c r="AC348" s="47">
        <f t="shared" si="11"/>
        <v>58</v>
      </c>
      <c r="AD348" s="27" t="s">
        <v>49</v>
      </c>
      <c r="AE348" s="5">
        <v>7.5</v>
      </c>
      <c r="AF348" s="5">
        <v>3</v>
      </c>
      <c r="AG348" s="13" t="b">
        <v>1</v>
      </c>
      <c r="AH348" s="30" t="s">
        <v>1259</v>
      </c>
      <c r="AI348" s="33" t="s">
        <v>1825</v>
      </c>
    </row>
    <row r="349" spans="1:35" ht="19.5" thickBot="1">
      <c r="A349" s="53" t="s">
        <v>900</v>
      </c>
      <c r="B349" s="16" t="s">
        <v>864</v>
      </c>
      <c r="C349" s="28" t="s">
        <v>46</v>
      </c>
      <c r="D349" s="16" t="s">
        <v>61</v>
      </c>
      <c r="E349" s="28">
        <f>+[1]モンスター計算!E352</f>
        <v>21961</v>
      </c>
      <c r="F349" s="15">
        <f>+[1]モンスター計算!F352</f>
        <v>3669</v>
      </c>
      <c r="G349" s="15">
        <f>+[1]モンスター計算!G352</f>
        <v>1214</v>
      </c>
      <c r="H349" s="15">
        <f>+[1]モンスター計算!H352</f>
        <v>4351</v>
      </c>
      <c r="I349" s="15">
        <f>+[1]モンスター計算!I352</f>
        <v>1501</v>
      </c>
      <c r="J349" s="16">
        <f>+[1]モンスター計算!J352</f>
        <v>1665</v>
      </c>
      <c r="K349" s="28">
        <f>+[1]モンスター計算!K352</f>
        <v>0.06</v>
      </c>
      <c r="L349" s="16">
        <f>+[1]モンスター計算!L352</f>
        <v>1.6</v>
      </c>
      <c r="M349" s="28">
        <f>+[1]モンスター計算!M352</f>
        <v>2.25</v>
      </c>
      <c r="N349" s="15">
        <f>+[1]モンスター計算!N352</f>
        <v>0.91</v>
      </c>
      <c r="O349" s="16">
        <f>+[1]モンスター計算!O352</f>
        <v>4.75</v>
      </c>
      <c r="P349" s="28">
        <f>+[1]モンスター計算!P352</f>
        <v>-0.02</v>
      </c>
      <c r="Q349" s="15">
        <f>+[1]モンスター計算!Q352</f>
        <v>-0.02</v>
      </c>
      <c r="R349" s="15">
        <f>+[1]モンスター計算!R352</f>
        <v>0.18000000000000002</v>
      </c>
      <c r="S349" s="15">
        <f>+[1]モンスター計算!S352</f>
        <v>-0.12000000000000001</v>
      </c>
      <c r="T349" s="15">
        <f>+[1]モンスター計算!T352</f>
        <v>-0.02</v>
      </c>
      <c r="U349" s="15">
        <f>+[1]モンスター計算!U352</f>
        <v>-0.02</v>
      </c>
      <c r="V349" s="16">
        <f>+[1]モンスター計算!V352</f>
        <v>6.6</v>
      </c>
      <c r="W349" s="31">
        <v>9</v>
      </c>
      <c r="X349" s="28" t="s">
        <v>66</v>
      </c>
      <c r="Y349" s="34" t="s">
        <v>89</v>
      </c>
      <c r="Z349" s="16">
        <v>1.22</v>
      </c>
      <c r="AA349" s="31">
        <v>10</v>
      </c>
      <c r="AB349" s="31">
        <f t="shared" si="10"/>
        <v>786</v>
      </c>
      <c r="AC349" s="48">
        <f t="shared" si="11"/>
        <v>58</v>
      </c>
      <c r="AD349" s="28" t="s">
        <v>53</v>
      </c>
      <c r="AE349" s="15">
        <v>8.5</v>
      </c>
      <c r="AF349" s="15">
        <v>3</v>
      </c>
      <c r="AG349" s="16" t="b">
        <v>1</v>
      </c>
      <c r="AH349" s="31" t="s">
        <v>1260</v>
      </c>
      <c r="AI349" s="34" t="s">
        <v>1825</v>
      </c>
    </row>
    <row r="350" spans="1:35">
      <c r="A350" s="51" t="s">
        <v>901</v>
      </c>
      <c r="B350" s="11" t="s">
        <v>865</v>
      </c>
      <c r="C350" s="26" t="s">
        <v>44</v>
      </c>
      <c r="D350" s="11" t="s">
        <v>59</v>
      </c>
      <c r="E350" s="26">
        <f>+[1]モンスター計算!E353</f>
        <v>16860</v>
      </c>
      <c r="F350" s="10">
        <f>+[1]モンスター計算!F353</f>
        <v>4036</v>
      </c>
      <c r="G350" s="10">
        <f>+[1]モンスター計算!G353</f>
        <v>1867</v>
      </c>
      <c r="H350" s="10">
        <f>+[1]モンスター計算!H353</f>
        <v>7979</v>
      </c>
      <c r="I350" s="10">
        <f>+[1]モンスター計算!I353</f>
        <v>1309</v>
      </c>
      <c r="J350" s="11">
        <f>+[1]モンスター計算!J353</f>
        <v>1610</v>
      </c>
      <c r="K350" s="26">
        <f>+[1]モンスター計算!K353</f>
        <v>0.18</v>
      </c>
      <c r="L350" s="11">
        <f>+[1]モンスター計算!L353</f>
        <v>1.85</v>
      </c>
      <c r="M350" s="26">
        <f>+[1]モンスター計算!M353</f>
        <v>2.0499999999999998</v>
      </c>
      <c r="N350" s="10">
        <f>+[1]モンスター計算!N353</f>
        <v>0.75</v>
      </c>
      <c r="O350" s="11">
        <f>+[1]モンスター計算!O353</f>
        <v>4.45</v>
      </c>
      <c r="P350" s="26">
        <f>+[1]モンスター計算!P353</f>
        <v>0.14000000000000001</v>
      </c>
      <c r="Q350" s="10">
        <f>+[1]モンスター計算!Q353</f>
        <v>-0.16</v>
      </c>
      <c r="R350" s="10">
        <f>+[1]モンスター計算!R353</f>
        <v>-0.06</v>
      </c>
      <c r="S350" s="10">
        <f>+[1]モンスター計算!S353</f>
        <v>-0.06</v>
      </c>
      <c r="T350" s="10">
        <f>+[1]モンスター計算!T353</f>
        <v>-0.06</v>
      </c>
      <c r="U350" s="10">
        <f>+[1]モンスター計算!U353</f>
        <v>-0.06</v>
      </c>
      <c r="V350" s="11">
        <f>+[1]モンスター計算!V353</f>
        <v>5.6</v>
      </c>
      <c r="W350" s="29">
        <v>10</v>
      </c>
      <c r="X350" s="26" t="s">
        <v>1639</v>
      </c>
      <c r="Y350" s="32" t="s">
        <v>90</v>
      </c>
      <c r="Z350" s="11">
        <v>1.25</v>
      </c>
      <c r="AA350" s="29">
        <v>15</v>
      </c>
      <c r="AB350" s="29">
        <f t="shared" si="10"/>
        <v>302</v>
      </c>
      <c r="AC350" s="46">
        <f t="shared" si="11"/>
        <v>59</v>
      </c>
      <c r="AD350" s="26" t="s">
        <v>74</v>
      </c>
      <c r="AE350" s="10">
        <v>0</v>
      </c>
      <c r="AF350" s="10">
        <v>0</v>
      </c>
      <c r="AG350" s="11" t="b">
        <v>0</v>
      </c>
      <c r="AH350" s="29" t="s">
        <v>1261</v>
      </c>
      <c r="AI350" s="32" t="s">
        <v>1825</v>
      </c>
    </row>
    <row r="351" spans="1:35">
      <c r="A351" s="52" t="s">
        <v>902</v>
      </c>
      <c r="B351" s="13" t="s">
        <v>866</v>
      </c>
      <c r="C351" s="27" t="s">
        <v>45</v>
      </c>
      <c r="D351" s="13" t="s">
        <v>59</v>
      </c>
      <c r="E351" s="27">
        <f>+[1]モンスター計算!E354</f>
        <v>20634</v>
      </c>
      <c r="F351" s="5">
        <f>+[1]モンスター計算!F354</f>
        <v>4953</v>
      </c>
      <c r="G351" s="5">
        <f>+[1]モンスター計算!G354</f>
        <v>1907</v>
      </c>
      <c r="H351" s="5">
        <f>+[1]モンスター計算!H354</f>
        <v>7062</v>
      </c>
      <c r="I351" s="5">
        <f>+[1]モンスター計算!I354</f>
        <v>1631</v>
      </c>
      <c r="J351" s="13">
        <f>+[1]モンスター計算!J354</f>
        <v>1751</v>
      </c>
      <c r="K351" s="27">
        <f>+[1]モンスター計算!K354</f>
        <v>0.12</v>
      </c>
      <c r="L351" s="13">
        <f>+[1]モンスター計算!L354</f>
        <v>2.5499999999999998</v>
      </c>
      <c r="M351" s="27">
        <f>+[1]モンスター計算!M354</f>
        <v>2.2999999999999998</v>
      </c>
      <c r="N351" s="5">
        <f>+[1]モンスター計算!N354</f>
        <v>0.68</v>
      </c>
      <c r="O351" s="13">
        <f>+[1]モンスター計算!O354</f>
        <v>3.55</v>
      </c>
      <c r="P351" s="27">
        <f>+[1]モンスター計算!P354</f>
        <v>-0.155</v>
      </c>
      <c r="Q351" s="5">
        <f>+[1]モンスター計算!Q354</f>
        <v>0.14500000000000002</v>
      </c>
      <c r="R351" s="5">
        <f>+[1]モンスター計算!R354</f>
        <v>-5.5E-2</v>
      </c>
      <c r="S351" s="5">
        <f>+[1]モンスター計算!S354</f>
        <v>-5.5E-2</v>
      </c>
      <c r="T351" s="5">
        <f>+[1]モンスター計算!T354</f>
        <v>-5.5E-2</v>
      </c>
      <c r="U351" s="5">
        <f>+[1]モンスター計算!U354</f>
        <v>-5.5E-2</v>
      </c>
      <c r="V351" s="13">
        <f>+[1]モンスター計算!V354</f>
        <v>4.8</v>
      </c>
      <c r="W351" s="30">
        <v>11</v>
      </c>
      <c r="X351" s="27" t="s">
        <v>70</v>
      </c>
      <c r="Y351" s="33" t="s">
        <v>91</v>
      </c>
      <c r="Z351" s="13">
        <v>1.25</v>
      </c>
      <c r="AA351" s="30">
        <v>20</v>
      </c>
      <c r="AB351" s="30">
        <f t="shared" si="10"/>
        <v>334</v>
      </c>
      <c r="AC351" s="47">
        <f t="shared" si="11"/>
        <v>59</v>
      </c>
      <c r="AD351" s="27" t="s">
        <v>74</v>
      </c>
      <c r="AE351" s="5">
        <v>0</v>
      </c>
      <c r="AF351" s="5">
        <v>0</v>
      </c>
      <c r="AG351" s="13" t="b">
        <v>0</v>
      </c>
      <c r="AH351" s="30" t="s">
        <v>1262</v>
      </c>
      <c r="AI351" s="33" t="s">
        <v>1825</v>
      </c>
    </row>
    <row r="352" spans="1:35">
      <c r="A352" s="52" t="s">
        <v>903</v>
      </c>
      <c r="B352" s="13" t="s">
        <v>867</v>
      </c>
      <c r="C352" s="27" t="s">
        <v>47</v>
      </c>
      <c r="D352" s="13" t="s">
        <v>61</v>
      </c>
      <c r="E352" s="27">
        <f>+[1]モンスター計算!E355</f>
        <v>35229</v>
      </c>
      <c r="F352" s="5">
        <f>+[1]モンスター計算!F355</f>
        <v>8072</v>
      </c>
      <c r="G352" s="5">
        <f>+[1]モンスター計算!G355</f>
        <v>1349</v>
      </c>
      <c r="H352" s="5">
        <f>+[1]モンスター計算!H355</f>
        <v>3568</v>
      </c>
      <c r="I352" s="5">
        <f>+[1]モンスター計算!I355</f>
        <v>1912</v>
      </c>
      <c r="J352" s="13">
        <f>+[1]モンスター計算!J355</f>
        <v>3382</v>
      </c>
      <c r="K352" s="27">
        <f>+[1]モンスター計算!K355</f>
        <v>0.115</v>
      </c>
      <c r="L352" s="13">
        <f>+[1]モンスター計算!L355</f>
        <v>1.95</v>
      </c>
      <c r="M352" s="27">
        <f>+[1]モンスター計算!M355</f>
        <v>1.2</v>
      </c>
      <c r="N352" s="5">
        <f>+[1]モンスター計算!N355</f>
        <v>0.72</v>
      </c>
      <c r="O352" s="13">
        <f>+[1]モンスター計算!O355</f>
        <v>3.3250000000000002</v>
      </c>
      <c r="P352" s="27">
        <f>+[1]モンスター計算!P355</f>
        <v>0.08</v>
      </c>
      <c r="Q352" s="5">
        <f>+[1]モンスター計算!Q355</f>
        <v>0.08</v>
      </c>
      <c r="R352" s="5">
        <f>+[1]モンスター計算!R355</f>
        <v>0.08</v>
      </c>
      <c r="S352" s="5">
        <f>+[1]モンスター計算!S355</f>
        <v>0.08</v>
      </c>
      <c r="T352" s="5">
        <f>+[1]モンスター計算!T355</f>
        <v>0.28000000000000003</v>
      </c>
      <c r="U352" s="5">
        <f>+[1]モンスター計算!U355</f>
        <v>-2.0000000000000004E-2</v>
      </c>
      <c r="V352" s="13">
        <f>+[1]モンスター計算!V355</f>
        <v>5</v>
      </c>
      <c r="W352" s="30">
        <v>15</v>
      </c>
      <c r="X352" s="27" t="s">
        <v>72</v>
      </c>
      <c r="Y352" s="33" t="s">
        <v>92</v>
      </c>
      <c r="Z352" s="13">
        <v>1.3</v>
      </c>
      <c r="AA352" s="30">
        <v>40</v>
      </c>
      <c r="AB352" s="30">
        <f t="shared" si="10"/>
        <v>388</v>
      </c>
      <c r="AC352" s="47">
        <f t="shared" si="11"/>
        <v>59</v>
      </c>
      <c r="AD352" s="27" t="s">
        <v>55</v>
      </c>
      <c r="AE352" s="5">
        <v>10</v>
      </c>
      <c r="AF352" s="5">
        <v>4</v>
      </c>
      <c r="AG352" s="13" t="b">
        <v>1</v>
      </c>
      <c r="AH352" s="30" t="s">
        <v>1263</v>
      </c>
      <c r="AI352" s="33" t="s">
        <v>1825</v>
      </c>
    </row>
    <row r="353" spans="1:35">
      <c r="A353" s="52" t="s">
        <v>904</v>
      </c>
      <c r="B353" s="13" t="s">
        <v>868</v>
      </c>
      <c r="C353" s="27" t="s">
        <v>45</v>
      </c>
      <c r="D353" s="13" t="s">
        <v>61</v>
      </c>
      <c r="E353" s="27">
        <f>+[1]モンスター計算!E356</f>
        <v>40262</v>
      </c>
      <c r="F353" s="5">
        <f>+[1]モンスター計算!F356</f>
        <v>1386</v>
      </c>
      <c r="G353" s="5">
        <f>+[1]モンスター計算!G356</f>
        <v>3107</v>
      </c>
      <c r="H353" s="5">
        <f>+[1]モンスター計算!H356</f>
        <v>1398</v>
      </c>
      <c r="I353" s="5">
        <f>+[1]モンスター計算!I356</f>
        <v>3120</v>
      </c>
      <c r="J353" s="13">
        <f>+[1]モンスター計算!J356</f>
        <v>2818</v>
      </c>
      <c r="K353" s="27">
        <f>+[1]モンスター計算!K356</f>
        <v>0.04</v>
      </c>
      <c r="L353" s="13">
        <f>+[1]モンスター計算!L356</f>
        <v>1.4</v>
      </c>
      <c r="M353" s="27">
        <f>+[1]モンスター計算!M356</f>
        <v>2.2000000000000002</v>
      </c>
      <c r="N353" s="5">
        <f>+[1]モンスター計算!N356</f>
        <v>0.82</v>
      </c>
      <c r="O353" s="13">
        <f>+[1]モンスター計算!O356</f>
        <v>1</v>
      </c>
      <c r="P353" s="27">
        <f>+[1]モンスター計算!P356</f>
        <v>0</v>
      </c>
      <c r="Q353" s="5">
        <f>+[1]モンスター計算!Q356</f>
        <v>0.30000000000000004</v>
      </c>
      <c r="R353" s="5">
        <f>+[1]モンスター計算!R356</f>
        <v>0.1</v>
      </c>
      <c r="S353" s="5">
        <f>+[1]モンスター計算!S356</f>
        <v>0.1</v>
      </c>
      <c r="T353" s="5">
        <f>+[1]モンスター計算!T356</f>
        <v>0.1</v>
      </c>
      <c r="U353" s="5">
        <f>+[1]モンスター計算!U356</f>
        <v>0.1</v>
      </c>
      <c r="V353" s="13">
        <f>+[1]モンスター計算!V356</f>
        <v>4</v>
      </c>
      <c r="W353" s="30">
        <v>8</v>
      </c>
      <c r="X353" s="27" t="s">
        <v>109</v>
      </c>
      <c r="Y353" s="33" t="s">
        <v>87</v>
      </c>
      <c r="Z353" s="13">
        <v>1.2</v>
      </c>
      <c r="AA353" s="30">
        <v>5</v>
      </c>
      <c r="AB353" s="30">
        <f t="shared" si="10"/>
        <v>498</v>
      </c>
      <c r="AC353" s="47">
        <f t="shared" si="11"/>
        <v>59</v>
      </c>
      <c r="AD353" s="27" t="s">
        <v>51</v>
      </c>
      <c r="AE353" s="5">
        <v>7</v>
      </c>
      <c r="AF353" s="5">
        <v>3</v>
      </c>
      <c r="AG353" s="13" t="b">
        <v>1</v>
      </c>
      <c r="AH353" s="30" t="s">
        <v>1264</v>
      </c>
      <c r="AI353" s="33" t="s">
        <v>1825</v>
      </c>
    </row>
    <row r="354" spans="1:35">
      <c r="A354" s="52" t="s">
        <v>905</v>
      </c>
      <c r="B354" s="13" t="s">
        <v>869</v>
      </c>
      <c r="C354" s="27" t="s">
        <v>44</v>
      </c>
      <c r="D354" s="13" t="s">
        <v>61</v>
      </c>
      <c r="E354" s="27">
        <f>+[1]モンスター計算!E357</f>
        <v>36991</v>
      </c>
      <c r="F354" s="5">
        <f>+[1]モンスター計算!F357</f>
        <v>1631</v>
      </c>
      <c r="G354" s="5">
        <f>+[1]モンスター計算!G357</f>
        <v>3463</v>
      </c>
      <c r="H354" s="5">
        <f>+[1]モンスター計算!H357</f>
        <v>1184</v>
      </c>
      <c r="I354" s="5">
        <f>+[1]モンスター計算!I357</f>
        <v>1852</v>
      </c>
      <c r="J354" s="13">
        <f>+[1]モンスター計算!J357</f>
        <v>4429</v>
      </c>
      <c r="K354" s="27">
        <f>+[1]モンスター計算!K357</f>
        <v>0.05</v>
      </c>
      <c r="L354" s="13">
        <f>+[1]モンスター計算!L357</f>
        <v>1.5</v>
      </c>
      <c r="M354" s="27">
        <f>+[1]モンスター計算!M357</f>
        <v>2.0499999999999998</v>
      </c>
      <c r="N354" s="5">
        <f>+[1]モンスター計算!N357</f>
        <v>0.79</v>
      </c>
      <c r="O354" s="13">
        <f>+[1]モンスター計算!O357</f>
        <v>1</v>
      </c>
      <c r="P354" s="27">
        <f>+[1]モンスター計算!P357</f>
        <v>0.27</v>
      </c>
      <c r="Q354" s="5">
        <f>+[1]モンスター計算!Q357</f>
        <v>-0.03</v>
      </c>
      <c r="R354" s="5">
        <f>+[1]モンスター計算!R357</f>
        <v>7.0000000000000007E-2</v>
      </c>
      <c r="S354" s="5">
        <f>+[1]モンスター計算!S357</f>
        <v>7.0000000000000007E-2</v>
      </c>
      <c r="T354" s="5">
        <f>+[1]モンスター計算!T357</f>
        <v>7.0000000000000007E-2</v>
      </c>
      <c r="U354" s="5">
        <f>+[1]モンスター計算!U357</f>
        <v>7.0000000000000007E-2</v>
      </c>
      <c r="V354" s="13">
        <f>+[1]モンスター計算!V357</f>
        <v>4</v>
      </c>
      <c r="W354" s="30">
        <v>8</v>
      </c>
      <c r="X354" s="27" t="s">
        <v>64</v>
      </c>
      <c r="Y354" s="33" t="s">
        <v>88</v>
      </c>
      <c r="Z354" s="13">
        <v>1.2</v>
      </c>
      <c r="AA354" s="30">
        <v>7</v>
      </c>
      <c r="AB354" s="30">
        <f t="shared" si="10"/>
        <v>578</v>
      </c>
      <c r="AC354" s="47">
        <f t="shared" si="11"/>
        <v>59</v>
      </c>
      <c r="AD354" s="27" t="s">
        <v>49</v>
      </c>
      <c r="AE354" s="5">
        <v>7.5</v>
      </c>
      <c r="AF354" s="5">
        <v>3</v>
      </c>
      <c r="AG354" s="13" t="b">
        <v>1</v>
      </c>
      <c r="AH354" s="30" t="s">
        <v>1265</v>
      </c>
      <c r="AI354" s="33" t="s">
        <v>1825</v>
      </c>
    </row>
    <row r="355" spans="1:35" ht="19.5" thickBot="1">
      <c r="A355" s="53" t="s">
        <v>906</v>
      </c>
      <c r="B355" s="16" t="s">
        <v>870</v>
      </c>
      <c r="C355" s="28" t="s">
        <v>46</v>
      </c>
      <c r="D355" s="16" t="s">
        <v>61</v>
      </c>
      <c r="E355" s="28">
        <f>+[1]モンスター計算!E358</f>
        <v>25164</v>
      </c>
      <c r="F355" s="15">
        <f>+[1]モンスター計算!F358</f>
        <v>4403</v>
      </c>
      <c r="G355" s="15">
        <f>+[1]モンスター計算!G358</f>
        <v>1420</v>
      </c>
      <c r="H355" s="15">
        <f>+[1]モンスター計算!H358</f>
        <v>4508</v>
      </c>
      <c r="I355" s="15">
        <f>+[1]モンスター計算!I358</f>
        <v>1933</v>
      </c>
      <c r="J355" s="16">
        <f>+[1]モンスター計算!J358</f>
        <v>2053</v>
      </c>
      <c r="K355" s="28">
        <f>+[1]モンスター計算!K358</f>
        <v>4.4999999999999998E-2</v>
      </c>
      <c r="L355" s="16">
        <f>+[1]モンスター計算!L358</f>
        <v>1.4</v>
      </c>
      <c r="M355" s="28">
        <f>+[1]モンスター計算!M358</f>
        <v>2.0499999999999998</v>
      </c>
      <c r="N355" s="15">
        <f>+[1]モンスター計算!N358</f>
        <v>0.92</v>
      </c>
      <c r="O355" s="16">
        <f>+[1]モンスター計算!O358</f>
        <v>2.6749999999999998</v>
      </c>
      <c r="P355" s="28">
        <f>+[1]モンスター計算!P358</f>
        <v>0.19</v>
      </c>
      <c r="Q355" s="15">
        <f>+[1]モンスター計算!Q358</f>
        <v>0.19</v>
      </c>
      <c r="R355" s="15">
        <f>+[1]モンスター計算!R358</f>
        <v>0.39</v>
      </c>
      <c r="S355" s="15">
        <f>+[1]モンスター計算!S358</f>
        <v>0.09</v>
      </c>
      <c r="T355" s="15">
        <f>+[1]モンスター計算!T358</f>
        <v>0.19</v>
      </c>
      <c r="U355" s="15">
        <f>+[1]モンスター計算!U358</f>
        <v>0.19</v>
      </c>
      <c r="V355" s="16">
        <f>+[1]モンスター計算!V358</f>
        <v>4</v>
      </c>
      <c r="W355" s="31">
        <v>9</v>
      </c>
      <c r="X355" s="28" t="s">
        <v>66</v>
      </c>
      <c r="Y355" s="34" t="s">
        <v>89</v>
      </c>
      <c r="Z355" s="16">
        <v>1.22</v>
      </c>
      <c r="AA355" s="31">
        <v>10</v>
      </c>
      <c r="AB355" s="31">
        <f t="shared" si="10"/>
        <v>826</v>
      </c>
      <c r="AC355" s="48">
        <f t="shared" si="11"/>
        <v>59</v>
      </c>
      <c r="AD355" s="28" t="s">
        <v>53</v>
      </c>
      <c r="AE355" s="15">
        <v>8.5</v>
      </c>
      <c r="AF355" s="15">
        <v>3</v>
      </c>
      <c r="AG355" s="16" t="b">
        <v>1</v>
      </c>
      <c r="AH355" s="31" t="s">
        <v>1266</v>
      </c>
      <c r="AI355" s="34" t="s">
        <v>1825</v>
      </c>
    </row>
    <row r="356" spans="1:35">
      <c r="A356" s="51" t="s">
        <v>907</v>
      </c>
      <c r="B356" s="11" t="s">
        <v>871</v>
      </c>
      <c r="C356" s="26" t="s">
        <v>44</v>
      </c>
      <c r="D356" s="11" t="s">
        <v>59</v>
      </c>
      <c r="E356" s="26">
        <f>+[1]モンスター計算!E359</f>
        <v>20207</v>
      </c>
      <c r="F356" s="10">
        <f>+[1]モンスター計算!F359</f>
        <v>4762</v>
      </c>
      <c r="G356" s="10">
        <f>+[1]モンスター計算!G359</f>
        <v>1558</v>
      </c>
      <c r="H356" s="10">
        <f>+[1]モンスター計算!H359</f>
        <v>6181</v>
      </c>
      <c r="I356" s="10">
        <f>+[1]モンスター計算!I359</f>
        <v>1705</v>
      </c>
      <c r="J356" s="11">
        <f>+[1]モンスター計算!J359</f>
        <v>1882</v>
      </c>
      <c r="K356" s="26">
        <f>+[1]モンスター計算!K359</f>
        <v>0.26</v>
      </c>
      <c r="L356" s="11">
        <f>+[1]モンスター計算!L359</f>
        <v>1.95</v>
      </c>
      <c r="M356" s="26">
        <f>+[1]モンスター計算!M359</f>
        <v>2.75</v>
      </c>
      <c r="N356" s="10">
        <f>+[1]モンスター計算!N359</f>
        <v>0.95</v>
      </c>
      <c r="O356" s="11">
        <f>+[1]モンスター計算!O359</f>
        <v>2.8</v>
      </c>
      <c r="P356" s="26">
        <f>+[1]モンスター計算!P359</f>
        <v>0.15000000000000002</v>
      </c>
      <c r="Q356" s="10">
        <f>+[1]モンスター計算!Q359</f>
        <v>-0.15000000000000002</v>
      </c>
      <c r="R356" s="10">
        <f>+[1]モンスター計算!R359</f>
        <v>-0.05</v>
      </c>
      <c r="S356" s="10">
        <f>+[1]モンスター計算!S359</f>
        <v>-0.05</v>
      </c>
      <c r="T356" s="10">
        <f>+[1]モンスター計算!T359</f>
        <v>-0.05</v>
      </c>
      <c r="U356" s="10">
        <f>+[1]モンスター計算!U359</f>
        <v>-0.05</v>
      </c>
      <c r="V356" s="11">
        <f>+[1]モンスター計算!V359</f>
        <v>4.4000000000000004</v>
      </c>
      <c r="W356" s="29">
        <v>10</v>
      </c>
      <c r="X356" s="26" t="s">
        <v>1639</v>
      </c>
      <c r="Y356" s="32" t="s">
        <v>90</v>
      </c>
      <c r="Z356" s="11">
        <v>1.25</v>
      </c>
      <c r="AA356" s="29">
        <v>15</v>
      </c>
      <c r="AB356" s="29">
        <f t="shared" si="10"/>
        <v>318</v>
      </c>
      <c r="AC356" s="46">
        <f t="shared" si="11"/>
        <v>60</v>
      </c>
      <c r="AD356" s="26" t="s">
        <v>74</v>
      </c>
      <c r="AE356" s="10">
        <v>0</v>
      </c>
      <c r="AF356" s="10">
        <v>0</v>
      </c>
      <c r="AG356" s="11" t="b">
        <v>0</v>
      </c>
      <c r="AH356" s="29" t="s">
        <v>1267</v>
      </c>
      <c r="AI356" s="32" t="s">
        <v>1825</v>
      </c>
    </row>
    <row r="357" spans="1:35">
      <c r="A357" s="52" t="s">
        <v>908</v>
      </c>
      <c r="B357" s="13" t="s">
        <v>872</v>
      </c>
      <c r="C357" s="27" t="s">
        <v>45</v>
      </c>
      <c r="D357" s="13" t="s">
        <v>59</v>
      </c>
      <c r="E357" s="27">
        <f>+[1]モンスター計算!E360</f>
        <v>21867</v>
      </c>
      <c r="F357" s="5">
        <f>+[1]モンスター計算!F360</f>
        <v>3632</v>
      </c>
      <c r="G357" s="5">
        <f>+[1]モンスター計算!G360</f>
        <v>956</v>
      </c>
      <c r="H357" s="5">
        <f>+[1]モンスター計算!H360</f>
        <v>4010</v>
      </c>
      <c r="I357" s="5">
        <f>+[1]モンスター計算!I360</f>
        <v>1882</v>
      </c>
      <c r="J357" s="13">
        <f>+[1]モンスター計算!J360</f>
        <v>1794</v>
      </c>
      <c r="K357" s="27">
        <f>+[1]モンスター計算!K360</f>
        <v>6.5000000000000002E-2</v>
      </c>
      <c r="L357" s="13">
        <f>+[1]モンスター計算!L360</f>
        <v>1.45</v>
      </c>
      <c r="M357" s="27">
        <f>+[1]モンスター計算!M360</f>
        <v>4</v>
      </c>
      <c r="N357" s="5">
        <f>+[1]モンスター計算!N360</f>
        <v>1.72</v>
      </c>
      <c r="O357" s="13">
        <f>+[1]モンスター計算!O360</f>
        <v>1.9</v>
      </c>
      <c r="P357" s="27">
        <f>+[1]モンスター計算!P360</f>
        <v>-0.17</v>
      </c>
      <c r="Q357" s="5">
        <f>+[1]モンスター計算!Q360</f>
        <v>0.13</v>
      </c>
      <c r="R357" s="5">
        <f>+[1]モンスター計算!R360</f>
        <v>-7.0000000000000007E-2</v>
      </c>
      <c r="S357" s="5">
        <f>+[1]モンスター計算!S360</f>
        <v>-7.0000000000000007E-2</v>
      </c>
      <c r="T357" s="5">
        <f>+[1]モンスター計算!T360</f>
        <v>-7.0000000000000007E-2</v>
      </c>
      <c r="U357" s="5">
        <f>+[1]モンスター計算!U360</f>
        <v>-7.0000000000000007E-2</v>
      </c>
      <c r="V357" s="13">
        <f>+[1]モンスター計算!V360</f>
        <v>5.4</v>
      </c>
      <c r="W357" s="30">
        <v>11</v>
      </c>
      <c r="X357" s="27" t="s">
        <v>70</v>
      </c>
      <c r="Y357" s="33" t="s">
        <v>91</v>
      </c>
      <c r="Z357" s="13">
        <v>1.25</v>
      </c>
      <c r="AA357" s="30">
        <v>20</v>
      </c>
      <c r="AB357" s="30">
        <f t="shared" si="10"/>
        <v>351</v>
      </c>
      <c r="AC357" s="47">
        <f t="shared" si="11"/>
        <v>60</v>
      </c>
      <c r="AD357" s="27" t="s">
        <v>74</v>
      </c>
      <c r="AE357" s="5">
        <v>0</v>
      </c>
      <c r="AF357" s="5">
        <v>0</v>
      </c>
      <c r="AG357" s="13" t="b">
        <v>0</v>
      </c>
      <c r="AH357" s="30" t="s">
        <v>1268</v>
      </c>
      <c r="AI357" s="33" t="s">
        <v>1825</v>
      </c>
    </row>
    <row r="358" spans="1:35">
      <c r="A358" s="52" t="s">
        <v>909</v>
      </c>
      <c r="B358" s="13" t="s">
        <v>873</v>
      </c>
      <c r="C358" s="27" t="s">
        <v>47</v>
      </c>
      <c r="D358" s="13" t="s">
        <v>61</v>
      </c>
      <c r="E358" s="27">
        <f>+[1]モンスター計算!E361</f>
        <v>33216</v>
      </c>
      <c r="F358" s="5">
        <f>+[1]モンスター計算!F361</f>
        <v>4036</v>
      </c>
      <c r="G358" s="5">
        <f>+[1]モンスター計算!G361</f>
        <v>1771</v>
      </c>
      <c r="H358" s="5">
        <f>+[1]モンスター計算!H361</f>
        <v>3936</v>
      </c>
      <c r="I358" s="5">
        <f>+[1]モンスター計算!I361</f>
        <v>2879</v>
      </c>
      <c r="J358" s="13">
        <f>+[1]モンスター計算!J361</f>
        <v>1882</v>
      </c>
      <c r="K358" s="27">
        <f>+[1]モンスター計算!K361</f>
        <v>0.08</v>
      </c>
      <c r="L358" s="13">
        <f>+[1]モンスター計算!L361</f>
        <v>1.6</v>
      </c>
      <c r="M358" s="27">
        <f>+[1]モンスター計算!M361</f>
        <v>2.8</v>
      </c>
      <c r="N358" s="5">
        <f>+[1]モンスター計算!N361</f>
        <v>1</v>
      </c>
      <c r="O358" s="13">
        <f>+[1]モンスター計算!O361</f>
        <v>2.5</v>
      </c>
      <c r="P358" s="27">
        <f>+[1]モンスター計算!P361</f>
        <v>1.4999999999999999E-2</v>
      </c>
      <c r="Q358" s="5">
        <f>+[1]モンスター計算!Q361</f>
        <v>1.4999999999999999E-2</v>
      </c>
      <c r="R358" s="5">
        <f>+[1]モンスター計算!R361</f>
        <v>1.4999999999999999E-2</v>
      </c>
      <c r="S358" s="5">
        <f>+[1]モンスター計算!S361</f>
        <v>1.4999999999999999E-2</v>
      </c>
      <c r="T358" s="5">
        <f>+[1]モンスター計算!T361</f>
        <v>0.21500000000000002</v>
      </c>
      <c r="U358" s="5">
        <f>+[1]モンスター計算!U361</f>
        <v>-8.5000000000000006E-2</v>
      </c>
      <c r="V358" s="13">
        <f>+[1]モンスター計算!V361</f>
        <v>4</v>
      </c>
      <c r="W358" s="30">
        <v>15</v>
      </c>
      <c r="X358" s="27" t="s">
        <v>72</v>
      </c>
      <c r="Y358" s="33" t="s">
        <v>92</v>
      </c>
      <c r="Z358" s="13">
        <v>1.3</v>
      </c>
      <c r="AA358" s="30">
        <v>40</v>
      </c>
      <c r="AB358" s="30">
        <f t="shared" si="10"/>
        <v>408</v>
      </c>
      <c r="AC358" s="47">
        <f t="shared" si="11"/>
        <v>60</v>
      </c>
      <c r="AD358" s="27" t="s">
        <v>55</v>
      </c>
      <c r="AE358" s="5">
        <v>10</v>
      </c>
      <c r="AF358" s="5">
        <v>4</v>
      </c>
      <c r="AG358" s="13" t="b">
        <v>1</v>
      </c>
      <c r="AH358" s="30" t="s">
        <v>1269</v>
      </c>
      <c r="AI358" s="33" t="s">
        <v>1825</v>
      </c>
    </row>
    <row r="359" spans="1:35">
      <c r="A359" s="52" t="s">
        <v>910</v>
      </c>
      <c r="B359" s="13" t="s">
        <v>874</v>
      </c>
      <c r="C359" s="27" t="s">
        <v>45</v>
      </c>
      <c r="D359" s="13" t="s">
        <v>61</v>
      </c>
      <c r="E359" s="27">
        <f>+[1]モンスター計算!E362</f>
        <v>50378</v>
      </c>
      <c r="F359" s="5">
        <f>+[1]モンスター計算!F362</f>
        <v>1291</v>
      </c>
      <c r="G359" s="5">
        <f>+[1]モンスター計算!G362</f>
        <v>3710</v>
      </c>
      <c r="H359" s="5">
        <f>+[1]モンスター計算!H362</f>
        <v>1402</v>
      </c>
      <c r="I359" s="5">
        <f>+[1]モンスター計算!I362</f>
        <v>4761</v>
      </c>
      <c r="J359" s="13">
        <f>+[1]モンスター計算!J362</f>
        <v>2347</v>
      </c>
      <c r="K359" s="27">
        <f>+[1]モンスター計算!K362</f>
        <v>0.03</v>
      </c>
      <c r="L359" s="13">
        <f>+[1]モンスター計算!L362</f>
        <v>1.35</v>
      </c>
      <c r="M359" s="27">
        <f>+[1]モンスター計算!M362</f>
        <v>1.5</v>
      </c>
      <c r="N359" s="5">
        <f>+[1]モンスター計算!N362</f>
        <v>0.65</v>
      </c>
      <c r="O359" s="13">
        <f>+[1]モンスター計算!O362</f>
        <v>1</v>
      </c>
      <c r="P359" s="27">
        <f>+[1]モンスター計算!P362</f>
        <v>0</v>
      </c>
      <c r="Q359" s="5">
        <f>+[1]モンスター計算!Q362</f>
        <v>0.30000000000000004</v>
      </c>
      <c r="R359" s="5">
        <f>+[1]モンスター計算!R362</f>
        <v>0.1</v>
      </c>
      <c r="S359" s="5">
        <f>+[1]モンスター計算!S362</f>
        <v>0.1</v>
      </c>
      <c r="T359" s="5">
        <f>+[1]モンスター計算!T362</f>
        <v>0.1</v>
      </c>
      <c r="U359" s="5">
        <f>+[1]モンスター計算!U362</f>
        <v>0.1</v>
      </c>
      <c r="V359" s="13">
        <f>+[1]モンスター計算!V362</f>
        <v>3.4</v>
      </c>
      <c r="W359" s="30">
        <v>8</v>
      </c>
      <c r="X359" s="27" t="s">
        <v>109</v>
      </c>
      <c r="Y359" s="33" t="s">
        <v>87</v>
      </c>
      <c r="Z359" s="13">
        <v>1.2</v>
      </c>
      <c r="AA359" s="30">
        <v>5</v>
      </c>
      <c r="AB359" s="30">
        <f t="shared" si="10"/>
        <v>523</v>
      </c>
      <c r="AC359" s="47">
        <f t="shared" si="11"/>
        <v>60</v>
      </c>
      <c r="AD359" s="27" t="s">
        <v>51</v>
      </c>
      <c r="AE359" s="5">
        <v>7</v>
      </c>
      <c r="AF359" s="5">
        <v>3</v>
      </c>
      <c r="AG359" s="13" t="b">
        <v>1</v>
      </c>
      <c r="AH359" s="30" t="s">
        <v>1270</v>
      </c>
      <c r="AI359" s="33" t="s">
        <v>1825</v>
      </c>
    </row>
    <row r="360" spans="1:35">
      <c r="A360" s="52" t="s">
        <v>911</v>
      </c>
      <c r="B360" s="13" t="s">
        <v>875</v>
      </c>
      <c r="C360" s="27" t="s">
        <v>44</v>
      </c>
      <c r="D360" s="13" t="s">
        <v>61</v>
      </c>
      <c r="E360" s="27">
        <f>+[1]モンスター計算!E363</f>
        <v>21867</v>
      </c>
      <c r="F360" s="5">
        <f>+[1]モンスター計算!F363</f>
        <v>1525</v>
      </c>
      <c r="G360" s="5">
        <f>+[1]モンスター計算!G363</f>
        <v>4742</v>
      </c>
      <c r="H360" s="5">
        <f>+[1]モンスター計算!H363</f>
        <v>1494</v>
      </c>
      <c r="I360" s="5">
        <f>+[1]モンスター計算!I363</f>
        <v>1749</v>
      </c>
      <c r="J360" s="13">
        <f>+[1]モンスター計算!J363</f>
        <v>1617</v>
      </c>
      <c r="K360" s="27">
        <f>+[1]モンスター計算!K363</f>
        <v>0.1</v>
      </c>
      <c r="L360" s="13">
        <f>+[1]モンスター計算!L363</f>
        <v>1.85</v>
      </c>
      <c r="M360" s="27">
        <f>+[1]モンスター計算!M363</f>
        <v>4</v>
      </c>
      <c r="N360" s="5">
        <f>+[1]モンスター計算!N363</f>
        <v>1.41</v>
      </c>
      <c r="O360" s="13">
        <f>+[1]モンスター計算!O363</f>
        <v>1</v>
      </c>
      <c r="P360" s="27">
        <f>+[1]モンスター計算!P363</f>
        <v>0.14500000000000002</v>
      </c>
      <c r="Q360" s="5">
        <f>+[1]モンスター計算!Q363</f>
        <v>-0.155</v>
      </c>
      <c r="R360" s="5">
        <f>+[1]モンスター計算!R363</f>
        <v>-5.5E-2</v>
      </c>
      <c r="S360" s="5">
        <f>+[1]モンスター計算!S363</f>
        <v>-5.5E-2</v>
      </c>
      <c r="T360" s="5">
        <f>+[1]モンスター計算!T363</f>
        <v>-5.5E-2</v>
      </c>
      <c r="U360" s="5">
        <f>+[1]モンスター計算!U363</f>
        <v>-5.5E-2</v>
      </c>
      <c r="V360" s="13">
        <f>+[1]モンスター計算!V363</f>
        <v>6.4</v>
      </c>
      <c r="W360" s="30">
        <v>8</v>
      </c>
      <c r="X360" s="27" t="s">
        <v>64</v>
      </c>
      <c r="Y360" s="33" t="s">
        <v>88</v>
      </c>
      <c r="Z360" s="13">
        <v>1.2</v>
      </c>
      <c r="AA360" s="30">
        <v>7</v>
      </c>
      <c r="AB360" s="30">
        <f t="shared" si="10"/>
        <v>607</v>
      </c>
      <c r="AC360" s="47">
        <f t="shared" si="11"/>
        <v>60</v>
      </c>
      <c r="AD360" s="27" t="s">
        <v>49</v>
      </c>
      <c r="AE360" s="5">
        <v>7.5</v>
      </c>
      <c r="AF360" s="5">
        <v>3</v>
      </c>
      <c r="AG360" s="13" t="b">
        <v>1</v>
      </c>
      <c r="AH360" s="30" t="s">
        <v>1271</v>
      </c>
      <c r="AI360" s="33" t="s">
        <v>1825</v>
      </c>
    </row>
    <row r="361" spans="1:35" ht="19.5" thickBot="1">
      <c r="A361" s="53" t="s">
        <v>912</v>
      </c>
      <c r="B361" s="16" t="s">
        <v>876</v>
      </c>
      <c r="C361" s="28" t="s">
        <v>46</v>
      </c>
      <c r="D361" s="16" t="s">
        <v>61</v>
      </c>
      <c r="E361" s="28">
        <f>+[1]モンスター計算!E364</f>
        <v>22698</v>
      </c>
      <c r="F361" s="15">
        <f>+[1]モンスター計算!F364</f>
        <v>3632</v>
      </c>
      <c r="G361" s="15">
        <f>+[1]モンスター計算!G364</f>
        <v>2787</v>
      </c>
      <c r="H361" s="15">
        <f>+[1]モンスター計算!H364</f>
        <v>6193</v>
      </c>
      <c r="I361" s="15">
        <f>+[1]モンスター計算!I364</f>
        <v>1882</v>
      </c>
      <c r="J361" s="16">
        <f>+[1]モンスター計算!J364</f>
        <v>2214</v>
      </c>
      <c r="K361" s="28">
        <f>+[1]モンスター計算!K364</f>
        <v>0.05</v>
      </c>
      <c r="L361" s="16">
        <f>+[1]モンスター計算!L364</f>
        <v>1.5</v>
      </c>
      <c r="M361" s="28">
        <f>+[1]モンスター計算!M364</f>
        <v>2</v>
      </c>
      <c r="N361" s="15">
        <f>+[1]モンスター計算!N364</f>
        <v>1</v>
      </c>
      <c r="O361" s="16">
        <f>+[1]モンスター計算!O364</f>
        <v>2.5</v>
      </c>
      <c r="P361" s="28">
        <f>+[1]モンスター計算!P364</f>
        <v>-0.02</v>
      </c>
      <c r="Q361" s="15">
        <f>+[1]モンスター計算!Q364</f>
        <v>-0.02</v>
      </c>
      <c r="R361" s="15">
        <f>+[1]モンスター計算!R364</f>
        <v>0.18000000000000002</v>
      </c>
      <c r="S361" s="15">
        <f>+[1]モンスター計算!S364</f>
        <v>-0.12000000000000001</v>
      </c>
      <c r="T361" s="15">
        <f>+[1]モンスター計算!T364</f>
        <v>-0.02</v>
      </c>
      <c r="U361" s="15">
        <f>+[1]モンスター計算!U364</f>
        <v>-0.02</v>
      </c>
      <c r="V361" s="16">
        <f>+[1]モンスター計算!V364</f>
        <v>4</v>
      </c>
      <c r="W361" s="31">
        <v>9</v>
      </c>
      <c r="X361" s="28" t="s">
        <v>66</v>
      </c>
      <c r="Y361" s="34" t="s">
        <v>89</v>
      </c>
      <c r="Z361" s="16">
        <v>1.22</v>
      </c>
      <c r="AA361" s="31">
        <v>10</v>
      </c>
      <c r="AB361" s="31">
        <f t="shared" si="10"/>
        <v>868</v>
      </c>
      <c r="AC361" s="48">
        <f t="shared" si="11"/>
        <v>60</v>
      </c>
      <c r="AD361" s="28" t="s">
        <v>53</v>
      </c>
      <c r="AE361" s="15">
        <v>8.5</v>
      </c>
      <c r="AF361" s="15">
        <v>3</v>
      </c>
      <c r="AG361" s="16" t="b">
        <v>1</v>
      </c>
      <c r="AH361" s="31" t="s">
        <v>1272</v>
      </c>
      <c r="AI361" s="34" t="s">
        <v>1825</v>
      </c>
    </row>
    <row r="362" spans="1:35">
      <c r="A362" s="51" t="s">
        <v>913</v>
      </c>
      <c r="B362" s="11" t="s">
        <v>877</v>
      </c>
      <c r="C362" s="26" t="s">
        <v>44</v>
      </c>
      <c r="D362" s="11" t="s">
        <v>59</v>
      </c>
      <c r="E362" s="26">
        <f>+[1]モンスター計算!E365</f>
        <v>36538</v>
      </c>
      <c r="F362" s="10">
        <f>+[1]モンスター計算!F365</f>
        <v>2210</v>
      </c>
      <c r="G362" s="10">
        <f>+[1]モンスター計算!G365</f>
        <v>4181</v>
      </c>
      <c r="H362" s="10">
        <f>+[1]モンスター計算!H365</f>
        <v>1562</v>
      </c>
      <c r="I362" s="10">
        <f>+[1]モンスター計算!I365</f>
        <v>1851</v>
      </c>
      <c r="J362" s="11">
        <f>+[1]モンスター計算!J365</f>
        <v>5115</v>
      </c>
      <c r="K362" s="26">
        <f>+[1]モンスター計算!K365</f>
        <v>0.05</v>
      </c>
      <c r="L362" s="11">
        <f>+[1]モンスター計算!L365</f>
        <v>1.47</v>
      </c>
      <c r="M362" s="26">
        <f>+[1]モンスター計算!M365</f>
        <v>2.4500000000000002</v>
      </c>
      <c r="N362" s="10">
        <f>+[1]モンスター計算!N365</f>
        <v>1</v>
      </c>
      <c r="O362" s="11">
        <f>+[1]モンスター計算!O365</f>
        <v>1</v>
      </c>
      <c r="P362" s="26">
        <f>+[1]モンスター計算!P365</f>
        <v>0.26500000000000001</v>
      </c>
      <c r="Q362" s="10">
        <f>+[1]モンスター計算!Q365</f>
        <v>-3.5000000000000003E-2</v>
      </c>
      <c r="R362" s="10">
        <f>+[1]モンスター計算!R365</f>
        <v>6.5000000000000002E-2</v>
      </c>
      <c r="S362" s="10">
        <f>+[1]モンスター計算!S365</f>
        <v>6.5000000000000002E-2</v>
      </c>
      <c r="T362" s="10">
        <f>+[1]モンスター計算!T365</f>
        <v>6.5000000000000002E-2</v>
      </c>
      <c r="U362" s="10">
        <f>+[1]モンスター計算!U365</f>
        <v>6.5000000000000002E-2</v>
      </c>
      <c r="V362" s="11">
        <f>+[1]モンスター計算!V365</f>
        <v>4.2</v>
      </c>
      <c r="W362" s="29">
        <v>10</v>
      </c>
      <c r="X362" s="26" t="s">
        <v>1639</v>
      </c>
      <c r="Y362" s="32" t="s">
        <v>90</v>
      </c>
      <c r="Z362" s="11">
        <v>1.25</v>
      </c>
      <c r="AA362" s="29">
        <v>15</v>
      </c>
      <c r="AB362" s="29">
        <f t="shared" si="10"/>
        <v>334</v>
      </c>
      <c r="AC362" s="46">
        <f t="shared" si="11"/>
        <v>61</v>
      </c>
      <c r="AD362" s="26" t="s">
        <v>74</v>
      </c>
      <c r="AE362" s="10">
        <v>0</v>
      </c>
      <c r="AF362" s="10">
        <v>0</v>
      </c>
      <c r="AG362" s="11" t="b">
        <v>0</v>
      </c>
      <c r="AH362" s="29" t="s">
        <v>1273</v>
      </c>
      <c r="AI362" s="32" t="s">
        <v>1825</v>
      </c>
    </row>
    <row r="363" spans="1:35">
      <c r="A363" s="52" t="s">
        <v>914</v>
      </c>
      <c r="B363" s="13" t="s">
        <v>878</v>
      </c>
      <c r="C363" s="27" t="s">
        <v>45</v>
      </c>
      <c r="D363" s="13" t="s">
        <v>59</v>
      </c>
      <c r="E363" s="27">
        <f>+[1]モンスター計算!E366</f>
        <v>27403</v>
      </c>
      <c r="F363" s="5">
        <f>+[1]モンスター計算!F366</f>
        <v>1578</v>
      </c>
      <c r="G363" s="5">
        <f>+[1]モンスター計算!G366</f>
        <v>5242</v>
      </c>
      <c r="H363" s="5">
        <f>+[1]モンスター計算!H366</f>
        <v>2359</v>
      </c>
      <c r="I363" s="5">
        <f>+[1]モンスター計算!I366</f>
        <v>2192</v>
      </c>
      <c r="J363" s="13">
        <f>+[1]モンスター計算!J366</f>
        <v>2192</v>
      </c>
      <c r="K363" s="27">
        <f>+[1]モンスター計算!K366</f>
        <v>0.11</v>
      </c>
      <c r="L363" s="13">
        <f>+[1]モンスター計算!L366</f>
        <v>1.75</v>
      </c>
      <c r="M363" s="27">
        <f>+[1]モンスター計算!M366</f>
        <v>3</v>
      </c>
      <c r="N363" s="5">
        <f>+[1]モンスター計算!N366</f>
        <v>1.18</v>
      </c>
      <c r="O363" s="13">
        <f>+[1]モンスター計算!O366</f>
        <v>1</v>
      </c>
      <c r="P363" s="27">
        <f>+[1]モンスター計算!P366</f>
        <v>-0.13</v>
      </c>
      <c r="Q363" s="5">
        <f>+[1]モンスター計算!Q366</f>
        <v>0.17</v>
      </c>
      <c r="R363" s="5">
        <f>+[1]モンスター計算!R366</f>
        <v>-0.03</v>
      </c>
      <c r="S363" s="5">
        <f>+[1]モンスター計算!S366</f>
        <v>-0.03</v>
      </c>
      <c r="T363" s="5">
        <f>+[1]モンスター計算!T366</f>
        <v>-0.03</v>
      </c>
      <c r="U363" s="5">
        <f>+[1]モンスター計算!U366</f>
        <v>-0.03</v>
      </c>
      <c r="V363" s="13">
        <f>+[1]モンスター計算!V366</f>
        <v>4.2</v>
      </c>
      <c r="W363" s="30">
        <v>11</v>
      </c>
      <c r="X363" s="27" t="s">
        <v>70</v>
      </c>
      <c r="Y363" s="33" t="s">
        <v>91</v>
      </c>
      <c r="Z363" s="13">
        <v>1.25</v>
      </c>
      <c r="AA363" s="30">
        <v>20</v>
      </c>
      <c r="AB363" s="30">
        <f t="shared" si="10"/>
        <v>369</v>
      </c>
      <c r="AC363" s="47">
        <f t="shared" si="11"/>
        <v>61</v>
      </c>
      <c r="AD363" s="27" t="s">
        <v>74</v>
      </c>
      <c r="AE363" s="5">
        <v>0</v>
      </c>
      <c r="AF363" s="5">
        <v>0</v>
      </c>
      <c r="AG363" s="13" t="b">
        <v>0</v>
      </c>
      <c r="AH363" s="30" t="s">
        <v>1274</v>
      </c>
      <c r="AI363" s="33" t="s">
        <v>1825</v>
      </c>
    </row>
    <row r="364" spans="1:35">
      <c r="A364" s="52" t="s">
        <v>915</v>
      </c>
      <c r="B364" s="13" t="s">
        <v>879</v>
      </c>
      <c r="C364" s="27" t="s">
        <v>47</v>
      </c>
      <c r="D364" s="13" t="s">
        <v>61</v>
      </c>
      <c r="E364" s="27">
        <f>+[1]モンスター計算!E367</f>
        <v>21314</v>
      </c>
      <c r="F364" s="5">
        <f>+[1]モンスター計算!F367</f>
        <v>1677</v>
      </c>
      <c r="G364" s="5">
        <f>+[1]モンスター計算!G367</f>
        <v>6511</v>
      </c>
      <c r="H364" s="5">
        <f>+[1]モンスター計算!H367</f>
        <v>2197</v>
      </c>
      <c r="I364" s="5">
        <f>+[1]モンスター計算!I367</f>
        <v>1851</v>
      </c>
      <c r="J364" s="13">
        <f>+[1]モンスター計算!J367</f>
        <v>1900</v>
      </c>
      <c r="K364" s="27">
        <f>+[1]モンスター計算!K367</f>
        <v>0.11</v>
      </c>
      <c r="L364" s="13">
        <f>+[1]モンスター計算!L367</f>
        <v>1.58</v>
      </c>
      <c r="M364" s="27">
        <f>+[1]モンスター計算!M367</f>
        <v>4.45</v>
      </c>
      <c r="N364" s="5">
        <f>+[1]モンスター計算!N367</f>
        <v>1.3</v>
      </c>
      <c r="O364" s="13">
        <f>+[1]モンスター計算!O367</f>
        <v>1</v>
      </c>
      <c r="P364" s="27">
        <f>+[1]モンスター計算!P367</f>
        <v>-0.06</v>
      </c>
      <c r="Q364" s="5">
        <f>+[1]モンスター計算!Q367</f>
        <v>-0.06</v>
      </c>
      <c r="R364" s="5">
        <f>+[1]モンスター計算!R367</f>
        <v>-0.06</v>
      </c>
      <c r="S364" s="5">
        <f>+[1]モンスター計算!S367</f>
        <v>-0.06</v>
      </c>
      <c r="T364" s="5">
        <f>+[1]モンスター計算!T367</f>
        <v>0.14000000000000001</v>
      </c>
      <c r="U364" s="5">
        <f>+[1]モンスター計算!U367</f>
        <v>-0.16</v>
      </c>
      <c r="V364" s="13">
        <f>+[1]モンスター計算!V367</f>
        <v>5.6</v>
      </c>
      <c r="W364" s="30">
        <v>15</v>
      </c>
      <c r="X364" s="27" t="s">
        <v>72</v>
      </c>
      <c r="Y364" s="33" t="s">
        <v>92</v>
      </c>
      <c r="Z364" s="13">
        <v>1.3</v>
      </c>
      <c r="AA364" s="30">
        <v>40</v>
      </c>
      <c r="AB364" s="30">
        <f t="shared" si="10"/>
        <v>429</v>
      </c>
      <c r="AC364" s="47">
        <f t="shared" si="11"/>
        <v>61</v>
      </c>
      <c r="AD364" s="27" t="s">
        <v>55</v>
      </c>
      <c r="AE364" s="5">
        <v>10</v>
      </c>
      <c r="AF364" s="5">
        <v>4</v>
      </c>
      <c r="AG364" s="13" t="b">
        <v>1</v>
      </c>
      <c r="AH364" s="30" t="s">
        <v>1275</v>
      </c>
      <c r="AI364" s="33" t="s">
        <v>1825</v>
      </c>
    </row>
    <row r="365" spans="1:35">
      <c r="A365" s="52" t="s">
        <v>916</v>
      </c>
      <c r="B365" s="13" t="s">
        <v>880</v>
      </c>
      <c r="C365" s="27" t="s">
        <v>45</v>
      </c>
      <c r="D365" s="13" t="s">
        <v>61</v>
      </c>
      <c r="E365" s="27">
        <f>+[1]モンスター計算!E368</f>
        <v>32275</v>
      </c>
      <c r="F365" s="5">
        <f>+[1]モンスター計算!F368</f>
        <v>7769</v>
      </c>
      <c r="G365" s="5">
        <f>+[1]モンスター計算!G368</f>
        <v>1565</v>
      </c>
      <c r="H365" s="5">
        <f>+[1]モンスター計算!H368</f>
        <v>5352</v>
      </c>
      <c r="I365" s="5">
        <f>+[1]モンスター計算!I368</f>
        <v>1876</v>
      </c>
      <c r="J365" s="13">
        <f>+[1]モンスター計算!J368</f>
        <v>4993</v>
      </c>
      <c r="K365" s="27">
        <f>+[1]モンスター計算!K368</f>
        <v>4.4999999999999998E-2</v>
      </c>
      <c r="L365" s="13">
        <f>+[1]モンスター計算!L368</f>
        <v>1.45</v>
      </c>
      <c r="M365" s="27">
        <f>+[1]モンスター計算!M368</f>
        <v>1.9</v>
      </c>
      <c r="N365" s="5">
        <f>+[1]モンスター計算!N368</f>
        <v>0.84</v>
      </c>
      <c r="O365" s="13">
        <f>+[1]モンスター計算!O368</f>
        <v>2.65</v>
      </c>
      <c r="P365" s="27">
        <f>+[1]モンスター計算!P368</f>
        <v>-1.0000000000000009E-2</v>
      </c>
      <c r="Q365" s="5">
        <f>+[1]モンスター計算!Q368</f>
        <v>0.29000000000000004</v>
      </c>
      <c r="R365" s="5">
        <f>+[1]モンスター計算!R368</f>
        <v>0.09</v>
      </c>
      <c r="S365" s="5">
        <f>+[1]モンスター計算!S368</f>
        <v>0.09</v>
      </c>
      <c r="T365" s="5">
        <f>+[1]モンスター計算!T368</f>
        <v>0.09</v>
      </c>
      <c r="U365" s="5">
        <f>+[1]モンスター計算!U368</f>
        <v>0.09</v>
      </c>
      <c r="V365" s="13">
        <f>+[1]モンスター計算!V368</f>
        <v>4.4000000000000004</v>
      </c>
      <c r="W365" s="30">
        <v>8</v>
      </c>
      <c r="X365" s="27" t="s">
        <v>109</v>
      </c>
      <c r="Y365" s="33" t="s">
        <v>87</v>
      </c>
      <c r="Z365" s="13">
        <v>1.2</v>
      </c>
      <c r="AA365" s="30">
        <v>5</v>
      </c>
      <c r="AB365" s="30">
        <f t="shared" si="10"/>
        <v>550</v>
      </c>
      <c r="AC365" s="47">
        <f t="shared" si="11"/>
        <v>61</v>
      </c>
      <c r="AD365" s="27" t="s">
        <v>51</v>
      </c>
      <c r="AE365" s="5">
        <v>7</v>
      </c>
      <c r="AF365" s="5">
        <v>3</v>
      </c>
      <c r="AG365" s="13" t="b">
        <v>1</v>
      </c>
      <c r="AH365" s="30" t="s">
        <v>1276</v>
      </c>
      <c r="AI365" s="33" t="s">
        <v>1825</v>
      </c>
    </row>
    <row r="366" spans="1:35">
      <c r="A366" s="52" t="s">
        <v>917</v>
      </c>
      <c r="B366" s="13" t="s">
        <v>881</v>
      </c>
      <c r="C366" s="27" t="s">
        <v>44</v>
      </c>
      <c r="D366" s="13" t="s">
        <v>61</v>
      </c>
      <c r="E366" s="27">
        <f>+[1]モンスター計算!E369</f>
        <v>23141</v>
      </c>
      <c r="F366" s="5">
        <f>+[1]モンスター計算!F369</f>
        <v>1223</v>
      </c>
      <c r="G366" s="5">
        <f>+[1]モンスター計算!G369</f>
        <v>8634</v>
      </c>
      <c r="H366" s="5">
        <f>+[1]モンスター計算!H369</f>
        <v>2409</v>
      </c>
      <c r="I366" s="5">
        <f>+[1]モンスター計算!I369</f>
        <v>1851</v>
      </c>
      <c r="J366" s="13">
        <f>+[1]モンスター計算!J369</f>
        <v>1705</v>
      </c>
      <c r="K366" s="27">
        <f>+[1]モンスター計算!K369</f>
        <v>9.5000000000000001E-2</v>
      </c>
      <c r="L366" s="13">
        <f>+[1]モンスター計算!L369</f>
        <v>2.4</v>
      </c>
      <c r="M366" s="27">
        <f>+[1]モンスター計算!M369</f>
        <v>3.35</v>
      </c>
      <c r="N366" s="5">
        <f>+[1]モンスター計算!N369</f>
        <v>0.86</v>
      </c>
      <c r="O366" s="13">
        <f>+[1]モンスター計算!O369</f>
        <v>1</v>
      </c>
      <c r="P366" s="27">
        <f>+[1]モンスター計算!P369</f>
        <v>0.13</v>
      </c>
      <c r="Q366" s="5">
        <f>+[1]モンスター計算!Q369</f>
        <v>-0.17</v>
      </c>
      <c r="R366" s="5">
        <f>+[1]モンスター計算!R369</f>
        <v>-7.0000000000000007E-2</v>
      </c>
      <c r="S366" s="5">
        <f>+[1]モンスター計算!S369</f>
        <v>-7.0000000000000007E-2</v>
      </c>
      <c r="T366" s="5">
        <f>+[1]モンスター計算!T369</f>
        <v>-7.0000000000000007E-2</v>
      </c>
      <c r="U366" s="5">
        <f>+[1]モンスター計算!U369</f>
        <v>-7.0000000000000007E-2</v>
      </c>
      <c r="V366" s="13">
        <f>+[1]モンスター計算!V369</f>
        <v>4.5999999999999996</v>
      </c>
      <c r="W366" s="30">
        <v>8</v>
      </c>
      <c r="X366" s="27" t="s">
        <v>64</v>
      </c>
      <c r="Y366" s="33" t="s">
        <v>88</v>
      </c>
      <c r="Z366" s="13">
        <v>1.2</v>
      </c>
      <c r="AA366" s="30">
        <v>7</v>
      </c>
      <c r="AB366" s="30">
        <f t="shared" si="10"/>
        <v>638</v>
      </c>
      <c r="AC366" s="47">
        <f t="shared" si="11"/>
        <v>61</v>
      </c>
      <c r="AD366" s="27" t="s">
        <v>49</v>
      </c>
      <c r="AE366" s="5">
        <v>7.5</v>
      </c>
      <c r="AF366" s="5">
        <v>3</v>
      </c>
      <c r="AG366" s="13" t="b">
        <v>1</v>
      </c>
      <c r="AH366" s="30" t="s">
        <v>1277</v>
      </c>
      <c r="AI366" s="33" t="s">
        <v>1825</v>
      </c>
    </row>
    <row r="367" spans="1:35" ht="19.5" thickBot="1">
      <c r="A367" s="61" t="s">
        <v>918</v>
      </c>
      <c r="B367" s="62" t="s">
        <v>882</v>
      </c>
      <c r="C367" s="63" t="s">
        <v>46</v>
      </c>
      <c r="D367" s="62" t="s">
        <v>61</v>
      </c>
      <c r="E367" s="63">
        <f>+[1]モンスター計算!E370</f>
        <v>30448</v>
      </c>
      <c r="F367" s="64">
        <f>+[1]モンスター計算!F370</f>
        <v>6437</v>
      </c>
      <c r="G367" s="64">
        <f>+[1]モンスター計算!G370</f>
        <v>2444</v>
      </c>
      <c r="H367" s="64">
        <f>+[1]モンスター計算!H370</f>
        <v>5431</v>
      </c>
      <c r="I367" s="64">
        <f>+[1]モンスター計算!I370</f>
        <v>2436</v>
      </c>
      <c r="J367" s="62">
        <f>+[1]モンスター計算!J370</f>
        <v>2923</v>
      </c>
      <c r="K367" s="63">
        <f>+[1]モンスター計算!K370</f>
        <v>0.06</v>
      </c>
      <c r="L367" s="62">
        <f>+[1]モンスター計算!L370</f>
        <v>1.4</v>
      </c>
      <c r="M367" s="63">
        <f>+[1]モンスター計算!M370</f>
        <v>2.1</v>
      </c>
      <c r="N367" s="64">
        <f>+[1]モンスター計算!N370</f>
        <v>0.95</v>
      </c>
      <c r="O367" s="62">
        <f>+[1]モンスター計算!O370</f>
        <v>2.875</v>
      </c>
      <c r="P367" s="63">
        <f>+[1]モンスター計算!P370</f>
        <v>0.03</v>
      </c>
      <c r="Q367" s="64">
        <f>+[1]モンスター計算!Q370</f>
        <v>0.03</v>
      </c>
      <c r="R367" s="64">
        <f>+[1]モンスター計算!R370</f>
        <v>0.23</v>
      </c>
      <c r="S367" s="64">
        <f>+[1]モンスター計算!S370</f>
        <v>-7.0000000000000007E-2</v>
      </c>
      <c r="T367" s="64">
        <f>+[1]モンスター計算!T370</f>
        <v>0.03</v>
      </c>
      <c r="U367" s="64">
        <f>+[1]モンスター計算!U370</f>
        <v>0.03</v>
      </c>
      <c r="V367" s="62">
        <f>+[1]モンスター計算!V370</f>
        <v>4.8</v>
      </c>
      <c r="W367" s="65">
        <v>9</v>
      </c>
      <c r="X367" s="63" t="s">
        <v>66</v>
      </c>
      <c r="Y367" s="66" t="s">
        <v>89</v>
      </c>
      <c r="Z367" s="62">
        <v>1.22</v>
      </c>
      <c r="AA367" s="65">
        <v>10</v>
      </c>
      <c r="AB367" s="65">
        <f t="shared" si="10"/>
        <v>912</v>
      </c>
      <c r="AC367" s="67">
        <f t="shared" si="11"/>
        <v>61</v>
      </c>
      <c r="AD367" s="63" t="s">
        <v>53</v>
      </c>
      <c r="AE367" s="64">
        <v>8.5</v>
      </c>
      <c r="AF367" s="64">
        <v>3</v>
      </c>
      <c r="AG367" s="62" t="b">
        <v>1</v>
      </c>
      <c r="AH367" s="65" t="s">
        <v>1278</v>
      </c>
      <c r="AI367" s="34" t="s">
        <v>1825</v>
      </c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6708D6-C7F1-46D8-8888-3E394B45ADB5}">
          <x14:formula1>
            <xm:f>入力規制リスト!$A$1:$A$7</xm:f>
          </x14:formula1>
          <xm:sqref>C2:C992</xm:sqref>
        </x14:dataValidation>
        <x14:dataValidation type="list" allowBlank="1" showInputMessage="1" showErrorMessage="1" xr:uid="{242E4BC1-B1DC-4267-962F-75D670B3142D}">
          <x14:formula1>
            <xm:f>入力規制リスト!$C$1:$C$2</xm:f>
          </x14:formula1>
          <xm:sqref>D2:D992</xm:sqref>
        </x14:dataValidation>
        <x14:dataValidation type="list" allowBlank="1" showInputMessage="1" showErrorMessage="1" xr:uid="{528AD8FA-9873-4E0D-960B-B3A0E54709D6}">
          <x14:formula1>
            <xm:f>入力規制リスト!$B$1:$B$7</xm:f>
          </x14:formula1>
          <xm:sqref>AD2:AD992</xm:sqref>
        </x14:dataValidation>
        <x14:dataValidation type="list" allowBlank="1" showInputMessage="1" showErrorMessage="1" xr:uid="{0B99545A-6AA4-491E-9D9E-8F013142E718}">
          <x14:formula1>
            <xm:f>入力規制リスト!$D$1:$D$2</xm:f>
          </x14:formula1>
          <xm:sqref>AG2:AG992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83C4-7BE7-4B34-A6BB-BF2143EF2391}">
  <dimension ref="A1:C2"/>
  <sheetViews>
    <sheetView workbookViewId="0">
      <selection activeCell="B5" sqref="B5"/>
    </sheetView>
  </sheetViews>
  <sheetFormatPr defaultRowHeight="18.75"/>
  <sheetData>
    <row r="1" spans="1:3">
      <c r="A1" t="s">
        <v>1642</v>
      </c>
      <c r="B1" t="s">
        <v>1643</v>
      </c>
      <c r="C1" t="s">
        <v>1644</v>
      </c>
    </row>
    <row r="2" spans="1:3">
      <c r="A2" t="s">
        <v>9</v>
      </c>
      <c r="B2" t="s">
        <v>524</v>
      </c>
      <c r="C2" t="s">
        <v>531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77AF-B02F-4786-8B75-A28E61D11A7F}">
  <dimension ref="A1:U3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7" defaultRowHeight="18.75"/>
  <cols>
    <col min="1" max="1" width="7" style="4"/>
    <col min="2" max="16384" width="7" style="3"/>
  </cols>
  <sheetData>
    <row r="1" spans="1:21" ht="19.5" thickBot="1">
      <c r="A1" s="6" t="s">
        <v>6</v>
      </c>
      <c r="B1" s="21" t="s">
        <v>7</v>
      </c>
      <c r="C1" s="25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8" t="s">
        <v>21</v>
      </c>
      <c r="I1" s="25" t="s">
        <v>22</v>
      </c>
      <c r="J1" s="8" t="s">
        <v>23</v>
      </c>
      <c r="K1" s="25" t="s">
        <v>24</v>
      </c>
      <c r="L1" s="7" t="s">
        <v>25</v>
      </c>
      <c r="M1" s="8" t="s">
        <v>26</v>
      </c>
      <c r="N1" s="25" t="s">
        <v>27</v>
      </c>
      <c r="O1" s="7" t="s">
        <v>28</v>
      </c>
      <c r="P1" s="7" t="s">
        <v>29</v>
      </c>
      <c r="Q1" s="7" t="s">
        <v>85</v>
      </c>
      <c r="R1" s="7" t="s">
        <v>30</v>
      </c>
      <c r="S1" s="8" t="s">
        <v>31</v>
      </c>
      <c r="T1" s="17" t="s">
        <v>35</v>
      </c>
      <c r="U1" s="8" t="s">
        <v>78</v>
      </c>
    </row>
    <row r="2" spans="1:21">
      <c r="A2" s="9" t="s">
        <v>63</v>
      </c>
      <c r="B2" s="22" t="s">
        <v>79</v>
      </c>
      <c r="C2" s="50">
        <f>+[2]称号計算!I7</f>
        <v>0.1416</v>
      </c>
      <c r="D2" s="10">
        <f>+[2]称号計算!J7</f>
        <v>0.15540000000000001</v>
      </c>
      <c r="E2" s="10">
        <f>+[2]称号計算!K7</f>
        <v>3.9199999999999999E-2</v>
      </c>
      <c r="F2" s="10">
        <f>+[2]称号計算!L7</f>
        <v>0.39250000000000002</v>
      </c>
      <c r="G2" s="10">
        <f>+[2]称号計算!M7</f>
        <v>0.1134</v>
      </c>
      <c r="H2" s="11">
        <f>+[2]称号計算!N7</f>
        <v>0.13339999999999999</v>
      </c>
      <c r="I2" s="26">
        <f>+[2]称号計算!O7</f>
        <v>8.6300000000000002E-2</v>
      </c>
      <c r="J2" s="11">
        <f>+[2]称号計算!P7</f>
        <v>0.10199999999999999</v>
      </c>
      <c r="K2" s="26">
        <f>+[2]称号計算!Q7</f>
        <v>6.9099999999999995E-2</v>
      </c>
      <c r="L2" s="10">
        <f>+[2]称号計算!R7</f>
        <v>0.157</v>
      </c>
      <c r="M2" s="11">
        <f>+[2]称号計算!S7</f>
        <v>0.1099</v>
      </c>
      <c r="N2" s="26">
        <f>+[2]称号計算!T7</f>
        <v>1.0999999999999999E-2</v>
      </c>
      <c r="O2" s="10">
        <f>+[2]称号計算!U7</f>
        <v>5.5199999999999999E-2</v>
      </c>
      <c r="P2" s="10">
        <f>+[2]称号計算!V7</f>
        <v>3.7000000000000002E-3</v>
      </c>
      <c r="Q2" s="10">
        <f>+[2]称号計算!W7</f>
        <v>3.7000000000000002E-3</v>
      </c>
      <c r="R2" s="10">
        <f>+[2]称号計算!X7</f>
        <v>2.8E-3</v>
      </c>
      <c r="S2" s="11">
        <f>+[2]称号計算!Y7</f>
        <v>2.8E-3</v>
      </c>
      <c r="T2" s="18">
        <f>+[2]称号計算!Z7</f>
        <v>0.4667</v>
      </c>
      <c r="U2" s="11">
        <v>1</v>
      </c>
    </row>
    <row r="3" spans="1:21">
      <c r="A3" s="12" t="s">
        <v>65</v>
      </c>
      <c r="B3" s="23" t="s">
        <v>80</v>
      </c>
      <c r="C3" s="27">
        <f>+[2]称号計算!I8</f>
        <v>0.17899999999999999</v>
      </c>
      <c r="D3" s="5">
        <f>+[2]称号計算!J8</f>
        <v>0.2157</v>
      </c>
      <c r="E3" s="5">
        <f>+[2]称号計算!K8</f>
        <v>2.4E-2</v>
      </c>
      <c r="F3" s="5">
        <f>+[2]称号計算!L8</f>
        <v>0.36320000000000002</v>
      </c>
      <c r="G3" s="5">
        <f>+[2]称号計算!M8</f>
        <v>0.24079999999999999</v>
      </c>
      <c r="H3" s="13">
        <f>+[2]称号計算!N8</f>
        <v>8.8900000000000007E-2</v>
      </c>
      <c r="I3" s="27">
        <f>+[2]称号計算!O8</f>
        <v>8.7900000000000006E-2</v>
      </c>
      <c r="J3" s="13">
        <f>+[2]称号計算!P8</f>
        <v>9.4399999999999998E-2</v>
      </c>
      <c r="K3" s="27">
        <f>+[2]称号計算!Q8</f>
        <v>5.91E-2</v>
      </c>
      <c r="L3" s="5">
        <f>+[2]称号計算!R8</f>
        <v>0.12640000000000001</v>
      </c>
      <c r="M3" s="13">
        <f>+[2]称号計算!S8</f>
        <v>9.5600000000000004E-2</v>
      </c>
      <c r="N3" s="27">
        <f>+[2]称号計算!T8</f>
        <v>7.9399999999999998E-2</v>
      </c>
      <c r="O3" s="5">
        <f>+[2]称号計算!U8</f>
        <v>1.5900000000000001E-2</v>
      </c>
      <c r="P3" s="5">
        <f>+[2]称号計算!V8</f>
        <v>5.3E-3</v>
      </c>
      <c r="Q3" s="5">
        <f>+[2]称号計算!W8</f>
        <v>5.3E-3</v>
      </c>
      <c r="R3" s="5">
        <f>+[2]称号計算!X8</f>
        <v>4.0000000000000001E-3</v>
      </c>
      <c r="S3" s="13">
        <f>+[2]称号計算!Y8</f>
        <v>4.0000000000000001E-3</v>
      </c>
      <c r="T3" s="19">
        <f>+[2]称号計算!Z8</f>
        <v>0.47689999999999999</v>
      </c>
      <c r="U3" s="13">
        <v>1</v>
      </c>
    </row>
    <row r="4" spans="1:21">
      <c r="A4" s="12" t="s">
        <v>67</v>
      </c>
      <c r="B4" s="23" t="s">
        <v>81</v>
      </c>
      <c r="C4" s="27">
        <f>+[2]称号計算!I9</f>
        <v>0.1678</v>
      </c>
      <c r="D4" s="5">
        <f>+[2]称号計算!J9</f>
        <v>0.18240000000000001</v>
      </c>
      <c r="E4" s="5">
        <f>+[2]称号計算!K9</f>
        <v>4.1399999999999999E-2</v>
      </c>
      <c r="F4" s="5">
        <f>+[2]称号計算!L9</f>
        <v>0.41449999999999998</v>
      </c>
      <c r="G4" s="5">
        <f>+[2]称号計算!M9</f>
        <v>0.13389999999999999</v>
      </c>
      <c r="H4" s="13">
        <f>+[2]称号計算!N9</f>
        <v>0.14799999999999999</v>
      </c>
      <c r="I4" s="27">
        <f>+[2]称号計算!O9</f>
        <v>9.1200000000000003E-2</v>
      </c>
      <c r="J4" s="13">
        <f>+[2]称号計算!P9</f>
        <v>0.10780000000000001</v>
      </c>
      <c r="K4" s="27">
        <f>+[2]称号計算!Q9</f>
        <v>7.2999999999999995E-2</v>
      </c>
      <c r="L4" s="5">
        <f>+[2]称号計算!R9</f>
        <v>0.1741</v>
      </c>
      <c r="M4" s="13">
        <f>+[2]称号計算!S9</f>
        <v>0.11609999999999999</v>
      </c>
      <c r="N4" s="27">
        <f>+[2]称号計算!T9</f>
        <v>4.4000000000000003E-3</v>
      </c>
      <c r="O4" s="5">
        <f>+[2]称号計算!U9</f>
        <v>4.4000000000000003E-3</v>
      </c>
      <c r="P4" s="5">
        <f>+[2]称号計算!V9</f>
        <v>6.6000000000000003E-2</v>
      </c>
      <c r="Q4" s="5">
        <f>+[2]称号計算!W9</f>
        <v>1.6500000000000001E-2</v>
      </c>
      <c r="R4" s="5">
        <f>+[2]称号計算!X9</f>
        <v>3.3E-3</v>
      </c>
      <c r="S4" s="13">
        <f>+[2]称号計算!Y9</f>
        <v>3.3E-3</v>
      </c>
      <c r="T4" s="19">
        <f>+[2]称号計算!Z9</f>
        <v>0.51329999999999998</v>
      </c>
      <c r="U4" s="13">
        <v>0.9</v>
      </c>
    </row>
    <row r="5" spans="1:21">
      <c r="A5" s="12" t="s">
        <v>69</v>
      </c>
      <c r="B5" s="23" t="s">
        <v>82</v>
      </c>
      <c r="C5" s="27">
        <f>+[2]称号計算!I10</f>
        <v>0.25530000000000003</v>
      </c>
      <c r="D5" s="5">
        <f>+[2]称号計算!J10</f>
        <v>7.0400000000000004E-2</v>
      </c>
      <c r="E5" s="5">
        <f>+[2]称号計算!K10</f>
        <v>0.45689999999999997</v>
      </c>
      <c r="F5" s="5">
        <f>+[2]称号計算!L10</f>
        <v>2.9700000000000001E-2</v>
      </c>
      <c r="G5" s="5">
        <f>+[2]称号計算!M10</f>
        <v>0.16309999999999999</v>
      </c>
      <c r="H5" s="13">
        <f>+[2]称号計算!N10</f>
        <v>0.13669999999999999</v>
      </c>
      <c r="I5" s="27">
        <f>+[2]称号計算!O10</f>
        <v>0.1206</v>
      </c>
      <c r="J5" s="13">
        <f>+[2]称号計算!P10</f>
        <v>0.17030000000000001</v>
      </c>
      <c r="K5" s="27">
        <f>+[2]称号計算!Q10</f>
        <v>6.6299999999999998E-2</v>
      </c>
      <c r="L5" s="5">
        <f>+[2]称号計算!R10</f>
        <v>9.69E-2</v>
      </c>
      <c r="M5" s="13">
        <f>+[2]称号計算!S10</f>
        <v>0.15870000000000001</v>
      </c>
      <c r="N5" s="27">
        <f>+[2]称号計算!T10</f>
        <v>6.2100000000000002E-2</v>
      </c>
      <c r="O5" s="5">
        <f>+[2]称号計算!U10</f>
        <v>1.24E-2</v>
      </c>
      <c r="P5" s="5">
        <f>+[2]称号計算!V10</f>
        <v>4.1000000000000003E-3</v>
      </c>
      <c r="Q5" s="5">
        <f>+[2]称号計算!W10</f>
        <v>4.1000000000000003E-3</v>
      </c>
      <c r="R5" s="5">
        <f>+[2]称号計算!X10</f>
        <v>3.0999999999999999E-3</v>
      </c>
      <c r="S5" s="13">
        <f>+[2]称号計算!Y10</f>
        <v>3.0999999999999999E-3</v>
      </c>
      <c r="T5" s="19">
        <f>+[2]称号計算!Z10</f>
        <v>0.50309999999999999</v>
      </c>
      <c r="U5" s="13">
        <v>0.55000000000000004</v>
      </c>
    </row>
    <row r="6" spans="1:21">
      <c r="A6" s="12" t="s">
        <v>71</v>
      </c>
      <c r="B6" s="23" t="s">
        <v>83</v>
      </c>
      <c r="C6" s="27">
        <f>+[2]称号計算!I11</f>
        <v>0.1835</v>
      </c>
      <c r="D6" s="5">
        <f>+[2]称号計算!J11</f>
        <v>8.9700000000000002E-2</v>
      </c>
      <c r="E6" s="5">
        <f>+[2]称号計算!K11</f>
        <v>0.45329999999999998</v>
      </c>
      <c r="F6" s="5">
        <f>+[2]称号計算!L11</f>
        <v>3.6299999999999999E-2</v>
      </c>
      <c r="G6" s="5">
        <f>+[2]称号計算!M11</f>
        <v>0.14180000000000001</v>
      </c>
      <c r="H6" s="13">
        <f>+[2]称号計算!N11</f>
        <v>0.13100000000000001</v>
      </c>
      <c r="I6" s="27">
        <f>+[2]称号計算!O11</f>
        <v>0.1396</v>
      </c>
      <c r="J6" s="13">
        <f>+[2]称号計算!P11</f>
        <v>0.12570000000000001</v>
      </c>
      <c r="K6" s="27">
        <f>+[2]称号計算!Q11</f>
        <v>9.7699999999999995E-2</v>
      </c>
      <c r="L6" s="5">
        <f>+[2]称号計算!R11</f>
        <v>0.1704</v>
      </c>
      <c r="M6" s="13">
        <f>+[2]称号計算!S11</f>
        <v>0.23100000000000001</v>
      </c>
      <c r="N6" s="27">
        <f>+[2]称号計算!T11</f>
        <v>1.24E-2</v>
      </c>
      <c r="O6" s="5">
        <f>+[2]称号計算!U11</f>
        <v>6.1899999999999997E-2</v>
      </c>
      <c r="P6" s="5">
        <f>+[2]称号計算!V11</f>
        <v>4.1000000000000003E-3</v>
      </c>
      <c r="Q6" s="5">
        <f>+[2]称号計算!W11</f>
        <v>4.1000000000000003E-3</v>
      </c>
      <c r="R6" s="5">
        <f>+[2]称号計算!X11</f>
        <v>3.0999999999999999E-3</v>
      </c>
      <c r="S6" s="13">
        <f>+[2]称号計算!Y11</f>
        <v>3.0999999999999999E-3</v>
      </c>
      <c r="T6" s="19">
        <f>+[2]称号計算!Z11</f>
        <v>0.60499999999999998</v>
      </c>
      <c r="U6" s="13">
        <v>0.5</v>
      </c>
    </row>
    <row r="7" spans="1:21" ht="19.5" thickBot="1">
      <c r="A7" s="14" t="s">
        <v>73</v>
      </c>
      <c r="B7" s="24" t="s">
        <v>84</v>
      </c>
      <c r="C7" s="28">
        <f>+[2]称号計算!I12</f>
        <v>0.30740000000000001</v>
      </c>
      <c r="D7" s="15">
        <f>+[2]称号計算!J12</f>
        <v>0.24129999999999999</v>
      </c>
      <c r="E7" s="15">
        <f>+[2]称号計算!K12</f>
        <v>2.64E-2</v>
      </c>
      <c r="F7" s="15">
        <f>+[2]称号計算!L12</f>
        <v>0.40620000000000001</v>
      </c>
      <c r="G7" s="15">
        <f>+[2]称号計算!M12</f>
        <v>0.22650000000000001</v>
      </c>
      <c r="H7" s="16">
        <f>+[2]称号計算!N12</f>
        <v>0.21410000000000001</v>
      </c>
      <c r="I7" s="28">
        <f>+[2]称号計算!O12</f>
        <v>6.2600000000000003E-2</v>
      </c>
      <c r="J7" s="16">
        <f>+[2]称号計算!P12</f>
        <v>9.8599999999999993E-2</v>
      </c>
      <c r="K7" s="28">
        <f>+[2]称号計算!Q12</f>
        <v>5.3600000000000002E-2</v>
      </c>
      <c r="L7" s="15">
        <f>+[2]称号計算!R12</f>
        <v>9.7500000000000003E-2</v>
      </c>
      <c r="M7" s="16">
        <f>+[2]称号計算!S12</f>
        <v>0.14099999999999999</v>
      </c>
      <c r="N7" s="28">
        <f>+[2]称号計算!T12</f>
        <v>5.5999999999999999E-3</v>
      </c>
      <c r="O7" s="15">
        <f>+[2]称号計算!U12</f>
        <v>5.5999999999999999E-3</v>
      </c>
      <c r="P7" s="15">
        <f>+[2]称号計算!V12</f>
        <v>5.5999999999999999E-3</v>
      </c>
      <c r="Q7" s="15">
        <f>+[2]称号計算!W12</f>
        <v>5.5999999999999999E-3</v>
      </c>
      <c r="R7" s="15">
        <f>+[2]称号計算!X12</f>
        <v>0.111</v>
      </c>
      <c r="S7" s="16">
        <f>+[2]称号計算!Y12</f>
        <v>1.4800000000000001E-2</v>
      </c>
      <c r="T7" s="20">
        <f>+[2]称号計算!Z12</f>
        <v>0.53129999999999999</v>
      </c>
      <c r="U7" s="16">
        <v>0.25</v>
      </c>
    </row>
    <row r="8" spans="1:21">
      <c r="A8" s="9" t="s">
        <v>919</v>
      </c>
      <c r="B8" s="22" t="s">
        <v>1279</v>
      </c>
      <c r="C8" s="26">
        <f>+[2]称号計算!I13</f>
        <v>0.1613</v>
      </c>
      <c r="D8" s="10">
        <f>+[2]称号計算!J13</f>
        <v>0.26640000000000003</v>
      </c>
      <c r="E8" s="10">
        <f>+[2]称号計算!K13</f>
        <v>2.2499999999999999E-2</v>
      </c>
      <c r="F8" s="10">
        <f>+[2]称号計算!L13</f>
        <v>0.34589999999999999</v>
      </c>
      <c r="G8" s="10">
        <f>+[2]称号計算!M13</f>
        <v>9.06E-2</v>
      </c>
      <c r="H8" s="11">
        <f>+[2]称号計算!N13</f>
        <v>0.24110000000000001</v>
      </c>
      <c r="I8" s="26">
        <f>+[2]称号計算!O13</f>
        <v>6.8500000000000005E-2</v>
      </c>
      <c r="J8" s="11">
        <f>+[2]称号計算!P13</f>
        <v>8.6900000000000005E-2</v>
      </c>
      <c r="K8" s="26">
        <f>+[2]称号計算!Q13</f>
        <v>5.7799999999999997E-2</v>
      </c>
      <c r="L8" s="10">
        <f>+[2]称号計算!R13</f>
        <v>0.1162</v>
      </c>
      <c r="M8" s="11">
        <f>+[2]称号計算!S13</f>
        <v>0.1027</v>
      </c>
      <c r="N8" s="26">
        <f>+[2]称号計算!T13</f>
        <v>5.7000000000000002E-3</v>
      </c>
      <c r="O8" s="10">
        <f>+[2]称号計算!U13</f>
        <v>5.7000000000000002E-3</v>
      </c>
      <c r="P8" s="10">
        <f>+[2]称号計算!V13</f>
        <v>8.4900000000000003E-2</v>
      </c>
      <c r="Q8" s="10">
        <f>+[2]称号計算!W13</f>
        <v>2.12E-2</v>
      </c>
      <c r="R8" s="10">
        <f>+[2]称号計算!X13</f>
        <v>4.1999999999999997E-3</v>
      </c>
      <c r="S8" s="11">
        <f>+[2]称号計算!Y13</f>
        <v>4.1999999999999997E-3</v>
      </c>
      <c r="T8" s="18">
        <f>+[2]称号計算!Z13</f>
        <v>0.47670000000000001</v>
      </c>
      <c r="U8" s="11">
        <v>1</v>
      </c>
    </row>
    <row r="9" spans="1:21">
      <c r="A9" s="12" t="s">
        <v>920</v>
      </c>
      <c r="B9" s="23" t="s">
        <v>1280</v>
      </c>
      <c r="C9" s="27">
        <f>+[2]称号計算!I14</f>
        <v>8.7099999999999997E-2</v>
      </c>
      <c r="D9" s="5">
        <f>+[2]称号計算!J14</f>
        <v>0.2374</v>
      </c>
      <c r="E9" s="5">
        <f>+[2]称号計算!K14</f>
        <v>2.8799999999999999E-2</v>
      </c>
      <c r="F9" s="5">
        <f>+[2]称号計算!L14</f>
        <v>0.35970000000000002</v>
      </c>
      <c r="G9" s="5">
        <f>+[2]称号計算!M14</f>
        <v>0.17730000000000001</v>
      </c>
      <c r="H9" s="13">
        <f>+[2]称号計算!N14</f>
        <v>0.2752</v>
      </c>
      <c r="I9" s="27">
        <f>+[2]称号計算!O14</f>
        <v>6.3299999999999995E-2</v>
      </c>
      <c r="J9" s="13">
        <f>+[2]称号計算!P14</f>
        <v>8.5999999999999993E-2</v>
      </c>
      <c r="K9" s="27">
        <f>+[2]称号計算!Q14</f>
        <v>6.9599999999999995E-2</v>
      </c>
      <c r="L9" s="5">
        <f>+[2]称号計算!R14</f>
        <v>0.12659999999999999</v>
      </c>
      <c r="M9" s="13">
        <f>+[2]称号計算!S14</f>
        <v>0.12690000000000001</v>
      </c>
      <c r="N9" s="27">
        <f>+[2]称号計算!T14</f>
        <v>9.8299999999999998E-2</v>
      </c>
      <c r="O9" s="5">
        <f>+[2]称号計算!U14</f>
        <v>1.9699999999999999E-2</v>
      </c>
      <c r="P9" s="5">
        <f>+[2]称号計算!V14</f>
        <v>6.6E-3</v>
      </c>
      <c r="Q9" s="5">
        <f>+[2]称号計算!W14</f>
        <v>6.6E-3</v>
      </c>
      <c r="R9" s="5">
        <f>+[2]称号計算!X14</f>
        <v>4.8999999999999998E-3</v>
      </c>
      <c r="S9" s="13">
        <f>+[2]称号計算!Y14</f>
        <v>4.8999999999999998E-3</v>
      </c>
      <c r="T9" s="19">
        <f>+[2]称号計算!Z14</f>
        <v>0.52780000000000005</v>
      </c>
      <c r="U9" s="13">
        <v>1</v>
      </c>
    </row>
    <row r="10" spans="1:21">
      <c r="A10" s="12" t="s">
        <v>921</v>
      </c>
      <c r="B10" s="23" t="s">
        <v>1281</v>
      </c>
      <c r="C10" s="27">
        <f>+[2]称号計算!I15</f>
        <v>0.17480000000000001</v>
      </c>
      <c r="D10" s="5">
        <f>+[2]称号計算!J15</f>
        <v>0.2535</v>
      </c>
      <c r="E10" s="5">
        <f>+[2]称号計算!K15</f>
        <v>3.9699999999999999E-2</v>
      </c>
      <c r="F10" s="5">
        <f>+[2]称号計算!L15</f>
        <v>0.39729999999999999</v>
      </c>
      <c r="G10" s="5">
        <f>+[2]称号計算!M15</f>
        <v>0.1351</v>
      </c>
      <c r="H10" s="13">
        <f>+[2]称号計算!N15</f>
        <v>0.16209999999999999</v>
      </c>
      <c r="I10" s="27">
        <f>+[2]称号計算!O15</f>
        <v>0.10489999999999999</v>
      </c>
      <c r="J10" s="13">
        <f>+[2]称号計算!P15</f>
        <v>9.64E-2</v>
      </c>
      <c r="K10" s="27">
        <f>+[2]称号計算!Q15</f>
        <v>7.3400000000000007E-2</v>
      </c>
      <c r="L10" s="5">
        <f>+[2]称号計算!R15</f>
        <v>0.151</v>
      </c>
      <c r="M10" s="13">
        <f>+[2]称号計算!S15</f>
        <v>0.12790000000000001</v>
      </c>
      <c r="N10" s="27">
        <f>+[2]称号計算!T15</f>
        <v>5.1000000000000004E-3</v>
      </c>
      <c r="O10" s="5">
        <f>+[2]称号計算!U15</f>
        <v>5.1000000000000004E-3</v>
      </c>
      <c r="P10" s="5">
        <f>+[2]称号計算!V15</f>
        <v>1.9199999999999998E-2</v>
      </c>
      <c r="Q10" s="5">
        <f>+[2]称号計算!W15</f>
        <v>7.6899999999999996E-2</v>
      </c>
      <c r="R10" s="5">
        <f>+[2]称号計算!X15</f>
        <v>3.8E-3</v>
      </c>
      <c r="S10" s="13">
        <f>+[2]称号計算!Y15</f>
        <v>3.8E-3</v>
      </c>
      <c r="T10" s="19">
        <f>+[2]称号計算!Z15</f>
        <v>0.54339999999999999</v>
      </c>
      <c r="U10" s="13">
        <v>0.9</v>
      </c>
    </row>
    <row r="11" spans="1:21">
      <c r="A11" s="12" t="s">
        <v>922</v>
      </c>
      <c r="B11" s="23" t="s">
        <v>1282</v>
      </c>
      <c r="C11" s="27">
        <f>+[2]称号計算!I16</f>
        <v>0.24340000000000001</v>
      </c>
      <c r="D11" s="5">
        <f>+[2]称号計算!J16</f>
        <v>0.10829999999999999</v>
      </c>
      <c r="E11" s="5">
        <f>+[2]称号計算!K16</f>
        <v>0.46879999999999999</v>
      </c>
      <c r="F11" s="5">
        <f>+[2]称号計算!L16</f>
        <v>3.2800000000000003E-2</v>
      </c>
      <c r="G11" s="5">
        <f>+[2]称号計算!M16</f>
        <v>0.1817</v>
      </c>
      <c r="H11" s="13">
        <f>+[2]称号計算!N16</f>
        <v>0.1817</v>
      </c>
      <c r="I11" s="27">
        <f>+[2]称号計算!O16</f>
        <v>8.2500000000000004E-2</v>
      </c>
      <c r="J11" s="13">
        <f>+[2]称号計算!P16</f>
        <v>0.1162</v>
      </c>
      <c r="K11" s="27">
        <f>+[2]称号計算!Q16</f>
        <v>8.8700000000000001E-2</v>
      </c>
      <c r="L11" s="5">
        <f>+[2]称号計算!R16</f>
        <v>0.16500000000000001</v>
      </c>
      <c r="M11" s="13">
        <f>+[2]称号計算!S16</f>
        <v>0.12470000000000001</v>
      </c>
      <c r="N11" s="27">
        <f>+[2]称号計算!T16</f>
        <v>7.1999999999999998E-3</v>
      </c>
      <c r="O11" s="5">
        <f>+[2]称号計算!U16</f>
        <v>7.1999999999999998E-3</v>
      </c>
      <c r="P11" s="5">
        <f>+[2]称号計算!V16</f>
        <v>2.69E-2</v>
      </c>
      <c r="Q11" s="5">
        <f>+[2]称号計算!W16</f>
        <v>0.1076</v>
      </c>
      <c r="R11" s="5">
        <f>+[2]称号計算!X16</f>
        <v>5.4000000000000003E-3</v>
      </c>
      <c r="S11" s="13">
        <f>+[2]称号計算!Y16</f>
        <v>5.4000000000000003E-3</v>
      </c>
      <c r="T11" s="19">
        <f>+[2]称号計算!Z16</f>
        <v>0.57310000000000005</v>
      </c>
      <c r="U11" s="13">
        <v>0.55000000000000004</v>
      </c>
    </row>
    <row r="12" spans="1:21">
      <c r="A12" s="12" t="s">
        <v>923</v>
      </c>
      <c r="B12" s="23" t="s">
        <v>1283</v>
      </c>
      <c r="C12" s="27">
        <f>+[2]称号計算!I17</f>
        <v>0.15429999999999999</v>
      </c>
      <c r="D12" s="5">
        <f>+[2]称号計算!J17</f>
        <v>6.3899999999999998E-2</v>
      </c>
      <c r="E12" s="5">
        <f>+[2]称号計算!K17</f>
        <v>0.40310000000000001</v>
      </c>
      <c r="F12" s="5">
        <f>+[2]称号計算!L17</f>
        <v>2.6200000000000001E-2</v>
      </c>
      <c r="G12" s="5">
        <f>+[2]称号計算!M17</f>
        <v>0.1179</v>
      </c>
      <c r="H12" s="13">
        <f>+[2]称号計算!N17</f>
        <v>0.1055</v>
      </c>
      <c r="I12" s="27">
        <f>+[2]称号計算!O17</f>
        <v>0.47889999999999999</v>
      </c>
      <c r="J12" s="13">
        <f>+[2]称号計算!P17</f>
        <v>0.14180000000000001</v>
      </c>
      <c r="K12" s="27">
        <f>+[2]称号計算!Q17</f>
        <v>9.7600000000000006E-2</v>
      </c>
      <c r="L12" s="5">
        <f>+[2]称号計算!R17</f>
        <v>0.16769999999999999</v>
      </c>
      <c r="M12" s="13">
        <f>+[2]称号計算!S17</f>
        <v>0.11509999999999999</v>
      </c>
      <c r="N12" s="27">
        <f>+[2]称号計算!T17</f>
        <v>3.8E-3</v>
      </c>
      <c r="O12" s="5">
        <f>+[2]称号計算!U17</f>
        <v>3.8E-3</v>
      </c>
      <c r="P12" s="5">
        <f>+[2]称号計算!V17</f>
        <v>1.4200000000000001E-2</v>
      </c>
      <c r="Q12" s="5">
        <f>+[2]称号計算!W17</f>
        <v>5.6899999999999999E-2</v>
      </c>
      <c r="R12" s="5">
        <f>+[2]称号計算!X17</f>
        <v>2.8E-3</v>
      </c>
      <c r="S12" s="13">
        <f>+[2]称号計算!Y17</f>
        <v>2.8E-3</v>
      </c>
      <c r="T12" s="19">
        <f>+[2]称号計算!Z17</f>
        <v>0.66039999999999999</v>
      </c>
      <c r="U12" s="13">
        <v>0.5</v>
      </c>
    </row>
    <row r="13" spans="1:21" ht="19.5" thickBot="1">
      <c r="A13" s="14" t="s">
        <v>924</v>
      </c>
      <c r="B13" s="24" t="s">
        <v>1284</v>
      </c>
      <c r="C13" s="28">
        <f>+[2]称号計算!I18</f>
        <v>0.20219999999999999</v>
      </c>
      <c r="D13" s="15">
        <f>+[2]称号計算!J18</f>
        <v>0.2225</v>
      </c>
      <c r="E13" s="15">
        <f>+[2]称号計算!K18</f>
        <v>4.5999999999999999E-2</v>
      </c>
      <c r="F13" s="15">
        <f>+[2]称号計算!L18</f>
        <v>0.45960000000000001</v>
      </c>
      <c r="G13" s="15">
        <f>+[2]称号計算!M18</f>
        <v>0.14849999999999999</v>
      </c>
      <c r="H13" s="16">
        <f>+[2]称号計算!N18</f>
        <v>0.1719</v>
      </c>
      <c r="I13" s="28">
        <f>+[2]称号計算!O18</f>
        <v>0.1416</v>
      </c>
      <c r="J13" s="16">
        <f>+[2]称号計算!P18</f>
        <v>0.1235</v>
      </c>
      <c r="K13" s="28">
        <f>+[2]称号計算!Q18</f>
        <v>9.2999999999999999E-2</v>
      </c>
      <c r="L13" s="15">
        <f>+[2]称号計算!R18</f>
        <v>0.20219999999999999</v>
      </c>
      <c r="M13" s="16">
        <f>+[2]称号計算!S18</f>
        <v>0.13900000000000001</v>
      </c>
      <c r="N13" s="28">
        <f>+[2]称号計算!T18</f>
        <v>3.3999999999999998E-3</v>
      </c>
      <c r="O13" s="15">
        <f>+[2]称号計算!U18</f>
        <v>3.3999999999999998E-3</v>
      </c>
      <c r="P13" s="15">
        <f>+[2]称号計算!V18</f>
        <v>3.3999999999999998E-3</v>
      </c>
      <c r="Q13" s="15">
        <f>+[2]称号計算!W18</f>
        <v>3.3999999999999998E-3</v>
      </c>
      <c r="R13" s="15">
        <f>+[2]称号計算!X18</f>
        <v>9.1999999999999998E-3</v>
      </c>
      <c r="S13" s="16">
        <f>+[2]称号計算!Y18</f>
        <v>6.8599999999999994E-2</v>
      </c>
      <c r="T13" s="20">
        <f>+[2]称号計算!Z18</f>
        <v>0.63919999999999999</v>
      </c>
      <c r="U13" s="16">
        <v>0.25</v>
      </c>
    </row>
    <row r="14" spans="1:21">
      <c r="A14" s="9" t="s">
        <v>925</v>
      </c>
      <c r="B14" s="22" t="s">
        <v>1285</v>
      </c>
      <c r="C14" s="26">
        <f>+[2]称号計算!I19</f>
        <v>0.19320000000000001</v>
      </c>
      <c r="D14" s="10">
        <f>+[2]称号計算!J19</f>
        <v>0.30359999999999998</v>
      </c>
      <c r="E14" s="10">
        <f>+[2]称号計算!K19</f>
        <v>2.63E-2</v>
      </c>
      <c r="F14" s="10">
        <f>+[2]称号計算!L19</f>
        <v>0.31369999999999998</v>
      </c>
      <c r="G14" s="10">
        <f>+[2]称号計算!M19</f>
        <v>0.1013</v>
      </c>
      <c r="H14" s="11">
        <f>+[2]称号計算!N19</f>
        <v>0.1792</v>
      </c>
      <c r="I14" s="26">
        <f>+[2]称号計算!O19</f>
        <v>0.15870000000000001</v>
      </c>
      <c r="J14" s="11">
        <f>+[2]称号計算!P19</f>
        <v>0.106</v>
      </c>
      <c r="K14" s="26">
        <f>+[2]称号計算!Q19</f>
        <v>3.3099999999999997E-2</v>
      </c>
      <c r="L14" s="10">
        <f>+[2]称号計算!R19</f>
        <v>9.0300000000000005E-2</v>
      </c>
      <c r="M14" s="11">
        <f>+[2]称号計算!S19</f>
        <v>0.1168</v>
      </c>
      <c r="N14" s="26">
        <f>+[2]称号計算!T19</f>
        <v>4.3E-3</v>
      </c>
      <c r="O14" s="10">
        <f>+[2]称号計算!U19</f>
        <v>4.3E-3</v>
      </c>
      <c r="P14" s="10">
        <f>+[2]称号計算!V19</f>
        <v>4.3E-3</v>
      </c>
      <c r="Q14" s="10">
        <f>+[2]称号計算!W19</f>
        <v>4.3E-3</v>
      </c>
      <c r="R14" s="10">
        <f>+[2]称号計算!X19</f>
        <v>1.14E-2</v>
      </c>
      <c r="S14" s="11">
        <f>+[2]称号計算!Y19</f>
        <v>8.5699999999999998E-2</v>
      </c>
      <c r="T14" s="18">
        <f>+[2]称号計算!Z19</f>
        <v>0.43259999999999998</v>
      </c>
      <c r="U14" s="11">
        <v>1</v>
      </c>
    </row>
    <row r="15" spans="1:21">
      <c r="A15" s="12" t="s">
        <v>926</v>
      </c>
      <c r="B15" s="23" t="s">
        <v>1286</v>
      </c>
      <c r="C15" s="27">
        <f>+[2]称号計算!I20</f>
        <v>0.1396</v>
      </c>
      <c r="D15" s="5">
        <f>+[2]称号計算!J20</f>
        <v>0.20580000000000001</v>
      </c>
      <c r="E15" s="5">
        <f>+[2]称号計算!K20</f>
        <v>4.07E-2</v>
      </c>
      <c r="F15" s="5">
        <f>+[2]称号計算!L20</f>
        <v>0.40679999999999999</v>
      </c>
      <c r="G15" s="5">
        <f>+[2]称号計算!M20</f>
        <v>0.1037</v>
      </c>
      <c r="H15" s="13">
        <f>+[2]称号計算!N20</f>
        <v>0.1106</v>
      </c>
      <c r="I15" s="27">
        <f>+[2]称号計算!O20</f>
        <v>0.19689999999999999</v>
      </c>
      <c r="J15" s="13">
        <f>+[2]称号計算!P20</f>
        <v>0.1163</v>
      </c>
      <c r="K15" s="27">
        <f>+[2]称号計算!Q20</f>
        <v>7.8799999999999995E-2</v>
      </c>
      <c r="L15" s="5">
        <f>+[2]称号計算!R20</f>
        <v>0.17899999999999999</v>
      </c>
      <c r="M15" s="13">
        <f>+[2]称号計算!S20</f>
        <v>0.12529999999999999</v>
      </c>
      <c r="N15" s="27">
        <f>+[2]称号計算!T20</f>
        <v>3.8E-3</v>
      </c>
      <c r="O15" s="5">
        <f>+[2]称号計算!U20</f>
        <v>3.8E-3</v>
      </c>
      <c r="P15" s="5">
        <f>+[2]称号計算!V20</f>
        <v>1.43E-2</v>
      </c>
      <c r="Q15" s="5">
        <f>+[2]称号計算!W20</f>
        <v>5.7200000000000001E-2</v>
      </c>
      <c r="R15" s="5">
        <f>+[2]称号計算!X20</f>
        <v>2.8999999999999998E-3</v>
      </c>
      <c r="S15" s="13">
        <f>+[2]称号計算!Y20</f>
        <v>2.8999999999999998E-3</v>
      </c>
      <c r="T15" s="19">
        <f>+[2]称号計算!Z20</f>
        <v>0.54890000000000005</v>
      </c>
      <c r="U15" s="13">
        <v>1</v>
      </c>
    </row>
    <row r="16" spans="1:21">
      <c r="A16" s="12" t="s">
        <v>927</v>
      </c>
      <c r="B16" s="23" t="s">
        <v>1287</v>
      </c>
      <c r="C16" s="27">
        <f>+[2]称号計算!I21</f>
        <v>0.29260000000000003</v>
      </c>
      <c r="D16" s="5">
        <f>+[2]称号計算!J21</f>
        <v>0.2296</v>
      </c>
      <c r="E16" s="5">
        <f>+[2]称号計算!K21</f>
        <v>2.5100000000000001E-2</v>
      </c>
      <c r="F16" s="5">
        <f>+[2]称号計算!L21</f>
        <v>0.3866</v>
      </c>
      <c r="G16" s="5">
        <f>+[2]称号計算!M21</f>
        <v>0.21560000000000001</v>
      </c>
      <c r="H16" s="13">
        <f>+[2]称号計算!N21</f>
        <v>0.20369999999999999</v>
      </c>
      <c r="I16" s="27">
        <f>+[2]称号計算!O21</f>
        <v>5.9499999999999997E-2</v>
      </c>
      <c r="J16" s="13">
        <f>+[2]称号計算!P21</f>
        <v>9.3799999999999994E-2</v>
      </c>
      <c r="K16" s="27">
        <f>+[2]称号計算!Q21</f>
        <v>5.0999999999999997E-2</v>
      </c>
      <c r="L16" s="5">
        <f>+[2]称号計算!R21</f>
        <v>9.2799999999999994E-2</v>
      </c>
      <c r="M16" s="13">
        <f>+[2]称号計算!S21</f>
        <v>0.13420000000000001</v>
      </c>
      <c r="N16" s="27">
        <f>+[2]称号計算!T21</f>
        <v>5.3E-3</v>
      </c>
      <c r="O16" s="5">
        <f>+[2]称号計算!U21</f>
        <v>5.3E-3</v>
      </c>
      <c r="P16" s="5">
        <f>+[2]称号計算!V21</f>
        <v>5.3E-3</v>
      </c>
      <c r="Q16" s="5">
        <f>+[2]称号計算!W21</f>
        <v>5.3E-3</v>
      </c>
      <c r="R16" s="5">
        <f>+[2]称号計算!X21</f>
        <v>1.41E-2</v>
      </c>
      <c r="S16" s="13">
        <f>+[2]称号計算!Y21</f>
        <v>0.1057</v>
      </c>
      <c r="T16" s="19">
        <f>+[2]称号計算!Z21</f>
        <v>0.50560000000000005</v>
      </c>
      <c r="U16" s="13">
        <v>0.9</v>
      </c>
    </row>
    <row r="17" spans="1:21">
      <c r="A17" s="12" t="s">
        <v>928</v>
      </c>
      <c r="B17" s="23" t="s">
        <v>1288</v>
      </c>
      <c r="C17" s="27">
        <f>+[2]称号計算!I22</f>
        <v>0.4239</v>
      </c>
      <c r="D17" s="5">
        <f>+[2]称号計算!J22</f>
        <v>6.2E-2</v>
      </c>
      <c r="E17" s="5">
        <f>+[2]称号計算!K22</f>
        <v>0.47</v>
      </c>
      <c r="F17" s="5">
        <f>+[2]称号計算!L22</f>
        <v>4.2299999999999997E-2</v>
      </c>
      <c r="G17" s="5">
        <f>+[2]称号計算!M22</f>
        <v>0.2429</v>
      </c>
      <c r="H17" s="13">
        <f>+[2]称号計算!N22</f>
        <v>0.2077</v>
      </c>
      <c r="I17" s="27">
        <f>+[2]称号計算!O22</f>
        <v>5.1700000000000003E-2</v>
      </c>
      <c r="J17" s="13">
        <f>+[2]称号計算!P22</f>
        <v>0.11</v>
      </c>
      <c r="K17" s="27">
        <f>+[2]称号計算!Q22</f>
        <v>4.7600000000000003E-2</v>
      </c>
      <c r="L17" s="5">
        <f>+[2]称号計算!R22</f>
        <v>9.5899999999999999E-2</v>
      </c>
      <c r="M17" s="13">
        <f>+[2]称号計算!S22</f>
        <v>0.1119</v>
      </c>
      <c r="N17" s="27">
        <f>+[2]称号計算!T22</f>
        <v>4.4999999999999997E-3</v>
      </c>
      <c r="O17" s="5">
        <f>+[2]称号計算!U22</f>
        <v>4.4999999999999997E-3</v>
      </c>
      <c r="P17" s="5">
        <f>+[2]称号計算!V22</f>
        <v>4.4999999999999997E-3</v>
      </c>
      <c r="Q17" s="5">
        <f>+[2]称号計算!W22</f>
        <v>4.4999999999999997E-3</v>
      </c>
      <c r="R17" s="5">
        <f>+[2]称号計算!X22</f>
        <v>1.1900000000000001E-2</v>
      </c>
      <c r="S17" s="13">
        <f>+[2]称号計算!Y22</f>
        <v>8.9599999999999999E-2</v>
      </c>
      <c r="T17" s="19">
        <f>+[2]称号計算!Z22</f>
        <v>0.4924</v>
      </c>
      <c r="U17" s="13">
        <v>0.55000000000000004</v>
      </c>
    </row>
    <row r="18" spans="1:21">
      <c r="A18" s="12" t="s">
        <v>929</v>
      </c>
      <c r="B18" s="23" t="s">
        <v>1289</v>
      </c>
      <c r="C18" s="27">
        <f>+[2]称号計算!I23</f>
        <v>0.27410000000000001</v>
      </c>
      <c r="D18" s="5">
        <f>+[2]称号計算!J23</f>
        <v>9.1399999999999995E-2</v>
      </c>
      <c r="E18" s="5">
        <f>+[2]称号計算!K23</f>
        <v>0.46150000000000002</v>
      </c>
      <c r="F18" s="5">
        <f>+[2]称号計算!L23</f>
        <v>4.6100000000000002E-2</v>
      </c>
      <c r="G18" s="5">
        <f>+[2]称号計算!M23</f>
        <v>0.21970000000000001</v>
      </c>
      <c r="H18" s="13">
        <f>+[2]称号計算!N23</f>
        <v>0.15690000000000001</v>
      </c>
      <c r="I18" s="27">
        <f>+[2]称号計算!O23</f>
        <v>0.16239999999999999</v>
      </c>
      <c r="J18" s="13">
        <f>+[2]称号計算!P23</f>
        <v>0.128</v>
      </c>
      <c r="K18" s="27">
        <f>+[2]称号計算!Q23</f>
        <v>0.1096</v>
      </c>
      <c r="L18" s="5">
        <f>+[2]称号計算!R23</f>
        <v>0.1938</v>
      </c>
      <c r="M18" s="13">
        <f>+[2]称号計算!S23</f>
        <v>0.10340000000000001</v>
      </c>
      <c r="N18" s="27">
        <f>+[2]称号計算!T23</f>
        <v>4.8999999999999998E-3</v>
      </c>
      <c r="O18" s="5">
        <f>+[2]称号計算!U23</f>
        <v>4.8999999999999998E-3</v>
      </c>
      <c r="P18" s="5">
        <f>+[2]称号計算!V23</f>
        <v>4.8999999999999998E-3</v>
      </c>
      <c r="Q18" s="5">
        <f>+[2]称号計算!W23</f>
        <v>4.8999999999999998E-3</v>
      </c>
      <c r="R18" s="5">
        <f>+[2]称号計算!X23</f>
        <v>1.3100000000000001E-2</v>
      </c>
      <c r="S18" s="13">
        <f>+[2]称号計算!Y23</f>
        <v>9.8100000000000007E-2</v>
      </c>
      <c r="T18" s="19">
        <f>+[2]称号計算!Z23</f>
        <v>0.68140000000000001</v>
      </c>
      <c r="U18" s="13">
        <v>0.5</v>
      </c>
    </row>
    <row r="19" spans="1:21" ht="19.5" thickBot="1">
      <c r="A19" s="14" t="s">
        <v>930</v>
      </c>
      <c r="B19" s="24" t="s">
        <v>1290</v>
      </c>
      <c r="C19" s="28">
        <f>+[2]称号計算!I24</f>
        <v>0.16619999999999999</v>
      </c>
      <c r="D19" s="15">
        <f>+[2]称号計算!J24</f>
        <v>0.21329999999999999</v>
      </c>
      <c r="E19" s="15">
        <f>+[2]称号計算!K24</f>
        <v>3.32E-2</v>
      </c>
      <c r="F19" s="15">
        <f>+[2]称号計算!L24</f>
        <v>0.51029999999999998</v>
      </c>
      <c r="G19" s="15">
        <f>+[2]称号計算!M24</f>
        <v>0.1249</v>
      </c>
      <c r="H19" s="16">
        <f>+[2]称号計算!N24</f>
        <v>0.1457</v>
      </c>
      <c r="I19" s="28">
        <f>+[2]称号計算!O24</f>
        <v>0.1123</v>
      </c>
      <c r="J19" s="16">
        <f>+[2]称号計算!P24</f>
        <v>0.12379999999999999</v>
      </c>
      <c r="K19" s="28">
        <f>+[2]称号計算!Q24</f>
        <v>0.15040000000000001</v>
      </c>
      <c r="L19" s="15">
        <f>+[2]称号計算!R24</f>
        <v>0.31640000000000001</v>
      </c>
      <c r="M19" s="16">
        <f>+[2]称号計算!S24</f>
        <v>0.13150000000000001</v>
      </c>
      <c r="N19" s="28">
        <f>+[2]称号計算!T24</f>
        <v>2.8999999999999998E-3</v>
      </c>
      <c r="O19" s="15">
        <f>+[2]称号計算!U24</f>
        <v>2.8999999999999998E-3</v>
      </c>
      <c r="P19" s="15">
        <f>+[2]称号計算!V24</f>
        <v>2.8999999999999998E-3</v>
      </c>
      <c r="Q19" s="15">
        <f>+[2]称号計算!W24</f>
        <v>2.8999999999999998E-3</v>
      </c>
      <c r="R19" s="15">
        <f>+[2]称号計算!X24</f>
        <v>7.7999999999999996E-3</v>
      </c>
      <c r="S19" s="16">
        <f>+[2]称号計算!Y24</f>
        <v>5.8400000000000001E-2</v>
      </c>
      <c r="T19" s="20">
        <f>+[2]称号計算!Z24</f>
        <v>0.78300000000000003</v>
      </c>
      <c r="U19" s="16">
        <v>0.25</v>
      </c>
    </row>
    <row r="20" spans="1:21">
      <c r="A20" s="9" t="s">
        <v>931</v>
      </c>
      <c r="B20" s="22" t="s">
        <v>1291</v>
      </c>
      <c r="C20" s="26">
        <f>+[2]称号計算!I25</f>
        <v>0.2046</v>
      </c>
      <c r="D20" s="10">
        <f>+[2]称号計算!J25</f>
        <v>0.17050000000000001</v>
      </c>
      <c r="E20" s="10">
        <f>+[2]称号計算!K25</f>
        <v>3.8699999999999998E-2</v>
      </c>
      <c r="F20" s="10">
        <f>+[2]称号計算!L25</f>
        <v>0.38750000000000001</v>
      </c>
      <c r="G20" s="10">
        <f>+[2]称号計算!M25</f>
        <v>0.17130000000000001</v>
      </c>
      <c r="H20" s="11">
        <f>+[2]称号計算!N25</f>
        <v>0.112</v>
      </c>
      <c r="I20" s="26">
        <f>+[2]称号計算!O25</f>
        <v>0.13639999999999999</v>
      </c>
      <c r="J20" s="11">
        <f>+[2]称号計算!P25</f>
        <v>0.1075</v>
      </c>
      <c r="K20" s="26">
        <f>+[2]称号計算!Q25</f>
        <v>9.5500000000000002E-2</v>
      </c>
      <c r="L20" s="10">
        <f>+[2]称号計算!R25</f>
        <v>0.155</v>
      </c>
      <c r="M20" s="11">
        <f>+[2]称号計算!S25</f>
        <v>0.1085</v>
      </c>
      <c r="N20" s="26">
        <f>+[2]称号計算!T25</f>
        <v>4.7999999999999996E-3</v>
      </c>
      <c r="O20" s="10">
        <f>+[2]称号計算!U25</f>
        <v>4.7999999999999996E-3</v>
      </c>
      <c r="P20" s="10">
        <f>+[2]称号計算!V25</f>
        <v>7.1499999999999994E-2</v>
      </c>
      <c r="Q20" s="10">
        <f>+[2]称号計算!W25</f>
        <v>1.7899999999999999E-2</v>
      </c>
      <c r="R20" s="10">
        <f>+[2]称号計算!X25</f>
        <v>3.5999999999999999E-3</v>
      </c>
      <c r="S20" s="11">
        <f>+[2]称号計算!Y25</f>
        <v>3.5999999999999999E-3</v>
      </c>
      <c r="T20" s="18">
        <f>+[2]称号計算!Z25</f>
        <v>0.59989999999999999</v>
      </c>
      <c r="U20" s="11">
        <v>1</v>
      </c>
    </row>
    <row r="21" spans="1:21">
      <c r="A21" s="12" t="s">
        <v>932</v>
      </c>
      <c r="B21" s="23" t="s">
        <v>1292</v>
      </c>
      <c r="C21" s="27">
        <f>+[2]称号計算!I26</f>
        <v>0.1166</v>
      </c>
      <c r="D21" s="5">
        <f>+[2]称号計算!J26</f>
        <v>0.15679999999999999</v>
      </c>
      <c r="E21" s="5">
        <f>+[2]称号計算!K26</f>
        <v>2.2800000000000001E-2</v>
      </c>
      <c r="F21" s="5">
        <f>+[2]称号計算!L26</f>
        <v>0.45689999999999997</v>
      </c>
      <c r="G21" s="5">
        <f>+[2]称号計算!M26</f>
        <v>9.9400000000000002E-2</v>
      </c>
      <c r="H21" s="13">
        <f>+[2]称号計算!N26</f>
        <v>0.10100000000000001</v>
      </c>
      <c r="I21" s="27">
        <f>+[2]称号計算!O26</f>
        <v>0.1608</v>
      </c>
      <c r="J21" s="13">
        <f>+[2]称号計算!P26</f>
        <v>0.12280000000000001</v>
      </c>
      <c r="K21" s="27">
        <f>+[2]称号計算!Q26</f>
        <v>0.16889999999999999</v>
      </c>
      <c r="L21" s="5">
        <f>+[2]称号計算!R26</f>
        <v>0.23760000000000001</v>
      </c>
      <c r="M21" s="13">
        <f>+[2]称号計算!S26</f>
        <v>0.12790000000000001</v>
      </c>
      <c r="N21" s="27">
        <f>+[2]称号計算!T26</f>
        <v>3.0000000000000001E-3</v>
      </c>
      <c r="O21" s="5">
        <f>+[2]称号計算!U26</f>
        <v>3.0000000000000001E-3</v>
      </c>
      <c r="P21" s="5">
        <f>+[2]称号計算!V26</f>
        <v>4.5400000000000003E-2</v>
      </c>
      <c r="Q21" s="5">
        <f>+[2]称号計算!W26</f>
        <v>1.1299999999999999E-2</v>
      </c>
      <c r="R21" s="5">
        <f>+[2]称号計算!X26</f>
        <v>2.3E-3</v>
      </c>
      <c r="S21" s="13">
        <f>+[2]称号計算!Y26</f>
        <v>2.3E-3</v>
      </c>
      <c r="T21" s="19">
        <f>+[2]称号計算!Z26</f>
        <v>0.76770000000000005</v>
      </c>
      <c r="U21" s="13">
        <v>1</v>
      </c>
    </row>
    <row r="22" spans="1:21">
      <c r="A22" s="12" t="s">
        <v>933</v>
      </c>
      <c r="B22" s="23" t="s">
        <v>1293</v>
      </c>
      <c r="C22" s="27">
        <f>+[2]称号計算!I27</f>
        <v>0.2109</v>
      </c>
      <c r="D22" s="5">
        <f>+[2]称号計算!J27</f>
        <v>0.25419999999999998</v>
      </c>
      <c r="E22" s="5">
        <f>+[2]称号計算!K27</f>
        <v>2.8199999999999999E-2</v>
      </c>
      <c r="F22" s="5">
        <f>+[2]称号計算!L27</f>
        <v>0.42799999999999999</v>
      </c>
      <c r="G22" s="5">
        <f>+[2]称号計算!M27</f>
        <v>0.2838</v>
      </c>
      <c r="H22" s="13">
        <f>+[2]称号計算!N27</f>
        <v>0.1048</v>
      </c>
      <c r="I22" s="27">
        <f>+[2]称号計算!O27</f>
        <v>0.1036</v>
      </c>
      <c r="J22" s="13">
        <f>+[2]称号計算!P27</f>
        <v>0.1113</v>
      </c>
      <c r="K22" s="27">
        <f>+[2]称号計算!Q27</f>
        <v>6.9699999999999998E-2</v>
      </c>
      <c r="L22" s="5">
        <f>+[2]称号計算!R27</f>
        <v>0.1489</v>
      </c>
      <c r="M22" s="13">
        <f>+[2]称号計算!S27</f>
        <v>0.11260000000000001</v>
      </c>
      <c r="N22" s="27">
        <f>+[2]称号計算!T27</f>
        <v>4.7000000000000002E-3</v>
      </c>
      <c r="O22" s="5">
        <f>+[2]称号計算!U27</f>
        <v>4.7000000000000002E-3</v>
      </c>
      <c r="P22" s="5">
        <f>+[2]称号計算!V27</f>
        <v>4.7000000000000002E-3</v>
      </c>
      <c r="Q22" s="5">
        <f>+[2]称号計算!W27</f>
        <v>4.7000000000000002E-3</v>
      </c>
      <c r="R22" s="5">
        <f>+[2]称号計算!X27</f>
        <v>1.2500000000000001E-2</v>
      </c>
      <c r="S22" s="13">
        <f>+[2]称号計算!Y27</f>
        <v>9.35E-2</v>
      </c>
      <c r="T22" s="19">
        <f>+[2]称号計算!Z27</f>
        <v>0.56200000000000006</v>
      </c>
      <c r="U22" s="13">
        <v>0.9</v>
      </c>
    </row>
    <row r="23" spans="1:21">
      <c r="A23" s="12" t="s">
        <v>934</v>
      </c>
      <c r="B23" s="23" t="s">
        <v>1294</v>
      </c>
      <c r="C23" s="27">
        <f>+[2]称号計算!I28</f>
        <v>0.25319999999999998</v>
      </c>
      <c r="D23" s="5">
        <f>+[2]称号計算!J28</f>
        <v>8.9700000000000002E-2</v>
      </c>
      <c r="E23" s="5">
        <f>+[2]称号計算!K28</f>
        <v>0.47960000000000003</v>
      </c>
      <c r="F23" s="5">
        <f>+[2]称号計算!L28</f>
        <v>4.8000000000000001E-2</v>
      </c>
      <c r="G23" s="5">
        <f>+[2]称号計算!M28</f>
        <v>0.21199999999999999</v>
      </c>
      <c r="H23" s="13">
        <f>+[2]称号計算!N28</f>
        <v>0.1386</v>
      </c>
      <c r="I23" s="27">
        <f>+[2]称号計算!O28</f>
        <v>0.16880000000000001</v>
      </c>
      <c r="J23" s="13">
        <f>+[2]称号計算!P28</f>
        <v>0.13300000000000001</v>
      </c>
      <c r="K23" s="27">
        <f>+[2]称号計算!Q28</f>
        <v>0.1182</v>
      </c>
      <c r="L23" s="5">
        <f>+[2]称号計算!R28</f>
        <v>0.1918</v>
      </c>
      <c r="M23" s="13">
        <f>+[2]称号計算!S28</f>
        <v>0.1074</v>
      </c>
      <c r="N23" s="27">
        <f>+[2]称号計算!T28</f>
        <v>4.4000000000000003E-3</v>
      </c>
      <c r="O23" s="5">
        <f>+[2]称号計算!U28</f>
        <v>4.4000000000000003E-3</v>
      </c>
      <c r="P23" s="5">
        <f>+[2]称号計算!V28</f>
        <v>4.4000000000000003E-3</v>
      </c>
      <c r="Q23" s="5">
        <f>+[2]称号計算!W28</f>
        <v>4.4000000000000003E-3</v>
      </c>
      <c r="R23" s="5">
        <f>+[2]称号計算!X28</f>
        <v>1.18E-2</v>
      </c>
      <c r="S23" s="13">
        <f>+[2]称号計算!Y28</f>
        <v>8.8499999999999995E-2</v>
      </c>
      <c r="T23" s="19">
        <f>+[2]称号計算!Z28</f>
        <v>0.68989999999999996</v>
      </c>
      <c r="U23" s="13">
        <v>0.55000000000000004</v>
      </c>
    </row>
    <row r="24" spans="1:21">
      <c r="A24" s="12" t="s">
        <v>935</v>
      </c>
      <c r="B24" s="23" t="s">
        <v>1295</v>
      </c>
      <c r="C24" s="27">
        <f>+[2]称号計算!I29</f>
        <v>0.29970000000000002</v>
      </c>
      <c r="D24" s="5">
        <f>+[2]称号計算!J29</f>
        <v>8.2600000000000007E-2</v>
      </c>
      <c r="E24" s="5">
        <f>+[2]称号計算!K29</f>
        <v>0.5363</v>
      </c>
      <c r="F24" s="5">
        <f>+[2]称号計算!L29</f>
        <v>3.49E-2</v>
      </c>
      <c r="G24" s="5">
        <f>+[2]称号計算!M29</f>
        <v>0.1915</v>
      </c>
      <c r="H24" s="13">
        <f>+[2]称号計算!N29</f>
        <v>0.1605</v>
      </c>
      <c r="I24" s="27">
        <f>+[2]称号計算!O29</f>
        <v>0.1416</v>
      </c>
      <c r="J24" s="13">
        <f>+[2]称号計算!P29</f>
        <v>0.19989999999999999</v>
      </c>
      <c r="K24" s="27">
        <f>+[2]称号計算!Q29</f>
        <v>7.7899999999999997E-2</v>
      </c>
      <c r="L24" s="5">
        <f>+[2]称号計算!R29</f>
        <v>0.1137</v>
      </c>
      <c r="M24" s="13">
        <f>+[2]称号計算!S29</f>
        <v>0.1862</v>
      </c>
      <c r="N24" s="27">
        <f>+[2]称号計算!T29</f>
        <v>7.2900000000000006E-2</v>
      </c>
      <c r="O24" s="5">
        <f>+[2]称号計算!U29</f>
        <v>1.46E-2</v>
      </c>
      <c r="P24" s="5">
        <f>+[2]称号計算!V29</f>
        <v>4.8999999999999998E-3</v>
      </c>
      <c r="Q24" s="5">
        <f>+[2]称号計算!W29</f>
        <v>4.8999999999999998E-3</v>
      </c>
      <c r="R24" s="5">
        <f>+[2]称号計算!X29</f>
        <v>3.5999999999999999E-3</v>
      </c>
      <c r="S24" s="13">
        <f>+[2]称号計算!Y29</f>
        <v>3.5999999999999999E-3</v>
      </c>
      <c r="T24" s="19">
        <f>+[2]称号計算!Z29</f>
        <v>0.59060000000000001</v>
      </c>
      <c r="U24" s="13">
        <v>0.5</v>
      </c>
    </row>
    <row r="25" spans="1:21" ht="19.5" thickBot="1">
      <c r="A25" s="14" t="s">
        <v>936</v>
      </c>
      <c r="B25" s="24" t="s">
        <v>1296</v>
      </c>
      <c r="C25" s="28">
        <f>+[2]称号計算!I30</f>
        <v>0.26790000000000003</v>
      </c>
      <c r="D25" s="15">
        <f>+[2]称号計算!J30</f>
        <v>0.19889999999999999</v>
      </c>
      <c r="E25" s="15">
        <f>+[2]称号計算!K30</f>
        <v>4.0399999999999998E-2</v>
      </c>
      <c r="F25" s="15">
        <f>+[2]称号計算!L30</f>
        <v>0.4758</v>
      </c>
      <c r="G25" s="15">
        <f>+[2]称号計算!M30</f>
        <v>0.19900000000000001</v>
      </c>
      <c r="H25" s="16">
        <f>+[2]称号計算!N30</f>
        <v>0.1812</v>
      </c>
      <c r="I25" s="28">
        <f>+[2]称号計算!O30</f>
        <v>0.14649999999999999</v>
      </c>
      <c r="J25" s="16">
        <f>+[2]称号計算!P30</f>
        <v>0.1237</v>
      </c>
      <c r="K25" s="28">
        <f>+[2]称号計算!Q30</f>
        <v>0.1172</v>
      </c>
      <c r="L25" s="15">
        <f>+[2]称号計算!R30</f>
        <v>0.27589999999999998</v>
      </c>
      <c r="M25" s="16">
        <f>+[2]称号計算!S30</f>
        <v>8.2600000000000007E-2</v>
      </c>
      <c r="N25" s="28">
        <f>+[2]称号計算!T30</f>
        <v>4.7000000000000002E-3</v>
      </c>
      <c r="O25" s="15">
        <f>+[2]称号計算!U30</f>
        <v>4.7000000000000002E-3</v>
      </c>
      <c r="P25" s="15">
        <f>+[2]称号計算!V30</f>
        <v>4.7000000000000002E-3</v>
      </c>
      <c r="Q25" s="15">
        <f>+[2]称号計算!W30</f>
        <v>4.7000000000000002E-3</v>
      </c>
      <c r="R25" s="15">
        <f>+[2]称号計算!X30</f>
        <v>1.26E-2</v>
      </c>
      <c r="S25" s="16">
        <f>+[2]称号計算!Y30</f>
        <v>9.4500000000000001E-2</v>
      </c>
      <c r="T25" s="20">
        <f>+[2]称号計算!Z30</f>
        <v>0.74990000000000001</v>
      </c>
      <c r="U25" s="16">
        <v>0.25</v>
      </c>
    </row>
    <row r="26" spans="1:21">
      <c r="A26" s="9" t="s">
        <v>937</v>
      </c>
      <c r="B26" s="22" t="s">
        <v>1297</v>
      </c>
      <c r="C26" s="26">
        <f>+[2]称号計算!I31</f>
        <v>0.16830000000000001</v>
      </c>
      <c r="D26" s="10">
        <f>+[2]称号計算!J31</f>
        <v>0.2959</v>
      </c>
      <c r="E26" s="10">
        <f>+[2]称号計算!K31</f>
        <v>3.15E-2</v>
      </c>
      <c r="F26" s="10">
        <f>+[2]称号計算!L31</f>
        <v>0.4204</v>
      </c>
      <c r="G26" s="10">
        <f>+[2]称号計算!M31</f>
        <v>0.1258</v>
      </c>
      <c r="H26" s="11">
        <f>+[2]称号計算!N31</f>
        <v>0.1358</v>
      </c>
      <c r="I26" s="26">
        <f>+[2]称号計算!O31</f>
        <v>7.3999999999999996E-2</v>
      </c>
      <c r="J26" s="11">
        <f>+[2]称号計算!P31</f>
        <v>0.1603</v>
      </c>
      <c r="K26" s="26">
        <f>+[2]称号計算!Q31</f>
        <v>6.0999999999999999E-2</v>
      </c>
      <c r="L26" s="10">
        <f>+[2]称号計算!R31</f>
        <v>0.1076</v>
      </c>
      <c r="M26" s="11">
        <f>+[2]称号計算!S31</f>
        <v>0.17419999999999999</v>
      </c>
      <c r="N26" s="26">
        <f>+[2]称号計算!T31</f>
        <v>3.2000000000000002E-3</v>
      </c>
      <c r="O26" s="10">
        <f>+[2]称号計算!U31</f>
        <v>3.2000000000000002E-3</v>
      </c>
      <c r="P26" s="10">
        <f>+[2]称号計算!V31</f>
        <v>3.2000000000000002E-3</v>
      </c>
      <c r="Q26" s="10">
        <f>+[2]称号計算!W31</f>
        <v>3.2000000000000002E-3</v>
      </c>
      <c r="R26" s="10">
        <f>+[2]称号計算!X31</f>
        <v>8.3999999999999995E-3</v>
      </c>
      <c r="S26" s="11">
        <f>+[2]称号計算!Y31</f>
        <v>6.3200000000000006E-2</v>
      </c>
      <c r="T26" s="18">
        <f>+[2]称号計算!Z31</f>
        <v>0.51180000000000003</v>
      </c>
      <c r="U26" s="11">
        <v>1</v>
      </c>
    </row>
    <row r="27" spans="1:21">
      <c r="A27" s="12" t="s">
        <v>938</v>
      </c>
      <c r="B27" s="23" t="s">
        <v>1298</v>
      </c>
      <c r="C27" s="27">
        <f>+[2]称号計算!I32</f>
        <v>0.19059999999999999</v>
      </c>
      <c r="D27" s="5">
        <f>+[2]称号計算!J32</f>
        <v>0.31459999999999999</v>
      </c>
      <c r="E27" s="5">
        <f>+[2]称号計算!K32</f>
        <v>2.6599999999999999E-2</v>
      </c>
      <c r="F27" s="5">
        <f>+[2]称号計算!L32</f>
        <v>0.40860000000000002</v>
      </c>
      <c r="G27" s="5">
        <f>+[2]称号計算!M32</f>
        <v>0.107</v>
      </c>
      <c r="H27" s="13">
        <f>+[2]称号計算!N32</f>
        <v>0.2848</v>
      </c>
      <c r="I27" s="27">
        <f>+[2]称号計算!O32</f>
        <v>8.09E-2</v>
      </c>
      <c r="J27" s="13">
        <f>+[2]称号計算!P32</f>
        <v>0.1027</v>
      </c>
      <c r="K27" s="27">
        <f>+[2]称号計算!Q32</f>
        <v>6.83E-2</v>
      </c>
      <c r="L27" s="5">
        <f>+[2]称号計算!R32</f>
        <v>0.13730000000000001</v>
      </c>
      <c r="M27" s="13">
        <f>+[2]称号計算!S32</f>
        <v>0.12130000000000001</v>
      </c>
      <c r="N27" s="27">
        <f>+[2]称号計算!T32</f>
        <v>0.02</v>
      </c>
      <c r="O27" s="5">
        <f>+[2]称号計算!U32</f>
        <v>0.1002</v>
      </c>
      <c r="P27" s="5">
        <f>+[2]称号計算!V32</f>
        <v>6.7000000000000002E-3</v>
      </c>
      <c r="Q27" s="5">
        <f>+[2]称号計算!W32</f>
        <v>6.7000000000000002E-3</v>
      </c>
      <c r="R27" s="5">
        <f>+[2]称号計算!X32</f>
        <v>5.0000000000000001E-3</v>
      </c>
      <c r="S27" s="13">
        <f>+[2]称号計算!Y32</f>
        <v>5.0000000000000001E-3</v>
      </c>
      <c r="T27" s="19">
        <f>+[2]称号計算!Z32</f>
        <v>0.56299999999999994</v>
      </c>
      <c r="U27" s="13">
        <v>1</v>
      </c>
    </row>
    <row r="28" spans="1:21">
      <c r="A28" s="12" t="s">
        <v>939</v>
      </c>
      <c r="B28" s="23" t="s">
        <v>1299</v>
      </c>
      <c r="C28" s="27">
        <f>+[2]称号計算!I33</f>
        <v>0.1026</v>
      </c>
      <c r="D28" s="5">
        <f>+[2]称号計算!J33</f>
        <v>0.27979999999999999</v>
      </c>
      <c r="E28" s="5">
        <f>+[2]称号計算!K33</f>
        <v>3.39E-2</v>
      </c>
      <c r="F28" s="5">
        <f>+[2]称号計算!L33</f>
        <v>0.4239</v>
      </c>
      <c r="G28" s="5">
        <f>+[2]称号計算!M33</f>
        <v>0.20899999999999999</v>
      </c>
      <c r="H28" s="13">
        <f>+[2]称号計算!N33</f>
        <v>0.32429999999999998</v>
      </c>
      <c r="I28" s="27">
        <f>+[2]称号計算!O33</f>
        <v>7.46E-2</v>
      </c>
      <c r="J28" s="13">
        <f>+[2]称号計算!P33</f>
        <v>0.1014</v>
      </c>
      <c r="K28" s="27">
        <f>+[2]称号計算!Q33</f>
        <v>8.2100000000000006E-2</v>
      </c>
      <c r="L28" s="5">
        <f>+[2]称号計算!R33</f>
        <v>0.1492</v>
      </c>
      <c r="M28" s="13">
        <f>+[2]称号計算!S33</f>
        <v>0.14960000000000001</v>
      </c>
      <c r="N28" s="27">
        <f>+[2]称号計算!T33</f>
        <v>7.7000000000000002E-3</v>
      </c>
      <c r="O28" s="5">
        <f>+[2]称号計算!U33</f>
        <v>7.7000000000000002E-3</v>
      </c>
      <c r="P28" s="5">
        <f>+[2]称号計算!V33</f>
        <v>2.9000000000000001E-2</v>
      </c>
      <c r="Q28" s="5">
        <f>+[2]称号計算!W33</f>
        <v>0.1158</v>
      </c>
      <c r="R28" s="5">
        <f>+[2]称号計算!X33</f>
        <v>5.7999999999999996E-3</v>
      </c>
      <c r="S28" s="13">
        <f>+[2]称号計算!Y33</f>
        <v>5.7999999999999996E-3</v>
      </c>
      <c r="T28" s="19">
        <f>+[2]称号計算!Z33</f>
        <v>0.622</v>
      </c>
      <c r="U28" s="13">
        <v>0.9</v>
      </c>
    </row>
    <row r="29" spans="1:21">
      <c r="A29" s="12" t="s">
        <v>940</v>
      </c>
      <c r="B29" s="23" t="s">
        <v>1300</v>
      </c>
      <c r="C29" s="27">
        <f>+[2]称号計算!I34</f>
        <v>0.14030000000000001</v>
      </c>
      <c r="D29" s="5">
        <f>+[2]称号計算!J34</f>
        <v>5.1799999999999999E-2</v>
      </c>
      <c r="E29" s="5">
        <f>+[2]称号計算!K34</f>
        <v>0.49070000000000003</v>
      </c>
      <c r="F29" s="5">
        <f>+[2]称号計算!L34</f>
        <v>3.1899999999999998E-2</v>
      </c>
      <c r="G29" s="5">
        <f>+[2]称号計算!M34</f>
        <v>0.10340000000000001</v>
      </c>
      <c r="H29" s="13">
        <f>+[2]称号計算!N34</f>
        <v>0.1134</v>
      </c>
      <c r="I29" s="27">
        <f>+[2]称号計算!O34</f>
        <v>0.3886</v>
      </c>
      <c r="J29" s="13">
        <f>+[2]称号計算!P34</f>
        <v>0.17860000000000001</v>
      </c>
      <c r="K29" s="27">
        <f>+[2]称号計算!Q34</f>
        <v>0.13600000000000001</v>
      </c>
      <c r="L29" s="5">
        <f>+[2]称号計算!R34</f>
        <v>0.26500000000000001</v>
      </c>
      <c r="M29" s="13">
        <f>+[2]称号計算!S34</f>
        <v>0.1182</v>
      </c>
      <c r="N29" s="27">
        <f>+[2]称号計算!T34</f>
        <v>2.7000000000000001E-3</v>
      </c>
      <c r="O29" s="5">
        <f>+[2]称号計算!U34</f>
        <v>2.7000000000000001E-3</v>
      </c>
      <c r="P29" s="5">
        <f>+[2]称号計算!V34</f>
        <v>2.7000000000000001E-3</v>
      </c>
      <c r="Q29" s="5">
        <f>+[2]称号計算!W34</f>
        <v>2.7000000000000001E-3</v>
      </c>
      <c r="R29" s="5">
        <f>+[2]称号計算!X34</f>
        <v>7.3000000000000001E-3</v>
      </c>
      <c r="S29" s="13">
        <f>+[2]称号計算!Y34</f>
        <v>5.4899999999999997E-2</v>
      </c>
      <c r="T29" s="19">
        <f>+[2]称号計算!Z34</f>
        <v>0.75680000000000003</v>
      </c>
      <c r="U29" s="13">
        <v>0.55000000000000004</v>
      </c>
    </row>
    <row r="30" spans="1:21">
      <c r="A30" s="12" t="s">
        <v>941</v>
      </c>
      <c r="B30" s="23" t="s">
        <v>1301</v>
      </c>
      <c r="C30" s="27">
        <f>+[2]称号計算!I35</f>
        <v>0.28570000000000001</v>
      </c>
      <c r="D30" s="5">
        <f>+[2]称号計算!J35</f>
        <v>0.12709999999999999</v>
      </c>
      <c r="E30" s="5">
        <f>+[2]称号計算!K35</f>
        <v>0.55030000000000001</v>
      </c>
      <c r="F30" s="5">
        <f>+[2]称号計算!L35</f>
        <v>3.85E-2</v>
      </c>
      <c r="G30" s="5">
        <f>+[2]称号計算!M35</f>
        <v>0.21329999999999999</v>
      </c>
      <c r="H30" s="13">
        <f>+[2]称号計算!N35</f>
        <v>0.21329999999999999</v>
      </c>
      <c r="I30" s="27">
        <f>+[2]称号計算!O35</f>
        <v>9.69E-2</v>
      </c>
      <c r="J30" s="13">
        <f>+[2]称号計算!P35</f>
        <v>0.13639999999999999</v>
      </c>
      <c r="K30" s="27">
        <f>+[2]称号計算!Q35</f>
        <v>0.1041</v>
      </c>
      <c r="L30" s="5">
        <f>+[2]称号計算!R35</f>
        <v>0.19370000000000001</v>
      </c>
      <c r="M30" s="13">
        <f>+[2]称号計算!S35</f>
        <v>0.1464</v>
      </c>
      <c r="N30" s="27">
        <f>+[2]称号計算!T35</f>
        <v>6.3E-3</v>
      </c>
      <c r="O30" s="5">
        <f>+[2]称号計算!U35</f>
        <v>6.3E-3</v>
      </c>
      <c r="P30" s="5">
        <f>+[2]称号計算!V35</f>
        <v>6.3E-3</v>
      </c>
      <c r="Q30" s="5">
        <f>+[2]称号計算!W35</f>
        <v>6.3E-3</v>
      </c>
      <c r="R30" s="5">
        <f>+[2]称号計算!X35</f>
        <v>1.6799999999999999E-2</v>
      </c>
      <c r="S30" s="13">
        <f>+[2]称号計算!Y35</f>
        <v>0.1263</v>
      </c>
      <c r="T30" s="19">
        <f>+[2]称号計算!Z35</f>
        <v>0.67269999999999996</v>
      </c>
      <c r="U30" s="13">
        <v>0.5</v>
      </c>
    </row>
    <row r="31" spans="1:21" ht="19.5" thickBot="1">
      <c r="A31" s="14" t="s">
        <v>942</v>
      </c>
      <c r="B31" s="24" t="s">
        <v>1302</v>
      </c>
      <c r="C31" s="28">
        <f>+[2]称号計算!I36</f>
        <v>0.20660000000000001</v>
      </c>
      <c r="D31" s="15">
        <f>+[2]称号計算!J36</f>
        <v>0.53139999999999998</v>
      </c>
      <c r="E31" s="15">
        <f>+[2]称号計算!K36</f>
        <v>3.1899999999999998E-2</v>
      </c>
      <c r="F31" s="15">
        <f>+[2]称号計算!L36</f>
        <v>0.45579999999999998</v>
      </c>
      <c r="G31" s="15">
        <f>+[2]称号計算!M36</f>
        <v>0.14879999999999999</v>
      </c>
      <c r="H31" s="16">
        <f>+[2]称号計算!N36</f>
        <v>0.18290000000000001</v>
      </c>
      <c r="I31" s="28">
        <f>+[2]称号計算!O36</f>
        <v>0.13039999999999999</v>
      </c>
      <c r="J31" s="16">
        <f>+[2]称号計算!P36</f>
        <v>0.11459999999999999</v>
      </c>
      <c r="K31" s="28">
        <f>+[2]称号計算!Q36</f>
        <v>8.4199999999999997E-2</v>
      </c>
      <c r="L31" s="15">
        <f>+[2]称号計算!R36</f>
        <v>0.1641</v>
      </c>
      <c r="M31" s="16">
        <f>+[2]称号計算!S36</f>
        <v>0.1429</v>
      </c>
      <c r="N31" s="28">
        <f>+[2]称号計算!T36</f>
        <v>4.7000000000000002E-3</v>
      </c>
      <c r="O31" s="15">
        <f>+[2]称号計算!U36</f>
        <v>4.7000000000000002E-3</v>
      </c>
      <c r="P31" s="15">
        <f>+[2]称号計算!V36</f>
        <v>4.7000000000000002E-3</v>
      </c>
      <c r="Q31" s="15">
        <f>+[2]称号計算!W36</f>
        <v>4.7000000000000002E-3</v>
      </c>
      <c r="R31" s="15">
        <f>+[2]称号計算!X36</f>
        <v>1.26E-2</v>
      </c>
      <c r="S31" s="16">
        <f>+[2]称号計算!Y36</f>
        <v>9.4799999999999995E-2</v>
      </c>
      <c r="T31" s="20">
        <f>+[2]称号計算!Z36</f>
        <v>0.6946</v>
      </c>
      <c r="U31" s="16">
        <v>0.25</v>
      </c>
    </row>
    <row r="32" spans="1:21">
      <c r="A32" s="9" t="s">
        <v>943</v>
      </c>
      <c r="B32" s="22" t="s">
        <v>1303</v>
      </c>
      <c r="C32" s="26">
        <f>+[2]称号計算!I37</f>
        <v>0.1487</v>
      </c>
      <c r="D32" s="10">
        <f>+[2]称号計算!J37</f>
        <v>0.24479999999999999</v>
      </c>
      <c r="E32" s="10">
        <f>+[2]称号計算!K37</f>
        <v>2.47E-2</v>
      </c>
      <c r="F32" s="10">
        <f>+[2]称号計算!L37</f>
        <v>0.41210000000000002</v>
      </c>
      <c r="G32" s="10">
        <f>+[2]称号計算!M37</f>
        <v>0.1135</v>
      </c>
      <c r="H32" s="11">
        <f>+[2]称号計算!N37</f>
        <v>0.12189999999999999</v>
      </c>
      <c r="I32" s="26">
        <f>+[2]称号計算!O37</f>
        <v>0.21759999999999999</v>
      </c>
      <c r="J32" s="11">
        <f>+[2]称号計算!P37</f>
        <v>0.1822</v>
      </c>
      <c r="K32" s="26">
        <f>+[2]称号計算!Q37</f>
        <v>8.3400000000000002E-2</v>
      </c>
      <c r="L32" s="10">
        <f>+[2]称号計算!R37</f>
        <v>0.11210000000000001</v>
      </c>
      <c r="M32" s="11">
        <f>+[2]称号計算!S37</f>
        <v>0.16389999999999999</v>
      </c>
      <c r="N32" s="26">
        <f>+[2]称号計算!T37</f>
        <v>2.8E-3</v>
      </c>
      <c r="O32" s="10">
        <f>+[2]称号計算!U37</f>
        <v>2.8E-3</v>
      </c>
      <c r="P32" s="10">
        <f>+[2]称号計算!V37</f>
        <v>2.8E-3</v>
      </c>
      <c r="Q32" s="10">
        <f>+[2]称号計算!W37</f>
        <v>2.8E-3</v>
      </c>
      <c r="R32" s="10">
        <f>+[2]称号計算!X37</f>
        <v>7.6E-3</v>
      </c>
      <c r="S32" s="11">
        <f>+[2]称号計算!Y37</f>
        <v>5.6899999999999999E-2</v>
      </c>
      <c r="T32" s="18">
        <f>+[2]称号計算!Z37</f>
        <v>0.59819999999999995</v>
      </c>
      <c r="U32" s="11">
        <v>1</v>
      </c>
    </row>
    <row r="33" spans="1:21">
      <c r="A33" s="12" t="s">
        <v>944</v>
      </c>
      <c r="B33" s="23" t="s">
        <v>1304</v>
      </c>
      <c r="C33" s="27">
        <f>+[2]称号計算!I38</f>
        <v>0.22819999999999999</v>
      </c>
      <c r="D33" s="5">
        <f>+[2]称号計算!J38</f>
        <v>0.35859999999999997</v>
      </c>
      <c r="E33" s="5">
        <f>+[2]称号計算!K38</f>
        <v>3.1099999999999999E-2</v>
      </c>
      <c r="F33" s="5">
        <f>+[2]称号計算!L38</f>
        <v>0.3705</v>
      </c>
      <c r="G33" s="5">
        <f>+[2]称号計算!M38</f>
        <v>0.1197</v>
      </c>
      <c r="H33" s="13">
        <f>+[2]称号計算!N38</f>
        <v>0.21160000000000001</v>
      </c>
      <c r="I33" s="27">
        <f>+[2]称号計算!O38</f>
        <v>0.1875</v>
      </c>
      <c r="J33" s="13">
        <f>+[2]称号計算!P38</f>
        <v>0.12520000000000001</v>
      </c>
      <c r="K33" s="27">
        <f>+[2]称号計算!Q38</f>
        <v>3.9100000000000003E-2</v>
      </c>
      <c r="L33" s="5">
        <f>+[2]称号計算!R38</f>
        <v>0.1067</v>
      </c>
      <c r="M33" s="13">
        <f>+[2]称号計算!S38</f>
        <v>0.13800000000000001</v>
      </c>
      <c r="N33" s="27">
        <f>+[2]称号計算!T38</f>
        <v>6.7000000000000002E-3</v>
      </c>
      <c r="O33" s="5">
        <f>+[2]称号計算!U38</f>
        <v>6.7000000000000002E-3</v>
      </c>
      <c r="P33" s="5">
        <f>+[2]称号計算!V38</f>
        <v>0.1012</v>
      </c>
      <c r="Q33" s="5">
        <f>+[2]称号計算!W38</f>
        <v>2.53E-2</v>
      </c>
      <c r="R33" s="5">
        <f>+[2]称号計算!X38</f>
        <v>5.1000000000000004E-3</v>
      </c>
      <c r="S33" s="13">
        <f>+[2]称号計算!Y38</f>
        <v>5.1000000000000004E-3</v>
      </c>
      <c r="T33" s="19">
        <f>+[2]称号計算!Z38</f>
        <v>0.51100000000000001</v>
      </c>
      <c r="U33" s="13">
        <v>1</v>
      </c>
    </row>
    <row r="34" spans="1:21">
      <c r="A34" s="12" t="s">
        <v>945</v>
      </c>
      <c r="B34" s="23" t="s">
        <v>1305</v>
      </c>
      <c r="C34" s="27">
        <f>+[2]称号計算!I39</f>
        <v>0.16450000000000001</v>
      </c>
      <c r="D34" s="5">
        <f>+[2]称号計算!J39</f>
        <v>0.24260000000000001</v>
      </c>
      <c r="E34" s="5">
        <f>+[2]称号計算!K39</f>
        <v>4.7899999999999998E-2</v>
      </c>
      <c r="F34" s="5">
        <f>+[2]称号計算!L39</f>
        <v>0.47939999999999999</v>
      </c>
      <c r="G34" s="5">
        <f>+[2]称号計算!M39</f>
        <v>0.1222</v>
      </c>
      <c r="H34" s="13">
        <f>+[2]称号計算!N39</f>
        <v>0.13039999999999999</v>
      </c>
      <c r="I34" s="27">
        <f>+[2]称号計算!O39</f>
        <v>0.23200000000000001</v>
      </c>
      <c r="J34" s="13">
        <f>+[2]称号計算!P39</f>
        <v>0.1371</v>
      </c>
      <c r="K34" s="27">
        <f>+[2]称号計算!Q39</f>
        <v>9.2799999999999994E-2</v>
      </c>
      <c r="L34" s="5">
        <f>+[2]称号計算!R39</f>
        <v>0.2109</v>
      </c>
      <c r="M34" s="13">
        <f>+[2]称号計算!S39</f>
        <v>0.14760000000000001</v>
      </c>
      <c r="N34" s="27">
        <f>+[2]称号計算!T39</f>
        <v>3.3999999999999998E-3</v>
      </c>
      <c r="O34" s="5">
        <f>+[2]称号計算!U39</f>
        <v>3.3999999999999998E-3</v>
      </c>
      <c r="P34" s="5">
        <f>+[2]称号計算!V39</f>
        <v>3.3999999999999998E-3</v>
      </c>
      <c r="Q34" s="5">
        <f>+[2]称号計算!W39</f>
        <v>3.3999999999999998E-3</v>
      </c>
      <c r="R34" s="5">
        <f>+[2]称号計算!X39</f>
        <v>8.9999999999999993E-3</v>
      </c>
      <c r="S34" s="13">
        <f>+[2]称号計算!Y39</f>
        <v>6.7500000000000004E-2</v>
      </c>
      <c r="T34" s="19">
        <f>+[2]称号計算!Z39</f>
        <v>0.64690000000000003</v>
      </c>
      <c r="U34" s="13">
        <v>0.9</v>
      </c>
    </row>
    <row r="35" spans="1:21">
      <c r="A35" s="12" t="s">
        <v>946</v>
      </c>
      <c r="B35" s="23" t="s">
        <v>1306</v>
      </c>
      <c r="C35" s="27">
        <f>+[2]称号計算!I40</f>
        <v>0.32200000000000001</v>
      </c>
      <c r="D35" s="5">
        <f>+[2]称号計算!J40</f>
        <v>0.1095</v>
      </c>
      <c r="E35" s="5">
        <f>+[2]称号計算!K40</f>
        <v>0.49790000000000001</v>
      </c>
      <c r="F35" s="5">
        <f>+[2]称号計算!L40</f>
        <v>3.78E-2</v>
      </c>
      <c r="G35" s="5">
        <f>+[2]称号計算!M40</f>
        <v>0.15570000000000001</v>
      </c>
      <c r="H35" s="13">
        <f>+[2]称号計算!N40</f>
        <v>0.37240000000000001</v>
      </c>
      <c r="I35" s="27">
        <f>+[2]称号計算!O40</f>
        <v>0.1095</v>
      </c>
      <c r="J35" s="13">
        <f>+[2]称号計算!P40</f>
        <v>0.1295</v>
      </c>
      <c r="K35" s="27">
        <f>+[2]称号計算!Q40</f>
        <v>8.9800000000000005E-2</v>
      </c>
      <c r="L35" s="5">
        <f>+[2]称号計算!R40</f>
        <v>0.1573</v>
      </c>
      <c r="M35" s="13">
        <f>+[2]称号計算!S40</f>
        <v>0.1171</v>
      </c>
      <c r="N35" s="27">
        <f>+[2]称号計算!T40</f>
        <v>5.4000000000000003E-3</v>
      </c>
      <c r="O35" s="5">
        <f>+[2]称号計算!U40</f>
        <v>5.4000000000000003E-3</v>
      </c>
      <c r="P35" s="5">
        <f>+[2]称号計算!V40</f>
        <v>5.4000000000000003E-3</v>
      </c>
      <c r="Q35" s="5">
        <f>+[2]称号計算!W40</f>
        <v>5.4000000000000003E-3</v>
      </c>
      <c r="R35" s="5">
        <f>+[2]称号計算!X40</f>
        <v>1.43E-2</v>
      </c>
      <c r="S35" s="13">
        <f>+[2]称号計算!Y40</f>
        <v>0.1075</v>
      </c>
      <c r="T35" s="19">
        <f>+[2]称号計算!Z40</f>
        <v>0.65880000000000005</v>
      </c>
      <c r="U35" s="13">
        <v>0.55000000000000004</v>
      </c>
    </row>
    <row r="36" spans="1:21">
      <c r="A36" s="12" t="s">
        <v>947</v>
      </c>
      <c r="B36" s="23" t="s">
        <v>1307</v>
      </c>
      <c r="C36" s="27">
        <f>+[2]称号計算!I41</f>
        <v>0.49759999999999999</v>
      </c>
      <c r="D36" s="5">
        <f>+[2]称号計算!J41</f>
        <v>7.2800000000000004E-2</v>
      </c>
      <c r="E36" s="5">
        <f>+[2]称号計算!K41</f>
        <v>0.55159999999999998</v>
      </c>
      <c r="F36" s="5">
        <f>+[2]称号計算!L41</f>
        <v>4.9599999999999998E-2</v>
      </c>
      <c r="G36" s="5">
        <f>+[2]称号計算!M41</f>
        <v>0.28510000000000002</v>
      </c>
      <c r="H36" s="13">
        <f>+[2]称号計算!N41</f>
        <v>0.24379999999999999</v>
      </c>
      <c r="I36" s="27">
        <f>+[2]称号計算!O41</f>
        <v>6.0699999999999997E-2</v>
      </c>
      <c r="J36" s="13">
        <f>+[2]称号計算!P41</f>
        <v>0.12909999999999999</v>
      </c>
      <c r="K36" s="27">
        <f>+[2]称号計算!Q41</f>
        <v>5.5800000000000002E-2</v>
      </c>
      <c r="L36" s="5">
        <f>+[2]称号計算!R41</f>
        <v>0.1125</v>
      </c>
      <c r="M36" s="13">
        <f>+[2]称号計算!S41</f>
        <v>0.1313</v>
      </c>
      <c r="N36" s="27">
        <f>+[2]称号計算!T41</f>
        <v>7.0000000000000001E-3</v>
      </c>
      <c r="O36" s="5">
        <f>+[2]称号計算!U41</f>
        <v>7.0000000000000001E-3</v>
      </c>
      <c r="P36" s="5">
        <f>+[2]称号計算!V41</f>
        <v>2.63E-2</v>
      </c>
      <c r="Q36" s="5">
        <f>+[2]称号計算!W41</f>
        <v>0.1051</v>
      </c>
      <c r="R36" s="5">
        <f>+[2]称号計算!X41</f>
        <v>5.3E-3</v>
      </c>
      <c r="S36" s="13">
        <f>+[2]称号計算!Y41</f>
        <v>5.3E-3</v>
      </c>
      <c r="T36" s="19">
        <f>+[2]称号計算!Z41</f>
        <v>0.57789999999999997</v>
      </c>
      <c r="U36" s="13">
        <v>0.5</v>
      </c>
    </row>
    <row r="37" spans="1:21" ht="19.5" thickBot="1">
      <c r="A37" s="14" t="s">
        <v>948</v>
      </c>
      <c r="B37" s="24" t="s">
        <v>1308</v>
      </c>
      <c r="C37" s="28">
        <f>+[2]称号計算!I42</f>
        <v>0.23200000000000001</v>
      </c>
      <c r="D37" s="15">
        <f>+[2]称号計算!J42</f>
        <v>0.25209999999999999</v>
      </c>
      <c r="E37" s="15">
        <f>+[2]称号計算!K42</f>
        <v>5.7299999999999997E-2</v>
      </c>
      <c r="F37" s="15">
        <f>+[2]称号計算!L42</f>
        <v>0.57310000000000005</v>
      </c>
      <c r="G37" s="15">
        <f>+[2]称号計算!M42</f>
        <v>0.18509999999999999</v>
      </c>
      <c r="H37" s="16">
        <f>+[2]称号計算!N42</f>
        <v>0.2046</v>
      </c>
      <c r="I37" s="28">
        <f>+[2]称号計算!O42</f>
        <v>0.12609999999999999</v>
      </c>
      <c r="J37" s="16">
        <f>+[2]称号計算!P42</f>
        <v>0.14899999999999999</v>
      </c>
      <c r="K37" s="28">
        <f>+[2]称号計算!Q42</f>
        <v>0.1009</v>
      </c>
      <c r="L37" s="15">
        <f>+[2]称号計算!R42</f>
        <v>0.2407</v>
      </c>
      <c r="M37" s="16">
        <f>+[2]称号計算!S42</f>
        <v>0.1605</v>
      </c>
      <c r="N37" s="28">
        <f>+[2]称号計算!T42</f>
        <v>9.1200000000000003E-2</v>
      </c>
      <c r="O37" s="15">
        <f>+[2]称号計算!U42</f>
        <v>1.8200000000000001E-2</v>
      </c>
      <c r="P37" s="15">
        <f>+[2]称号計算!V42</f>
        <v>6.1000000000000004E-3</v>
      </c>
      <c r="Q37" s="15">
        <f>+[2]称号計算!W42</f>
        <v>6.1000000000000004E-3</v>
      </c>
      <c r="R37" s="15">
        <f>+[2]称号計算!X42</f>
        <v>4.5999999999999999E-3</v>
      </c>
      <c r="S37" s="16">
        <f>+[2]称号計算!Y42</f>
        <v>4.5999999999999999E-3</v>
      </c>
      <c r="T37" s="20">
        <f>+[2]称号計算!Z42</f>
        <v>0.7097</v>
      </c>
      <c r="U37" s="16">
        <v>0.25</v>
      </c>
    </row>
    <row r="38" spans="1:21">
      <c r="A38" s="9" t="s">
        <v>949</v>
      </c>
      <c r="B38" s="22" t="s">
        <v>1309</v>
      </c>
      <c r="C38" s="26">
        <f>+[2]称号計算!I43</f>
        <v>0.15890000000000001</v>
      </c>
      <c r="D38" s="10">
        <f>+[2]称号計算!J43</f>
        <v>0.18110000000000001</v>
      </c>
      <c r="E38" s="10">
        <f>+[2]称号計算!K43</f>
        <v>2.4199999999999999E-2</v>
      </c>
      <c r="F38" s="10">
        <f>+[2]称号計算!L43</f>
        <v>0.4572</v>
      </c>
      <c r="G38" s="10">
        <f>+[2]称号計算!M43</f>
        <v>0.1321</v>
      </c>
      <c r="H38" s="11">
        <f>+[2]称号計算!N43</f>
        <v>0.12590000000000001</v>
      </c>
      <c r="I38" s="26">
        <f>+[2]称号計算!O43</f>
        <v>0.1308</v>
      </c>
      <c r="J38" s="11">
        <f>+[2]称号計算!P43</f>
        <v>0.1149</v>
      </c>
      <c r="K38" s="26">
        <f>+[2]称号計算!Q43</f>
        <v>0.16089999999999999</v>
      </c>
      <c r="L38" s="10">
        <f>+[2]称号計算!R43</f>
        <v>0.31459999999999999</v>
      </c>
      <c r="M38" s="11">
        <f>+[2]称号計算!S43</f>
        <v>9.7299999999999998E-2</v>
      </c>
      <c r="N38" s="26">
        <f>+[2]称号計算!T43</f>
        <v>3.5999999999999999E-3</v>
      </c>
      <c r="O38" s="10">
        <f>+[2]称号計算!U43</f>
        <v>3.5999999999999999E-3</v>
      </c>
      <c r="P38" s="10">
        <f>+[2]称号計算!V43</f>
        <v>1.37E-2</v>
      </c>
      <c r="Q38" s="10">
        <f>+[2]称号計算!W43</f>
        <v>5.4699999999999999E-2</v>
      </c>
      <c r="R38" s="10">
        <f>+[2]称号計算!X43</f>
        <v>2.7000000000000001E-3</v>
      </c>
      <c r="S38" s="11">
        <f>+[2]称号計算!Y43</f>
        <v>2.7000000000000001E-3</v>
      </c>
      <c r="T38" s="18">
        <f>+[2]称号計算!Z43</f>
        <v>0.8014</v>
      </c>
      <c r="U38" s="11">
        <v>1</v>
      </c>
    </row>
    <row r="39" spans="1:21">
      <c r="A39" s="12" t="s">
        <v>950</v>
      </c>
      <c r="B39" s="23" t="s">
        <v>1310</v>
      </c>
      <c r="C39" s="27">
        <f>+[2]称号計算!I44</f>
        <v>0.24160000000000001</v>
      </c>
      <c r="D39" s="5">
        <f>+[2]称号計算!J44</f>
        <v>0.2014</v>
      </c>
      <c r="E39" s="5">
        <f>+[2]称号計算!K44</f>
        <v>4.58E-2</v>
      </c>
      <c r="F39" s="5">
        <f>+[2]称号計算!L44</f>
        <v>0.45760000000000001</v>
      </c>
      <c r="G39" s="5">
        <f>+[2]称号計算!M44</f>
        <v>0.20230000000000001</v>
      </c>
      <c r="H39" s="13">
        <f>+[2]称号計算!N44</f>
        <v>0.1323</v>
      </c>
      <c r="I39" s="27">
        <f>+[2]称号計算!O44</f>
        <v>0.16109999999999999</v>
      </c>
      <c r="J39" s="13">
        <f>+[2]称号計算!P44</f>
        <v>0.12690000000000001</v>
      </c>
      <c r="K39" s="27">
        <f>+[2]称号計算!Q44</f>
        <v>0.1128</v>
      </c>
      <c r="L39" s="5">
        <f>+[2]称号計算!R44</f>
        <v>0.18310000000000001</v>
      </c>
      <c r="M39" s="13">
        <f>+[2]称号計算!S44</f>
        <v>0.12809999999999999</v>
      </c>
      <c r="N39" s="27">
        <f>+[2]称号計算!T44</f>
        <v>4.1999999999999997E-3</v>
      </c>
      <c r="O39" s="5">
        <f>+[2]称号計算!U44</f>
        <v>4.1999999999999997E-3</v>
      </c>
      <c r="P39" s="5">
        <f>+[2]称号計算!V44</f>
        <v>4.1999999999999997E-3</v>
      </c>
      <c r="Q39" s="5">
        <f>+[2]称号計算!W44</f>
        <v>4.1999999999999997E-3</v>
      </c>
      <c r="R39" s="5">
        <f>+[2]称号計算!X44</f>
        <v>1.1299999999999999E-2</v>
      </c>
      <c r="S39" s="13">
        <f>+[2]称号計算!Y44</f>
        <v>8.4500000000000006E-2</v>
      </c>
      <c r="T39" s="19">
        <f>+[2]称号計算!Z44</f>
        <v>0.70860000000000001</v>
      </c>
      <c r="U39" s="13">
        <v>1</v>
      </c>
    </row>
    <row r="40" spans="1:21">
      <c r="A40" s="12" t="s">
        <v>951</v>
      </c>
      <c r="B40" s="23" t="s">
        <v>1311</v>
      </c>
      <c r="C40" s="27">
        <f>+[2]称号計算!I45</f>
        <v>0.13739999999999999</v>
      </c>
      <c r="D40" s="5">
        <f>+[2]称号計算!J45</f>
        <v>0.18479999999999999</v>
      </c>
      <c r="E40" s="5">
        <f>+[2]称号計算!K45</f>
        <v>2.69E-2</v>
      </c>
      <c r="F40" s="5">
        <f>+[2]称号計算!L45</f>
        <v>0.53849999999999998</v>
      </c>
      <c r="G40" s="5">
        <f>+[2]称号計算!M45</f>
        <v>0.1172</v>
      </c>
      <c r="H40" s="13">
        <f>+[2]称号計算!N45</f>
        <v>0.11899999999999999</v>
      </c>
      <c r="I40" s="27">
        <f>+[2]称号計算!O45</f>
        <v>0.1895</v>
      </c>
      <c r="J40" s="13">
        <f>+[2]称号計算!P45</f>
        <v>0.1447</v>
      </c>
      <c r="K40" s="27">
        <f>+[2]称号計算!Q45</f>
        <v>0.19900000000000001</v>
      </c>
      <c r="L40" s="5">
        <f>+[2]称号計算!R45</f>
        <v>0.28000000000000003</v>
      </c>
      <c r="M40" s="13">
        <f>+[2]称号計算!S45</f>
        <v>0.15079999999999999</v>
      </c>
      <c r="N40" s="27">
        <f>+[2]称号計算!T45</f>
        <v>2.7000000000000001E-3</v>
      </c>
      <c r="O40" s="5">
        <f>+[2]称号計算!U45</f>
        <v>2.7000000000000001E-3</v>
      </c>
      <c r="P40" s="5">
        <f>+[2]称号計算!V45</f>
        <v>2.7000000000000001E-3</v>
      </c>
      <c r="Q40" s="5">
        <f>+[2]称号計算!W45</f>
        <v>2.7000000000000001E-3</v>
      </c>
      <c r="R40" s="5">
        <f>+[2]称号計算!X45</f>
        <v>5.3400000000000003E-2</v>
      </c>
      <c r="S40" s="13">
        <f>+[2]称号計算!Y45</f>
        <v>7.1000000000000004E-3</v>
      </c>
      <c r="T40" s="19">
        <f>+[2]称号計算!Z45</f>
        <v>0.90469999999999995</v>
      </c>
      <c r="U40" s="13">
        <v>0.9</v>
      </c>
    </row>
    <row r="41" spans="1:21">
      <c r="A41" s="12" t="s">
        <v>952</v>
      </c>
      <c r="B41" s="23" t="s">
        <v>1312</v>
      </c>
      <c r="C41" s="27">
        <f>+[2]称号計算!I46</f>
        <v>0.1835</v>
      </c>
      <c r="D41" s="5">
        <f>+[2]称号計算!J46</f>
        <v>9.8699999999999996E-2</v>
      </c>
      <c r="E41" s="5">
        <f>+[2]称号計算!K46</f>
        <v>0.52800000000000002</v>
      </c>
      <c r="F41" s="5">
        <f>+[2]称号計算!L46</f>
        <v>3.6999999999999998E-2</v>
      </c>
      <c r="G41" s="5">
        <f>+[2]称号計算!M46</f>
        <v>0.14180000000000001</v>
      </c>
      <c r="H41" s="13">
        <f>+[2]称号計算!N46</f>
        <v>0.13100000000000001</v>
      </c>
      <c r="I41" s="27">
        <f>+[2]称号計算!O46</f>
        <v>0.23230000000000001</v>
      </c>
      <c r="J41" s="13">
        <f>+[2]称号計算!P46</f>
        <v>0.16930000000000001</v>
      </c>
      <c r="K41" s="27">
        <f>+[2]称号計算!Q46</f>
        <v>0.18579999999999999</v>
      </c>
      <c r="L41" s="5">
        <f>+[2]称号計算!R46</f>
        <v>0.29780000000000001</v>
      </c>
      <c r="M41" s="13">
        <f>+[2]称号計算!S46</f>
        <v>0.1774</v>
      </c>
      <c r="N41" s="27">
        <f>+[2]称号計算!T46</f>
        <v>3.3999999999999998E-3</v>
      </c>
      <c r="O41" s="5">
        <f>+[2]称号計算!U46</f>
        <v>3.3999999999999998E-3</v>
      </c>
      <c r="P41" s="5">
        <f>+[2]称号計算!V46</f>
        <v>3.3999999999999998E-3</v>
      </c>
      <c r="Q41" s="5">
        <f>+[2]称号計算!W46</f>
        <v>3.3999999999999998E-3</v>
      </c>
      <c r="R41" s="5">
        <f>+[2]称号計算!X46</f>
        <v>6.8099999999999994E-2</v>
      </c>
      <c r="S41" s="13">
        <f>+[2]称号計算!Y46</f>
        <v>9.1000000000000004E-3</v>
      </c>
      <c r="T41" s="19">
        <f>+[2]称号計算!Z46</f>
        <v>0.92159999999999997</v>
      </c>
      <c r="U41" s="13">
        <v>0.55000000000000004</v>
      </c>
    </row>
    <row r="42" spans="1:21">
      <c r="A42" s="12" t="s">
        <v>953</v>
      </c>
      <c r="B42" s="23" t="s">
        <v>1313</v>
      </c>
      <c r="C42" s="27">
        <f>+[2]称号計算!I47</f>
        <v>0.29720000000000002</v>
      </c>
      <c r="D42" s="5">
        <f>+[2]称号計算!J47</f>
        <v>0.1053</v>
      </c>
      <c r="E42" s="5">
        <f>+[2]称号計算!K47</f>
        <v>0.56299999999999994</v>
      </c>
      <c r="F42" s="5">
        <f>+[2]称号計算!L47</f>
        <v>5.6300000000000003E-2</v>
      </c>
      <c r="G42" s="5">
        <f>+[2]称号計算!M47</f>
        <v>0.24879999999999999</v>
      </c>
      <c r="H42" s="13">
        <f>+[2]称号計算!N47</f>
        <v>0.16270000000000001</v>
      </c>
      <c r="I42" s="27">
        <f>+[2]称号計算!O47</f>
        <v>0.19819999999999999</v>
      </c>
      <c r="J42" s="13">
        <f>+[2]称号計算!P47</f>
        <v>0.15609999999999999</v>
      </c>
      <c r="K42" s="27">
        <f>+[2]称号計算!Q47</f>
        <v>0.13869999999999999</v>
      </c>
      <c r="L42" s="5">
        <f>+[2]称号計算!R47</f>
        <v>0.22520000000000001</v>
      </c>
      <c r="M42" s="13">
        <f>+[2]称号計算!S47</f>
        <v>0.12609999999999999</v>
      </c>
      <c r="N42" s="27">
        <f>+[2]称号計算!T47</f>
        <v>0.10390000000000001</v>
      </c>
      <c r="O42" s="5">
        <f>+[2]称号計算!U47</f>
        <v>2.0799999999999999E-2</v>
      </c>
      <c r="P42" s="5">
        <f>+[2]称号計算!V47</f>
        <v>6.8999999999999999E-3</v>
      </c>
      <c r="Q42" s="5">
        <f>+[2]称号計算!W47</f>
        <v>6.8999999999999999E-3</v>
      </c>
      <c r="R42" s="5">
        <f>+[2]称号計算!X47</f>
        <v>5.1999999999999998E-3</v>
      </c>
      <c r="S42" s="13">
        <f>+[2]称号計算!Y47</f>
        <v>5.1999999999999998E-3</v>
      </c>
      <c r="T42" s="19">
        <f>+[2]称号計算!Z47</f>
        <v>0.80979999999999996</v>
      </c>
      <c r="U42" s="13">
        <v>0.5</v>
      </c>
    </row>
    <row r="43" spans="1:21" ht="19.5" thickBot="1">
      <c r="A43" s="14" t="s">
        <v>954</v>
      </c>
      <c r="B43" s="24" t="s">
        <v>1314</v>
      </c>
      <c r="C43" s="28">
        <f>+[2]称号計算!I48</f>
        <v>0.26939999999999997</v>
      </c>
      <c r="D43" s="15">
        <f>+[2]称号計算!J48</f>
        <v>0.25719999999999998</v>
      </c>
      <c r="E43" s="15">
        <f>+[2]称号計算!K48</f>
        <v>5.57E-2</v>
      </c>
      <c r="F43" s="15">
        <f>+[2]称号計算!L48</f>
        <v>0.55669999999999997</v>
      </c>
      <c r="G43" s="15">
        <f>+[2]称号計算!M48</f>
        <v>0.2082</v>
      </c>
      <c r="H43" s="16">
        <f>+[2]称号計算!N48</f>
        <v>0.2082</v>
      </c>
      <c r="I43" s="28">
        <f>+[2]称号計算!O48</f>
        <v>0.17150000000000001</v>
      </c>
      <c r="J43" s="16">
        <f>+[2]称号計算!P48</f>
        <v>0.14960000000000001</v>
      </c>
      <c r="K43" s="28">
        <f>+[2]称号計算!Q48</f>
        <v>0.1176</v>
      </c>
      <c r="L43" s="15">
        <f>+[2]称号計算!R48</f>
        <v>0.22270000000000001</v>
      </c>
      <c r="M43" s="16">
        <f>+[2]称号計算!S48</f>
        <v>0.15590000000000001</v>
      </c>
      <c r="N43" s="28">
        <f>+[2]称号計算!T48</f>
        <v>5.1000000000000004E-3</v>
      </c>
      <c r="O43" s="15">
        <f>+[2]称号計算!U48</f>
        <v>5.1000000000000004E-3</v>
      </c>
      <c r="P43" s="15">
        <f>+[2]称号計算!V48</f>
        <v>5.1000000000000004E-3</v>
      </c>
      <c r="Q43" s="15">
        <f>+[2]称号計算!W48</f>
        <v>5.1000000000000004E-3</v>
      </c>
      <c r="R43" s="15">
        <f>+[2]称号計算!X48</f>
        <v>0.10249999999999999</v>
      </c>
      <c r="S43" s="16">
        <f>+[2]称号計算!Y48</f>
        <v>1.37E-2</v>
      </c>
      <c r="T43" s="20">
        <f>+[2]称号計算!Z48</f>
        <v>0.79079999999999995</v>
      </c>
      <c r="U43" s="16">
        <v>0.25</v>
      </c>
    </row>
    <row r="44" spans="1:21">
      <c r="A44" s="9" t="s">
        <v>955</v>
      </c>
      <c r="B44" s="22" t="s">
        <v>1315</v>
      </c>
      <c r="C44" s="26">
        <f>+[2]称号計算!I49</f>
        <v>0.2571</v>
      </c>
      <c r="D44" s="10">
        <f>+[2]称号計算!J49</f>
        <v>0.21429999999999999</v>
      </c>
      <c r="E44" s="10">
        <f>+[2]称号計算!K49</f>
        <v>3.9E-2</v>
      </c>
      <c r="F44" s="10">
        <f>+[2]称号計算!L49</f>
        <v>0.3896</v>
      </c>
      <c r="G44" s="10">
        <f>+[2]称号計算!M49</f>
        <v>0.19869999999999999</v>
      </c>
      <c r="H44" s="11">
        <f>+[2]称号計算!N49</f>
        <v>0.18540000000000001</v>
      </c>
      <c r="I44" s="26">
        <f>+[2]称号計算!O49</f>
        <v>0.1714</v>
      </c>
      <c r="J44" s="11">
        <f>+[2]称号計算!P49</f>
        <v>0.1182</v>
      </c>
      <c r="K44" s="26">
        <f>+[2]称号計算!Q49</f>
        <v>8.2299999999999998E-2</v>
      </c>
      <c r="L44" s="10">
        <f>+[2]称号計算!R49</f>
        <v>0.187</v>
      </c>
      <c r="M44" s="11">
        <f>+[2]称号計算!S49</f>
        <v>0.13089999999999999</v>
      </c>
      <c r="N44" s="26">
        <f>+[2]称号計算!T49</f>
        <v>6.8999999999999999E-3</v>
      </c>
      <c r="O44" s="10">
        <f>+[2]称号計算!U49</f>
        <v>6.8999999999999999E-3</v>
      </c>
      <c r="P44" s="10">
        <f>+[2]称号計算!V49</f>
        <v>2.6100000000000002E-2</v>
      </c>
      <c r="Q44" s="10">
        <f>+[2]称号計算!W49</f>
        <v>0.1042</v>
      </c>
      <c r="R44" s="10">
        <f>+[2]称号計算!X49</f>
        <v>5.1999999999999998E-3</v>
      </c>
      <c r="S44" s="11">
        <f>+[2]称号計算!Y49</f>
        <v>5.1999999999999998E-3</v>
      </c>
      <c r="T44" s="18">
        <f>+[2]称号計算!Z49</f>
        <v>0.65800000000000003</v>
      </c>
      <c r="U44" s="11">
        <v>1</v>
      </c>
    </row>
    <row r="45" spans="1:21">
      <c r="A45" s="12" t="s">
        <v>956</v>
      </c>
      <c r="B45" s="23" t="s">
        <v>1316</v>
      </c>
      <c r="C45" s="27">
        <f>+[2]称号計算!I50</f>
        <v>0.1988</v>
      </c>
      <c r="D45" s="5">
        <f>+[2]称号計算!J50</f>
        <v>0.34949999999999998</v>
      </c>
      <c r="E45" s="5">
        <f>+[2]称号計算!K50</f>
        <v>3.7199999999999997E-2</v>
      </c>
      <c r="F45" s="5">
        <f>+[2]称号計算!L50</f>
        <v>0.4965</v>
      </c>
      <c r="G45" s="5">
        <f>+[2]称号計算!M50</f>
        <v>0.14849999999999999</v>
      </c>
      <c r="H45" s="13">
        <f>+[2]称号計算!N50</f>
        <v>0.16039999999999999</v>
      </c>
      <c r="I45" s="27">
        <f>+[2]称号計算!O50</f>
        <v>8.7400000000000005E-2</v>
      </c>
      <c r="J45" s="13">
        <f>+[2]称号計算!P50</f>
        <v>0.1893</v>
      </c>
      <c r="K45" s="27">
        <f>+[2]称号計算!Q50</f>
        <v>7.2099999999999997E-2</v>
      </c>
      <c r="L45" s="5">
        <f>+[2]称号計算!R50</f>
        <v>0.12709999999999999</v>
      </c>
      <c r="M45" s="13">
        <f>+[2]称号計算!S50</f>
        <v>0.20569999999999999</v>
      </c>
      <c r="N45" s="27">
        <f>+[2]称号計算!T50</f>
        <v>7.46E-2</v>
      </c>
      <c r="O45" s="5">
        <f>+[2]称号計算!U50</f>
        <v>1.49E-2</v>
      </c>
      <c r="P45" s="5">
        <f>+[2]称号計算!V50</f>
        <v>5.0000000000000001E-3</v>
      </c>
      <c r="Q45" s="5">
        <f>+[2]称号計算!W50</f>
        <v>5.0000000000000001E-3</v>
      </c>
      <c r="R45" s="5">
        <f>+[2]称号計算!X50</f>
        <v>3.7000000000000002E-3</v>
      </c>
      <c r="S45" s="13">
        <f>+[2]称号計算!Y50</f>
        <v>3.7000000000000002E-3</v>
      </c>
      <c r="T45" s="19">
        <f>+[2]称号計算!Z50</f>
        <v>0.60450000000000004</v>
      </c>
      <c r="U45" s="13">
        <v>1</v>
      </c>
    </row>
    <row r="46" spans="1:21">
      <c r="A46" s="12" t="s">
        <v>957</v>
      </c>
      <c r="B46" s="23" t="s">
        <v>1317</v>
      </c>
      <c r="C46" s="27">
        <f>+[2]称号計算!I51</f>
        <v>0.22459999999999999</v>
      </c>
      <c r="D46" s="5">
        <f>+[2]称号計算!J51</f>
        <v>0.37069999999999997</v>
      </c>
      <c r="E46" s="5">
        <f>+[2]称号計算!K51</f>
        <v>3.1300000000000001E-2</v>
      </c>
      <c r="F46" s="5">
        <f>+[2]称号計算!L51</f>
        <v>0.48149999999999998</v>
      </c>
      <c r="G46" s="5">
        <f>+[2]称号計算!M51</f>
        <v>0.12609999999999999</v>
      </c>
      <c r="H46" s="13">
        <f>+[2]称号計算!N51</f>
        <v>0.33560000000000001</v>
      </c>
      <c r="I46" s="27">
        <f>+[2]称号計算!O51</f>
        <v>9.5299999999999996E-2</v>
      </c>
      <c r="J46" s="13">
        <f>+[2]称号計算!P51</f>
        <v>0.121</v>
      </c>
      <c r="K46" s="27">
        <f>+[2]称号計算!Q51</f>
        <v>8.0500000000000002E-2</v>
      </c>
      <c r="L46" s="5">
        <f>+[2]称号計算!R51</f>
        <v>0.1618</v>
      </c>
      <c r="M46" s="13">
        <f>+[2]称号計算!S51</f>
        <v>0.1429</v>
      </c>
      <c r="N46" s="27">
        <f>+[2]称号計算!T51</f>
        <v>0.1181</v>
      </c>
      <c r="O46" s="5">
        <f>+[2]称号計算!U51</f>
        <v>2.3599999999999999E-2</v>
      </c>
      <c r="P46" s="5">
        <f>+[2]称号計算!V51</f>
        <v>7.9000000000000008E-3</v>
      </c>
      <c r="Q46" s="5">
        <f>+[2]称号計算!W51</f>
        <v>7.9000000000000008E-3</v>
      </c>
      <c r="R46" s="5">
        <f>+[2]称号計算!X51</f>
        <v>5.8999999999999999E-3</v>
      </c>
      <c r="S46" s="13">
        <f>+[2]称号計算!Y51</f>
        <v>5.8999999999999999E-3</v>
      </c>
      <c r="T46" s="19">
        <f>+[2]称号計算!Z51</f>
        <v>0.66339999999999999</v>
      </c>
      <c r="U46" s="13">
        <v>0.9</v>
      </c>
    </row>
    <row r="47" spans="1:21">
      <c r="A47" s="12" t="s">
        <v>958</v>
      </c>
      <c r="B47" s="23" t="s">
        <v>1318</v>
      </c>
      <c r="C47" s="27">
        <f>+[2]称号計算!I52</f>
        <v>0.19589999999999999</v>
      </c>
      <c r="D47" s="5">
        <f>+[2]称号計算!J52</f>
        <v>7.9899999999999999E-2</v>
      </c>
      <c r="E47" s="5">
        <f>+[2]称号計算!K52</f>
        <v>0.58589999999999998</v>
      </c>
      <c r="F47" s="5">
        <f>+[2]称号計算!L52</f>
        <v>3.6299999999999999E-2</v>
      </c>
      <c r="G47" s="5">
        <f>+[2]称号計算!M52</f>
        <v>0.15140000000000001</v>
      </c>
      <c r="H47" s="13">
        <f>+[2]称号計算!N52</f>
        <v>0.1394</v>
      </c>
      <c r="I47" s="27">
        <f>+[2]称号計算!O52</f>
        <v>0.24490000000000001</v>
      </c>
      <c r="J47" s="13">
        <f>+[2]称号計算!P52</f>
        <v>0.2437</v>
      </c>
      <c r="K47" s="27">
        <f>+[2]称号計算!Q52</f>
        <v>0.17269999999999999</v>
      </c>
      <c r="L47" s="5">
        <f>+[2]称号計算!R52</f>
        <v>0.20150000000000001</v>
      </c>
      <c r="M47" s="13">
        <f>+[2]称号計算!S52</f>
        <v>0.21820000000000001</v>
      </c>
      <c r="N47" s="27">
        <f>+[2]称号計算!T52</f>
        <v>4.4000000000000003E-3</v>
      </c>
      <c r="O47" s="5">
        <f>+[2]称号計算!U52</f>
        <v>4.4000000000000003E-3</v>
      </c>
      <c r="P47" s="5">
        <f>+[2]称号計算!V52</f>
        <v>1.6299999999999999E-2</v>
      </c>
      <c r="Q47" s="5">
        <f>+[2]称号計算!W52</f>
        <v>6.54E-2</v>
      </c>
      <c r="R47" s="5">
        <f>+[2]称号計算!X52</f>
        <v>3.3E-3</v>
      </c>
      <c r="S47" s="13">
        <f>+[2]称号計算!Y52</f>
        <v>3.3E-3</v>
      </c>
      <c r="T47" s="19">
        <f>+[2]称号計算!Z52</f>
        <v>0.87649999999999995</v>
      </c>
      <c r="U47" s="13">
        <v>0.55000000000000004</v>
      </c>
    </row>
    <row r="48" spans="1:21">
      <c r="A48" s="12" t="s">
        <v>959</v>
      </c>
      <c r="B48" s="23" t="s">
        <v>1319</v>
      </c>
      <c r="C48" s="27">
        <f>+[2]称号計算!I53</f>
        <v>0.16470000000000001</v>
      </c>
      <c r="D48" s="5">
        <f>+[2]称号計算!J53</f>
        <v>6.08E-2</v>
      </c>
      <c r="E48" s="5">
        <f>+[2]称号計算!K53</f>
        <v>0.57599999999999996</v>
      </c>
      <c r="F48" s="5">
        <f>+[2]称号計算!L53</f>
        <v>3.7400000000000003E-2</v>
      </c>
      <c r="G48" s="5">
        <f>+[2]称号計算!M53</f>
        <v>0.12139999999999999</v>
      </c>
      <c r="H48" s="13">
        <f>+[2]称号計算!N53</f>
        <v>0.13320000000000001</v>
      </c>
      <c r="I48" s="27">
        <f>+[2]称号計算!O53</f>
        <v>0.45619999999999999</v>
      </c>
      <c r="J48" s="13">
        <f>+[2]称号計算!P53</f>
        <v>0.20960000000000001</v>
      </c>
      <c r="K48" s="27">
        <f>+[2]称号計算!Q53</f>
        <v>0.15970000000000001</v>
      </c>
      <c r="L48" s="5">
        <f>+[2]称号計算!R53</f>
        <v>0.311</v>
      </c>
      <c r="M48" s="13">
        <f>+[2]称号計算!S53</f>
        <v>0.13869999999999999</v>
      </c>
      <c r="N48" s="27">
        <f>+[2]称号計算!T53</f>
        <v>1.29E-2</v>
      </c>
      <c r="O48" s="5">
        <f>+[2]称号計算!U53</f>
        <v>6.4399999999999999E-2</v>
      </c>
      <c r="P48" s="5">
        <f>+[2]称号計算!V53</f>
        <v>4.3E-3</v>
      </c>
      <c r="Q48" s="5">
        <f>+[2]称号計算!W53</f>
        <v>4.3E-3</v>
      </c>
      <c r="R48" s="5">
        <f>+[2]称号計算!X53</f>
        <v>3.2000000000000002E-3</v>
      </c>
      <c r="S48" s="13">
        <f>+[2]称号計算!Y53</f>
        <v>3.2000000000000002E-3</v>
      </c>
      <c r="T48" s="19">
        <f>+[2]称号計算!Z53</f>
        <v>0.88829999999999998</v>
      </c>
      <c r="U48" s="13">
        <v>0.5</v>
      </c>
    </row>
    <row r="49" spans="1:21" ht="19.5" thickBot="1">
      <c r="A49" s="14" t="s">
        <v>960</v>
      </c>
      <c r="B49" s="24" t="s">
        <v>1320</v>
      </c>
      <c r="C49" s="28">
        <f>+[2]称号計算!I54</f>
        <v>0.24859999999999999</v>
      </c>
      <c r="D49" s="15">
        <f>+[2]称号計算!J54</f>
        <v>0.28489999999999999</v>
      </c>
      <c r="E49" s="15">
        <f>+[2]称号計算!K54</f>
        <v>3.6499999999999998E-2</v>
      </c>
      <c r="F49" s="15">
        <f>+[2]称号計算!L54</f>
        <v>0.58860000000000001</v>
      </c>
      <c r="G49" s="15">
        <f>+[2]称号計算!M54</f>
        <v>0.1641</v>
      </c>
      <c r="H49" s="16">
        <f>+[2]称号計算!N54</f>
        <v>0.18210000000000001</v>
      </c>
      <c r="I49" s="28">
        <f>+[2]称号計算!O54</f>
        <v>0.15540000000000001</v>
      </c>
      <c r="J49" s="16">
        <f>+[2]称号計算!P54</f>
        <v>0.16320000000000001</v>
      </c>
      <c r="K49" s="28">
        <f>+[2]称号計算!Q54</f>
        <v>0.11650000000000001</v>
      </c>
      <c r="L49" s="15">
        <f>+[2]称号計算!R54</f>
        <v>0.21429999999999999</v>
      </c>
      <c r="M49" s="16">
        <f>+[2]称号計算!S54</f>
        <v>0.31309999999999999</v>
      </c>
      <c r="N49" s="28">
        <f>+[2]称号計算!T54</f>
        <v>9.0800000000000006E-2</v>
      </c>
      <c r="O49" s="15">
        <f>+[2]称号計算!U54</f>
        <v>1.8200000000000001E-2</v>
      </c>
      <c r="P49" s="15">
        <f>+[2]称号計算!V54</f>
        <v>6.1000000000000004E-3</v>
      </c>
      <c r="Q49" s="15">
        <f>+[2]称号計算!W54</f>
        <v>6.1000000000000004E-3</v>
      </c>
      <c r="R49" s="15">
        <f>+[2]称号計算!X54</f>
        <v>4.4999999999999997E-3</v>
      </c>
      <c r="S49" s="16">
        <f>+[2]称号計算!Y54</f>
        <v>4.4999999999999997E-3</v>
      </c>
      <c r="T49" s="20">
        <f>+[2]称号計算!Z54</f>
        <v>0.80189999999999995</v>
      </c>
      <c r="U49" s="16">
        <v>0.25</v>
      </c>
    </row>
    <row r="50" spans="1:21">
      <c r="A50" s="9" t="s">
        <v>961</v>
      </c>
      <c r="B50" s="22" t="s">
        <v>1321</v>
      </c>
      <c r="C50" s="26">
        <f>+[2]称号計算!I55</f>
        <v>0.1371</v>
      </c>
      <c r="D50" s="10">
        <f>+[2]称号計算!J55</f>
        <v>0.22500000000000001</v>
      </c>
      <c r="E50" s="10">
        <f>+[2]称号計算!K55</f>
        <v>2.4199999999999999E-2</v>
      </c>
      <c r="F50" s="10">
        <f>+[2]称号計算!L55</f>
        <v>0.46489999999999998</v>
      </c>
      <c r="G50" s="10">
        <f>+[2]称号計算!M55</f>
        <v>0.1028</v>
      </c>
      <c r="H50" s="11">
        <f>+[2]称号計算!N55</f>
        <v>0.1265</v>
      </c>
      <c r="I50" s="26">
        <f>+[2]称号計算!O55</f>
        <v>0.36820000000000003</v>
      </c>
      <c r="J50" s="11">
        <f>+[2]称号計算!P55</f>
        <v>0.14910000000000001</v>
      </c>
      <c r="K50" s="26">
        <f>+[2]称号計算!Q55</f>
        <v>8.3900000000000002E-2</v>
      </c>
      <c r="L50" s="10">
        <f>+[2]称号計算!R55</f>
        <v>0.13950000000000001</v>
      </c>
      <c r="M50" s="11">
        <f>+[2]称号計算!S55</f>
        <v>0.23169999999999999</v>
      </c>
      <c r="N50" s="26">
        <f>+[2]称号計算!T55</f>
        <v>4.1999999999999997E-3</v>
      </c>
      <c r="O50" s="10">
        <f>+[2]称号計算!U55</f>
        <v>4.1999999999999997E-3</v>
      </c>
      <c r="P50" s="10">
        <f>+[2]称号計算!V55</f>
        <v>1.5599999999999999E-2</v>
      </c>
      <c r="Q50" s="10">
        <f>+[2]称号計算!W55</f>
        <v>6.2399999999999997E-2</v>
      </c>
      <c r="R50" s="10">
        <f>+[2]称号計算!X55</f>
        <v>3.0999999999999999E-3</v>
      </c>
      <c r="S50" s="11">
        <f>+[2]称号計算!Y55</f>
        <v>3.0999999999999999E-3</v>
      </c>
      <c r="T50" s="18">
        <f>+[2]称号計算!Z55</f>
        <v>0.64439999999999997</v>
      </c>
      <c r="U50" s="11">
        <v>1</v>
      </c>
    </row>
    <row r="51" spans="1:21">
      <c r="A51" s="12" t="s">
        <v>962</v>
      </c>
      <c r="B51" s="23" t="s">
        <v>1322</v>
      </c>
      <c r="C51" s="27">
        <f>+[2]称号計算!I56</f>
        <v>0.17560000000000001</v>
      </c>
      <c r="D51" s="5">
        <f>+[2]称号計算!J56</f>
        <v>0.28920000000000001</v>
      </c>
      <c r="E51" s="5">
        <f>+[2]称号計算!K56</f>
        <v>2.92E-2</v>
      </c>
      <c r="F51" s="5">
        <f>+[2]称号計算!L56</f>
        <v>0.48680000000000001</v>
      </c>
      <c r="G51" s="5">
        <f>+[2]称号計算!M56</f>
        <v>0.1341</v>
      </c>
      <c r="H51" s="13">
        <f>+[2]称号計算!N56</f>
        <v>0.14399999999999999</v>
      </c>
      <c r="I51" s="27">
        <f>+[2]称号計算!O56</f>
        <v>0.25700000000000001</v>
      </c>
      <c r="J51" s="13">
        <f>+[2]称号計算!P56</f>
        <v>0.2152</v>
      </c>
      <c r="K51" s="27">
        <f>+[2]称号計算!Q56</f>
        <v>9.8500000000000004E-2</v>
      </c>
      <c r="L51" s="5">
        <f>+[2]称号計算!R56</f>
        <v>0.13239999999999999</v>
      </c>
      <c r="M51" s="13">
        <f>+[2]称号計算!S56</f>
        <v>0.19350000000000001</v>
      </c>
      <c r="N51" s="27">
        <f>+[2]称号計算!T56</f>
        <v>4.4999999999999997E-3</v>
      </c>
      <c r="O51" s="5">
        <f>+[2]称号計算!U56</f>
        <v>4.4999999999999997E-3</v>
      </c>
      <c r="P51" s="5">
        <f>+[2]称号計算!V56</f>
        <v>1.6799999999999999E-2</v>
      </c>
      <c r="Q51" s="5">
        <f>+[2]称号計算!W56</f>
        <v>6.7299999999999999E-2</v>
      </c>
      <c r="R51" s="5">
        <f>+[2]称号計算!X56</f>
        <v>3.3999999999999998E-3</v>
      </c>
      <c r="S51" s="13">
        <f>+[2]称号計算!Y56</f>
        <v>3.3999999999999998E-3</v>
      </c>
      <c r="T51" s="19">
        <f>+[2]称号計算!Z56</f>
        <v>0.70650000000000002</v>
      </c>
      <c r="U51" s="13">
        <v>1</v>
      </c>
    </row>
    <row r="52" spans="1:21">
      <c r="A52" s="12" t="s">
        <v>963</v>
      </c>
      <c r="B52" s="23" t="s">
        <v>1323</v>
      </c>
      <c r="C52" s="27">
        <f>+[2]称号計算!I57</f>
        <v>0.26889999999999997</v>
      </c>
      <c r="D52" s="5">
        <f>+[2]称号計算!J57</f>
        <v>0.42259999999999998</v>
      </c>
      <c r="E52" s="5">
        <f>+[2]称号計算!K57</f>
        <v>3.6700000000000003E-2</v>
      </c>
      <c r="F52" s="5">
        <f>+[2]称号計算!L57</f>
        <v>0.43659999999999999</v>
      </c>
      <c r="G52" s="5">
        <f>+[2]称号計算!M57</f>
        <v>0.14099999999999999</v>
      </c>
      <c r="H52" s="13">
        <f>+[2]称号計算!N57</f>
        <v>0.24940000000000001</v>
      </c>
      <c r="I52" s="27">
        <f>+[2]称号計算!O57</f>
        <v>0.22090000000000001</v>
      </c>
      <c r="J52" s="13">
        <f>+[2]称号計算!P57</f>
        <v>0.14760000000000001</v>
      </c>
      <c r="K52" s="27">
        <f>+[2]称号計算!Q57</f>
        <v>4.6100000000000002E-2</v>
      </c>
      <c r="L52" s="5">
        <f>+[2]称号計算!R57</f>
        <v>0.12570000000000001</v>
      </c>
      <c r="M52" s="13">
        <f>+[2]称号計算!S57</f>
        <v>0.16259999999999999</v>
      </c>
      <c r="N52" s="27">
        <f>+[2]称号計算!T57</f>
        <v>6.0000000000000001E-3</v>
      </c>
      <c r="O52" s="5">
        <f>+[2]称号計算!U57</f>
        <v>6.0000000000000001E-3</v>
      </c>
      <c r="P52" s="5">
        <f>+[2]称号計算!V57</f>
        <v>6.0000000000000001E-3</v>
      </c>
      <c r="Q52" s="5">
        <f>+[2]称号計算!W57</f>
        <v>6.0000000000000001E-3</v>
      </c>
      <c r="R52" s="5">
        <f>+[2]称号計算!X57</f>
        <v>0.1192</v>
      </c>
      <c r="S52" s="13">
        <f>+[2]称号計算!Y57</f>
        <v>1.5900000000000001E-2</v>
      </c>
      <c r="T52" s="19">
        <f>+[2]称号計算!Z57</f>
        <v>0.60219999999999996</v>
      </c>
      <c r="U52" s="13">
        <v>0.9</v>
      </c>
    </row>
    <row r="53" spans="1:21">
      <c r="A53" s="12" t="s">
        <v>964</v>
      </c>
      <c r="B53" s="23" t="s">
        <v>1324</v>
      </c>
      <c r="C53" s="27">
        <f>+[2]称号計算!I58</f>
        <v>0.3997</v>
      </c>
      <c r="D53" s="5">
        <f>+[2]称号計算!J58</f>
        <v>0.1062</v>
      </c>
      <c r="E53" s="5">
        <f>+[2]称号計算!K58</f>
        <v>0.56769999999999998</v>
      </c>
      <c r="F53" s="5">
        <f>+[2]称号計算!L58</f>
        <v>5.6800000000000003E-2</v>
      </c>
      <c r="G53" s="5">
        <f>+[2]称号計算!M58</f>
        <v>0.29920000000000002</v>
      </c>
      <c r="H53" s="13">
        <f>+[2]称号計算!N58</f>
        <v>0.2702</v>
      </c>
      <c r="I53" s="27">
        <f>+[2]称号計算!O58</f>
        <v>9.9900000000000003E-2</v>
      </c>
      <c r="J53" s="13">
        <f>+[2]称号計算!P58</f>
        <v>0.13780000000000001</v>
      </c>
      <c r="K53" s="27">
        <f>+[2]称号計算!Q58</f>
        <v>0.1099</v>
      </c>
      <c r="L53" s="5">
        <f>+[2]称号計算!R58</f>
        <v>0.1862</v>
      </c>
      <c r="M53" s="13">
        <f>+[2]称号計算!S58</f>
        <v>0.12720000000000001</v>
      </c>
      <c r="N53" s="27">
        <f>+[2]称号計算!T58</f>
        <v>6.6E-3</v>
      </c>
      <c r="O53" s="5">
        <f>+[2]称号計算!U58</f>
        <v>6.6E-3</v>
      </c>
      <c r="P53" s="5">
        <f>+[2]称号計算!V58</f>
        <v>6.6E-3</v>
      </c>
      <c r="Q53" s="5">
        <f>+[2]称号計算!W58</f>
        <v>6.6E-3</v>
      </c>
      <c r="R53" s="5">
        <f>+[2]称号計算!X58</f>
        <v>0.13220000000000001</v>
      </c>
      <c r="S53" s="13">
        <f>+[2]称号計算!Y58</f>
        <v>1.7600000000000001E-2</v>
      </c>
      <c r="T53" s="19">
        <f>+[2]称号計算!Z58</f>
        <v>0.76070000000000004</v>
      </c>
      <c r="U53" s="13">
        <v>0.55000000000000004</v>
      </c>
    </row>
    <row r="54" spans="1:21">
      <c r="A54" s="12" t="s">
        <v>965</v>
      </c>
      <c r="B54" s="23" t="s">
        <v>1325</v>
      </c>
      <c r="C54" s="27">
        <f>+[2]称号計算!I59</f>
        <v>0.378</v>
      </c>
      <c r="D54" s="5">
        <f>+[2]称号計算!J59</f>
        <v>0.12859999999999999</v>
      </c>
      <c r="E54" s="5">
        <f>+[2]称号計算!K59</f>
        <v>0.58440000000000003</v>
      </c>
      <c r="F54" s="5">
        <f>+[2]称号計算!L59</f>
        <v>4.4400000000000002E-2</v>
      </c>
      <c r="G54" s="5">
        <f>+[2]称号計算!M59</f>
        <v>0.18279999999999999</v>
      </c>
      <c r="H54" s="13">
        <f>+[2]称号計算!N59</f>
        <v>0.43709999999999999</v>
      </c>
      <c r="I54" s="27">
        <f>+[2]称号計算!O59</f>
        <v>0.12859999999999999</v>
      </c>
      <c r="J54" s="13">
        <f>+[2]称号計算!P59</f>
        <v>0.15190000000000001</v>
      </c>
      <c r="K54" s="27">
        <f>+[2]称号計算!Q59</f>
        <v>0.10539999999999999</v>
      </c>
      <c r="L54" s="5">
        <f>+[2]称号計算!R59</f>
        <v>0.1847</v>
      </c>
      <c r="M54" s="13">
        <f>+[2]称号計算!S59</f>
        <v>0.13750000000000001</v>
      </c>
      <c r="N54" s="27">
        <f>+[2]称号計算!T59</f>
        <v>6.3E-3</v>
      </c>
      <c r="O54" s="5">
        <f>+[2]称号計算!U59</f>
        <v>6.3E-3</v>
      </c>
      <c r="P54" s="5">
        <f>+[2]称号計算!V59</f>
        <v>6.3E-3</v>
      </c>
      <c r="Q54" s="5">
        <f>+[2]称号計算!W59</f>
        <v>6.3E-3</v>
      </c>
      <c r="R54" s="5">
        <f>+[2]称号計算!X59</f>
        <v>0.12609999999999999</v>
      </c>
      <c r="S54" s="13">
        <f>+[2]称号計算!Y59</f>
        <v>1.6799999999999999E-2</v>
      </c>
      <c r="T54" s="19">
        <f>+[2]称号計算!Z59</f>
        <v>0.7732</v>
      </c>
      <c r="U54" s="13">
        <v>0.5</v>
      </c>
    </row>
    <row r="55" spans="1:21" ht="19.5" thickBot="1">
      <c r="A55" s="14" t="s">
        <v>966</v>
      </c>
      <c r="B55" s="24" t="s">
        <v>1326</v>
      </c>
      <c r="C55" s="28">
        <f>+[2]称号計算!I60</f>
        <v>0.2823</v>
      </c>
      <c r="D55" s="15">
        <f>+[2]称号計算!J60</f>
        <v>0.3387</v>
      </c>
      <c r="E55" s="15">
        <f>+[2]称号計算!K60</f>
        <v>4.4900000000000002E-2</v>
      </c>
      <c r="F55" s="15">
        <f>+[2]称号計算!L60</f>
        <v>0.64149999999999996</v>
      </c>
      <c r="G55" s="15">
        <f>+[2]称号計算!M60</f>
        <v>0.2094</v>
      </c>
      <c r="H55" s="16">
        <f>+[2]称号計算!N60</f>
        <v>0.2225</v>
      </c>
      <c r="I55" s="28">
        <f>+[2]称号計算!O60</f>
        <v>0.127</v>
      </c>
      <c r="J55" s="16">
        <f>+[2]称号計算!P60</f>
        <v>0.15570000000000001</v>
      </c>
      <c r="K55" s="28">
        <f>+[2]称号計算!Q60</f>
        <v>0.1157</v>
      </c>
      <c r="L55" s="15">
        <f>+[2]称号計算!R60</f>
        <v>0.2361</v>
      </c>
      <c r="M55" s="16">
        <f>+[2]称号計算!S60</f>
        <v>0.19220000000000001</v>
      </c>
      <c r="N55" s="28">
        <f>+[2]称号計算!T60</f>
        <v>1.03E-2</v>
      </c>
      <c r="O55" s="15">
        <f>+[2]称号計算!U60</f>
        <v>1.03E-2</v>
      </c>
      <c r="P55" s="15">
        <f>+[2]称号計算!V60</f>
        <v>3.85E-2</v>
      </c>
      <c r="Q55" s="15">
        <f>+[2]称号計算!W60</f>
        <v>0.154</v>
      </c>
      <c r="R55" s="15">
        <f>+[2]称号計算!X60</f>
        <v>7.7000000000000002E-3</v>
      </c>
      <c r="S55" s="16">
        <f>+[2]称号計算!Y60</f>
        <v>7.7000000000000002E-3</v>
      </c>
      <c r="T55" s="20">
        <f>+[2]称号計算!Z60</f>
        <v>0.80549999999999999</v>
      </c>
      <c r="U55" s="16">
        <v>0.25</v>
      </c>
    </row>
    <row r="56" spans="1:21">
      <c r="A56" s="9" t="s">
        <v>967</v>
      </c>
      <c r="B56" s="22" t="s">
        <v>1327</v>
      </c>
      <c r="C56" s="26">
        <f>+[2]称号計算!I61</f>
        <v>0.14099999999999999</v>
      </c>
      <c r="D56" s="10">
        <f>+[2]称号計算!J61</f>
        <v>0.22789999999999999</v>
      </c>
      <c r="E56" s="10">
        <f>+[2]称号計算!K61</f>
        <v>2.46E-2</v>
      </c>
      <c r="F56" s="10">
        <f>+[2]称号計算!L61</f>
        <v>0.43890000000000001</v>
      </c>
      <c r="G56" s="10">
        <f>+[2]称号計算!M61</f>
        <v>0.1149</v>
      </c>
      <c r="H56" s="11">
        <f>+[2]称号計算!N61</f>
        <v>0.1268</v>
      </c>
      <c r="I56" s="26">
        <f>+[2]称号計算!O61</f>
        <v>0.50209999999999999</v>
      </c>
      <c r="J56" s="11">
        <f>+[2]称号計算!P61</f>
        <v>0.14829999999999999</v>
      </c>
      <c r="K56" s="26">
        <f>+[2]称号計算!Q61</f>
        <v>0.1062</v>
      </c>
      <c r="L56" s="10">
        <f>+[2]称号計算!R61</f>
        <v>0.1668</v>
      </c>
      <c r="M56" s="11">
        <f>+[2]称号計算!S61</f>
        <v>0.1376</v>
      </c>
      <c r="N56" s="26">
        <f>+[2]称号計算!T61</f>
        <v>6.83E-2</v>
      </c>
      <c r="O56" s="10">
        <f>+[2]称号計算!U61</f>
        <v>1.37E-2</v>
      </c>
      <c r="P56" s="10">
        <f>+[2]称号計算!V61</f>
        <v>4.5999999999999999E-3</v>
      </c>
      <c r="Q56" s="10">
        <f>+[2]称号計算!W61</f>
        <v>4.5999999999999999E-3</v>
      </c>
      <c r="R56" s="10">
        <f>+[2]称号計算!X61</f>
        <v>3.3999999999999998E-3</v>
      </c>
      <c r="S56" s="11">
        <f>+[2]称号計算!Y61</f>
        <v>3.3999999999999998E-3</v>
      </c>
      <c r="T56" s="18">
        <f>+[2]称号計算!Z61</f>
        <v>0.75319999999999998</v>
      </c>
      <c r="U56" s="11">
        <v>1</v>
      </c>
    </row>
    <row r="57" spans="1:21">
      <c r="A57" s="12" t="s">
        <v>968</v>
      </c>
      <c r="B57" s="23" t="s">
        <v>1328</v>
      </c>
      <c r="C57" s="27">
        <f>+[2]称号計算!I62</f>
        <v>0.18770000000000001</v>
      </c>
      <c r="D57" s="5">
        <f>+[2]称号計算!J62</f>
        <v>0.21379999999999999</v>
      </c>
      <c r="E57" s="5">
        <f>+[2]称号計算!K62</f>
        <v>2.86E-2</v>
      </c>
      <c r="F57" s="5">
        <f>+[2]称号計算!L62</f>
        <v>0.54</v>
      </c>
      <c r="G57" s="5">
        <f>+[2]称号計算!M62</f>
        <v>0.15609999999999999</v>
      </c>
      <c r="H57" s="13">
        <f>+[2]称号計算!N62</f>
        <v>0.1487</v>
      </c>
      <c r="I57" s="27">
        <f>+[2]称号計算!O62</f>
        <v>0.15440000000000001</v>
      </c>
      <c r="J57" s="13">
        <f>+[2]称号計算!P62</f>
        <v>0.13569999999999999</v>
      </c>
      <c r="K57" s="27">
        <f>+[2]称号計算!Q62</f>
        <v>0.19009999999999999</v>
      </c>
      <c r="L57" s="5">
        <f>+[2]称号計算!R62</f>
        <v>0.3715</v>
      </c>
      <c r="M57" s="13">
        <f>+[2]称号計算!S62</f>
        <v>0.1149</v>
      </c>
      <c r="N57" s="27">
        <f>+[2]称号計算!T62</f>
        <v>4.3E-3</v>
      </c>
      <c r="O57" s="5">
        <f>+[2]称号計算!U62</f>
        <v>4.3E-3</v>
      </c>
      <c r="P57" s="5">
        <f>+[2]称号計算!V62</f>
        <v>1.61E-2</v>
      </c>
      <c r="Q57" s="5">
        <f>+[2]称号計算!W62</f>
        <v>6.4600000000000005E-2</v>
      </c>
      <c r="R57" s="5">
        <f>+[2]称号計算!X62</f>
        <v>3.2000000000000002E-3</v>
      </c>
      <c r="S57" s="13">
        <f>+[2]称号計算!Y62</f>
        <v>3.2000000000000002E-3</v>
      </c>
      <c r="T57" s="19">
        <f>+[2]称号計算!Z62</f>
        <v>0.94650000000000001</v>
      </c>
      <c r="U57" s="13">
        <v>1</v>
      </c>
    </row>
    <row r="58" spans="1:21">
      <c r="A58" s="12" t="s">
        <v>969</v>
      </c>
      <c r="B58" s="23" t="s">
        <v>1329</v>
      </c>
      <c r="C58" s="27">
        <f>+[2]称号計算!I63</f>
        <v>0.28470000000000001</v>
      </c>
      <c r="D58" s="5">
        <f>+[2]称号計算!J63</f>
        <v>0.23730000000000001</v>
      </c>
      <c r="E58" s="5">
        <f>+[2]称号計算!K63</f>
        <v>5.3900000000000003E-2</v>
      </c>
      <c r="F58" s="5">
        <f>+[2]称号計算!L63</f>
        <v>0.5393</v>
      </c>
      <c r="G58" s="5">
        <f>+[2]称号計算!M63</f>
        <v>0.2384</v>
      </c>
      <c r="H58" s="13">
        <f>+[2]称号計算!N63</f>
        <v>0.15590000000000001</v>
      </c>
      <c r="I58" s="27">
        <f>+[2]称号計算!O63</f>
        <v>0.1898</v>
      </c>
      <c r="J58" s="13">
        <f>+[2]称号計算!P63</f>
        <v>0.14960000000000001</v>
      </c>
      <c r="K58" s="27">
        <f>+[2]称号計算!Q63</f>
        <v>0.13289999999999999</v>
      </c>
      <c r="L58" s="5">
        <f>+[2]称号計算!R63</f>
        <v>0.2157</v>
      </c>
      <c r="M58" s="13">
        <f>+[2]称号計算!S63</f>
        <v>0.151</v>
      </c>
      <c r="N58" s="27">
        <f>+[2]称号計算!T63</f>
        <v>6.6E-3</v>
      </c>
      <c r="O58" s="5">
        <f>+[2]称号計算!U63</f>
        <v>6.6E-3</v>
      </c>
      <c r="P58" s="5">
        <f>+[2]称号計算!V63</f>
        <v>2.4899999999999999E-2</v>
      </c>
      <c r="Q58" s="5">
        <f>+[2]称号計算!W63</f>
        <v>9.9599999999999994E-2</v>
      </c>
      <c r="R58" s="5">
        <f>+[2]称号計算!X63</f>
        <v>5.0000000000000001E-3</v>
      </c>
      <c r="S58" s="13">
        <f>+[2]称号計算!Y63</f>
        <v>5.0000000000000001E-3</v>
      </c>
      <c r="T58" s="19">
        <f>+[2]称号計算!Z63</f>
        <v>0.83499999999999996</v>
      </c>
      <c r="U58" s="13">
        <v>0.9</v>
      </c>
    </row>
    <row r="59" spans="1:21">
      <c r="A59" s="12" t="s">
        <v>970</v>
      </c>
      <c r="B59" s="23" t="s">
        <v>1330</v>
      </c>
      <c r="C59" s="27">
        <f>+[2]称号計算!I64</f>
        <v>0.48149999999999998</v>
      </c>
      <c r="D59" s="5">
        <f>+[2]称号計算!J64</f>
        <v>9.5200000000000007E-2</v>
      </c>
      <c r="E59" s="5">
        <f>+[2]称号計算!K64</f>
        <v>0.60129999999999995</v>
      </c>
      <c r="F59" s="5">
        <f>+[2]称号計算!L64</f>
        <v>5.0500000000000003E-2</v>
      </c>
      <c r="G59" s="5">
        <f>+[2]称号計算!M64</f>
        <v>0.43959999999999999</v>
      </c>
      <c r="H59" s="13">
        <f>+[2]称号計算!N64</f>
        <v>0.2167</v>
      </c>
      <c r="I59" s="27">
        <f>+[2]称号計算!O64</f>
        <v>7.9399999999999998E-2</v>
      </c>
      <c r="J59" s="13">
        <f>+[2]称号計算!P64</f>
        <v>0.14069999999999999</v>
      </c>
      <c r="K59" s="27">
        <f>+[2]称号計算!Q64</f>
        <v>7.9399999999999998E-2</v>
      </c>
      <c r="L59" s="5">
        <f>+[2]称号計算!R64</f>
        <v>0.15629999999999999</v>
      </c>
      <c r="M59" s="13">
        <f>+[2]称号計算!S64</f>
        <v>0.1145</v>
      </c>
      <c r="N59" s="27">
        <f>+[2]称号計算!T64</f>
        <v>0.13750000000000001</v>
      </c>
      <c r="O59" s="5">
        <f>+[2]称号計算!U64</f>
        <v>2.75E-2</v>
      </c>
      <c r="P59" s="5">
        <f>+[2]称号計算!V64</f>
        <v>9.1999999999999998E-3</v>
      </c>
      <c r="Q59" s="5">
        <f>+[2]称号計算!W64</f>
        <v>9.1999999999999998E-3</v>
      </c>
      <c r="R59" s="5">
        <f>+[2]称号計算!X64</f>
        <v>6.8999999999999999E-3</v>
      </c>
      <c r="S59" s="13">
        <f>+[2]称号計算!Y64</f>
        <v>6.8999999999999999E-3</v>
      </c>
      <c r="T59" s="19">
        <f>+[2]称号計算!Z64</f>
        <v>0.6956</v>
      </c>
      <c r="U59" s="13">
        <v>0.55000000000000004</v>
      </c>
    </row>
    <row r="60" spans="1:21">
      <c r="A60" s="12" t="s">
        <v>971</v>
      </c>
      <c r="B60" s="23" t="s">
        <v>1331</v>
      </c>
      <c r="C60" s="27">
        <f>+[2]称号計算!I65</f>
        <v>0.21540000000000001</v>
      </c>
      <c r="D60" s="5">
        <f>+[2]称号計算!J65</f>
        <v>0.1159</v>
      </c>
      <c r="E60" s="5">
        <f>+[2]称号計算!K65</f>
        <v>0.61970000000000003</v>
      </c>
      <c r="F60" s="5">
        <f>+[2]称号計算!L65</f>
        <v>4.3400000000000001E-2</v>
      </c>
      <c r="G60" s="5">
        <f>+[2]称号計算!M65</f>
        <v>0.16650000000000001</v>
      </c>
      <c r="H60" s="13">
        <f>+[2]称号計算!N65</f>
        <v>0.15379999999999999</v>
      </c>
      <c r="I60" s="27">
        <f>+[2]称号計算!O65</f>
        <v>0.2727</v>
      </c>
      <c r="J60" s="13">
        <f>+[2]称号計算!P65</f>
        <v>0.19869999999999999</v>
      </c>
      <c r="K60" s="27">
        <f>+[2]称号計算!Q65</f>
        <v>0.21809999999999999</v>
      </c>
      <c r="L60" s="5">
        <f>+[2]称号計算!R65</f>
        <v>0.34949999999999998</v>
      </c>
      <c r="M60" s="13">
        <f>+[2]称号計算!S65</f>
        <v>0.2082</v>
      </c>
      <c r="N60" s="27">
        <f>+[2]称号計算!T65</f>
        <v>5.3E-3</v>
      </c>
      <c r="O60" s="5">
        <f>+[2]称号計算!U65</f>
        <v>5.3E-3</v>
      </c>
      <c r="P60" s="5">
        <f>+[2]称号計算!V65</f>
        <v>0.02</v>
      </c>
      <c r="Q60" s="5">
        <f>+[2]称号計算!W65</f>
        <v>7.9899999999999999E-2</v>
      </c>
      <c r="R60" s="5">
        <f>+[2]称号計算!X65</f>
        <v>4.0000000000000001E-3</v>
      </c>
      <c r="S60" s="13">
        <f>+[2]称号計算!Y65</f>
        <v>4.0000000000000001E-3</v>
      </c>
      <c r="T60" s="19">
        <f>+[2]称号計算!Z65</f>
        <v>1.0817000000000001</v>
      </c>
      <c r="U60" s="13">
        <v>0.5</v>
      </c>
    </row>
    <row r="61" spans="1:21" ht="19.5" thickBot="1">
      <c r="A61" s="14" t="s">
        <v>972</v>
      </c>
      <c r="B61" s="24" t="s">
        <v>1332</v>
      </c>
      <c r="C61" s="28">
        <f>+[2]称号計算!I66</f>
        <v>0.25190000000000001</v>
      </c>
      <c r="D61" s="15">
        <f>+[2]称号計算!J66</f>
        <v>0.27650000000000002</v>
      </c>
      <c r="E61" s="15">
        <f>+[2]称号計算!K66</f>
        <v>6.9800000000000001E-2</v>
      </c>
      <c r="F61" s="15">
        <f>+[2]称号計算!L66</f>
        <v>0.69830000000000003</v>
      </c>
      <c r="G61" s="15">
        <f>+[2]称号計算!M66</f>
        <v>0.20180000000000001</v>
      </c>
      <c r="H61" s="16">
        <f>+[2]称号計算!N66</f>
        <v>0.2374</v>
      </c>
      <c r="I61" s="28">
        <f>+[2]称号計算!O66</f>
        <v>0.15359999999999999</v>
      </c>
      <c r="J61" s="16">
        <f>+[2]称号計算!P66</f>
        <v>0.18160000000000001</v>
      </c>
      <c r="K61" s="28">
        <f>+[2]称号計算!Q66</f>
        <v>0.1229</v>
      </c>
      <c r="L61" s="15">
        <f>+[2]称号計算!R66</f>
        <v>0.27929999999999999</v>
      </c>
      <c r="M61" s="16">
        <f>+[2]称号計算!S66</f>
        <v>0.19550000000000001</v>
      </c>
      <c r="N61" s="28">
        <f>+[2]称号計算!T66</f>
        <v>9.8199999999999996E-2</v>
      </c>
      <c r="O61" s="15">
        <f>+[2]称号計算!U66</f>
        <v>1.9599999999999999E-2</v>
      </c>
      <c r="P61" s="15">
        <f>+[2]称号計算!V66</f>
        <v>6.4999999999999997E-3</v>
      </c>
      <c r="Q61" s="15">
        <f>+[2]称号計算!W66</f>
        <v>6.4999999999999997E-3</v>
      </c>
      <c r="R61" s="15">
        <f>+[2]称号計算!X66</f>
        <v>4.8999999999999998E-3</v>
      </c>
      <c r="S61" s="16">
        <f>+[2]称号計算!Y66</f>
        <v>4.8999999999999998E-3</v>
      </c>
      <c r="T61" s="20">
        <f>+[2]称号計算!Z66</f>
        <v>0.83030000000000004</v>
      </c>
      <c r="U61" s="16">
        <v>0.25</v>
      </c>
    </row>
    <row r="62" spans="1:21">
      <c r="A62" s="9" t="s">
        <v>973</v>
      </c>
      <c r="B62" s="22" t="s">
        <v>1333</v>
      </c>
      <c r="C62" s="26">
        <f>+[2]称号計算!I67</f>
        <v>0.20910000000000001</v>
      </c>
      <c r="D62" s="10">
        <f>+[2]称号計算!J67</f>
        <v>0.22320000000000001</v>
      </c>
      <c r="E62" s="10">
        <f>+[2]称号計算!K67</f>
        <v>3.2000000000000001E-2</v>
      </c>
      <c r="F62" s="10">
        <f>+[2]称号計算!L67</f>
        <v>0.53390000000000004</v>
      </c>
      <c r="G62" s="10">
        <f>+[2]称号計算!M67</f>
        <v>0.16700000000000001</v>
      </c>
      <c r="H62" s="11">
        <f>+[2]称号計算!N67</f>
        <v>0.16520000000000001</v>
      </c>
      <c r="I62" s="26">
        <f>+[2]称号計算!O67</f>
        <v>0.1762</v>
      </c>
      <c r="J62" s="11">
        <f>+[2]称号計算!P67</f>
        <v>0.13880000000000001</v>
      </c>
      <c r="K62" s="26">
        <f>+[2]称号計算!Q67</f>
        <v>0.14560000000000001</v>
      </c>
      <c r="L62" s="10">
        <f>+[2]称号計算!R67</f>
        <v>0.24560000000000001</v>
      </c>
      <c r="M62" s="11">
        <f>+[2]称号計算!S67</f>
        <v>0.18390000000000001</v>
      </c>
      <c r="N62" s="26">
        <f>+[2]称号計算!T67</f>
        <v>5.7000000000000002E-3</v>
      </c>
      <c r="O62" s="10">
        <f>+[2]称号計算!U67</f>
        <v>5.7000000000000002E-3</v>
      </c>
      <c r="P62" s="10">
        <f>+[2]称号計算!V67</f>
        <v>2.1299999999999999E-2</v>
      </c>
      <c r="Q62" s="10">
        <f>+[2]称号計算!W67</f>
        <v>8.5300000000000001E-2</v>
      </c>
      <c r="R62" s="10">
        <f>+[2]称号計算!X67</f>
        <v>4.3E-3</v>
      </c>
      <c r="S62" s="11">
        <f>+[2]称号計算!Y67</f>
        <v>4.3E-3</v>
      </c>
      <c r="T62" s="18">
        <f>+[2]称号計算!Z67</f>
        <v>1.3815999999999999</v>
      </c>
      <c r="U62" s="11">
        <v>1</v>
      </c>
    </row>
    <row r="63" spans="1:21">
      <c r="A63" s="12" t="s">
        <v>974</v>
      </c>
      <c r="B63" s="23" t="s">
        <v>1334</v>
      </c>
      <c r="C63" s="27">
        <f>+[2]称号計算!I68</f>
        <v>0.30370000000000003</v>
      </c>
      <c r="D63" s="5">
        <f>+[2]称号計算!J68</f>
        <v>0.25309999999999999</v>
      </c>
      <c r="E63" s="5">
        <f>+[2]称号計算!K68</f>
        <v>4.5999999999999999E-2</v>
      </c>
      <c r="F63" s="5">
        <f>+[2]称号計算!L68</f>
        <v>0.4602</v>
      </c>
      <c r="G63" s="5">
        <f>+[2]称号計算!M68</f>
        <v>0.23469999999999999</v>
      </c>
      <c r="H63" s="13">
        <f>+[2]称号計算!N68</f>
        <v>0.219</v>
      </c>
      <c r="I63" s="27">
        <f>+[2]称号計算!O68</f>
        <v>0.20250000000000001</v>
      </c>
      <c r="J63" s="13">
        <f>+[2]称号計算!P68</f>
        <v>0.1396</v>
      </c>
      <c r="K63" s="27">
        <f>+[2]称号計算!Q68</f>
        <v>9.7199999999999995E-2</v>
      </c>
      <c r="L63" s="5">
        <f>+[2]称号計算!R68</f>
        <v>0.22090000000000001</v>
      </c>
      <c r="M63" s="13">
        <f>+[2]称号計算!S68</f>
        <v>0.15459999999999999</v>
      </c>
      <c r="N63" s="27">
        <f>+[2]称号計算!T68</f>
        <v>6.1999999999999998E-3</v>
      </c>
      <c r="O63" s="5">
        <f>+[2]称号計算!U68</f>
        <v>6.1999999999999998E-3</v>
      </c>
      <c r="P63" s="5">
        <f>+[2]称号計算!V68</f>
        <v>6.1999999999999998E-3</v>
      </c>
      <c r="Q63" s="5">
        <f>+[2]称号計算!W68</f>
        <v>6.1999999999999998E-3</v>
      </c>
      <c r="R63" s="5">
        <f>+[2]称号計算!X68</f>
        <v>0.1231</v>
      </c>
      <c r="S63" s="13">
        <f>+[2]称号計算!Y68</f>
        <v>1.6400000000000001E-2</v>
      </c>
      <c r="T63" s="19">
        <f>+[2]称号計算!Z68</f>
        <v>0.77710000000000001</v>
      </c>
      <c r="U63" s="13">
        <v>1</v>
      </c>
    </row>
    <row r="64" spans="1:21">
      <c r="A64" s="12" t="s">
        <v>975</v>
      </c>
      <c r="B64" s="23" t="s">
        <v>1335</v>
      </c>
      <c r="C64" s="27">
        <f>+[2]称号計算!I69</f>
        <v>0.23430000000000001</v>
      </c>
      <c r="D64" s="5">
        <f>+[2]称号計算!J69</f>
        <v>0.41189999999999999</v>
      </c>
      <c r="E64" s="5">
        <f>+[2]称号計算!K69</f>
        <v>4.3900000000000002E-2</v>
      </c>
      <c r="F64" s="5">
        <f>+[2]称号計算!L69</f>
        <v>0.58509999999999995</v>
      </c>
      <c r="G64" s="5">
        <f>+[2]称号計算!M69</f>
        <v>0.17510000000000001</v>
      </c>
      <c r="H64" s="13">
        <f>+[2]称号計算!N69</f>
        <v>0.189</v>
      </c>
      <c r="I64" s="27">
        <f>+[2]称号計算!O69</f>
        <v>0.10299999999999999</v>
      </c>
      <c r="J64" s="13">
        <f>+[2]称号計算!P69</f>
        <v>0.22309999999999999</v>
      </c>
      <c r="K64" s="27">
        <f>+[2]称号計算!Q69</f>
        <v>8.5000000000000006E-2</v>
      </c>
      <c r="L64" s="5">
        <f>+[2]称号計算!R69</f>
        <v>0.14979999999999999</v>
      </c>
      <c r="M64" s="13">
        <f>+[2]称号計算!S69</f>
        <v>0.24249999999999999</v>
      </c>
      <c r="N64" s="27">
        <f>+[2]称号計算!T69</f>
        <v>1.7600000000000001E-2</v>
      </c>
      <c r="O64" s="5">
        <f>+[2]称号計算!U69</f>
        <v>8.7900000000000006E-2</v>
      </c>
      <c r="P64" s="5">
        <f>+[2]称号計算!V69</f>
        <v>5.8999999999999999E-3</v>
      </c>
      <c r="Q64" s="5">
        <f>+[2]称号計算!W69</f>
        <v>5.8999999999999999E-3</v>
      </c>
      <c r="R64" s="5">
        <f>+[2]称号計算!X69</f>
        <v>4.4000000000000003E-3</v>
      </c>
      <c r="S64" s="13">
        <f>+[2]称号計算!Y69</f>
        <v>4.4000000000000003E-3</v>
      </c>
      <c r="T64" s="19">
        <f>+[2]称号計算!Z69</f>
        <v>0.71240000000000003</v>
      </c>
      <c r="U64" s="13">
        <v>0.9</v>
      </c>
    </row>
    <row r="65" spans="1:21">
      <c r="A65" s="12" t="s">
        <v>976</v>
      </c>
      <c r="B65" s="23" t="s">
        <v>1336</v>
      </c>
      <c r="C65" s="27">
        <f>+[2]称号計算!I70</f>
        <v>0.31850000000000001</v>
      </c>
      <c r="D65" s="5">
        <f>+[2]称号計算!J70</f>
        <v>0.1351</v>
      </c>
      <c r="E65" s="5">
        <f>+[2]称号計算!K70</f>
        <v>0.64639999999999997</v>
      </c>
      <c r="F65" s="5">
        <f>+[2]称号計算!L70</f>
        <v>5.04E-2</v>
      </c>
      <c r="G65" s="5">
        <f>+[2]称号計算!M70</f>
        <v>0.27689999999999998</v>
      </c>
      <c r="H65" s="13">
        <f>+[2]称号計算!N70</f>
        <v>0.27250000000000002</v>
      </c>
      <c r="I65" s="27">
        <f>+[2]称号計算!O70</f>
        <v>0.1138</v>
      </c>
      <c r="J65" s="13">
        <f>+[2]称号計算!P70</f>
        <v>0.15679999999999999</v>
      </c>
      <c r="K65" s="27">
        <f>+[2]称号計算!Q70</f>
        <v>0.1394</v>
      </c>
      <c r="L65" s="5">
        <f>+[2]称号計算!R70</f>
        <v>0.26629999999999998</v>
      </c>
      <c r="M65" s="13">
        <f>+[2]称号計算!S70</f>
        <v>0.1774</v>
      </c>
      <c r="N65" s="27">
        <f>+[2]称号計算!T70</f>
        <v>7.9000000000000008E-3</v>
      </c>
      <c r="O65" s="5">
        <f>+[2]称号計算!U70</f>
        <v>7.9000000000000008E-3</v>
      </c>
      <c r="P65" s="5">
        <f>+[2]称号計算!V70</f>
        <v>0.11849999999999999</v>
      </c>
      <c r="Q65" s="5">
        <f>+[2]称号計算!W70</f>
        <v>2.9600000000000001E-2</v>
      </c>
      <c r="R65" s="5">
        <f>+[2]称号計算!X70</f>
        <v>5.8999999999999999E-3</v>
      </c>
      <c r="S65" s="13">
        <f>+[2]称号計算!Y70</f>
        <v>5.8999999999999999E-3</v>
      </c>
      <c r="T65" s="19">
        <f>+[2]称号計算!Z70</f>
        <v>0.85819999999999996</v>
      </c>
      <c r="U65" s="13">
        <v>0.55000000000000004</v>
      </c>
    </row>
    <row r="66" spans="1:21">
      <c r="A66" s="12" t="s">
        <v>977</v>
      </c>
      <c r="B66" s="23" t="s">
        <v>1337</v>
      </c>
      <c r="C66" s="27">
        <f>+[2]称号計算!I71</f>
        <v>0.23</v>
      </c>
      <c r="D66" s="5">
        <f>+[2]称号計算!J71</f>
        <v>9.3799999999999994E-2</v>
      </c>
      <c r="E66" s="5">
        <f>+[2]称号計算!K71</f>
        <v>0.68769999999999998</v>
      </c>
      <c r="F66" s="5">
        <f>+[2]称号計算!L71</f>
        <v>4.2599999999999999E-2</v>
      </c>
      <c r="G66" s="5">
        <f>+[2]称号計算!M71</f>
        <v>0.1777</v>
      </c>
      <c r="H66" s="13">
        <f>+[2]称号計算!N71</f>
        <v>0.16370000000000001</v>
      </c>
      <c r="I66" s="27">
        <f>+[2]称号計算!O71</f>
        <v>0.28749999999999998</v>
      </c>
      <c r="J66" s="13">
        <f>+[2]称号計算!P71</f>
        <v>0.28610000000000002</v>
      </c>
      <c r="K66" s="27">
        <f>+[2]称号計算!Q71</f>
        <v>0.20269999999999999</v>
      </c>
      <c r="L66" s="5">
        <f>+[2]称号計算!R71</f>
        <v>0.2366</v>
      </c>
      <c r="M66" s="13">
        <f>+[2]称号計算!S71</f>
        <v>0.25609999999999999</v>
      </c>
      <c r="N66" s="27">
        <f>+[2]称号計算!T71</f>
        <v>5.1000000000000004E-3</v>
      </c>
      <c r="O66" s="5">
        <f>+[2]称号計算!U71</f>
        <v>5.1000000000000004E-3</v>
      </c>
      <c r="P66" s="5">
        <f>+[2]称号計算!V71</f>
        <v>1.9199999999999998E-2</v>
      </c>
      <c r="Q66" s="5">
        <f>+[2]称号計算!W71</f>
        <v>7.6700000000000004E-2</v>
      </c>
      <c r="R66" s="5">
        <f>+[2]称号計算!X71</f>
        <v>3.8E-3</v>
      </c>
      <c r="S66" s="13">
        <f>+[2]称号計算!Y71</f>
        <v>3.8E-3</v>
      </c>
      <c r="T66" s="19">
        <f>+[2]称号計算!Z71</f>
        <v>1.0287999999999999</v>
      </c>
      <c r="U66" s="13">
        <v>0.5</v>
      </c>
    </row>
    <row r="67" spans="1:21" ht="19.5" thickBot="1">
      <c r="A67" s="14" t="s">
        <v>978</v>
      </c>
      <c r="B67" s="24" t="s">
        <v>1338</v>
      </c>
      <c r="C67" s="28">
        <f>+[2]称号計算!I72</f>
        <v>0.28270000000000001</v>
      </c>
      <c r="D67" s="15">
        <f>+[2]称号計算!J72</f>
        <v>0.40989999999999999</v>
      </c>
      <c r="E67" s="15">
        <f>+[2]称号計算!K72</f>
        <v>6.4299999999999996E-2</v>
      </c>
      <c r="F67" s="15">
        <f>+[2]称号計算!L72</f>
        <v>0.64249999999999996</v>
      </c>
      <c r="G67" s="15">
        <f>+[2]称号計算!M72</f>
        <v>0.2185</v>
      </c>
      <c r="H67" s="16">
        <f>+[2]称号計算!N72</f>
        <v>0.26219999999999999</v>
      </c>
      <c r="I67" s="28">
        <f>+[2]称号計算!O72</f>
        <v>0.1696</v>
      </c>
      <c r="J67" s="16">
        <f>+[2]称号計算!P72</f>
        <v>0.15590000000000001</v>
      </c>
      <c r="K67" s="28">
        <f>+[2]称号計算!Q72</f>
        <v>0.1187</v>
      </c>
      <c r="L67" s="15">
        <f>+[2]称号計算!R72</f>
        <v>0.2442</v>
      </c>
      <c r="M67" s="16">
        <f>+[2]称号計算!S72</f>
        <v>0.2069</v>
      </c>
      <c r="N67" s="28">
        <f>+[2]称号計算!T72</f>
        <v>0.12429999999999999</v>
      </c>
      <c r="O67" s="15">
        <f>+[2]称号計算!U72</f>
        <v>2.4899999999999999E-2</v>
      </c>
      <c r="P67" s="15">
        <f>+[2]称号計算!V72</f>
        <v>8.3000000000000001E-3</v>
      </c>
      <c r="Q67" s="15">
        <f>+[2]称号計算!W72</f>
        <v>8.3000000000000001E-3</v>
      </c>
      <c r="R67" s="15">
        <f>+[2]称号計算!X72</f>
        <v>6.1999999999999998E-3</v>
      </c>
      <c r="S67" s="16">
        <f>+[2]称号計算!Y72</f>
        <v>6.1999999999999998E-3</v>
      </c>
      <c r="T67" s="20">
        <f>+[2]称号計算!Z72</f>
        <v>0.87890000000000001</v>
      </c>
      <c r="U67" s="16">
        <v>0.25</v>
      </c>
    </row>
    <row r="68" spans="1:21">
      <c r="A68" s="9" t="s">
        <v>979</v>
      </c>
      <c r="B68" s="22" t="s">
        <v>1339</v>
      </c>
      <c r="C68" s="26">
        <f>+[2]称号計算!I73</f>
        <v>0.23949999999999999</v>
      </c>
      <c r="D68" s="10">
        <f>+[2]称号計算!J73</f>
        <v>0.26340000000000002</v>
      </c>
      <c r="E68" s="10">
        <f>+[2]称号計算!K73</f>
        <v>5.4399999999999997E-2</v>
      </c>
      <c r="F68" s="10">
        <f>+[2]称号計算!L73</f>
        <v>0.54430000000000001</v>
      </c>
      <c r="G68" s="10">
        <f>+[2]称号計算!M73</f>
        <v>0.17580000000000001</v>
      </c>
      <c r="H68" s="11">
        <f>+[2]称号計算!N73</f>
        <v>0.2036</v>
      </c>
      <c r="I68" s="26">
        <f>+[2]称号計算!O73</f>
        <v>0.1676</v>
      </c>
      <c r="J68" s="11">
        <f>+[2]称号計算!P73</f>
        <v>0.1462</v>
      </c>
      <c r="K68" s="26">
        <f>+[2]称号計算!Q73</f>
        <v>0.11020000000000001</v>
      </c>
      <c r="L68" s="10">
        <f>+[2]称号計算!R73</f>
        <v>0.23949999999999999</v>
      </c>
      <c r="M68" s="11">
        <f>+[2]称号計算!S73</f>
        <v>0.1646</v>
      </c>
      <c r="N68" s="26">
        <f>+[2]称号計算!T73</f>
        <v>8.1299999999999997E-2</v>
      </c>
      <c r="O68" s="10">
        <f>+[2]称号計算!U73</f>
        <v>1.6299999999999999E-2</v>
      </c>
      <c r="P68" s="10">
        <f>+[2]称号計算!V73</f>
        <v>5.4000000000000003E-3</v>
      </c>
      <c r="Q68" s="10">
        <f>+[2]称号計算!W73</f>
        <v>5.4000000000000003E-3</v>
      </c>
      <c r="R68" s="10">
        <f>+[2]称号計算!X73</f>
        <v>4.1000000000000003E-3</v>
      </c>
      <c r="S68" s="11">
        <f>+[2]称号計算!Y73</f>
        <v>4.1000000000000003E-3</v>
      </c>
      <c r="T68" s="18">
        <f>+[2]称号計算!Z73</f>
        <v>0.75690000000000002</v>
      </c>
      <c r="U68" s="11">
        <v>1</v>
      </c>
    </row>
    <row r="69" spans="1:21">
      <c r="A69" s="12" t="s">
        <v>980</v>
      </c>
      <c r="B69" s="23" t="s">
        <v>1340</v>
      </c>
      <c r="C69" s="27">
        <f>+[2]称号計算!I74</f>
        <v>0.16189999999999999</v>
      </c>
      <c r="D69" s="5">
        <f>+[2]称号計算!J74</f>
        <v>0.26579999999999998</v>
      </c>
      <c r="E69" s="5">
        <f>+[2]称号計算!K74</f>
        <v>2.86E-2</v>
      </c>
      <c r="F69" s="5">
        <f>+[2]称号計算!L74</f>
        <v>0.54910000000000003</v>
      </c>
      <c r="G69" s="5">
        <f>+[2]称号計算!M74</f>
        <v>0.12139999999999999</v>
      </c>
      <c r="H69" s="13">
        <f>+[2]称号計算!N74</f>
        <v>0.14940000000000001</v>
      </c>
      <c r="I69" s="27">
        <f>+[2]称号計算!O74</f>
        <v>0.43490000000000001</v>
      </c>
      <c r="J69" s="13">
        <f>+[2]称号計算!P74</f>
        <v>0.17610000000000001</v>
      </c>
      <c r="K69" s="27">
        <f>+[2]称号計算!Q74</f>
        <v>9.9099999999999994E-2</v>
      </c>
      <c r="L69" s="5">
        <f>+[2]称号計算!R74</f>
        <v>0.16470000000000001</v>
      </c>
      <c r="M69" s="13">
        <f>+[2]称号計算!S74</f>
        <v>0.2737</v>
      </c>
      <c r="N69" s="27">
        <f>+[2]称号計算!T74</f>
        <v>7.3700000000000002E-2</v>
      </c>
      <c r="O69" s="5">
        <f>+[2]称号計算!U74</f>
        <v>1.47E-2</v>
      </c>
      <c r="P69" s="5">
        <f>+[2]称号計算!V74</f>
        <v>4.8999999999999998E-3</v>
      </c>
      <c r="Q69" s="5">
        <f>+[2]称号計算!W74</f>
        <v>4.8999999999999998E-3</v>
      </c>
      <c r="R69" s="5">
        <f>+[2]称号計算!X74</f>
        <v>3.7000000000000002E-3</v>
      </c>
      <c r="S69" s="13">
        <f>+[2]称号計算!Y74</f>
        <v>3.7000000000000002E-3</v>
      </c>
      <c r="T69" s="19">
        <f>+[2]称号計算!Z74</f>
        <v>0.7611</v>
      </c>
      <c r="U69" s="13">
        <v>1</v>
      </c>
    </row>
    <row r="70" spans="1:21">
      <c r="A70" s="12" t="s">
        <v>981</v>
      </c>
      <c r="B70" s="23" t="s">
        <v>1341</v>
      </c>
      <c r="C70" s="27">
        <f>+[2]称号計算!I75</f>
        <v>0.20699999999999999</v>
      </c>
      <c r="D70" s="5">
        <f>+[2]称号計算!J75</f>
        <v>0.3407</v>
      </c>
      <c r="E70" s="5">
        <f>+[2]称号計算!K75</f>
        <v>3.44E-2</v>
      </c>
      <c r="F70" s="5">
        <f>+[2]称号計算!L75</f>
        <v>0.5736</v>
      </c>
      <c r="G70" s="5">
        <f>+[2]称号計算!M75</f>
        <v>0.158</v>
      </c>
      <c r="H70" s="13">
        <f>+[2]称号計算!N75</f>
        <v>0.16969999999999999</v>
      </c>
      <c r="I70" s="27">
        <f>+[2]称号計算!O75</f>
        <v>0.3029</v>
      </c>
      <c r="J70" s="13">
        <f>+[2]称号計算!P75</f>
        <v>0.25359999999999999</v>
      </c>
      <c r="K70" s="27">
        <f>+[2]称号計算!Q75</f>
        <v>0.11609999999999999</v>
      </c>
      <c r="L70" s="5">
        <f>+[2]称号計算!R75</f>
        <v>0.156</v>
      </c>
      <c r="M70" s="13">
        <f>+[2]称号計算!S75</f>
        <v>0.2281</v>
      </c>
      <c r="N70" s="27">
        <f>+[2]称号計算!T75</f>
        <v>7.9299999999999995E-2</v>
      </c>
      <c r="O70" s="5">
        <f>+[2]称号計算!U75</f>
        <v>1.5900000000000001E-2</v>
      </c>
      <c r="P70" s="5">
        <f>+[2]称号計算!V75</f>
        <v>5.3E-3</v>
      </c>
      <c r="Q70" s="5">
        <f>+[2]称号計算!W75</f>
        <v>5.3E-3</v>
      </c>
      <c r="R70" s="5">
        <f>+[2]称号計算!X75</f>
        <v>4.0000000000000001E-3</v>
      </c>
      <c r="S70" s="13">
        <f>+[2]称号計算!Y75</f>
        <v>4.0000000000000001E-3</v>
      </c>
      <c r="T70" s="19">
        <f>+[2]称号計算!Z75</f>
        <v>0.83260000000000001</v>
      </c>
      <c r="U70" s="13">
        <v>0.9</v>
      </c>
    </row>
    <row r="71" spans="1:21">
      <c r="A71" s="12" t="s">
        <v>982</v>
      </c>
      <c r="B71" s="23" t="s">
        <v>1342</v>
      </c>
      <c r="C71" s="27">
        <f>+[2]称号計算!I76</f>
        <v>0.43</v>
      </c>
      <c r="D71" s="5">
        <f>+[2]称号計算!J76</f>
        <v>0.1196</v>
      </c>
      <c r="E71" s="5">
        <f>+[2]称号計算!K76</f>
        <v>0.6472</v>
      </c>
      <c r="F71" s="5">
        <f>+[2]称号計算!L76</f>
        <v>5.0500000000000003E-2</v>
      </c>
      <c r="G71" s="5">
        <f>+[2]称号計算!M76</f>
        <v>0.37190000000000001</v>
      </c>
      <c r="H71" s="13">
        <f>+[2]称号計算!N76</f>
        <v>0.20680000000000001</v>
      </c>
      <c r="I71" s="27">
        <f>+[2]称号計算!O76</f>
        <v>9.9699999999999997E-2</v>
      </c>
      <c r="J71" s="13">
        <f>+[2]称号計算!P76</f>
        <v>0.16039999999999999</v>
      </c>
      <c r="K71" s="27">
        <f>+[2]称号計算!Q76</f>
        <v>9.9699999999999997E-2</v>
      </c>
      <c r="L71" s="5">
        <f>+[2]称号計算!R76</f>
        <v>0.189</v>
      </c>
      <c r="M71" s="13">
        <f>+[2]称号計算!S76</f>
        <v>0.28089999999999998</v>
      </c>
      <c r="N71" s="27">
        <f>+[2]称号計算!T76</f>
        <v>0.14449999999999999</v>
      </c>
      <c r="O71" s="5">
        <f>+[2]称号計算!U76</f>
        <v>2.8899999999999999E-2</v>
      </c>
      <c r="P71" s="5">
        <f>+[2]称号計算!V76</f>
        <v>9.5999999999999992E-3</v>
      </c>
      <c r="Q71" s="5">
        <f>+[2]称号計算!W76</f>
        <v>9.5999999999999992E-3</v>
      </c>
      <c r="R71" s="5">
        <f>+[2]称号計算!X76</f>
        <v>7.1999999999999998E-3</v>
      </c>
      <c r="S71" s="13">
        <f>+[2]称号計算!Y76</f>
        <v>7.1999999999999998E-3</v>
      </c>
      <c r="T71" s="19">
        <f>+[2]称号計算!Z76</f>
        <v>0.7893</v>
      </c>
      <c r="U71" s="13">
        <v>0.55000000000000004</v>
      </c>
    </row>
    <row r="72" spans="1:21">
      <c r="A72" s="12" t="s">
        <v>983</v>
      </c>
      <c r="B72" s="23" t="s">
        <v>1343</v>
      </c>
      <c r="C72" s="27">
        <f>+[2]称号計算!I77</f>
        <v>0.46910000000000002</v>
      </c>
      <c r="D72" s="5">
        <f>+[2]称号計算!J77</f>
        <v>0.1246</v>
      </c>
      <c r="E72" s="5">
        <f>+[2]称号計算!K77</f>
        <v>0.66639999999999999</v>
      </c>
      <c r="F72" s="5">
        <f>+[2]称号計算!L77</f>
        <v>6.6600000000000006E-2</v>
      </c>
      <c r="G72" s="5">
        <f>+[2]称号計算!M77</f>
        <v>0.35120000000000001</v>
      </c>
      <c r="H72" s="13">
        <f>+[2]称号計算!N77</f>
        <v>0.31719999999999998</v>
      </c>
      <c r="I72" s="27">
        <f>+[2]称号計算!O77</f>
        <v>0.1173</v>
      </c>
      <c r="J72" s="13">
        <f>+[2]称号計算!P77</f>
        <v>0.16170000000000001</v>
      </c>
      <c r="K72" s="27">
        <f>+[2]称号計算!Q77</f>
        <v>0.129</v>
      </c>
      <c r="L72" s="5">
        <f>+[2]称号計算!R77</f>
        <v>0.21859999999999999</v>
      </c>
      <c r="M72" s="13">
        <f>+[2]称号計算!S77</f>
        <v>0.14929999999999999</v>
      </c>
      <c r="N72" s="27">
        <f>+[2]称号計算!T77</f>
        <v>0.1552</v>
      </c>
      <c r="O72" s="5">
        <f>+[2]称号計算!U77</f>
        <v>3.1E-2</v>
      </c>
      <c r="P72" s="5">
        <f>+[2]称号計算!V77</f>
        <v>1.03E-2</v>
      </c>
      <c r="Q72" s="5">
        <f>+[2]称号計算!W77</f>
        <v>1.03E-2</v>
      </c>
      <c r="R72" s="5">
        <f>+[2]称号計算!X77</f>
        <v>7.7999999999999996E-3</v>
      </c>
      <c r="S72" s="13">
        <f>+[2]称号計算!Y77</f>
        <v>7.7999999999999996E-3</v>
      </c>
      <c r="T72" s="19">
        <f>+[2]称号計算!Z77</f>
        <v>0.89290000000000003</v>
      </c>
      <c r="U72" s="13">
        <v>0.5</v>
      </c>
    </row>
    <row r="73" spans="1:21" ht="19.5" thickBot="1">
      <c r="A73" s="14" t="s">
        <v>984</v>
      </c>
      <c r="B73" s="24" t="s">
        <v>1344</v>
      </c>
      <c r="C73" s="28">
        <f>+[2]称号計算!I78</f>
        <v>0.47320000000000001</v>
      </c>
      <c r="D73" s="15">
        <f>+[2]称号計算!J78</f>
        <v>0.37140000000000001</v>
      </c>
      <c r="E73" s="15">
        <f>+[2]称号計算!K78</f>
        <v>4.0599999999999997E-2</v>
      </c>
      <c r="F73" s="15">
        <f>+[2]称号計算!L78</f>
        <v>0.62529999999999997</v>
      </c>
      <c r="G73" s="15">
        <f>+[2]称号計算!M78</f>
        <v>0.34870000000000001</v>
      </c>
      <c r="H73" s="16">
        <f>+[2]称号計算!N78</f>
        <v>0.32950000000000002</v>
      </c>
      <c r="I73" s="28">
        <f>+[2]称号計算!O78</f>
        <v>9.6299999999999997E-2</v>
      </c>
      <c r="J73" s="16">
        <f>+[2]称号計算!P78</f>
        <v>0.1517</v>
      </c>
      <c r="K73" s="28">
        <f>+[2]称号計算!Q78</f>
        <v>8.2500000000000004E-2</v>
      </c>
      <c r="L73" s="15">
        <f>+[2]称号計算!R78</f>
        <v>0.15010000000000001</v>
      </c>
      <c r="M73" s="16">
        <f>+[2]称号計算!S78</f>
        <v>0.21709999999999999</v>
      </c>
      <c r="N73" s="28">
        <f>+[2]称号計算!T78</f>
        <v>8.5000000000000006E-3</v>
      </c>
      <c r="O73" s="15">
        <f>+[2]称号計算!U78</f>
        <v>8.5000000000000006E-3</v>
      </c>
      <c r="P73" s="15">
        <f>+[2]称号計算!V78</f>
        <v>8.5000000000000006E-3</v>
      </c>
      <c r="Q73" s="15">
        <f>+[2]称号計算!W78</f>
        <v>8.5000000000000006E-3</v>
      </c>
      <c r="R73" s="15">
        <f>+[2]称号計算!X78</f>
        <v>0.1709</v>
      </c>
      <c r="S73" s="16">
        <f>+[2]称号計算!Y78</f>
        <v>2.2800000000000001E-2</v>
      </c>
      <c r="T73" s="20">
        <f>+[2]称号計算!Z78</f>
        <v>0.81779999999999997</v>
      </c>
      <c r="U73" s="16">
        <v>0.25</v>
      </c>
    </row>
    <row r="74" spans="1:21">
      <c r="A74" s="9" t="s">
        <v>985</v>
      </c>
      <c r="B74" s="22" t="s">
        <v>1345</v>
      </c>
      <c r="C74" s="26">
        <f>+[2]称号計算!I79</f>
        <v>0.1968</v>
      </c>
      <c r="D74" s="10">
        <f>+[2]称号計算!J79</f>
        <v>0.25259999999999999</v>
      </c>
      <c r="E74" s="10">
        <f>+[2]称号計算!K79</f>
        <v>3.9300000000000002E-2</v>
      </c>
      <c r="F74" s="10">
        <f>+[2]称号計算!L79</f>
        <v>0.60429999999999995</v>
      </c>
      <c r="G74" s="10">
        <f>+[2]称号計算!M79</f>
        <v>0.1479</v>
      </c>
      <c r="H74" s="11">
        <f>+[2]称号計算!N79</f>
        <v>0.1726</v>
      </c>
      <c r="I74" s="26">
        <f>+[2]称号計算!O79</f>
        <v>0.13289999999999999</v>
      </c>
      <c r="J74" s="11">
        <f>+[2]称号計算!P79</f>
        <v>0.14660000000000001</v>
      </c>
      <c r="K74" s="26">
        <f>+[2]称号計算!Q79</f>
        <v>0.17810000000000001</v>
      </c>
      <c r="L74" s="10">
        <f>+[2]称号計算!R79</f>
        <v>0.37469999999999998</v>
      </c>
      <c r="M74" s="11">
        <f>+[2]称号計算!S79</f>
        <v>0.15570000000000001</v>
      </c>
      <c r="N74" s="26">
        <f>+[2]称号計算!T79</f>
        <v>1.38E-2</v>
      </c>
      <c r="O74" s="10">
        <f>+[2]称号計算!U79</f>
        <v>6.9199999999999998E-2</v>
      </c>
      <c r="P74" s="10">
        <f>+[2]称号計算!V79</f>
        <v>4.5999999999999999E-3</v>
      </c>
      <c r="Q74" s="10">
        <f>+[2]称号計算!W79</f>
        <v>4.5999999999999999E-3</v>
      </c>
      <c r="R74" s="10">
        <f>+[2]称号計算!X79</f>
        <v>3.5000000000000001E-3</v>
      </c>
      <c r="S74" s="11">
        <f>+[2]称号計算!Y79</f>
        <v>3.5000000000000001E-3</v>
      </c>
      <c r="T74" s="18">
        <f>+[2]称号計算!Z79</f>
        <v>0.92730000000000001</v>
      </c>
      <c r="U74" s="11">
        <v>1</v>
      </c>
    </row>
    <row r="75" spans="1:21">
      <c r="A75" s="12" t="s">
        <v>986</v>
      </c>
      <c r="B75" s="23" t="s">
        <v>1346</v>
      </c>
      <c r="C75" s="27">
        <f>+[2]称号計算!I80</f>
        <v>0.16650000000000001</v>
      </c>
      <c r="D75" s="5">
        <f>+[2]称号計算!J80</f>
        <v>0.26910000000000001</v>
      </c>
      <c r="E75" s="5">
        <f>+[2]称号計算!K80</f>
        <v>2.9000000000000001E-2</v>
      </c>
      <c r="F75" s="5">
        <f>+[2]称号計算!L80</f>
        <v>0.51829999999999998</v>
      </c>
      <c r="G75" s="5">
        <f>+[2]称号計算!M80</f>
        <v>0.13569999999999999</v>
      </c>
      <c r="H75" s="13">
        <f>+[2]称号計算!N80</f>
        <v>0.14979999999999999</v>
      </c>
      <c r="I75" s="27">
        <f>+[2]称号計算!O80</f>
        <v>0.59299999999999997</v>
      </c>
      <c r="J75" s="13">
        <f>+[2]称号計算!P80</f>
        <v>0.17519999999999999</v>
      </c>
      <c r="K75" s="27">
        <f>+[2]称号計算!Q80</f>
        <v>0.12540000000000001</v>
      </c>
      <c r="L75" s="5">
        <f>+[2]称号計算!R80</f>
        <v>0.19700000000000001</v>
      </c>
      <c r="M75" s="13">
        <f>+[2]称号計算!S80</f>
        <v>0.16259999999999999</v>
      </c>
      <c r="N75" s="27">
        <f>+[2]称号計算!T80</f>
        <v>1.61E-2</v>
      </c>
      <c r="O75" s="5">
        <f>+[2]称号計算!U80</f>
        <v>8.0699999999999994E-2</v>
      </c>
      <c r="P75" s="5">
        <f>+[2]称号計算!V80</f>
        <v>5.4000000000000003E-3</v>
      </c>
      <c r="Q75" s="5">
        <f>+[2]称号計算!W80</f>
        <v>5.4000000000000003E-3</v>
      </c>
      <c r="R75" s="5">
        <f>+[2]称号計算!X80</f>
        <v>4.0000000000000001E-3</v>
      </c>
      <c r="S75" s="13">
        <f>+[2]称号計算!Y80</f>
        <v>4.0000000000000001E-3</v>
      </c>
      <c r="T75" s="19">
        <f>+[2]称号計算!Z80</f>
        <v>0.88959999999999995</v>
      </c>
      <c r="U75" s="13">
        <v>1</v>
      </c>
    </row>
    <row r="76" spans="1:21">
      <c r="A76" s="12" t="s">
        <v>987</v>
      </c>
      <c r="B76" s="23" t="s">
        <v>1347</v>
      </c>
      <c r="C76" s="27">
        <f>+[2]称号計算!I81</f>
        <v>0.22120000000000001</v>
      </c>
      <c r="D76" s="5">
        <f>+[2]称号計算!J81</f>
        <v>0.252</v>
      </c>
      <c r="E76" s="5">
        <f>+[2]称号計算!K81</f>
        <v>3.3700000000000001E-2</v>
      </c>
      <c r="F76" s="5">
        <f>+[2]称号計算!L81</f>
        <v>0.63639999999999997</v>
      </c>
      <c r="G76" s="5">
        <f>+[2]称号計算!M81</f>
        <v>0.18390000000000001</v>
      </c>
      <c r="H76" s="13">
        <f>+[2]称号計算!N81</f>
        <v>0.17530000000000001</v>
      </c>
      <c r="I76" s="27">
        <f>+[2]称号計算!O81</f>
        <v>0.182</v>
      </c>
      <c r="J76" s="13">
        <f>+[2]称号計算!P81</f>
        <v>0.15989999999999999</v>
      </c>
      <c r="K76" s="27">
        <f>+[2]称号計算!Q81</f>
        <v>0.224</v>
      </c>
      <c r="L76" s="5">
        <f>+[2]称号計算!R81</f>
        <v>0.43780000000000002</v>
      </c>
      <c r="M76" s="13">
        <f>+[2]称号計算!S81</f>
        <v>0.13539999999999999</v>
      </c>
      <c r="N76" s="27">
        <f>+[2]称号計算!T81</f>
        <v>1.52E-2</v>
      </c>
      <c r="O76" s="5">
        <f>+[2]称号計算!U81</f>
        <v>7.6100000000000001E-2</v>
      </c>
      <c r="P76" s="5">
        <f>+[2]称号計算!V81</f>
        <v>5.1000000000000004E-3</v>
      </c>
      <c r="Q76" s="5">
        <f>+[2]称号計算!W81</f>
        <v>5.1000000000000004E-3</v>
      </c>
      <c r="R76" s="5">
        <f>+[2]称号計算!X81</f>
        <v>3.8E-3</v>
      </c>
      <c r="S76" s="13">
        <f>+[2]称号計算!Y81</f>
        <v>3.8E-3</v>
      </c>
      <c r="T76" s="19">
        <f>+[2]称号計算!Z81</f>
        <v>1.1153999999999999</v>
      </c>
      <c r="U76" s="13">
        <v>0.9</v>
      </c>
    </row>
    <row r="77" spans="1:21">
      <c r="A77" s="12" t="s">
        <v>988</v>
      </c>
      <c r="B77" s="23" t="s">
        <v>1348</v>
      </c>
      <c r="C77" s="27">
        <f>+[2]称号計算!I82</f>
        <v>0.24909999999999999</v>
      </c>
      <c r="D77" s="5">
        <f>+[2]称号計算!J82</f>
        <v>0.13239999999999999</v>
      </c>
      <c r="E77" s="5">
        <f>+[2]称号計算!K82</f>
        <v>0.70779999999999998</v>
      </c>
      <c r="F77" s="5">
        <f>+[2]称号計算!L82</f>
        <v>7.0800000000000002E-2</v>
      </c>
      <c r="G77" s="5">
        <f>+[2]称号計算!M82</f>
        <v>0.1925</v>
      </c>
      <c r="H77" s="13">
        <f>+[2]称号計算!N82</f>
        <v>0.1925</v>
      </c>
      <c r="I77" s="27">
        <f>+[2]称号計算!O82</f>
        <v>0.24909999999999999</v>
      </c>
      <c r="J77" s="13">
        <f>+[2]称号計算!P82</f>
        <v>0.19020000000000001</v>
      </c>
      <c r="K77" s="27">
        <f>+[2]称号計算!Q82</f>
        <v>0.20549999999999999</v>
      </c>
      <c r="L77" s="5">
        <f>+[2]称号計算!R82</f>
        <v>0.37369999999999998</v>
      </c>
      <c r="M77" s="13">
        <f>+[2]称号計算!S82</f>
        <v>0.19819999999999999</v>
      </c>
      <c r="N77" s="27">
        <f>+[2]称号計算!T82</f>
        <v>1.8599999999999998E-2</v>
      </c>
      <c r="O77" s="5">
        <f>+[2]称号計算!U82</f>
        <v>9.2799999999999994E-2</v>
      </c>
      <c r="P77" s="5">
        <f>+[2]称号計算!V82</f>
        <v>6.1999999999999998E-3</v>
      </c>
      <c r="Q77" s="5">
        <f>+[2]称号計算!W82</f>
        <v>6.1999999999999998E-3</v>
      </c>
      <c r="R77" s="5">
        <f>+[2]称号計算!X82</f>
        <v>4.5999999999999999E-3</v>
      </c>
      <c r="S77" s="13">
        <f>+[2]称号計算!Y82</f>
        <v>4.5999999999999999E-3</v>
      </c>
      <c r="T77" s="19">
        <f>+[2]称号計算!Z82</f>
        <v>1.0587</v>
      </c>
      <c r="U77" s="13">
        <v>0.55000000000000004</v>
      </c>
    </row>
    <row r="78" spans="1:21">
      <c r="A78" s="12" t="s">
        <v>989</v>
      </c>
      <c r="B78" s="23" t="s">
        <v>1349</v>
      </c>
      <c r="C78" s="27">
        <f>+[2]称号計算!I83</f>
        <v>0.56520000000000004</v>
      </c>
      <c r="D78" s="5">
        <f>+[2]称号計算!J83</f>
        <v>0.1118</v>
      </c>
      <c r="E78" s="5">
        <f>+[2]称号計算!K83</f>
        <v>0.70579999999999998</v>
      </c>
      <c r="F78" s="5">
        <f>+[2]称号計算!L83</f>
        <v>5.9299999999999999E-2</v>
      </c>
      <c r="G78" s="5">
        <f>+[2]称号計算!M83</f>
        <v>0.51600000000000001</v>
      </c>
      <c r="H78" s="13">
        <f>+[2]称号計算!N83</f>
        <v>0.25440000000000002</v>
      </c>
      <c r="I78" s="27">
        <f>+[2]称号計算!O83</f>
        <v>9.3200000000000005E-2</v>
      </c>
      <c r="J78" s="13">
        <f>+[2]称号計算!P83</f>
        <v>0.16520000000000001</v>
      </c>
      <c r="K78" s="27">
        <f>+[2]称号計算!Q83</f>
        <v>9.3200000000000005E-2</v>
      </c>
      <c r="L78" s="5">
        <f>+[2]称号計算!R83</f>
        <v>0.1835</v>
      </c>
      <c r="M78" s="13">
        <f>+[2]称号計算!S83</f>
        <v>0.13439999999999999</v>
      </c>
      <c r="N78" s="27">
        <f>+[2]称号計算!T83</f>
        <v>3.2300000000000002E-2</v>
      </c>
      <c r="O78" s="5">
        <f>+[2]称号計算!U83</f>
        <v>0.16139999999999999</v>
      </c>
      <c r="P78" s="5">
        <f>+[2]称号計算!V83</f>
        <v>1.0800000000000001E-2</v>
      </c>
      <c r="Q78" s="5">
        <f>+[2]称号計算!W83</f>
        <v>1.0800000000000001E-2</v>
      </c>
      <c r="R78" s="5">
        <f>+[2]称号計算!X83</f>
        <v>8.0999999999999996E-3</v>
      </c>
      <c r="S78" s="13">
        <f>+[2]称号計算!Y83</f>
        <v>8.0999999999999996E-3</v>
      </c>
      <c r="T78" s="19">
        <f>+[2]称号計算!Z83</f>
        <v>0.8165</v>
      </c>
      <c r="U78" s="13">
        <v>0.5</v>
      </c>
    </row>
    <row r="79" spans="1:21" ht="19.5" thickBot="1">
      <c r="A79" s="14" t="s">
        <v>990</v>
      </c>
      <c r="B79" s="24" t="s">
        <v>1350</v>
      </c>
      <c r="C79" s="28">
        <f>+[2]称号計算!I84</f>
        <v>0.34110000000000001</v>
      </c>
      <c r="D79" s="15">
        <f>+[2]称号計算!J84</f>
        <v>0.41120000000000001</v>
      </c>
      <c r="E79" s="15">
        <f>+[2]称号計算!K84</f>
        <v>4.5699999999999998E-2</v>
      </c>
      <c r="F79" s="15">
        <f>+[2]称号計算!L84</f>
        <v>0.69220000000000004</v>
      </c>
      <c r="G79" s="15">
        <f>+[2]称号計算!M84</f>
        <v>0.45900000000000002</v>
      </c>
      <c r="H79" s="16">
        <f>+[2]称号計算!N84</f>
        <v>0.16950000000000001</v>
      </c>
      <c r="I79" s="28">
        <f>+[2]称号計算!O84</f>
        <v>0.16750000000000001</v>
      </c>
      <c r="J79" s="16">
        <f>+[2]称号計算!P84</f>
        <v>0.18</v>
      </c>
      <c r="K79" s="28">
        <f>+[2]称号計算!Q84</f>
        <v>0.11269999999999999</v>
      </c>
      <c r="L79" s="15">
        <f>+[2]称号計算!R84</f>
        <v>0.2409</v>
      </c>
      <c r="M79" s="16">
        <f>+[2]称号計算!S84</f>
        <v>0.1822</v>
      </c>
      <c r="N79" s="28">
        <f>+[2]称号計算!T84</f>
        <v>7.6E-3</v>
      </c>
      <c r="O79" s="15">
        <f>+[2]称号計算!U84</f>
        <v>7.6E-3</v>
      </c>
      <c r="P79" s="15">
        <f>+[2]称号計算!V84</f>
        <v>7.6E-3</v>
      </c>
      <c r="Q79" s="15">
        <f>+[2]称号計算!W84</f>
        <v>7.6E-3</v>
      </c>
      <c r="R79" s="15">
        <f>+[2]称号計算!X84</f>
        <v>2.0199999999999999E-2</v>
      </c>
      <c r="S79" s="16">
        <f>+[2]称号計算!Y84</f>
        <v>0.15129999999999999</v>
      </c>
      <c r="T79" s="20">
        <f>+[2]称号計算!Z84</f>
        <v>0.90890000000000004</v>
      </c>
      <c r="U79" s="16">
        <v>0.25</v>
      </c>
    </row>
    <row r="80" spans="1:21">
      <c r="A80" s="9" t="s">
        <v>991</v>
      </c>
      <c r="B80" s="22" t="s">
        <v>1351</v>
      </c>
      <c r="C80" s="26">
        <f>+[2]称号計算!I85</f>
        <v>0.31730000000000003</v>
      </c>
      <c r="D80" s="10">
        <f>+[2]称号計算!J85</f>
        <v>0.23549999999999999</v>
      </c>
      <c r="E80" s="10">
        <f>+[2]称号計算!K85</f>
        <v>4.7899999999999998E-2</v>
      </c>
      <c r="F80" s="10">
        <f>+[2]称号計算!L85</f>
        <v>0.56340000000000001</v>
      </c>
      <c r="G80" s="10">
        <f>+[2]称号計算!M85</f>
        <v>0.2356</v>
      </c>
      <c r="H80" s="11">
        <f>+[2]称号計算!N85</f>
        <v>0.2145</v>
      </c>
      <c r="I80" s="26">
        <f>+[2]称号計算!O85</f>
        <v>0.17349999999999999</v>
      </c>
      <c r="J80" s="11">
        <f>+[2]称号計算!P85</f>
        <v>0.14649999999999999</v>
      </c>
      <c r="K80" s="26">
        <f>+[2]称号計算!Q85</f>
        <v>0.13880000000000001</v>
      </c>
      <c r="L80" s="10">
        <f>+[2]称号計算!R85</f>
        <v>0.32679999999999998</v>
      </c>
      <c r="M80" s="11">
        <f>+[2]称号計算!S85</f>
        <v>9.7799999999999998E-2</v>
      </c>
      <c r="N80" s="26">
        <f>+[2]称号計算!T85</f>
        <v>7.4999999999999997E-3</v>
      </c>
      <c r="O80" s="10">
        <f>+[2]称号計算!U85</f>
        <v>7.4999999999999997E-3</v>
      </c>
      <c r="P80" s="10">
        <f>+[2]称号計算!V85</f>
        <v>0.1119</v>
      </c>
      <c r="Q80" s="10">
        <f>+[2]称号計算!W85</f>
        <v>2.8000000000000001E-2</v>
      </c>
      <c r="R80" s="10">
        <f>+[2]称号計算!X85</f>
        <v>5.5999999999999999E-3</v>
      </c>
      <c r="S80" s="11">
        <f>+[2]称号計算!Y85</f>
        <v>5.5999999999999999E-3</v>
      </c>
      <c r="T80" s="18">
        <f>+[2]称号計算!Z85</f>
        <v>0.88800000000000001</v>
      </c>
      <c r="U80" s="11">
        <v>1</v>
      </c>
    </row>
    <row r="81" spans="1:21">
      <c r="A81" s="12" t="s">
        <v>992</v>
      </c>
      <c r="B81" s="23" t="s">
        <v>1352</v>
      </c>
      <c r="C81" s="27">
        <f>+[2]称号計算!I86</f>
        <v>0.24690000000000001</v>
      </c>
      <c r="D81" s="5">
        <f>+[2]称号計算!J86</f>
        <v>0.2636</v>
      </c>
      <c r="E81" s="5">
        <f>+[2]称号計算!K86</f>
        <v>3.78E-2</v>
      </c>
      <c r="F81" s="5">
        <f>+[2]称号計算!L86</f>
        <v>0.63060000000000005</v>
      </c>
      <c r="G81" s="5">
        <f>+[2]称号計算!M86</f>
        <v>0.19719999999999999</v>
      </c>
      <c r="H81" s="13">
        <f>+[2]称号計算!N86</f>
        <v>0.1951</v>
      </c>
      <c r="I81" s="27">
        <f>+[2]称号計算!O86</f>
        <v>0.20810000000000001</v>
      </c>
      <c r="J81" s="13">
        <f>+[2]称号計算!P86</f>
        <v>0.16389999999999999</v>
      </c>
      <c r="K81" s="27">
        <f>+[2]称号計算!Q86</f>
        <v>0.17199999999999999</v>
      </c>
      <c r="L81" s="5">
        <f>+[2]称号計算!R86</f>
        <v>0.29010000000000002</v>
      </c>
      <c r="M81" s="13">
        <f>+[2]称号計算!S86</f>
        <v>0.2172</v>
      </c>
      <c r="N81" s="27">
        <f>+[2]称号計算!T86</f>
        <v>5.0000000000000001E-3</v>
      </c>
      <c r="O81" s="5">
        <f>+[2]称号計算!U86</f>
        <v>5.0000000000000001E-3</v>
      </c>
      <c r="P81" s="5">
        <f>+[2]称号計算!V86</f>
        <v>5.0000000000000001E-3</v>
      </c>
      <c r="Q81" s="5">
        <f>+[2]称号計算!W86</f>
        <v>5.0000000000000001E-3</v>
      </c>
      <c r="R81" s="5">
        <f>+[2]称号計算!X86</f>
        <v>0.1007</v>
      </c>
      <c r="S81" s="13">
        <f>+[2]称号計算!Y86</f>
        <v>1.34E-2</v>
      </c>
      <c r="T81" s="19">
        <f>+[2]称号計算!Z86</f>
        <v>1.6317999999999999</v>
      </c>
      <c r="U81" s="13">
        <v>1</v>
      </c>
    </row>
    <row r="82" spans="1:21">
      <c r="A82" s="12" t="s">
        <v>993</v>
      </c>
      <c r="B82" s="23" t="s">
        <v>1353</v>
      </c>
      <c r="C82" s="27">
        <f>+[2]称号計算!I87</f>
        <v>0.3579</v>
      </c>
      <c r="D82" s="5">
        <f>+[2]称号計算!J87</f>
        <v>0.29820000000000002</v>
      </c>
      <c r="E82" s="5">
        <f>+[2]称号計算!K87</f>
        <v>5.4199999999999998E-2</v>
      </c>
      <c r="F82" s="5">
        <f>+[2]称号計算!L87</f>
        <v>0.5423</v>
      </c>
      <c r="G82" s="5">
        <f>+[2]称号計算!M87</f>
        <v>0.27660000000000001</v>
      </c>
      <c r="H82" s="13">
        <f>+[2]称号計算!N87</f>
        <v>0.2581</v>
      </c>
      <c r="I82" s="27">
        <f>+[2]称号計算!O87</f>
        <v>0.23860000000000001</v>
      </c>
      <c r="J82" s="13">
        <f>+[2]称号計算!P87</f>
        <v>0.16450000000000001</v>
      </c>
      <c r="K82" s="27">
        <f>+[2]称号計算!Q87</f>
        <v>0.1145</v>
      </c>
      <c r="L82" s="5">
        <f>+[2]称号計算!R87</f>
        <v>0.26029999999999998</v>
      </c>
      <c r="M82" s="13">
        <f>+[2]称号計算!S87</f>
        <v>0.1822</v>
      </c>
      <c r="N82" s="27">
        <f>+[2]称号計算!T87</f>
        <v>9.7000000000000003E-3</v>
      </c>
      <c r="O82" s="5">
        <f>+[2]称号計算!U87</f>
        <v>9.7000000000000003E-3</v>
      </c>
      <c r="P82" s="5">
        <f>+[2]称号計算!V87</f>
        <v>0.14510000000000001</v>
      </c>
      <c r="Q82" s="5">
        <f>+[2]称号計算!W87</f>
        <v>3.6299999999999999E-2</v>
      </c>
      <c r="R82" s="5">
        <f>+[2]称号計算!X87</f>
        <v>7.3000000000000001E-3</v>
      </c>
      <c r="S82" s="13">
        <f>+[2]称号計算!Y87</f>
        <v>7.3000000000000001E-3</v>
      </c>
      <c r="T82" s="19">
        <f>+[2]称号計算!Z87</f>
        <v>0.91579999999999995</v>
      </c>
      <c r="U82" s="13">
        <v>0.9</v>
      </c>
    </row>
    <row r="83" spans="1:21">
      <c r="A83" s="12" t="s">
        <v>994</v>
      </c>
      <c r="B83" s="23" t="s">
        <v>1354</v>
      </c>
      <c r="C83" s="27">
        <f>+[2]称号計算!I88</f>
        <v>0.22059999999999999</v>
      </c>
      <c r="D83" s="5">
        <f>+[2]称号計算!J88</f>
        <v>0.13400000000000001</v>
      </c>
      <c r="E83" s="5">
        <f>+[2]称号計算!K88</f>
        <v>0.71640000000000004</v>
      </c>
      <c r="F83" s="5">
        <f>+[2]称号計算!L88</f>
        <v>5.3699999999999998E-2</v>
      </c>
      <c r="G83" s="5">
        <f>+[2]称号計算!M88</f>
        <v>0.18509999999999999</v>
      </c>
      <c r="H83" s="13">
        <f>+[2]称号計算!N88</f>
        <v>0.19</v>
      </c>
      <c r="I83" s="27">
        <f>+[2]称号計算!O88</f>
        <v>0.34670000000000001</v>
      </c>
      <c r="J83" s="13">
        <f>+[2]称号計算!P88</f>
        <v>0.19620000000000001</v>
      </c>
      <c r="K83" s="27">
        <f>+[2]称号計算!Q88</f>
        <v>0.28050000000000003</v>
      </c>
      <c r="L83" s="5">
        <f>+[2]称号計算!R88</f>
        <v>0.3725</v>
      </c>
      <c r="M83" s="13">
        <f>+[2]称号計算!S88</f>
        <v>0.17649999999999999</v>
      </c>
      <c r="N83" s="27">
        <f>+[2]称号計算!T88</f>
        <v>8.7300000000000003E-2</v>
      </c>
      <c r="O83" s="5">
        <f>+[2]称号計算!U88</f>
        <v>1.7500000000000002E-2</v>
      </c>
      <c r="P83" s="5">
        <f>+[2]称号計算!V88</f>
        <v>5.7999999999999996E-3</v>
      </c>
      <c r="Q83" s="5">
        <f>+[2]称号計算!W88</f>
        <v>5.7999999999999996E-3</v>
      </c>
      <c r="R83" s="5">
        <f>+[2]称号計算!X88</f>
        <v>4.4000000000000003E-3</v>
      </c>
      <c r="S83" s="13">
        <f>+[2]称号計算!Y88</f>
        <v>4.4000000000000003E-3</v>
      </c>
      <c r="T83" s="19">
        <f>+[2]称号計算!Z88</f>
        <v>1.2845</v>
      </c>
      <c r="U83" s="13">
        <v>0.55000000000000004</v>
      </c>
    </row>
    <row r="84" spans="1:21">
      <c r="A84" s="12" t="s">
        <v>995</v>
      </c>
      <c r="B84" s="23" t="s">
        <v>1355</v>
      </c>
      <c r="C84" s="27">
        <f>+[2]称号計算!I89</f>
        <v>0.37390000000000001</v>
      </c>
      <c r="D84" s="5">
        <f>+[2]称号計算!J89</f>
        <v>0.15859999999999999</v>
      </c>
      <c r="E84" s="5">
        <f>+[2]称号計算!K89</f>
        <v>0.75870000000000004</v>
      </c>
      <c r="F84" s="5">
        <f>+[2]称号計算!L89</f>
        <v>5.9200000000000003E-2</v>
      </c>
      <c r="G84" s="5">
        <f>+[2]称号計算!M89</f>
        <v>0.32500000000000001</v>
      </c>
      <c r="H84" s="13">
        <f>+[2]称号計算!N89</f>
        <v>0.31990000000000002</v>
      </c>
      <c r="I84" s="27">
        <f>+[2]称号計算!O89</f>
        <v>0.13350000000000001</v>
      </c>
      <c r="J84" s="13">
        <f>+[2]称号計算!P89</f>
        <v>0.18410000000000001</v>
      </c>
      <c r="K84" s="27">
        <f>+[2]称号計算!Q89</f>
        <v>0.1636</v>
      </c>
      <c r="L84" s="5">
        <f>+[2]称号計算!R89</f>
        <v>0.31259999999999999</v>
      </c>
      <c r="M84" s="13">
        <f>+[2]称号計算!S89</f>
        <v>0.2082</v>
      </c>
      <c r="N84" s="27">
        <f>+[2]称号計算!T89</f>
        <v>9.2999999999999992E-3</v>
      </c>
      <c r="O84" s="5">
        <f>+[2]称号計算!U89</f>
        <v>9.2999999999999992E-3</v>
      </c>
      <c r="P84" s="5">
        <f>+[2]称号計算!V89</f>
        <v>3.4799999999999998E-2</v>
      </c>
      <c r="Q84" s="5">
        <f>+[2]称号計算!W89</f>
        <v>0.1391</v>
      </c>
      <c r="R84" s="5">
        <f>+[2]称号計算!X89</f>
        <v>7.0000000000000001E-3</v>
      </c>
      <c r="S84" s="13">
        <f>+[2]称号計算!Y89</f>
        <v>7.0000000000000001E-3</v>
      </c>
      <c r="T84" s="19">
        <f>+[2]称号計算!Z89</f>
        <v>1.0074000000000001</v>
      </c>
      <c r="U84" s="13">
        <v>0.5</v>
      </c>
    </row>
    <row r="85" spans="1:21" ht="19.5" thickBot="1">
      <c r="A85" s="14" t="s">
        <v>996</v>
      </c>
      <c r="B85" s="24" t="s">
        <v>1356</v>
      </c>
      <c r="C85" s="28">
        <f>+[2]称号計算!I90</f>
        <v>0.16589999999999999</v>
      </c>
      <c r="D85" s="15">
        <f>+[2]称号計算!J90</f>
        <v>0.45250000000000001</v>
      </c>
      <c r="E85" s="15">
        <f>+[2]称号計算!K90</f>
        <v>5.4800000000000001E-2</v>
      </c>
      <c r="F85" s="15">
        <f>+[2]称号計算!L90</f>
        <v>0.68559999999999999</v>
      </c>
      <c r="G85" s="15">
        <f>+[2]称号計算!M90</f>
        <v>0.33800000000000002</v>
      </c>
      <c r="H85" s="16">
        <f>+[2]称号計算!N90</f>
        <v>0.52449999999999997</v>
      </c>
      <c r="I85" s="28">
        <f>+[2]称号計算!O90</f>
        <v>0.1207</v>
      </c>
      <c r="J85" s="16">
        <f>+[2]称号計算!P90</f>
        <v>0.16400000000000001</v>
      </c>
      <c r="K85" s="28">
        <f>+[2]称号計算!Q90</f>
        <v>0.13270000000000001</v>
      </c>
      <c r="L85" s="15">
        <f>+[2]称号計算!R90</f>
        <v>0.24129999999999999</v>
      </c>
      <c r="M85" s="16">
        <f>+[2]称号計算!S90</f>
        <v>0.2419</v>
      </c>
      <c r="N85" s="28">
        <f>+[2]称号計算!T90</f>
        <v>1.2500000000000001E-2</v>
      </c>
      <c r="O85" s="15">
        <f>+[2]称号計算!U90</f>
        <v>1.2500000000000001E-2</v>
      </c>
      <c r="P85" s="15">
        <f>+[2]称号計算!V90</f>
        <v>0.18729999999999999</v>
      </c>
      <c r="Q85" s="15">
        <f>+[2]称号計算!W90</f>
        <v>4.6800000000000001E-2</v>
      </c>
      <c r="R85" s="15">
        <f>+[2]称号計算!X90</f>
        <v>9.4000000000000004E-3</v>
      </c>
      <c r="S85" s="16">
        <f>+[2]称号計算!Y90</f>
        <v>9.4000000000000004E-3</v>
      </c>
      <c r="T85" s="20">
        <f>+[2]称号計算!Z90</f>
        <v>1.006</v>
      </c>
      <c r="U85" s="16">
        <v>0.25</v>
      </c>
    </row>
    <row r="86" spans="1:21">
      <c r="A86" s="9" t="s">
        <v>997</v>
      </c>
      <c r="B86" s="22" t="s">
        <v>1357</v>
      </c>
      <c r="C86" s="26">
        <f>+[2]称号計算!I91</f>
        <v>0.24460000000000001</v>
      </c>
      <c r="D86" s="10">
        <f>+[2]称号計算!J91</f>
        <v>0.62929999999999997</v>
      </c>
      <c r="E86" s="10">
        <f>+[2]称号計算!K91</f>
        <v>3.78E-2</v>
      </c>
      <c r="F86" s="10">
        <f>+[2]称号計算!L91</f>
        <v>0.53969999999999996</v>
      </c>
      <c r="G86" s="10">
        <f>+[2]称号計算!M91</f>
        <v>0.1762</v>
      </c>
      <c r="H86" s="11">
        <f>+[2]称号計算!N91</f>
        <v>0.2165</v>
      </c>
      <c r="I86" s="26">
        <f>+[2]称号計算!O91</f>
        <v>0.15440000000000001</v>
      </c>
      <c r="J86" s="11">
        <f>+[2]称号計算!P91</f>
        <v>0.13569999999999999</v>
      </c>
      <c r="K86" s="26">
        <f>+[2]称号計算!Q91</f>
        <v>9.9699999999999997E-2</v>
      </c>
      <c r="L86" s="10">
        <f>+[2]称号計算!R91</f>
        <v>0.1943</v>
      </c>
      <c r="M86" s="11">
        <f>+[2]称号計算!S91</f>
        <v>0.16930000000000001</v>
      </c>
      <c r="N86" s="26">
        <f>+[2]称号計算!T91</f>
        <v>7.4999999999999997E-3</v>
      </c>
      <c r="O86" s="10">
        <f>+[2]称号計算!U91</f>
        <v>7.4999999999999997E-3</v>
      </c>
      <c r="P86" s="10">
        <f>+[2]称号計算!V91</f>
        <v>0.11219999999999999</v>
      </c>
      <c r="Q86" s="10">
        <f>+[2]称号計算!W91</f>
        <v>2.81E-2</v>
      </c>
      <c r="R86" s="10">
        <f>+[2]称号計算!X91</f>
        <v>5.5999999999999999E-3</v>
      </c>
      <c r="S86" s="11">
        <f>+[2]称号計算!Y91</f>
        <v>5.5999999999999999E-3</v>
      </c>
      <c r="T86" s="18">
        <f>+[2]称号計算!Z91</f>
        <v>0.82250000000000001</v>
      </c>
      <c r="U86" s="11">
        <v>1</v>
      </c>
    </row>
    <row r="87" spans="1:21">
      <c r="A87" s="12" t="s">
        <v>998</v>
      </c>
      <c r="B87" s="23" t="s">
        <v>1358</v>
      </c>
      <c r="C87" s="27">
        <f>+[2]称号計算!I92</f>
        <v>0.28289999999999998</v>
      </c>
      <c r="D87" s="5">
        <f>+[2]称号計算!J92</f>
        <v>0.31119999999999998</v>
      </c>
      <c r="E87" s="5">
        <f>+[2]称号計算!K92</f>
        <v>6.4299999999999996E-2</v>
      </c>
      <c r="F87" s="5">
        <f>+[2]称号計算!L92</f>
        <v>0.64290000000000003</v>
      </c>
      <c r="G87" s="5">
        <f>+[2]称号計算!M92</f>
        <v>0.20760000000000001</v>
      </c>
      <c r="H87" s="13">
        <f>+[2]称号計算!N92</f>
        <v>0.2404</v>
      </c>
      <c r="I87" s="27">
        <f>+[2]称号計算!O92</f>
        <v>0.19800000000000001</v>
      </c>
      <c r="J87" s="13">
        <f>+[2]称号計算!P92</f>
        <v>0.17269999999999999</v>
      </c>
      <c r="K87" s="27">
        <f>+[2]称号計算!Q92</f>
        <v>0.13009999999999999</v>
      </c>
      <c r="L87" s="5">
        <f>+[2]称号計算!R92</f>
        <v>0.28289999999999998</v>
      </c>
      <c r="M87" s="13">
        <f>+[2]称号計算!S92</f>
        <v>0.19439999999999999</v>
      </c>
      <c r="N87" s="27">
        <f>+[2]称号計算!T92</f>
        <v>4.7999999999999996E-3</v>
      </c>
      <c r="O87" s="5">
        <f>+[2]称号計算!U92</f>
        <v>4.7999999999999996E-3</v>
      </c>
      <c r="P87" s="5">
        <f>+[2]称号計算!V92</f>
        <v>4.7999999999999996E-3</v>
      </c>
      <c r="Q87" s="5">
        <f>+[2]称号計算!W92</f>
        <v>4.7999999999999996E-3</v>
      </c>
      <c r="R87" s="5">
        <f>+[2]称号計算!X92</f>
        <v>9.6000000000000002E-2</v>
      </c>
      <c r="S87" s="13">
        <f>+[2]称号計算!Y92</f>
        <v>1.2800000000000001E-2</v>
      </c>
      <c r="T87" s="19">
        <f>+[2]称号計算!Z92</f>
        <v>0.89400000000000002</v>
      </c>
      <c r="U87" s="13">
        <v>1</v>
      </c>
    </row>
    <row r="88" spans="1:21">
      <c r="A88" s="12" t="s">
        <v>999</v>
      </c>
      <c r="B88" s="23" t="s">
        <v>1359</v>
      </c>
      <c r="C88" s="27">
        <f>+[2]称号計算!I93</f>
        <v>0.1908</v>
      </c>
      <c r="D88" s="5">
        <f>+[2]称号計算!J93</f>
        <v>0.31319999999999998</v>
      </c>
      <c r="E88" s="5">
        <f>+[2]称号計算!K93</f>
        <v>3.3700000000000001E-2</v>
      </c>
      <c r="F88" s="5">
        <f>+[2]称号計算!L93</f>
        <v>0.64710000000000001</v>
      </c>
      <c r="G88" s="5">
        <f>+[2]称号計算!M93</f>
        <v>0.14299999999999999</v>
      </c>
      <c r="H88" s="13">
        <f>+[2]称号計算!N93</f>
        <v>0.17599999999999999</v>
      </c>
      <c r="I88" s="27">
        <f>+[2]称号計算!O93</f>
        <v>0.51249999999999996</v>
      </c>
      <c r="J88" s="13">
        <f>+[2]称号計算!P93</f>
        <v>0.20749999999999999</v>
      </c>
      <c r="K88" s="27">
        <f>+[2]称号計算!Q93</f>
        <v>0.1167</v>
      </c>
      <c r="L88" s="5">
        <f>+[2]称号計算!R93</f>
        <v>0.19409999999999999</v>
      </c>
      <c r="M88" s="13">
        <f>+[2]称号計算!S93</f>
        <v>0.32250000000000001</v>
      </c>
      <c r="N88" s="27">
        <f>+[2]称号計算!T93</f>
        <v>1.7399999999999999E-2</v>
      </c>
      <c r="O88" s="5">
        <f>+[2]称号計算!U93</f>
        <v>8.6900000000000005E-2</v>
      </c>
      <c r="P88" s="5">
        <f>+[2]称号計算!V93</f>
        <v>5.7999999999999996E-3</v>
      </c>
      <c r="Q88" s="5">
        <f>+[2]称号計算!W93</f>
        <v>5.7999999999999996E-3</v>
      </c>
      <c r="R88" s="5">
        <f>+[2]称号計算!X93</f>
        <v>4.3E-3</v>
      </c>
      <c r="S88" s="13">
        <f>+[2]称号計算!Y93</f>
        <v>4.3E-3</v>
      </c>
      <c r="T88" s="19">
        <f>+[2]称号計算!Z93</f>
        <v>0.89690000000000003</v>
      </c>
      <c r="U88" s="13">
        <v>0.9</v>
      </c>
    </row>
    <row r="89" spans="1:21">
      <c r="A89" s="12" t="s">
        <v>1000</v>
      </c>
      <c r="B89" s="23" t="s">
        <v>1360</v>
      </c>
      <c r="C89" s="27">
        <f>+[2]称号計算!I94</f>
        <v>0.22170000000000001</v>
      </c>
      <c r="D89" s="5">
        <f>+[2]称号計算!J94</f>
        <v>9.5600000000000004E-2</v>
      </c>
      <c r="E89" s="5">
        <f>+[2]称号計算!K94</f>
        <v>0.86880000000000002</v>
      </c>
      <c r="F89" s="5">
        <f>+[2]称号計算!L94</f>
        <v>4.3400000000000001E-2</v>
      </c>
      <c r="G89" s="5">
        <f>+[2]称号計算!M94</f>
        <v>0.16250000000000001</v>
      </c>
      <c r="H89" s="13">
        <f>+[2]称号計算!N94</f>
        <v>0.16539999999999999</v>
      </c>
      <c r="I89" s="27">
        <f>+[2]称号計算!O94</f>
        <v>0.30580000000000002</v>
      </c>
      <c r="J89" s="13">
        <f>+[2]称号計算!P94</f>
        <v>0.29370000000000002</v>
      </c>
      <c r="K89" s="27">
        <f>+[2]称号計算!Q94</f>
        <v>0.21790000000000001</v>
      </c>
      <c r="L89" s="5">
        <f>+[2]称号計算!R94</f>
        <v>0.37880000000000003</v>
      </c>
      <c r="M89" s="13">
        <f>+[2]称号計算!S94</f>
        <v>0.23350000000000001</v>
      </c>
      <c r="N89" s="27">
        <f>+[2]称号計算!T94</f>
        <v>6.4500000000000002E-2</v>
      </c>
      <c r="O89" s="5">
        <f>+[2]称号計算!U94</f>
        <v>1.29E-2</v>
      </c>
      <c r="P89" s="5">
        <f>+[2]称号計算!V94</f>
        <v>4.3E-3</v>
      </c>
      <c r="Q89" s="5">
        <f>+[2]称号計算!W94</f>
        <v>4.3E-3</v>
      </c>
      <c r="R89" s="5">
        <f>+[2]称号計算!X94</f>
        <v>3.2000000000000002E-3</v>
      </c>
      <c r="S89" s="13">
        <f>+[2]称号計算!Y94</f>
        <v>3.2000000000000002E-3</v>
      </c>
      <c r="T89" s="19">
        <f>+[2]称号計算!Z94</f>
        <v>1.0704</v>
      </c>
      <c r="U89" s="13">
        <v>0.55000000000000004</v>
      </c>
    </row>
    <row r="90" spans="1:21">
      <c r="A90" s="12" t="s">
        <v>1001</v>
      </c>
      <c r="B90" s="23" t="s">
        <v>1361</v>
      </c>
      <c r="C90" s="27">
        <f>+[2]称号計算!I95</f>
        <v>0.50470000000000004</v>
      </c>
      <c r="D90" s="5">
        <f>+[2]称号計算!J95</f>
        <v>0.1404</v>
      </c>
      <c r="E90" s="5">
        <f>+[2]称号計算!K95</f>
        <v>0.75960000000000005</v>
      </c>
      <c r="F90" s="5">
        <f>+[2]称号計算!L95</f>
        <v>5.9299999999999999E-2</v>
      </c>
      <c r="G90" s="5">
        <f>+[2]称号計算!M95</f>
        <v>0.4365</v>
      </c>
      <c r="H90" s="13">
        <f>+[2]称号計算!N95</f>
        <v>0.24279999999999999</v>
      </c>
      <c r="I90" s="27">
        <f>+[2]称号計算!O95</f>
        <v>0.11700000000000001</v>
      </c>
      <c r="J90" s="13">
        <f>+[2]称号計算!P95</f>
        <v>0.1883</v>
      </c>
      <c r="K90" s="27">
        <f>+[2]称号計算!Q95</f>
        <v>0.11700000000000001</v>
      </c>
      <c r="L90" s="5">
        <f>+[2]称号計算!R95</f>
        <v>0.2218</v>
      </c>
      <c r="M90" s="13">
        <f>+[2]称号計算!S95</f>
        <v>0.32969999999999999</v>
      </c>
      <c r="N90" s="27">
        <f>+[2]称号計算!T95</f>
        <v>1.1299999999999999E-2</v>
      </c>
      <c r="O90" s="5">
        <f>+[2]称号計算!U95</f>
        <v>1.1299999999999999E-2</v>
      </c>
      <c r="P90" s="5">
        <f>+[2]称号計算!V95</f>
        <v>4.24E-2</v>
      </c>
      <c r="Q90" s="5">
        <f>+[2]称号計算!W95</f>
        <v>0.1696</v>
      </c>
      <c r="R90" s="5">
        <f>+[2]称号計算!X95</f>
        <v>8.5000000000000006E-3</v>
      </c>
      <c r="S90" s="13">
        <f>+[2]称号計算!Y95</f>
        <v>8.5000000000000006E-3</v>
      </c>
      <c r="T90" s="19">
        <f>+[2]称号計算!Z95</f>
        <v>0.9264</v>
      </c>
      <c r="U90" s="13">
        <v>0.5</v>
      </c>
    </row>
    <row r="91" spans="1:21" ht="19.5" thickBot="1">
      <c r="A91" s="14" t="s">
        <v>1002</v>
      </c>
      <c r="B91" s="24" t="s">
        <v>1362</v>
      </c>
      <c r="C91" s="28">
        <f>+[2]称号計算!I96</f>
        <v>0.2661</v>
      </c>
      <c r="D91" s="15">
        <f>+[2]称号計算!J96</f>
        <v>0.39229999999999998</v>
      </c>
      <c r="E91" s="15">
        <f>+[2]称号計算!K96</f>
        <v>7.7499999999999999E-2</v>
      </c>
      <c r="F91" s="15">
        <f>+[2]称号計算!L96</f>
        <v>0.77529999999999999</v>
      </c>
      <c r="G91" s="15">
        <f>+[2]称号計算!M96</f>
        <v>0.19769999999999999</v>
      </c>
      <c r="H91" s="16">
        <f>+[2]称号計算!N96</f>
        <v>0.2109</v>
      </c>
      <c r="I91" s="28">
        <f>+[2]称号計算!O96</f>
        <v>0.37530000000000002</v>
      </c>
      <c r="J91" s="16">
        <f>+[2]称号計算!P96</f>
        <v>0.22170000000000001</v>
      </c>
      <c r="K91" s="28">
        <f>+[2]称号計算!Q96</f>
        <v>0.15010000000000001</v>
      </c>
      <c r="L91" s="15">
        <f>+[2]称号計算!R96</f>
        <v>0.34110000000000001</v>
      </c>
      <c r="M91" s="16">
        <f>+[2]称号計算!S96</f>
        <v>0.23880000000000001</v>
      </c>
      <c r="N91" s="28">
        <f>+[2]称号計算!T96</f>
        <v>5.4999999999999997E-3</v>
      </c>
      <c r="O91" s="15">
        <f>+[2]称号計算!U96</f>
        <v>5.4999999999999997E-3</v>
      </c>
      <c r="P91" s="15">
        <f>+[2]称号計算!V96</f>
        <v>5.4999999999999997E-3</v>
      </c>
      <c r="Q91" s="15">
        <f>+[2]称号計算!W96</f>
        <v>5.4999999999999997E-3</v>
      </c>
      <c r="R91" s="15">
        <f>+[2]称号計算!X96</f>
        <v>0.1091</v>
      </c>
      <c r="S91" s="16">
        <f>+[2]称号計算!Y96</f>
        <v>1.4500000000000001E-2</v>
      </c>
      <c r="T91" s="20">
        <f>+[2]称号計算!Z96</f>
        <v>1.0462</v>
      </c>
      <c r="U91" s="16">
        <v>0.25</v>
      </c>
    </row>
    <row r="92" spans="1:21">
      <c r="A92" s="9" t="s">
        <v>1003</v>
      </c>
      <c r="B92" s="22" t="s">
        <v>1363</v>
      </c>
      <c r="C92" s="26">
        <f>+[2]称号計算!I97</f>
        <v>0.2747</v>
      </c>
      <c r="D92" s="10">
        <f>+[2]称号計算!J97</f>
        <v>0.29859999999999998</v>
      </c>
      <c r="E92" s="10">
        <f>+[2]称号計算!K97</f>
        <v>6.7900000000000002E-2</v>
      </c>
      <c r="F92" s="10">
        <f>+[2]称号計算!L97</f>
        <v>0.67859999999999998</v>
      </c>
      <c r="G92" s="10">
        <f>+[2]称号計算!M97</f>
        <v>0.21920000000000001</v>
      </c>
      <c r="H92" s="11">
        <f>+[2]称号計算!N97</f>
        <v>0.24229999999999999</v>
      </c>
      <c r="I92" s="26">
        <f>+[2]称号計算!O97</f>
        <v>0.14929999999999999</v>
      </c>
      <c r="J92" s="11">
        <f>+[2]称号計算!P97</f>
        <v>0.1764</v>
      </c>
      <c r="K92" s="26">
        <f>+[2]称号計算!Q97</f>
        <v>0.11940000000000001</v>
      </c>
      <c r="L92" s="10">
        <f>+[2]称号計算!R97</f>
        <v>0.28499999999999998</v>
      </c>
      <c r="M92" s="11">
        <f>+[2]称号計算!S97</f>
        <v>0.19</v>
      </c>
      <c r="N92" s="26">
        <f>+[2]称号計算!T97</f>
        <v>7.1999999999999998E-3</v>
      </c>
      <c r="O92" s="10">
        <f>+[2]称号計算!U97</f>
        <v>7.1999999999999998E-3</v>
      </c>
      <c r="P92" s="10">
        <f>+[2]称号計算!V97</f>
        <v>0.1081</v>
      </c>
      <c r="Q92" s="10">
        <f>+[2]称号計算!W97</f>
        <v>2.7E-2</v>
      </c>
      <c r="R92" s="10">
        <f>+[2]称号計算!X97</f>
        <v>5.4000000000000003E-3</v>
      </c>
      <c r="S92" s="11">
        <f>+[2]称号計算!Y97</f>
        <v>5.4000000000000003E-3</v>
      </c>
      <c r="T92" s="18">
        <f>+[2]称号計算!Z97</f>
        <v>0.84040000000000004</v>
      </c>
      <c r="U92" s="11">
        <v>1</v>
      </c>
    </row>
    <row r="93" spans="1:21">
      <c r="A93" s="12" t="s">
        <v>1004</v>
      </c>
      <c r="B93" s="23" t="s">
        <v>1364</v>
      </c>
      <c r="C93" s="27">
        <f>+[2]称号計算!I98</f>
        <v>0.2324</v>
      </c>
      <c r="D93" s="5">
        <f>+[2]称号計算!J98</f>
        <v>0.29830000000000001</v>
      </c>
      <c r="E93" s="5">
        <f>+[2]称号計算!K98</f>
        <v>4.6399999999999997E-2</v>
      </c>
      <c r="F93" s="5">
        <f>+[2]称号計算!L98</f>
        <v>0.7137</v>
      </c>
      <c r="G93" s="5">
        <f>+[2]称号計算!M98</f>
        <v>0.17469999999999999</v>
      </c>
      <c r="H93" s="13">
        <f>+[2]称号計算!N98</f>
        <v>0.20380000000000001</v>
      </c>
      <c r="I93" s="27">
        <f>+[2]称号計算!O98</f>
        <v>0.157</v>
      </c>
      <c r="J93" s="13">
        <f>+[2]称号計算!P98</f>
        <v>0.17319999999999999</v>
      </c>
      <c r="K93" s="27">
        <f>+[2]称号計算!Q98</f>
        <v>0.2104</v>
      </c>
      <c r="L93" s="5">
        <f>+[2]称号計算!R98</f>
        <v>0.4425</v>
      </c>
      <c r="M93" s="13">
        <f>+[2]称号計算!S98</f>
        <v>0.18390000000000001</v>
      </c>
      <c r="N93" s="27">
        <f>+[2]称号計算!T98</f>
        <v>5.4000000000000003E-3</v>
      </c>
      <c r="O93" s="5">
        <f>+[2]称号計算!U98</f>
        <v>5.4000000000000003E-3</v>
      </c>
      <c r="P93" s="5">
        <f>+[2]称号計算!V98</f>
        <v>2.0400000000000001E-2</v>
      </c>
      <c r="Q93" s="5">
        <f>+[2]称号計算!W98</f>
        <v>8.1699999999999995E-2</v>
      </c>
      <c r="R93" s="5">
        <f>+[2]称号計算!X98</f>
        <v>4.1000000000000003E-3</v>
      </c>
      <c r="S93" s="13">
        <f>+[2]称号計算!Y98</f>
        <v>4.1000000000000003E-3</v>
      </c>
      <c r="T93" s="19">
        <f>+[2]称号計算!Z98</f>
        <v>1.0952</v>
      </c>
      <c r="U93" s="13">
        <v>1</v>
      </c>
    </row>
    <row r="94" spans="1:21">
      <c r="A94" s="12" t="s">
        <v>1005</v>
      </c>
      <c r="B94" s="23" t="s">
        <v>1365</v>
      </c>
      <c r="C94" s="27">
        <f>+[2]称号計算!I99</f>
        <v>0.19620000000000001</v>
      </c>
      <c r="D94" s="5">
        <f>+[2]称号計算!J99</f>
        <v>0.31709999999999999</v>
      </c>
      <c r="E94" s="5">
        <f>+[2]称号計算!K99</f>
        <v>3.4200000000000001E-2</v>
      </c>
      <c r="F94" s="5">
        <f>+[2]称号計算!L99</f>
        <v>0.61080000000000001</v>
      </c>
      <c r="G94" s="5">
        <f>+[2]称号計算!M99</f>
        <v>0.15989999999999999</v>
      </c>
      <c r="H94" s="13">
        <f>+[2]称号計算!N99</f>
        <v>0.17649999999999999</v>
      </c>
      <c r="I94" s="27">
        <f>+[2]称号計算!O99</f>
        <v>0.69879999999999998</v>
      </c>
      <c r="J94" s="13">
        <f>+[2]称号計算!P99</f>
        <v>0.20649999999999999</v>
      </c>
      <c r="K94" s="27">
        <f>+[2]称号計算!Q99</f>
        <v>0.14779999999999999</v>
      </c>
      <c r="L94" s="5">
        <f>+[2]称号計算!R99</f>
        <v>0.2321</v>
      </c>
      <c r="M94" s="13">
        <f>+[2]称号計算!S99</f>
        <v>0.19159999999999999</v>
      </c>
      <c r="N94" s="27">
        <f>+[2]称号計算!T99</f>
        <v>4.7999999999999996E-3</v>
      </c>
      <c r="O94" s="5">
        <f>+[2]称号計算!U99</f>
        <v>4.7999999999999996E-3</v>
      </c>
      <c r="P94" s="5">
        <f>+[2]称号計算!V99</f>
        <v>4.7999999999999996E-3</v>
      </c>
      <c r="Q94" s="5">
        <f>+[2]称号計算!W99</f>
        <v>4.7999999999999996E-3</v>
      </c>
      <c r="R94" s="5">
        <f>+[2]称号計算!X99</f>
        <v>1.2699999999999999E-2</v>
      </c>
      <c r="S94" s="13">
        <f>+[2]称号計算!Y99</f>
        <v>9.5100000000000004E-2</v>
      </c>
      <c r="T94" s="19">
        <f>+[2]称号計算!Z99</f>
        <v>1.0483</v>
      </c>
      <c r="U94" s="13">
        <v>0.9</v>
      </c>
    </row>
    <row r="95" spans="1:21">
      <c r="A95" s="12" t="s">
        <v>1006</v>
      </c>
      <c r="B95" s="23" t="s">
        <v>1366</v>
      </c>
      <c r="C95" s="27">
        <f>+[2]称号計算!I100</f>
        <v>0.28170000000000001</v>
      </c>
      <c r="D95" s="5">
        <f>+[2]称号計算!J100</f>
        <v>0.18490000000000001</v>
      </c>
      <c r="E95" s="5">
        <f>+[2]称号計算!K100</f>
        <v>0.80030000000000001</v>
      </c>
      <c r="F95" s="5">
        <f>+[2]称号計算!L100</f>
        <v>5.6000000000000001E-2</v>
      </c>
      <c r="G95" s="5">
        <f>+[2]称号計算!M100</f>
        <v>0.20949999999999999</v>
      </c>
      <c r="H95" s="13">
        <f>+[2]称号計算!N100</f>
        <v>0.2258</v>
      </c>
      <c r="I95" s="27">
        <f>+[2]称号計算!O100</f>
        <v>0.22889999999999999</v>
      </c>
      <c r="J95" s="13">
        <f>+[2]称号計算!P100</f>
        <v>0.20250000000000001</v>
      </c>
      <c r="K95" s="27">
        <f>+[2]称号計算!Q100</f>
        <v>0.2732</v>
      </c>
      <c r="L95" s="5">
        <f>+[2]称号計算!R100</f>
        <v>0.41289999999999999</v>
      </c>
      <c r="M95" s="13">
        <f>+[2]称号計算!S100</f>
        <v>0.23080000000000001</v>
      </c>
      <c r="N95" s="27">
        <f>+[2]称号計算!T100</f>
        <v>7.0000000000000001E-3</v>
      </c>
      <c r="O95" s="5">
        <f>+[2]称号計算!U100</f>
        <v>7.0000000000000001E-3</v>
      </c>
      <c r="P95" s="5">
        <f>+[2]称号計算!V100</f>
        <v>2.6100000000000002E-2</v>
      </c>
      <c r="Q95" s="5">
        <f>+[2]称号計算!W100</f>
        <v>0.10440000000000001</v>
      </c>
      <c r="R95" s="5">
        <f>+[2]称号計算!X100</f>
        <v>5.1999999999999998E-3</v>
      </c>
      <c r="S95" s="13">
        <f>+[2]称号計算!Y100</f>
        <v>5.1999999999999998E-3</v>
      </c>
      <c r="T95" s="19">
        <f>+[2]称号計算!Z100</f>
        <v>1.2909999999999999</v>
      </c>
      <c r="U95" s="13">
        <v>0.55000000000000004</v>
      </c>
    </row>
    <row r="96" spans="1:21">
      <c r="A96" s="12" t="s">
        <v>1007</v>
      </c>
      <c r="B96" s="23" t="s">
        <v>1367</v>
      </c>
      <c r="C96" s="27">
        <f>+[2]称号計算!I101</f>
        <v>0.29239999999999999</v>
      </c>
      <c r="D96" s="5">
        <f>+[2]称号計算!J101</f>
        <v>0.15540000000000001</v>
      </c>
      <c r="E96" s="5">
        <f>+[2]称号計算!K101</f>
        <v>0.83079999999999998</v>
      </c>
      <c r="F96" s="5">
        <f>+[2]称号計算!L101</f>
        <v>8.3099999999999993E-2</v>
      </c>
      <c r="G96" s="5">
        <f>+[2]称号計算!M101</f>
        <v>0.22600000000000001</v>
      </c>
      <c r="H96" s="13">
        <f>+[2]称号計算!N101</f>
        <v>0.22600000000000001</v>
      </c>
      <c r="I96" s="27">
        <f>+[2]称号計算!O101</f>
        <v>0.29239999999999999</v>
      </c>
      <c r="J96" s="13">
        <f>+[2]称号計算!P101</f>
        <v>0.22320000000000001</v>
      </c>
      <c r="K96" s="27">
        <f>+[2]称号計算!Q101</f>
        <v>0.24129999999999999</v>
      </c>
      <c r="L96" s="5">
        <f>+[2]称号計算!R101</f>
        <v>0.43859999999999999</v>
      </c>
      <c r="M96" s="13">
        <f>+[2]称号計算!S101</f>
        <v>0.2326</v>
      </c>
      <c r="N96" s="27">
        <f>+[2]称号計算!T101</f>
        <v>0.1089</v>
      </c>
      <c r="O96" s="5">
        <f>+[2]称号計算!U101</f>
        <v>2.18E-2</v>
      </c>
      <c r="P96" s="5">
        <f>+[2]称号計算!V101</f>
        <v>7.3000000000000001E-3</v>
      </c>
      <c r="Q96" s="5">
        <f>+[2]称号計算!W101</f>
        <v>7.3000000000000001E-3</v>
      </c>
      <c r="R96" s="5">
        <f>+[2]称号計算!X101</f>
        <v>5.4000000000000003E-3</v>
      </c>
      <c r="S96" s="13">
        <f>+[2]称号計算!Y101</f>
        <v>5.4000000000000003E-3</v>
      </c>
      <c r="T96" s="19">
        <f>+[2]称号計算!Z101</f>
        <v>1.2426999999999999</v>
      </c>
      <c r="U96" s="13">
        <v>0.5</v>
      </c>
    </row>
    <row r="97" spans="1:21" ht="19.5" thickBot="1">
      <c r="A97" s="14" t="s">
        <v>1008</v>
      </c>
      <c r="B97" s="24" t="s">
        <v>1368</v>
      </c>
      <c r="C97" s="28">
        <f>+[2]称号計算!I102</f>
        <v>0.2223</v>
      </c>
      <c r="D97" s="15">
        <f>+[2]称号計算!J102</f>
        <v>0.2989</v>
      </c>
      <c r="E97" s="15">
        <f>+[2]称号計算!K102</f>
        <v>4.3499999999999997E-2</v>
      </c>
      <c r="F97" s="15">
        <f>+[2]称号計算!L102</f>
        <v>0.87090000000000001</v>
      </c>
      <c r="G97" s="15">
        <f>+[2]称号計算!M102</f>
        <v>0.1895</v>
      </c>
      <c r="H97" s="16">
        <f>+[2]称号計算!N102</f>
        <v>0.1925</v>
      </c>
      <c r="I97" s="28">
        <f>+[2]称号計算!O102</f>
        <v>0.30659999999999998</v>
      </c>
      <c r="J97" s="16">
        <f>+[2]称号計算!P102</f>
        <v>0.23400000000000001</v>
      </c>
      <c r="K97" s="28">
        <f>+[2]称号計算!Q102</f>
        <v>0.32190000000000002</v>
      </c>
      <c r="L97" s="15">
        <f>+[2]称号計算!R102</f>
        <v>0.45290000000000002</v>
      </c>
      <c r="M97" s="16">
        <f>+[2]称号計算!S102</f>
        <v>0.24390000000000001</v>
      </c>
      <c r="N97" s="28">
        <f>+[2]称号計算!T102</f>
        <v>4.3E-3</v>
      </c>
      <c r="O97" s="15">
        <f>+[2]称号計算!U102</f>
        <v>4.3E-3</v>
      </c>
      <c r="P97" s="15">
        <f>+[2]称号計算!V102</f>
        <v>4.3E-3</v>
      </c>
      <c r="Q97" s="15">
        <f>+[2]称号計算!W102</f>
        <v>4.3E-3</v>
      </c>
      <c r="R97" s="15">
        <f>+[2]称号計算!X102</f>
        <v>8.6400000000000005E-2</v>
      </c>
      <c r="S97" s="16">
        <f>+[2]称号計算!Y102</f>
        <v>1.15E-2</v>
      </c>
      <c r="T97" s="20">
        <f>+[2]称号計算!Z102</f>
        <v>1.4633</v>
      </c>
      <c r="U97" s="16">
        <v>0.25</v>
      </c>
    </row>
    <row r="98" spans="1:21">
      <c r="A98" s="9" t="s">
        <v>1009</v>
      </c>
      <c r="B98" s="22" t="s">
        <v>1369</v>
      </c>
      <c r="C98" s="26">
        <f>+[2]称号計算!I103</f>
        <v>0.31909999999999999</v>
      </c>
      <c r="D98" s="10">
        <f>+[2]称号計算!J103</f>
        <v>0.30459999999999998</v>
      </c>
      <c r="E98" s="10">
        <f>+[2]称号計算!K103</f>
        <v>6.59E-2</v>
      </c>
      <c r="F98" s="10">
        <f>+[2]称号計算!L103</f>
        <v>0.65920000000000001</v>
      </c>
      <c r="G98" s="10">
        <f>+[2]称号計算!M103</f>
        <v>0.2465</v>
      </c>
      <c r="H98" s="11">
        <f>+[2]称号計算!N103</f>
        <v>0.2465</v>
      </c>
      <c r="I98" s="26">
        <f>+[2]称号計算!O103</f>
        <v>0.20300000000000001</v>
      </c>
      <c r="J98" s="11">
        <f>+[2]称号計算!P103</f>
        <v>0.17710000000000001</v>
      </c>
      <c r="K98" s="26">
        <f>+[2]称号計算!Q103</f>
        <v>0.13919999999999999</v>
      </c>
      <c r="L98" s="10">
        <f>+[2]称号計算!R103</f>
        <v>0.26369999999999999</v>
      </c>
      <c r="M98" s="11">
        <f>+[2]称号計算!S103</f>
        <v>0.18459999999999999</v>
      </c>
      <c r="N98" s="26">
        <f>+[2]称号計算!T103</f>
        <v>8.0999999999999996E-3</v>
      </c>
      <c r="O98" s="10">
        <f>+[2]称号計算!U103</f>
        <v>8.0999999999999996E-3</v>
      </c>
      <c r="P98" s="10">
        <f>+[2]称号計算!V103</f>
        <v>3.0300000000000001E-2</v>
      </c>
      <c r="Q98" s="10">
        <f>+[2]称号計算!W103</f>
        <v>0.12139999999999999</v>
      </c>
      <c r="R98" s="10">
        <f>+[2]称号計算!X103</f>
        <v>6.1000000000000004E-3</v>
      </c>
      <c r="S98" s="11">
        <f>+[2]称号計算!Y103</f>
        <v>6.1000000000000004E-3</v>
      </c>
      <c r="T98" s="18">
        <f>+[2]称号計算!Z103</f>
        <v>0.9365</v>
      </c>
      <c r="U98" s="11">
        <v>1</v>
      </c>
    </row>
    <row r="99" spans="1:21">
      <c r="A99" s="12" t="s">
        <v>1010</v>
      </c>
      <c r="B99" s="23" t="s">
        <v>1370</v>
      </c>
      <c r="C99" s="27">
        <f>+[2]称号計算!I104</f>
        <v>0.37480000000000002</v>
      </c>
      <c r="D99" s="5">
        <f>+[2]称号計算!J104</f>
        <v>0.27810000000000001</v>
      </c>
      <c r="E99" s="5">
        <f>+[2]称号計算!K104</f>
        <v>5.6599999999999998E-2</v>
      </c>
      <c r="F99" s="5">
        <f>+[2]称号計算!L104</f>
        <v>0.66539999999999999</v>
      </c>
      <c r="G99" s="5">
        <f>+[2]称号計算!M104</f>
        <v>0.27829999999999999</v>
      </c>
      <c r="H99" s="13">
        <f>+[2]称号計算!N104</f>
        <v>0.25340000000000001</v>
      </c>
      <c r="I99" s="27">
        <f>+[2]称号計算!O104</f>
        <v>0.2049</v>
      </c>
      <c r="J99" s="13">
        <f>+[2]称号計算!P104</f>
        <v>0.17299999999999999</v>
      </c>
      <c r="K99" s="27">
        <f>+[2]称号計算!Q104</f>
        <v>0.16400000000000001</v>
      </c>
      <c r="L99" s="5">
        <f>+[2]称号計算!R104</f>
        <v>0.38590000000000002</v>
      </c>
      <c r="M99" s="13">
        <f>+[2]称号計算!S104</f>
        <v>0.11550000000000001</v>
      </c>
      <c r="N99" s="27">
        <f>+[2]称号計算!T104</f>
        <v>8.8000000000000005E-3</v>
      </c>
      <c r="O99" s="5">
        <f>+[2]称号計算!U104</f>
        <v>8.8000000000000005E-3</v>
      </c>
      <c r="P99" s="5">
        <f>+[2]称号計算!V104</f>
        <v>3.3000000000000002E-2</v>
      </c>
      <c r="Q99" s="5">
        <f>+[2]称号計算!W104</f>
        <v>0.13220000000000001</v>
      </c>
      <c r="R99" s="5">
        <f>+[2]称号計算!X104</f>
        <v>6.6E-3</v>
      </c>
      <c r="S99" s="13">
        <f>+[2]称号計算!Y104</f>
        <v>6.6E-3</v>
      </c>
      <c r="T99" s="19">
        <f>+[2]称号計算!Z104</f>
        <v>1.0488999999999999</v>
      </c>
      <c r="U99" s="13">
        <v>1</v>
      </c>
    </row>
    <row r="100" spans="1:21">
      <c r="A100" s="12" t="s">
        <v>1011</v>
      </c>
      <c r="B100" s="23" t="s">
        <v>1371</v>
      </c>
      <c r="C100" s="27">
        <f>+[2]称号計算!I105</f>
        <v>0.29099999999999998</v>
      </c>
      <c r="D100" s="5">
        <f>+[2]称号計算!J105</f>
        <v>0.31059999999999999</v>
      </c>
      <c r="E100" s="5">
        <f>+[2]称号計算!K105</f>
        <v>4.4600000000000001E-2</v>
      </c>
      <c r="F100" s="5">
        <f>+[2]称号計算!L105</f>
        <v>0.74309999999999998</v>
      </c>
      <c r="G100" s="5">
        <f>+[2]称号計算!M105</f>
        <v>0.2324</v>
      </c>
      <c r="H100" s="13">
        <f>+[2]称号計算!N105</f>
        <v>0.22989999999999999</v>
      </c>
      <c r="I100" s="27">
        <f>+[2]称号計算!O105</f>
        <v>0.2452</v>
      </c>
      <c r="J100" s="13">
        <f>+[2]称号計算!P105</f>
        <v>0.19320000000000001</v>
      </c>
      <c r="K100" s="27">
        <f>+[2]称号計算!Q105</f>
        <v>0.20269999999999999</v>
      </c>
      <c r="L100" s="5">
        <f>+[2]称号計算!R105</f>
        <v>0.34179999999999999</v>
      </c>
      <c r="M100" s="13">
        <f>+[2]称号計算!S105</f>
        <v>0.25590000000000002</v>
      </c>
      <c r="N100" s="27">
        <f>+[2]称号計算!T105</f>
        <v>0.1187</v>
      </c>
      <c r="O100" s="5">
        <f>+[2]称号計算!U105</f>
        <v>2.3699999999999999E-2</v>
      </c>
      <c r="P100" s="5">
        <f>+[2]称号計算!V105</f>
        <v>7.9000000000000008E-3</v>
      </c>
      <c r="Q100" s="5">
        <f>+[2]称号計算!W105</f>
        <v>7.9000000000000008E-3</v>
      </c>
      <c r="R100" s="5">
        <f>+[2]称号計算!X105</f>
        <v>5.8999999999999999E-3</v>
      </c>
      <c r="S100" s="13">
        <f>+[2]称号計算!Y105</f>
        <v>5.8999999999999999E-3</v>
      </c>
      <c r="T100" s="19">
        <f>+[2]称号計算!Z105</f>
        <v>1.9229000000000001</v>
      </c>
      <c r="U100" s="13">
        <v>0.9</v>
      </c>
    </row>
    <row r="101" spans="1:21">
      <c r="A101" s="12" t="s">
        <v>1012</v>
      </c>
      <c r="B101" s="23" t="s">
        <v>1372</v>
      </c>
      <c r="C101" s="27">
        <f>+[2]称号計算!I106</f>
        <v>0.31519999999999998</v>
      </c>
      <c r="D101" s="5">
        <f>+[2]称号計算!J106</f>
        <v>0.1401</v>
      </c>
      <c r="E101" s="5">
        <f>+[2]称号計算!K106</f>
        <v>0.79590000000000005</v>
      </c>
      <c r="F101" s="5">
        <f>+[2]称号計算!L106</f>
        <v>7.9600000000000004E-2</v>
      </c>
      <c r="G101" s="5">
        <f>+[2]称号計算!M106</f>
        <v>0.24360000000000001</v>
      </c>
      <c r="H101" s="13">
        <f>+[2]称号計算!N106</f>
        <v>0.24360000000000001</v>
      </c>
      <c r="I101" s="27">
        <f>+[2]称号計算!O106</f>
        <v>0.38519999999999999</v>
      </c>
      <c r="J101" s="13">
        <f>+[2]称号計算!P106</f>
        <v>0.2414</v>
      </c>
      <c r="K101" s="27">
        <f>+[2]称号計算!Q106</f>
        <v>0.21010000000000001</v>
      </c>
      <c r="L101" s="5">
        <f>+[2]称号計算!R106</f>
        <v>0.37569999999999998</v>
      </c>
      <c r="M101" s="13">
        <f>+[2]称号計算!S106</f>
        <v>0.2006</v>
      </c>
      <c r="N101" s="27">
        <f>+[2]称号計算!T106</f>
        <v>2.2700000000000001E-2</v>
      </c>
      <c r="O101" s="5">
        <f>+[2]称号計算!U106</f>
        <v>0.1137</v>
      </c>
      <c r="P101" s="5">
        <f>+[2]称号計算!V106</f>
        <v>7.6E-3</v>
      </c>
      <c r="Q101" s="5">
        <f>+[2]称号計算!W106</f>
        <v>7.6E-3</v>
      </c>
      <c r="R101" s="5">
        <f>+[2]称号計算!X106</f>
        <v>5.7000000000000002E-3</v>
      </c>
      <c r="S101" s="13">
        <f>+[2]称号計算!Y106</f>
        <v>5.7000000000000002E-3</v>
      </c>
      <c r="T101" s="19">
        <f>+[2]称号計算!Z106</f>
        <v>1.1847000000000001</v>
      </c>
      <c r="U101" s="13">
        <v>0.55000000000000004</v>
      </c>
    </row>
    <row r="102" spans="1:21">
      <c r="A102" s="12" t="s">
        <v>1013</v>
      </c>
      <c r="B102" s="23" t="s">
        <v>1373</v>
      </c>
      <c r="C102" s="27">
        <f>+[2]称号計算!I107</f>
        <v>0.25900000000000001</v>
      </c>
      <c r="D102" s="5">
        <f>+[2]称号計算!J107</f>
        <v>0.15720000000000001</v>
      </c>
      <c r="E102" s="5">
        <f>+[2]称号計算!K107</f>
        <v>0.84089999999999998</v>
      </c>
      <c r="F102" s="5">
        <f>+[2]称号計算!L107</f>
        <v>6.3100000000000003E-2</v>
      </c>
      <c r="G102" s="5">
        <f>+[2]称号計算!M107</f>
        <v>0.21729999999999999</v>
      </c>
      <c r="H102" s="13">
        <f>+[2]称号計算!N107</f>
        <v>0.223</v>
      </c>
      <c r="I102" s="27">
        <f>+[2]称号計算!O107</f>
        <v>0.40699999999999997</v>
      </c>
      <c r="J102" s="13">
        <f>+[2]称号計算!P107</f>
        <v>0.2303</v>
      </c>
      <c r="K102" s="27">
        <f>+[2]称号計算!Q107</f>
        <v>0.32929999999999998</v>
      </c>
      <c r="L102" s="5">
        <f>+[2]称号計算!R107</f>
        <v>0.43719999999999998</v>
      </c>
      <c r="M102" s="13">
        <f>+[2]称号計算!S107</f>
        <v>0.2072</v>
      </c>
      <c r="N102" s="27">
        <f>+[2]称号計算!T107</f>
        <v>6.7999999999999996E-3</v>
      </c>
      <c r="O102" s="5">
        <f>+[2]称号計算!U107</f>
        <v>6.7999999999999996E-3</v>
      </c>
      <c r="P102" s="5">
        <f>+[2]称号計算!V107</f>
        <v>2.5600000000000001E-2</v>
      </c>
      <c r="Q102" s="5">
        <f>+[2]称号計算!W107</f>
        <v>0.10249999999999999</v>
      </c>
      <c r="R102" s="5">
        <f>+[2]称号計算!X107</f>
        <v>5.1000000000000004E-3</v>
      </c>
      <c r="S102" s="13">
        <f>+[2]称号計算!Y107</f>
        <v>5.1000000000000004E-3</v>
      </c>
      <c r="T102" s="19">
        <f>+[2]称号計算!Z107</f>
        <v>1.5077</v>
      </c>
      <c r="U102" s="13">
        <v>0.5</v>
      </c>
    </row>
    <row r="103" spans="1:21" ht="19.5" thickBot="1">
      <c r="A103" s="14" t="s">
        <v>1014</v>
      </c>
      <c r="B103" s="24" t="s">
        <v>1374</v>
      </c>
      <c r="C103" s="28">
        <f>+[2]称号計算!I108</f>
        <v>0.36320000000000002</v>
      </c>
      <c r="D103" s="15">
        <f>+[2]称号計算!J108</f>
        <v>0.59960000000000002</v>
      </c>
      <c r="E103" s="15">
        <f>+[2]称号計算!K108</f>
        <v>5.0599999999999999E-2</v>
      </c>
      <c r="F103" s="15">
        <f>+[2]称号計算!L108</f>
        <v>0.77880000000000005</v>
      </c>
      <c r="G103" s="15">
        <f>+[2]称号計算!M108</f>
        <v>0.2039</v>
      </c>
      <c r="H103" s="16">
        <f>+[2]称号計算!N108</f>
        <v>0.54279999999999995</v>
      </c>
      <c r="I103" s="28">
        <f>+[2]称号計算!O108</f>
        <v>0.1542</v>
      </c>
      <c r="J103" s="16">
        <f>+[2]称号計算!P108</f>
        <v>0.19570000000000001</v>
      </c>
      <c r="K103" s="28">
        <f>+[2]称号計算!Q108</f>
        <v>0.13020000000000001</v>
      </c>
      <c r="L103" s="15">
        <f>+[2]称号計算!R108</f>
        <v>0.26169999999999999</v>
      </c>
      <c r="M103" s="16">
        <f>+[2]称号計算!S108</f>
        <v>0.2311</v>
      </c>
      <c r="N103" s="28">
        <f>+[2]称号計算!T108</f>
        <v>9.5999999999999992E-3</v>
      </c>
      <c r="O103" s="15">
        <f>+[2]称号計算!U108</f>
        <v>9.5999999999999992E-3</v>
      </c>
      <c r="P103" s="15">
        <f>+[2]称号計算!V108</f>
        <v>9.5999999999999992E-3</v>
      </c>
      <c r="Q103" s="15">
        <f>+[2]称号計算!W108</f>
        <v>9.5999999999999992E-3</v>
      </c>
      <c r="R103" s="15">
        <f>+[2]称号計算!X108</f>
        <v>0.191</v>
      </c>
      <c r="S103" s="16">
        <f>+[2]称号計算!Y108</f>
        <v>2.5499999999999998E-2</v>
      </c>
      <c r="T103" s="20">
        <f>+[2]称号計算!Z108</f>
        <v>1.0730999999999999</v>
      </c>
      <c r="U103" s="16">
        <v>0.25</v>
      </c>
    </row>
    <row r="104" spans="1:21">
      <c r="A104" s="9" t="s">
        <v>1015</v>
      </c>
      <c r="B104" s="22" t="s">
        <v>1375</v>
      </c>
      <c r="C104" s="26">
        <f>+[2]称号計算!I109</f>
        <v>0.2944</v>
      </c>
      <c r="D104" s="10">
        <f>+[2]称号計算!J109</f>
        <v>0.33739999999999998</v>
      </c>
      <c r="E104" s="10">
        <f>+[2]称号計算!K109</f>
        <v>4.3200000000000002E-2</v>
      </c>
      <c r="F104" s="10">
        <f>+[2]称号計算!L109</f>
        <v>0.69699999999999995</v>
      </c>
      <c r="G104" s="10">
        <f>+[2]称号計算!M109</f>
        <v>0.1943</v>
      </c>
      <c r="H104" s="11">
        <f>+[2]称号計算!N109</f>
        <v>0.2157</v>
      </c>
      <c r="I104" s="26">
        <f>+[2]称号計算!O109</f>
        <v>0.184</v>
      </c>
      <c r="J104" s="11">
        <f>+[2]称号計算!P109</f>
        <v>0.1933</v>
      </c>
      <c r="K104" s="26">
        <f>+[2]称号計算!Q109</f>
        <v>0.13800000000000001</v>
      </c>
      <c r="L104" s="10">
        <f>+[2]称号計算!R109</f>
        <v>0.25369999999999998</v>
      </c>
      <c r="M104" s="11">
        <f>+[2]称号計算!S109</f>
        <v>0.37080000000000002</v>
      </c>
      <c r="N104" s="26">
        <f>+[2]称号計算!T109</f>
        <v>2.1499999999999998E-2</v>
      </c>
      <c r="O104" s="10">
        <f>+[2]称号計算!U109</f>
        <v>0.1075</v>
      </c>
      <c r="P104" s="10">
        <f>+[2]称号計算!V109</f>
        <v>7.1999999999999998E-3</v>
      </c>
      <c r="Q104" s="10">
        <f>+[2]称号計算!W109</f>
        <v>7.1999999999999998E-3</v>
      </c>
      <c r="R104" s="10">
        <f>+[2]称号計算!X109</f>
        <v>5.4000000000000003E-3</v>
      </c>
      <c r="S104" s="11">
        <f>+[2]称号計算!Y109</f>
        <v>5.4000000000000003E-3</v>
      </c>
      <c r="T104" s="18">
        <f>+[2]称号計算!Z109</f>
        <v>0.9496</v>
      </c>
      <c r="U104" s="11">
        <v>1</v>
      </c>
    </row>
    <row r="105" spans="1:21">
      <c r="A105" s="12" t="s">
        <v>1016</v>
      </c>
      <c r="B105" s="23" t="s">
        <v>1376</v>
      </c>
      <c r="C105" s="27">
        <f>+[2]称号計算!I110</f>
        <v>0.28889999999999999</v>
      </c>
      <c r="D105" s="5">
        <f>+[2]称号計算!J110</f>
        <v>0.74329999999999996</v>
      </c>
      <c r="E105" s="5">
        <f>+[2]称号計算!K110</f>
        <v>4.4600000000000001E-2</v>
      </c>
      <c r="F105" s="5">
        <f>+[2]称号計算!L110</f>
        <v>0.63749999999999996</v>
      </c>
      <c r="G105" s="5">
        <f>+[2]称号計算!M110</f>
        <v>0.20810000000000001</v>
      </c>
      <c r="H105" s="13">
        <f>+[2]称号計算!N110</f>
        <v>0.25580000000000003</v>
      </c>
      <c r="I105" s="27">
        <f>+[2]称号計算!O110</f>
        <v>0.18229999999999999</v>
      </c>
      <c r="J105" s="13">
        <f>+[2]称号計算!P110</f>
        <v>0.16020000000000001</v>
      </c>
      <c r="K105" s="27">
        <f>+[2]称号計算!Q110</f>
        <v>0.1178</v>
      </c>
      <c r="L105" s="5">
        <f>+[2]称号計算!R110</f>
        <v>0.22950000000000001</v>
      </c>
      <c r="M105" s="13">
        <f>+[2]称号計算!S110</f>
        <v>0.19989999999999999</v>
      </c>
      <c r="N105" s="27">
        <f>+[2]称号計算!T110</f>
        <v>8.8000000000000005E-3</v>
      </c>
      <c r="O105" s="5">
        <f>+[2]称号計算!U110</f>
        <v>8.8000000000000005E-3</v>
      </c>
      <c r="P105" s="5">
        <f>+[2]称号計算!V110</f>
        <v>3.3099999999999997E-2</v>
      </c>
      <c r="Q105" s="5">
        <f>+[2]称号計算!W110</f>
        <v>0.13250000000000001</v>
      </c>
      <c r="R105" s="5">
        <f>+[2]称号計算!X110</f>
        <v>6.6E-3</v>
      </c>
      <c r="S105" s="13">
        <f>+[2]称号計算!Y110</f>
        <v>6.6E-3</v>
      </c>
      <c r="T105" s="19">
        <f>+[2]称号計算!Z110</f>
        <v>0.97150000000000003</v>
      </c>
      <c r="U105" s="13">
        <v>1</v>
      </c>
    </row>
    <row r="106" spans="1:21">
      <c r="A106" s="12" t="s">
        <v>1017</v>
      </c>
      <c r="B106" s="23" t="s">
        <v>1377</v>
      </c>
      <c r="C106" s="27">
        <f>+[2]称号計算!I111</f>
        <v>0.33329999999999999</v>
      </c>
      <c r="D106" s="5">
        <f>+[2]称号計算!J111</f>
        <v>0.36670000000000003</v>
      </c>
      <c r="E106" s="5">
        <f>+[2]称号計算!K111</f>
        <v>7.5800000000000006E-2</v>
      </c>
      <c r="F106" s="5">
        <f>+[2]称号計算!L111</f>
        <v>0.75760000000000005</v>
      </c>
      <c r="G106" s="5">
        <f>+[2]称号計算!M111</f>
        <v>0.2447</v>
      </c>
      <c r="H106" s="13">
        <f>+[2]称号計算!N111</f>
        <v>0.2833</v>
      </c>
      <c r="I106" s="27">
        <f>+[2]称号計算!O111</f>
        <v>0.23330000000000001</v>
      </c>
      <c r="J106" s="13">
        <f>+[2]称号計算!P111</f>
        <v>0.20349999999999999</v>
      </c>
      <c r="K106" s="27">
        <f>+[2]称号計算!Q111</f>
        <v>0.15329999999999999</v>
      </c>
      <c r="L106" s="5">
        <f>+[2]称号計算!R111</f>
        <v>0.33329999999999999</v>
      </c>
      <c r="M106" s="13">
        <f>+[2]称号計算!S111</f>
        <v>0.2291</v>
      </c>
      <c r="N106" s="27">
        <f>+[2]称号計算!T111</f>
        <v>0.11310000000000001</v>
      </c>
      <c r="O106" s="5">
        <f>+[2]称号計算!U111</f>
        <v>2.2599999999999999E-2</v>
      </c>
      <c r="P106" s="5">
        <f>+[2]称号計算!V111</f>
        <v>7.4999999999999997E-3</v>
      </c>
      <c r="Q106" s="5">
        <f>+[2]称号計算!W111</f>
        <v>7.4999999999999997E-3</v>
      </c>
      <c r="R106" s="5">
        <f>+[2]称号計算!X111</f>
        <v>5.7000000000000002E-3</v>
      </c>
      <c r="S106" s="13">
        <f>+[2]称号計算!Y111</f>
        <v>5.7000000000000002E-3</v>
      </c>
      <c r="T106" s="19">
        <f>+[2]称号計算!Z111</f>
        <v>1.0535000000000001</v>
      </c>
      <c r="U106" s="13">
        <v>0.9</v>
      </c>
    </row>
    <row r="107" spans="1:21">
      <c r="A107" s="12" t="s">
        <v>1018</v>
      </c>
      <c r="B107" s="23" t="s">
        <v>1378</v>
      </c>
      <c r="C107" s="27">
        <f>+[2]称号計算!I112</f>
        <v>0.30730000000000002</v>
      </c>
      <c r="D107" s="5">
        <f>+[2]称号計算!J112</f>
        <v>0.14799999999999999</v>
      </c>
      <c r="E107" s="5">
        <f>+[2]称号計算!K112</f>
        <v>0.86229999999999996</v>
      </c>
      <c r="F107" s="5">
        <f>+[2]称号計算!L112</f>
        <v>6.0400000000000002E-2</v>
      </c>
      <c r="G107" s="5">
        <f>+[2]称号計算!M112</f>
        <v>0.21990000000000001</v>
      </c>
      <c r="H107" s="13">
        <f>+[2]称号計算!N112</f>
        <v>0.2316</v>
      </c>
      <c r="I107" s="27">
        <f>+[2]称号計算!O112</f>
        <v>0.2656</v>
      </c>
      <c r="J107" s="13">
        <f>+[2]称号計算!P112</f>
        <v>0.2167</v>
      </c>
      <c r="K107" s="27">
        <f>+[2]称号計算!Q112</f>
        <v>0.25419999999999998</v>
      </c>
      <c r="L107" s="5">
        <f>+[2]称号計算!R112</f>
        <v>0.61050000000000004</v>
      </c>
      <c r="M107" s="13">
        <f>+[2]称号計算!S112</f>
        <v>0.1835</v>
      </c>
      <c r="N107" s="27">
        <f>+[2]称号計算!T112</f>
        <v>5.0000000000000001E-3</v>
      </c>
      <c r="O107" s="5">
        <f>+[2]称号計算!U112</f>
        <v>5.0000000000000001E-3</v>
      </c>
      <c r="P107" s="5">
        <f>+[2]称号計算!V112</f>
        <v>5.0000000000000001E-3</v>
      </c>
      <c r="Q107" s="5">
        <f>+[2]称号計算!W112</f>
        <v>5.0000000000000001E-3</v>
      </c>
      <c r="R107" s="5">
        <f>+[2]称号計算!X112</f>
        <v>9.9500000000000005E-2</v>
      </c>
      <c r="S107" s="13">
        <f>+[2]称号計算!Y112</f>
        <v>1.3299999999999999E-2</v>
      </c>
      <c r="T107" s="19">
        <f>+[2]称号計算!Z112</f>
        <v>1.2974000000000001</v>
      </c>
      <c r="U107" s="13">
        <v>0.55000000000000004</v>
      </c>
    </row>
    <row r="108" spans="1:21">
      <c r="A108" s="12" t="s">
        <v>1019</v>
      </c>
      <c r="B108" s="23" t="s">
        <v>1379</v>
      </c>
      <c r="C108" s="27">
        <f>+[2]称号計算!I113</f>
        <v>0.26019999999999999</v>
      </c>
      <c r="D108" s="5">
        <f>+[2]称号計算!J113</f>
        <v>0.11219999999999999</v>
      </c>
      <c r="E108" s="5">
        <f>+[2]称号計算!K113</f>
        <v>1.0198</v>
      </c>
      <c r="F108" s="5">
        <f>+[2]称号計算!L113</f>
        <v>5.0999999999999997E-2</v>
      </c>
      <c r="G108" s="5">
        <f>+[2]称号計算!M113</f>
        <v>0.19070000000000001</v>
      </c>
      <c r="H108" s="13">
        <f>+[2]称号計算!N113</f>
        <v>0.19420000000000001</v>
      </c>
      <c r="I108" s="27">
        <f>+[2]称号計算!O113</f>
        <v>0.35899999999999999</v>
      </c>
      <c r="J108" s="13">
        <f>+[2]称号計算!P113</f>
        <v>0.34470000000000001</v>
      </c>
      <c r="K108" s="27">
        <f>+[2]称号計算!Q113</f>
        <v>0.25580000000000003</v>
      </c>
      <c r="L108" s="5">
        <f>+[2]称号計算!R113</f>
        <v>0.4446</v>
      </c>
      <c r="M108" s="13">
        <f>+[2]称号計算!S113</f>
        <v>0.27410000000000001</v>
      </c>
      <c r="N108" s="27">
        <f>+[2]称号計算!T113</f>
        <v>3.8E-3</v>
      </c>
      <c r="O108" s="5">
        <f>+[2]称号計算!U113</f>
        <v>3.8E-3</v>
      </c>
      <c r="P108" s="5">
        <f>+[2]称号計算!V113</f>
        <v>3.8E-3</v>
      </c>
      <c r="Q108" s="5">
        <f>+[2]称号計算!W113</f>
        <v>3.8E-3</v>
      </c>
      <c r="R108" s="5">
        <f>+[2]称号計算!X113</f>
        <v>1.01E-2</v>
      </c>
      <c r="S108" s="13">
        <f>+[2]称号計算!Y113</f>
        <v>7.5700000000000003E-2</v>
      </c>
      <c r="T108" s="19">
        <f>+[2]称号計算!Z113</f>
        <v>1.2564</v>
      </c>
      <c r="U108" s="13">
        <v>0.5</v>
      </c>
    </row>
    <row r="109" spans="1:21" ht="19.5" thickBot="1">
      <c r="A109" s="14" t="s">
        <v>1020</v>
      </c>
      <c r="B109" s="24" t="s">
        <v>1380</v>
      </c>
      <c r="C109" s="28">
        <f>+[2]称号計算!I114</f>
        <v>0.435</v>
      </c>
      <c r="D109" s="15">
        <f>+[2]称号計算!J114</f>
        <v>0.6835</v>
      </c>
      <c r="E109" s="15">
        <f>+[2]称号計算!K114</f>
        <v>5.9299999999999999E-2</v>
      </c>
      <c r="F109" s="15">
        <f>+[2]称号計算!L114</f>
        <v>0.70609999999999995</v>
      </c>
      <c r="G109" s="15">
        <f>+[2]称号計算!M114</f>
        <v>0.2281</v>
      </c>
      <c r="H109" s="16">
        <f>+[2]称号計算!N114</f>
        <v>0.40329999999999999</v>
      </c>
      <c r="I109" s="28">
        <f>+[2]称号計算!O114</f>
        <v>0.35730000000000001</v>
      </c>
      <c r="J109" s="16">
        <f>+[2]称号計算!P114</f>
        <v>0.2387</v>
      </c>
      <c r="K109" s="28">
        <f>+[2]称号計算!Q114</f>
        <v>7.46E-2</v>
      </c>
      <c r="L109" s="15">
        <f>+[2]称号計算!R114</f>
        <v>0.2034</v>
      </c>
      <c r="M109" s="16">
        <f>+[2]称号計算!S114</f>
        <v>0.26300000000000001</v>
      </c>
      <c r="N109" s="28">
        <f>+[2]称号計算!T114</f>
        <v>9.5999999999999992E-3</v>
      </c>
      <c r="O109" s="15">
        <f>+[2]称号計算!U114</f>
        <v>9.5999999999999992E-3</v>
      </c>
      <c r="P109" s="15">
        <f>+[2]称号計算!V114</f>
        <v>9.5999999999999992E-3</v>
      </c>
      <c r="Q109" s="15">
        <f>+[2]称号計算!W114</f>
        <v>9.5999999999999992E-3</v>
      </c>
      <c r="R109" s="15">
        <f>+[2]称号計算!X114</f>
        <v>2.5700000000000001E-2</v>
      </c>
      <c r="S109" s="16">
        <f>+[2]称号計算!Y114</f>
        <v>0.1928</v>
      </c>
      <c r="T109" s="20">
        <f>+[2]称号計算!Z114</f>
        <v>0.97399999999999998</v>
      </c>
      <c r="U109" s="16">
        <v>0.25</v>
      </c>
    </row>
    <row r="110" spans="1:21">
      <c r="A110" s="9" t="s">
        <v>1021</v>
      </c>
      <c r="B110" s="22" t="s">
        <v>1381</v>
      </c>
      <c r="C110" s="26">
        <f>+[2]称号計算!I115</f>
        <v>0.33429999999999999</v>
      </c>
      <c r="D110" s="10">
        <f>+[2]称号計算!J115</f>
        <v>0.40110000000000001</v>
      </c>
      <c r="E110" s="10">
        <f>+[2]称号計算!K115</f>
        <v>5.3199999999999997E-2</v>
      </c>
      <c r="F110" s="10">
        <f>+[2]称号計算!L115</f>
        <v>0.75970000000000004</v>
      </c>
      <c r="G110" s="10">
        <f>+[2]称号計算!M115</f>
        <v>0.248</v>
      </c>
      <c r="H110" s="11">
        <f>+[2]称号計算!N115</f>
        <v>0.26350000000000001</v>
      </c>
      <c r="I110" s="26">
        <f>+[2]称号計算!O115</f>
        <v>0.15040000000000001</v>
      </c>
      <c r="J110" s="11">
        <f>+[2]称号計算!P115</f>
        <v>0.18440000000000001</v>
      </c>
      <c r="K110" s="26">
        <f>+[2]称号計算!Q115</f>
        <v>0.1371</v>
      </c>
      <c r="L110" s="10">
        <f>+[2]称号計算!R115</f>
        <v>0.27960000000000002</v>
      </c>
      <c r="M110" s="11">
        <f>+[2]称号計算!S115</f>
        <v>0.2276</v>
      </c>
      <c r="N110" s="26">
        <f>+[2]称号計算!T115</f>
        <v>9.1000000000000004E-3</v>
      </c>
      <c r="O110" s="10">
        <f>+[2]称号計算!U115</f>
        <v>9.1000000000000004E-3</v>
      </c>
      <c r="P110" s="10">
        <f>+[2]称号計算!V115</f>
        <v>9.1000000000000004E-3</v>
      </c>
      <c r="Q110" s="10">
        <f>+[2]称号計算!W115</f>
        <v>9.1000000000000004E-3</v>
      </c>
      <c r="R110" s="10">
        <f>+[2]称号計算!X115</f>
        <v>0.18229999999999999</v>
      </c>
      <c r="S110" s="11">
        <f>+[2]称号計算!Y115</f>
        <v>2.4299999999999999E-2</v>
      </c>
      <c r="T110" s="18">
        <f>+[2]称号計算!Z115</f>
        <v>0.95379999999999998</v>
      </c>
      <c r="U110" s="11">
        <v>1</v>
      </c>
    </row>
    <row r="111" spans="1:21">
      <c r="A111" s="12" t="s">
        <v>1022</v>
      </c>
      <c r="B111" s="23" t="s">
        <v>1382</v>
      </c>
      <c r="C111" s="27">
        <f>+[2]称号計算!I116</f>
        <v>0.32450000000000001</v>
      </c>
      <c r="D111" s="5">
        <f>+[2]称号計算!J116</f>
        <v>0.35270000000000001</v>
      </c>
      <c r="E111" s="5">
        <f>+[2]称号計算!K116</f>
        <v>8.0199999999999994E-2</v>
      </c>
      <c r="F111" s="5">
        <f>+[2]称号計算!L116</f>
        <v>0.80149999999999999</v>
      </c>
      <c r="G111" s="5">
        <f>+[2]称号計算!M116</f>
        <v>0.25890000000000002</v>
      </c>
      <c r="H111" s="13">
        <f>+[2]称号計算!N116</f>
        <v>0.28610000000000002</v>
      </c>
      <c r="I111" s="27">
        <f>+[2]称号計算!O116</f>
        <v>0.17630000000000001</v>
      </c>
      <c r="J111" s="13">
        <f>+[2]称号計算!P116</f>
        <v>0.2084</v>
      </c>
      <c r="K111" s="27">
        <f>+[2]称号計算!Q116</f>
        <v>0.1411</v>
      </c>
      <c r="L111" s="5">
        <f>+[2]称号計算!R116</f>
        <v>0.33660000000000001</v>
      </c>
      <c r="M111" s="13">
        <f>+[2]称号計算!S116</f>
        <v>0.22439999999999999</v>
      </c>
      <c r="N111" s="27">
        <f>+[2]称号計算!T116</f>
        <v>6.4000000000000003E-3</v>
      </c>
      <c r="O111" s="5">
        <f>+[2]称号計算!U116</f>
        <v>6.4000000000000003E-3</v>
      </c>
      <c r="P111" s="5">
        <f>+[2]称号計算!V116</f>
        <v>6.4000000000000003E-3</v>
      </c>
      <c r="Q111" s="5">
        <f>+[2]称号計算!W116</f>
        <v>6.4000000000000003E-3</v>
      </c>
      <c r="R111" s="5">
        <f>+[2]称号計算!X116</f>
        <v>1.7000000000000001E-2</v>
      </c>
      <c r="S111" s="13">
        <f>+[2]称号計算!Y116</f>
        <v>0.12759999999999999</v>
      </c>
      <c r="T111" s="19">
        <f>+[2]称号計算!Z116</f>
        <v>0.99270000000000003</v>
      </c>
      <c r="U111" s="13">
        <v>1</v>
      </c>
    </row>
    <row r="112" spans="1:21">
      <c r="A112" s="12" t="s">
        <v>1023</v>
      </c>
      <c r="B112" s="23" t="s">
        <v>1383</v>
      </c>
      <c r="C112" s="27">
        <f>+[2]称号計算!I117</f>
        <v>0.27389999999999998</v>
      </c>
      <c r="D112" s="5">
        <f>+[2]称号計算!J117</f>
        <v>0.35160000000000002</v>
      </c>
      <c r="E112" s="5">
        <f>+[2]称号計算!K117</f>
        <v>5.4699999999999999E-2</v>
      </c>
      <c r="F112" s="5">
        <f>+[2]称号計算!L117</f>
        <v>0.84109999999999996</v>
      </c>
      <c r="G112" s="5">
        <f>+[2]称号計算!M117</f>
        <v>0.2059</v>
      </c>
      <c r="H112" s="13">
        <f>+[2]称号計算!N117</f>
        <v>0.2402</v>
      </c>
      <c r="I112" s="27">
        <f>+[2]称号計算!O117</f>
        <v>0.185</v>
      </c>
      <c r="J112" s="13">
        <f>+[2]称号計算!P117</f>
        <v>0.2041</v>
      </c>
      <c r="K112" s="27">
        <f>+[2]称号計算!Q117</f>
        <v>0.248</v>
      </c>
      <c r="L112" s="5">
        <f>+[2]称号計算!R117</f>
        <v>0.52149999999999996</v>
      </c>
      <c r="M112" s="13">
        <f>+[2]称号計算!S117</f>
        <v>0.2167</v>
      </c>
      <c r="N112" s="27">
        <f>+[2]称号計算!T117</f>
        <v>4.7999999999999996E-3</v>
      </c>
      <c r="O112" s="5">
        <f>+[2]称号計算!U117</f>
        <v>4.7999999999999996E-3</v>
      </c>
      <c r="P112" s="5">
        <f>+[2]称号計算!V117</f>
        <v>4.7999999999999996E-3</v>
      </c>
      <c r="Q112" s="5">
        <f>+[2]称号計算!W117</f>
        <v>4.7999999999999996E-3</v>
      </c>
      <c r="R112" s="5">
        <f>+[2]称号計算!X117</f>
        <v>1.2800000000000001E-2</v>
      </c>
      <c r="S112" s="13">
        <f>+[2]称号計算!Y117</f>
        <v>9.6299999999999997E-2</v>
      </c>
      <c r="T112" s="19">
        <f>+[2]称号計算!Z117</f>
        <v>1.2906</v>
      </c>
      <c r="U112" s="13">
        <v>0.9</v>
      </c>
    </row>
    <row r="113" spans="1:21">
      <c r="A113" s="12" t="s">
        <v>1024</v>
      </c>
      <c r="B113" s="23" t="s">
        <v>1384</v>
      </c>
      <c r="C113" s="27">
        <f>+[2]称号計算!I118</f>
        <v>0.2339</v>
      </c>
      <c r="D113" s="5">
        <f>+[2]称号計算!J118</f>
        <v>0.10630000000000001</v>
      </c>
      <c r="E113" s="5">
        <f>+[2]称号計算!K118</f>
        <v>0.80559999999999998</v>
      </c>
      <c r="F113" s="5">
        <f>+[2]称号計算!L118</f>
        <v>4.4299999999999999E-2</v>
      </c>
      <c r="G113" s="5">
        <f>+[2]称号計算!M118</f>
        <v>0.19170000000000001</v>
      </c>
      <c r="H113" s="13">
        <f>+[2]称号計算!N118</f>
        <v>0.19450000000000001</v>
      </c>
      <c r="I113" s="27">
        <f>+[2]称号計算!O118</f>
        <v>0.74439999999999995</v>
      </c>
      <c r="J113" s="13">
        <f>+[2]称号計算!P118</f>
        <v>0.24859999999999999</v>
      </c>
      <c r="K113" s="27">
        <f>+[2]称号計算!Q118</f>
        <v>0.28710000000000002</v>
      </c>
      <c r="L113" s="5">
        <f>+[2]称号計算!R118</f>
        <v>0.50270000000000004</v>
      </c>
      <c r="M113" s="13">
        <f>+[2]称号計算!S118</f>
        <v>0.1353</v>
      </c>
      <c r="N113" s="27">
        <f>+[2]称号計算!T118</f>
        <v>6.3E-3</v>
      </c>
      <c r="O113" s="5">
        <f>+[2]称号計算!U118</f>
        <v>6.3E-3</v>
      </c>
      <c r="P113" s="5">
        <f>+[2]称号計算!V118</f>
        <v>9.5100000000000004E-2</v>
      </c>
      <c r="Q113" s="5">
        <f>+[2]称号計算!W118</f>
        <v>2.3800000000000002E-2</v>
      </c>
      <c r="R113" s="5">
        <f>+[2]称号計算!X118</f>
        <v>4.7999999999999996E-3</v>
      </c>
      <c r="S113" s="13">
        <f>+[2]称号計算!Y118</f>
        <v>4.7999999999999996E-3</v>
      </c>
      <c r="T113" s="19">
        <f>+[2]称号計算!Z118</f>
        <v>1.4852000000000001</v>
      </c>
      <c r="U113" s="13">
        <v>0.55000000000000004</v>
      </c>
    </row>
    <row r="114" spans="1:21">
      <c r="A114" s="12" t="s">
        <v>1025</v>
      </c>
      <c r="B114" s="23" t="s">
        <v>1385</v>
      </c>
      <c r="C114" s="27">
        <f>+[2]称号計算!I119</f>
        <v>0.33069999999999999</v>
      </c>
      <c r="D114" s="5">
        <f>+[2]称号計算!J119</f>
        <v>0.217</v>
      </c>
      <c r="E114" s="5">
        <f>+[2]称号計算!K119</f>
        <v>0.93940000000000001</v>
      </c>
      <c r="F114" s="5">
        <f>+[2]称号計算!L119</f>
        <v>6.5799999999999997E-2</v>
      </c>
      <c r="G114" s="5">
        <f>+[2]称号計算!M119</f>
        <v>0.24590000000000001</v>
      </c>
      <c r="H114" s="13">
        <f>+[2]称号計算!N119</f>
        <v>0.2651</v>
      </c>
      <c r="I114" s="27">
        <f>+[2]称号計算!O119</f>
        <v>0.26869999999999999</v>
      </c>
      <c r="J114" s="13">
        <f>+[2]称号計算!P119</f>
        <v>0.23769999999999999</v>
      </c>
      <c r="K114" s="27">
        <f>+[2]称号計算!Q119</f>
        <v>0.32069999999999999</v>
      </c>
      <c r="L114" s="5">
        <f>+[2]称号計算!R119</f>
        <v>0.48470000000000002</v>
      </c>
      <c r="M114" s="13">
        <f>+[2]称号計算!S119</f>
        <v>0.27089999999999997</v>
      </c>
      <c r="N114" s="27">
        <f>+[2]称号計算!T119</f>
        <v>8.2000000000000007E-3</v>
      </c>
      <c r="O114" s="5">
        <f>+[2]称号計算!U119</f>
        <v>8.2000000000000007E-3</v>
      </c>
      <c r="P114" s="5">
        <f>+[2]称号計算!V119</f>
        <v>3.0599999999999999E-2</v>
      </c>
      <c r="Q114" s="5">
        <f>+[2]称号計算!W119</f>
        <v>0.1225</v>
      </c>
      <c r="R114" s="5">
        <f>+[2]称号計算!X119</f>
        <v>6.1000000000000004E-3</v>
      </c>
      <c r="S114" s="13">
        <f>+[2]称号計算!Y119</f>
        <v>6.1000000000000004E-3</v>
      </c>
      <c r="T114" s="19">
        <f>+[2]称号計算!Z119</f>
        <v>1.5153000000000001</v>
      </c>
      <c r="U114" s="13">
        <v>0.5</v>
      </c>
    </row>
    <row r="115" spans="1:21" ht="19.5" thickBot="1">
      <c r="A115" s="14" t="s">
        <v>1026</v>
      </c>
      <c r="B115" s="24" t="s">
        <v>1386</v>
      </c>
      <c r="C115" s="28">
        <f>+[2]称号計算!I120</f>
        <v>0.46050000000000002</v>
      </c>
      <c r="D115" s="15">
        <f>+[2]称号計算!J120</f>
        <v>0.38379999999999997</v>
      </c>
      <c r="E115" s="15">
        <f>+[2]称号計算!K120</f>
        <v>8.72E-2</v>
      </c>
      <c r="F115" s="15">
        <f>+[2]称号計算!L120</f>
        <v>0.87219999999999998</v>
      </c>
      <c r="G115" s="15">
        <f>+[2]称号計算!M120</f>
        <v>0.38550000000000001</v>
      </c>
      <c r="H115" s="16">
        <f>+[2]称号計算!N120</f>
        <v>0.25209999999999999</v>
      </c>
      <c r="I115" s="28">
        <f>+[2]称号計算!O120</f>
        <v>0.307</v>
      </c>
      <c r="J115" s="16">
        <f>+[2]称号計算!P120</f>
        <v>0.2419</v>
      </c>
      <c r="K115" s="28">
        <f>+[2]称号計算!Q120</f>
        <v>0.21490000000000001</v>
      </c>
      <c r="L115" s="15">
        <f>+[2]称号計算!R120</f>
        <v>0.34889999999999999</v>
      </c>
      <c r="M115" s="16">
        <f>+[2]称号計算!S120</f>
        <v>0.2442</v>
      </c>
      <c r="N115" s="28">
        <f>+[2]称号計算!T120</f>
        <v>8.0999999999999996E-3</v>
      </c>
      <c r="O115" s="15">
        <f>+[2]称号計算!U120</f>
        <v>8.0999999999999996E-3</v>
      </c>
      <c r="P115" s="15">
        <f>+[2]称号計算!V120</f>
        <v>8.0999999999999996E-3</v>
      </c>
      <c r="Q115" s="15">
        <f>+[2]称号計算!W120</f>
        <v>8.0999999999999996E-3</v>
      </c>
      <c r="R115" s="15">
        <f>+[2]称号計算!X120</f>
        <v>2.1499999999999998E-2</v>
      </c>
      <c r="S115" s="16">
        <f>+[2]称号計算!Y120</f>
        <v>0.16109999999999999</v>
      </c>
      <c r="T115" s="20">
        <f>+[2]称号計算!Z120</f>
        <v>1.3505</v>
      </c>
      <c r="U115" s="16">
        <v>0.25</v>
      </c>
    </row>
    <row r="116" spans="1:21">
      <c r="A116" s="9" t="s">
        <v>1027</v>
      </c>
      <c r="B116" s="22" t="s">
        <v>1387</v>
      </c>
      <c r="C116" s="26">
        <f>+[2]称号計算!I121</f>
        <v>0.29830000000000001</v>
      </c>
      <c r="D116" s="10">
        <f>+[2]称号計算!J121</f>
        <v>0.32750000000000001</v>
      </c>
      <c r="E116" s="10">
        <f>+[2]称号計算!K121</f>
        <v>8.2699999999999996E-2</v>
      </c>
      <c r="F116" s="10">
        <f>+[2]称号計算!L121</f>
        <v>0.82689999999999997</v>
      </c>
      <c r="G116" s="10">
        <f>+[2]称号計算!M121</f>
        <v>0.23899999999999999</v>
      </c>
      <c r="H116" s="11">
        <f>+[2]称号計算!N121</f>
        <v>0.28110000000000002</v>
      </c>
      <c r="I116" s="26">
        <f>+[2]称号計算!O121</f>
        <v>0.18190000000000001</v>
      </c>
      <c r="J116" s="11">
        <f>+[2]称号計算!P121</f>
        <v>0.215</v>
      </c>
      <c r="K116" s="26">
        <f>+[2]称号計算!Q121</f>
        <v>0.14549999999999999</v>
      </c>
      <c r="L116" s="10">
        <f>+[2]称号計算!R121</f>
        <v>0.33079999999999998</v>
      </c>
      <c r="M116" s="11">
        <f>+[2]称号計算!S121</f>
        <v>0.23150000000000001</v>
      </c>
      <c r="N116" s="26">
        <f>+[2]称号計算!T121</f>
        <v>7.7999999999999996E-3</v>
      </c>
      <c r="O116" s="10">
        <f>+[2]称号計算!U121</f>
        <v>7.7999999999999996E-3</v>
      </c>
      <c r="P116" s="10">
        <f>+[2]称号計算!V121</f>
        <v>0.1163</v>
      </c>
      <c r="Q116" s="10">
        <f>+[2]称号計算!W121</f>
        <v>2.9100000000000001E-2</v>
      </c>
      <c r="R116" s="10">
        <f>+[2]称号計算!X121</f>
        <v>5.7999999999999996E-3</v>
      </c>
      <c r="S116" s="11">
        <f>+[2]称号計算!Y121</f>
        <v>5.7999999999999996E-3</v>
      </c>
      <c r="T116" s="18">
        <f>+[2]称号計算!Z121</f>
        <v>0.98319999999999996</v>
      </c>
      <c r="U116" s="11">
        <v>1</v>
      </c>
    </row>
    <row r="117" spans="1:21">
      <c r="A117" s="12" t="s">
        <v>1028</v>
      </c>
      <c r="B117" s="23" t="s">
        <v>1388</v>
      </c>
      <c r="C117" s="27">
        <f>+[2]称号計算!I122</f>
        <v>0.37680000000000002</v>
      </c>
      <c r="D117" s="5">
        <f>+[2]称号計算!J122</f>
        <v>0.35970000000000002</v>
      </c>
      <c r="E117" s="5">
        <f>+[2]称号計算!K122</f>
        <v>7.7899999999999997E-2</v>
      </c>
      <c r="F117" s="5">
        <f>+[2]称号計算!L122</f>
        <v>0.77859999999999996</v>
      </c>
      <c r="G117" s="5">
        <f>+[2]称号計算!M122</f>
        <v>0.29120000000000001</v>
      </c>
      <c r="H117" s="13">
        <f>+[2]称号計算!N122</f>
        <v>0.29120000000000001</v>
      </c>
      <c r="I117" s="27">
        <f>+[2]称号計算!O122</f>
        <v>0.23980000000000001</v>
      </c>
      <c r="J117" s="13">
        <f>+[2]称号計算!P122</f>
        <v>0.2092</v>
      </c>
      <c r="K117" s="27">
        <f>+[2]称号計算!Q122</f>
        <v>0.16439999999999999</v>
      </c>
      <c r="L117" s="5">
        <f>+[2]称号計算!R122</f>
        <v>0.31140000000000001</v>
      </c>
      <c r="M117" s="13">
        <f>+[2]称号計算!S122</f>
        <v>0.218</v>
      </c>
      <c r="N117" s="27">
        <f>+[2]称号計算!T122</f>
        <v>2.87E-2</v>
      </c>
      <c r="O117" s="5">
        <f>+[2]称号計算!U122</f>
        <v>0.1434</v>
      </c>
      <c r="P117" s="5">
        <f>+[2]称号計算!V122</f>
        <v>9.5999999999999992E-3</v>
      </c>
      <c r="Q117" s="5">
        <f>+[2]称号計算!W122</f>
        <v>9.5999999999999992E-3</v>
      </c>
      <c r="R117" s="5">
        <f>+[2]称号計算!X122</f>
        <v>7.1999999999999998E-3</v>
      </c>
      <c r="S117" s="13">
        <f>+[2]称号計算!Y122</f>
        <v>7.1999999999999998E-3</v>
      </c>
      <c r="T117" s="19">
        <f>+[2]称号計算!Z122</f>
        <v>1.1061000000000001</v>
      </c>
      <c r="U117" s="13">
        <v>1</v>
      </c>
    </row>
    <row r="118" spans="1:21">
      <c r="A118" s="12" t="s">
        <v>1029</v>
      </c>
      <c r="B118" s="23" t="s">
        <v>1389</v>
      </c>
      <c r="C118" s="27">
        <f>+[2]称号計算!I123</f>
        <v>0.44159999999999999</v>
      </c>
      <c r="D118" s="5">
        <f>+[2]称号計算!J123</f>
        <v>0.32779999999999998</v>
      </c>
      <c r="E118" s="5">
        <f>+[2]称号計算!K123</f>
        <v>6.6699999999999995E-2</v>
      </c>
      <c r="F118" s="5">
        <f>+[2]称号計算!L123</f>
        <v>0.78420000000000001</v>
      </c>
      <c r="G118" s="5">
        <f>+[2]称号計算!M123</f>
        <v>0.32790000000000002</v>
      </c>
      <c r="H118" s="13">
        <f>+[2]称号計算!N123</f>
        <v>0.29859999999999998</v>
      </c>
      <c r="I118" s="27">
        <f>+[2]称号計算!O123</f>
        <v>0.24149999999999999</v>
      </c>
      <c r="J118" s="13">
        <f>+[2]称号計算!P123</f>
        <v>0.2039</v>
      </c>
      <c r="K118" s="27">
        <f>+[2]称号計算!Q123</f>
        <v>0.19320000000000001</v>
      </c>
      <c r="L118" s="5">
        <f>+[2]称号計算!R123</f>
        <v>0.45479999999999998</v>
      </c>
      <c r="M118" s="13">
        <f>+[2]称号計算!S123</f>
        <v>0.1361</v>
      </c>
      <c r="N118" s="27">
        <f>+[2]称号計算!T123</f>
        <v>7.7999999999999996E-3</v>
      </c>
      <c r="O118" s="5">
        <f>+[2]称号計算!U123</f>
        <v>7.7999999999999996E-3</v>
      </c>
      <c r="P118" s="5">
        <f>+[2]称号計算!V123</f>
        <v>7.7999999999999996E-3</v>
      </c>
      <c r="Q118" s="5">
        <f>+[2]称号計算!W123</f>
        <v>7.7999999999999996E-3</v>
      </c>
      <c r="R118" s="5">
        <f>+[2]称号計算!X123</f>
        <v>2.0799999999999999E-2</v>
      </c>
      <c r="S118" s="13">
        <f>+[2]称号計算!Y123</f>
        <v>0.15570000000000001</v>
      </c>
      <c r="T118" s="19">
        <f>+[2]称号計算!Z123</f>
        <v>1.236</v>
      </c>
      <c r="U118" s="13">
        <v>0.9</v>
      </c>
    </row>
    <row r="119" spans="1:21">
      <c r="A119" s="12" t="s">
        <v>1030</v>
      </c>
      <c r="B119" s="23" t="s">
        <v>1390</v>
      </c>
      <c r="C119" s="27">
        <f>+[2]称号計算!I124</f>
        <v>0.45900000000000002</v>
      </c>
      <c r="D119" s="5">
        <f>+[2]称号計算!J124</f>
        <v>0.2142</v>
      </c>
      <c r="E119" s="5">
        <f>+[2]称号計算!K124</f>
        <v>0.86929999999999996</v>
      </c>
      <c r="F119" s="5">
        <f>+[2]称号計算!L124</f>
        <v>7.22E-2</v>
      </c>
      <c r="G119" s="5">
        <f>+[2]称号計算!M124</f>
        <v>0.22459999999999999</v>
      </c>
      <c r="H119" s="13">
        <f>+[2]称号計算!N124</f>
        <v>0.62070000000000003</v>
      </c>
      <c r="I119" s="27">
        <f>+[2]称号計算!O124</f>
        <v>0.1913</v>
      </c>
      <c r="J119" s="13">
        <f>+[2]称号計算!P124</f>
        <v>0.2215</v>
      </c>
      <c r="K119" s="27">
        <f>+[2]称号計算!Q124</f>
        <v>0.18740000000000001</v>
      </c>
      <c r="L119" s="5">
        <f>+[2]称号計算!R124</f>
        <v>0.34770000000000001</v>
      </c>
      <c r="M119" s="13">
        <f>+[2]称号計算!S124</f>
        <v>0.22639999999999999</v>
      </c>
      <c r="N119" s="27">
        <f>+[2]称号計算!T124</f>
        <v>1.2200000000000001E-2</v>
      </c>
      <c r="O119" s="5">
        <f>+[2]称号計算!U124</f>
        <v>1.2200000000000001E-2</v>
      </c>
      <c r="P119" s="5">
        <f>+[2]称号計算!V124</f>
        <v>4.58E-2</v>
      </c>
      <c r="Q119" s="5">
        <f>+[2]称号計算!W124</f>
        <v>0.1832</v>
      </c>
      <c r="R119" s="5">
        <f>+[2]称号計算!X124</f>
        <v>9.1999999999999998E-3</v>
      </c>
      <c r="S119" s="13">
        <f>+[2]称号計算!Y124</f>
        <v>9.1999999999999998E-3</v>
      </c>
      <c r="T119" s="19">
        <f>+[2]称号計算!Z124</f>
        <v>1.2215</v>
      </c>
      <c r="U119" s="13">
        <v>0.55000000000000004</v>
      </c>
    </row>
    <row r="120" spans="1:21">
      <c r="A120" s="12" t="s">
        <v>1031</v>
      </c>
      <c r="B120" s="23" t="s">
        <v>1391</v>
      </c>
      <c r="C120" s="27">
        <f>+[2]称号計算!I125</f>
        <v>0.37</v>
      </c>
      <c r="D120" s="5">
        <f>+[2]称号計算!J125</f>
        <v>0.16439999999999999</v>
      </c>
      <c r="E120" s="5">
        <f>+[2]称号計算!K125</f>
        <v>0.93420000000000003</v>
      </c>
      <c r="F120" s="5">
        <f>+[2]称号計算!L125</f>
        <v>9.3399999999999997E-2</v>
      </c>
      <c r="G120" s="5">
        <f>+[2]称号計算!M125</f>
        <v>0.28589999999999999</v>
      </c>
      <c r="H120" s="13">
        <f>+[2]称号計算!N125</f>
        <v>0.28589999999999999</v>
      </c>
      <c r="I120" s="27">
        <f>+[2]称号計算!O125</f>
        <v>0.45219999999999999</v>
      </c>
      <c r="J120" s="13">
        <f>+[2]称号計算!P125</f>
        <v>0.28339999999999999</v>
      </c>
      <c r="K120" s="27">
        <f>+[2]称号計算!Q125</f>
        <v>0.24660000000000001</v>
      </c>
      <c r="L120" s="5">
        <f>+[2]称号計算!R125</f>
        <v>0.441</v>
      </c>
      <c r="M120" s="13">
        <f>+[2]称号計算!S125</f>
        <v>0.2354</v>
      </c>
      <c r="N120" s="27">
        <f>+[2]称号計算!T125</f>
        <v>8.8999999999999999E-3</v>
      </c>
      <c r="O120" s="5">
        <f>+[2]称号計算!U125</f>
        <v>8.8999999999999999E-3</v>
      </c>
      <c r="P120" s="5">
        <f>+[2]称号計算!V125</f>
        <v>0.13350000000000001</v>
      </c>
      <c r="Q120" s="5">
        <f>+[2]称号計算!W125</f>
        <v>3.3399999999999999E-2</v>
      </c>
      <c r="R120" s="5">
        <f>+[2]称号計算!X125</f>
        <v>6.7000000000000002E-3</v>
      </c>
      <c r="S120" s="13">
        <f>+[2]称号計算!Y125</f>
        <v>6.7000000000000002E-3</v>
      </c>
      <c r="T120" s="19">
        <f>+[2]称号計算!Z125</f>
        <v>1.3905000000000001</v>
      </c>
      <c r="U120" s="13">
        <v>0.5</v>
      </c>
    </row>
    <row r="121" spans="1:21" ht="19.5" thickBot="1">
      <c r="A121" s="14" t="s">
        <v>1032</v>
      </c>
      <c r="B121" s="24" t="s">
        <v>1392</v>
      </c>
      <c r="C121" s="28">
        <f>+[2]称号計算!I126</f>
        <v>0.37890000000000001</v>
      </c>
      <c r="D121" s="15">
        <f>+[2]称号計算!J126</f>
        <v>0.66620000000000001</v>
      </c>
      <c r="E121" s="15">
        <f>+[2]称号計算!K126</f>
        <v>7.0999999999999994E-2</v>
      </c>
      <c r="F121" s="15">
        <f>+[2]称号計算!L126</f>
        <v>0.94630000000000003</v>
      </c>
      <c r="G121" s="15">
        <f>+[2]称号計算!M126</f>
        <v>0.28310000000000002</v>
      </c>
      <c r="H121" s="16">
        <f>+[2]称号計算!N126</f>
        <v>0.30570000000000003</v>
      </c>
      <c r="I121" s="28">
        <f>+[2]称号計算!O126</f>
        <v>0.16650000000000001</v>
      </c>
      <c r="J121" s="16">
        <f>+[2]称号計算!P126</f>
        <v>0.3609</v>
      </c>
      <c r="K121" s="28">
        <f>+[2]称号計算!Q126</f>
        <v>0.13739999999999999</v>
      </c>
      <c r="L121" s="15">
        <f>+[2]称号計算!R126</f>
        <v>0.24229999999999999</v>
      </c>
      <c r="M121" s="16">
        <f>+[2]称号計算!S126</f>
        <v>0.3921</v>
      </c>
      <c r="N121" s="28">
        <f>+[2]称号計算!T126</f>
        <v>7.1000000000000004E-3</v>
      </c>
      <c r="O121" s="15">
        <f>+[2]称号計算!U126</f>
        <v>7.1000000000000004E-3</v>
      </c>
      <c r="P121" s="15">
        <f>+[2]称号計算!V126</f>
        <v>7.1000000000000004E-3</v>
      </c>
      <c r="Q121" s="15">
        <f>+[2]称号計算!W126</f>
        <v>7.1000000000000004E-3</v>
      </c>
      <c r="R121" s="15">
        <f>+[2]称号計算!X126</f>
        <v>1.9E-2</v>
      </c>
      <c r="S121" s="16">
        <f>+[2]称号計算!Y126</f>
        <v>0.14219999999999999</v>
      </c>
      <c r="T121" s="20">
        <f>+[2]称号計算!Z126</f>
        <v>1.1521999999999999</v>
      </c>
      <c r="U121" s="16">
        <v>0.25</v>
      </c>
    </row>
    <row r="122" spans="1:21">
      <c r="A122" s="9" t="s">
        <v>1033</v>
      </c>
      <c r="B122" s="22" t="s">
        <v>1393</v>
      </c>
      <c r="C122" s="26">
        <f>+[2]称号計算!I127</f>
        <v>0.33479999999999999</v>
      </c>
      <c r="D122" s="10">
        <f>+[2]称号計算!J127</f>
        <v>0.48549999999999999</v>
      </c>
      <c r="E122" s="10">
        <f>+[2]称号計算!K127</f>
        <v>7.6100000000000001E-2</v>
      </c>
      <c r="F122" s="10">
        <f>+[2]称号計算!L127</f>
        <v>0.76090000000000002</v>
      </c>
      <c r="G122" s="10">
        <f>+[2]称号計算!M127</f>
        <v>0.25869999999999999</v>
      </c>
      <c r="H122" s="11">
        <f>+[2]称号計算!N127</f>
        <v>0.31040000000000001</v>
      </c>
      <c r="I122" s="26">
        <f>+[2]称号計算!O127</f>
        <v>0.2009</v>
      </c>
      <c r="J122" s="11">
        <f>+[2]称号計算!P127</f>
        <v>0.18459999999999999</v>
      </c>
      <c r="K122" s="26">
        <f>+[2]称号計算!Q127</f>
        <v>0.1406</v>
      </c>
      <c r="L122" s="10">
        <f>+[2]称号計算!R127</f>
        <v>0.28910000000000002</v>
      </c>
      <c r="M122" s="11">
        <f>+[2]称号計算!S127</f>
        <v>0.245</v>
      </c>
      <c r="N122" s="26">
        <f>+[2]称号計算!T127</f>
        <v>9.7999999999999997E-3</v>
      </c>
      <c r="O122" s="10">
        <f>+[2]称号計算!U127</f>
        <v>9.7999999999999997E-3</v>
      </c>
      <c r="P122" s="10">
        <f>+[2]称号計算!V127</f>
        <v>0.1472</v>
      </c>
      <c r="Q122" s="10">
        <f>+[2]称号計算!W127</f>
        <v>3.6799999999999999E-2</v>
      </c>
      <c r="R122" s="10">
        <f>+[2]称号計算!X127</f>
        <v>7.4000000000000003E-3</v>
      </c>
      <c r="S122" s="11">
        <f>+[2]称号計算!Y127</f>
        <v>7.4000000000000003E-3</v>
      </c>
      <c r="T122" s="18">
        <f>+[2]称号計算!Z127</f>
        <v>1.0407999999999999</v>
      </c>
      <c r="U122" s="11">
        <v>1</v>
      </c>
    </row>
    <row r="123" spans="1:21">
      <c r="A123" s="12" t="s">
        <v>1034</v>
      </c>
      <c r="B123" s="23" t="s">
        <v>1394</v>
      </c>
      <c r="C123" s="27">
        <f>+[2]称号計算!I128</f>
        <v>0.34770000000000001</v>
      </c>
      <c r="D123" s="5">
        <f>+[2]称号計算!J128</f>
        <v>0.39850000000000002</v>
      </c>
      <c r="E123" s="5">
        <f>+[2]称号計算!K128</f>
        <v>5.0999999999999997E-2</v>
      </c>
      <c r="F123" s="5">
        <f>+[2]称号計算!L128</f>
        <v>0.82330000000000003</v>
      </c>
      <c r="G123" s="5">
        <f>+[2]称号計算!M128</f>
        <v>0.22950000000000001</v>
      </c>
      <c r="H123" s="13">
        <f>+[2]称号計算!N128</f>
        <v>0.25469999999999998</v>
      </c>
      <c r="I123" s="27">
        <f>+[2]称号計算!O128</f>
        <v>0.21729999999999999</v>
      </c>
      <c r="J123" s="13">
        <f>+[2]称号計算!P128</f>
        <v>0.2283</v>
      </c>
      <c r="K123" s="27">
        <f>+[2]称号計算!Q128</f>
        <v>0.16300000000000001</v>
      </c>
      <c r="L123" s="5">
        <f>+[2]称号計算!R128</f>
        <v>0.29970000000000002</v>
      </c>
      <c r="M123" s="13">
        <f>+[2]称号計算!S128</f>
        <v>0.438</v>
      </c>
      <c r="N123" s="27">
        <f>+[2]称号計算!T128</f>
        <v>8.5000000000000006E-3</v>
      </c>
      <c r="O123" s="5">
        <f>+[2]称号計算!U128</f>
        <v>8.5000000000000006E-3</v>
      </c>
      <c r="P123" s="5">
        <f>+[2]称号計算!V128</f>
        <v>0.127</v>
      </c>
      <c r="Q123" s="5">
        <f>+[2]称号計算!W128</f>
        <v>3.1699999999999999E-2</v>
      </c>
      <c r="R123" s="5">
        <f>+[2]称号計算!X128</f>
        <v>6.3E-3</v>
      </c>
      <c r="S123" s="13">
        <f>+[2]称号計算!Y128</f>
        <v>6.3E-3</v>
      </c>
      <c r="T123" s="19">
        <f>+[2]称号計算!Z128</f>
        <v>1.1215999999999999</v>
      </c>
      <c r="U123" s="13">
        <v>1</v>
      </c>
    </row>
    <row r="124" spans="1:21">
      <c r="A124" s="12" t="s">
        <v>1035</v>
      </c>
      <c r="B124" s="23" t="s">
        <v>1395</v>
      </c>
      <c r="C124" s="27">
        <f>+[2]称号計算!I129</f>
        <v>0.34050000000000002</v>
      </c>
      <c r="D124" s="5">
        <f>+[2]称号計算!J129</f>
        <v>0.87590000000000001</v>
      </c>
      <c r="E124" s="5">
        <f>+[2]称号計算!K129</f>
        <v>5.2600000000000001E-2</v>
      </c>
      <c r="F124" s="5">
        <f>+[2]称号計算!L129</f>
        <v>0.75119999999999998</v>
      </c>
      <c r="G124" s="5">
        <f>+[2]称号計算!M129</f>
        <v>0.2452</v>
      </c>
      <c r="H124" s="13">
        <f>+[2]称号計算!N129</f>
        <v>0.3014</v>
      </c>
      <c r="I124" s="27">
        <f>+[2]称号計算!O129</f>
        <v>0.21490000000000001</v>
      </c>
      <c r="J124" s="13">
        <f>+[2]称号計算!P129</f>
        <v>0.1888</v>
      </c>
      <c r="K124" s="27">
        <f>+[2]称号計算!Q129</f>
        <v>0.13880000000000001</v>
      </c>
      <c r="L124" s="5">
        <f>+[2]称号計算!R129</f>
        <v>0.27039999999999997</v>
      </c>
      <c r="M124" s="13">
        <f>+[2]称号計算!S129</f>
        <v>0.2356</v>
      </c>
      <c r="N124" s="27">
        <f>+[2]称号計算!T129</f>
        <v>1.04E-2</v>
      </c>
      <c r="O124" s="5">
        <f>+[2]称号計算!U129</f>
        <v>1.04E-2</v>
      </c>
      <c r="P124" s="5">
        <f>+[2]称号計算!V129</f>
        <v>0.15620000000000001</v>
      </c>
      <c r="Q124" s="5">
        <f>+[2]称号計算!W129</f>
        <v>3.9E-2</v>
      </c>
      <c r="R124" s="5">
        <f>+[2]称号計算!X129</f>
        <v>7.7999999999999996E-3</v>
      </c>
      <c r="S124" s="13">
        <f>+[2]称号計算!Y129</f>
        <v>7.7999999999999996E-3</v>
      </c>
      <c r="T124" s="19">
        <f>+[2]称号計算!Z129</f>
        <v>1.1449</v>
      </c>
      <c r="U124" s="13">
        <v>0.9</v>
      </c>
    </row>
    <row r="125" spans="1:21">
      <c r="A125" s="12" t="s">
        <v>1036</v>
      </c>
      <c r="B125" s="23" t="s">
        <v>1396</v>
      </c>
      <c r="C125" s="27">
        <f>+[2]称号計算!I130</f>
        <v>0.41299999999999998</v>
      </c>
      <c r="D125" s="5">
        <f>+[2]称号計算!J130</f>
        <v>0.22439999999999999</v>
      </c>
      <c r="E125" s="5">
        <f>+[2]称号計算!K130</f>
        <v>1.0202</v>
      </c>
      <c r="F125" s="5">
        <f>+[2]称号計算!L130</f>
        <v>0.10199999999999999</v>
      </c>
      <c r="G125" s="5">
        <f>+[2]称号計算!M130</f>
        <v>0.32950000000000002</v>
      </c>
      <c r="H125" s="13">
        <f>+[2]称号計算!N130</f>
        <v>0.36420000000000002</v>
      </c>
      <c r="I125" s="27">
        <f>+[2]称号計算!O130</f>
        <v>0.22439999999999999</v>
      </c>
      <c r="J125" s="13">
        <f>+[2]称号計算!P130</f>
        <v>0.26529999999999998</v>
      </c>
      <c r="K125" s="27">
        <f>+[2]称号計算!Q130</f>
        <v>0.17960000000000001</v>
      </c>
      <c r="L125" s="5">
        <f>+[2]称号計算!R130</f>
        <v>0.42849999999999999</v>
      </c>
      <c r="M125" s="13">
        <f>+[2]称号計算!S130</f>
        <v>0.22850000000000001</v>
      </c>
      <c r="N125" s="27">
        <f>+[2]称号計算!T130</f>
        <v>1.0500000000000001E-2</v>
      </c>
      <c r="O125" s="5">
        <f>+[2]称号計算!U130</f>
        <v>1.0500000000000001E-2</v>
      </c>
      <c r="P125" s="5">
        <f>+[2]称号計算!V130</f>
        <v>0.15720000000000001</v>
      </c>
      <c r="Q125" s="5">
        <f>+[2]称号計算!W130</f>
        <v>3.9300000000000002E-2</v>
      </c>
      <c r="R125" s="5">
        <f>+[2]称号計算!X130</f>
        <v>7.9000000000000008E-3</v>
      </c>
      <c r="S125" s="13">
        <f>+[2]称号計算!Y130</f>
        <v>7.9000000000000008E-3</v>
      </c>
      <c r="T125" s="19">
        <f>+[2]称号計算!Z130</f>
        <v>1.1758999999999999</v>
      </c>
      <c r="U125" s="13">
        <v>0.55000000000000004</v>
      </c>
    </row>
    <row r="126" spans="1:21">
      <c r="A126" s="12" t="s">
        <v>1037</v>
      </c>
      <c r="B126" s="23" t="s">
        <v>1397</v>
      </c>
      <c r="C126" s="27">
        <f>+[2]称号計算!I131</f>
        <v>0.36070000000000002</v>
      </c>
      <c r="D126" s="5">
        <f>+[2]称号計算!J131</f>
        <v>0.17369999999999999</v>
      </c>
      <c r="E126" s="5">
        <f>+[2]称号計算!K131</f>
        <v>1.0122</v>
      </c>
      <c r="F126" s="5">
        <f>+[2]称号計算!L131</f>
        <v>7.0900000000000005E-2</v>
      </c>
      <c r="G126" s="5">
        <f>+[2]称号計算!M131</f>
        <v>0.2581</v>
      </c>
      <c r="H126" s="13">
        <f>+[2]称号計算!N131</f>
        <v>0.27189999999999998</v>
      </c>
      <c r="I126" s="27">
        <f>+[2]称号計算!O131</f>
        <v>0.31180000000000002</v>
      </c>
      <c r="J126" s="13">
        <f>+[2]称号計算!P131</f>
        <v>0.25440000000000002</v>
      </c>
      <c r="K126" s="27">
        <f>+[2]称号計算!Q131</f>
        <v>0.2984</v>
      </c>
      <c r="L126" s="5">
        <f>+[2]称号計算!R131</f>
        <v>0.71660000000000001</v>
      </c>
      <c r="M126" s="13">
        <f>+[2]称号計算!S131</f>
        <v>0.21540000000000001</v>
      </c>
      <c r="N126" s="27">
        <f>+[2]称号計算!T131</f>
        <v>7.7999999999999996E-3</v>
      </c>
      <c r="O126" s="5">
        <f>+[2]称号計算!U131</f>
        <v>7.7999999999999996E-3</v>
      </c>
      <c r="P126" s="5">
        <f>+[2]称号計算!V131</f>
        <v>2.92E-2</v>
      </c>
      <c r="Q126" s="5">
        <f>+[2]称号計算!W131</f>
        <v>0.1167</v>
      </c>
      <c r="R126" s="5">
        <f>+[2]称号計算!X131</f>
        <v>5.7999999999999996E-3</v>
      </c>
      <c r="S126" s="13">
        <f>+[2]称号計算!Y131</f>
        <v>5.7999999999999996E-3</v>
      </c>
      <c r="T126" s="19">
        <f>+[2]称号計算!Z131</f>
        <v>1.5227999999999999</v>
      </c>
      <c r="U126" s="13">
        <v>0.5</v>
      </c>
    </row>
    <row r="127" spans="1:21" ht="19.5" thickBot="1">
      <c r="A127" s="14" t="s">
        <v>1038</v>
      </c>
      <c r="B127" s="24" t="s">
        <v>1398</v>
      </c>
      <c r="C127" s="28">
        <f>+[2]称号計算!I132</f>
        <v>0.33479999999999999</v>
      </c>
      <c r="D127" s="15">
        <f>+[2]称号計算!J132</f>
        <v>0.55110000000000003</v>
      </c>
      <c r="E127" s="15">
        <f>+[2]称号計算!K132</f>
        <v>5.57E-2</v>
      </c>
      <c r="F127" s="15">
        <f>+[2]称号計算!L132</f>
        <v>0.92779999999999996</v>
      </c>
      <c r="G127" s="15">
        <f>+[2]称号計算!M132</f>
        <v>0.2555</v>
      </c>
      <c r="H127" s="16">
        <f>+[2]称号計算!N132</f>
        <v>0.27439999999999998</v>
      </c>
      <c r="I127" s="28">
        <f>+[2]称号計算!O132</f>
        <v>0.4899</v>
      </c>
      <c r="J127" s="16">
        <f>+[2]称号計算!P132</f>
        <v>0.41010000000000002</v>
      </c>
      <c r="K127" s="28">
        <f>+[2]称号計算!Q132</f>
        <v>0.18779999999999999</v>
      </c>
      <c r="L127" s="15">
        <f>+[2]称号計算!R132</f>
        <v>0.25240000000000001</v>
      </c>
      <c r="M127" s="16">
        <f>+[2]称号計算!S132</f>
        <v>0.36890000000000001</v>
      </c>
      <c r="N127" s="28">
        <f>+[2]称号計算!T132</f>
        <v>6.4000000000000003E-3</v>
      </c>
      <c r="O127" s="15">
        <f>+[2]称号計算!U132</f>
        <v>6.4000000000000003E-3</v>
      </c>
      <c r="P127" s="15">
        <f>+[2]称号計算!V132</f>
        <v>6.4000000000000003E-3</v>
      </c>
      <c r="Q127" s="15">
        <f>+[2]称号計算!W132</f>
        <v>6.4000000000000003E-3</v>
      </c>
      <c r="R127" s="15">
        <f>+[2]称号計算!X132</f>
        <v>0.12820000000000001</v>
      </c>
      <c r="S127" s="16">
        <f>+[2]称号計算!Y132</f>
        <v>1.7100000000000001E-2</v>
      </c>
      <c r="T127" s="20">
        <f>+[2]称号計算!Z132</f>
        <v>1.3466</v>
      </c>
      <c r="U127" s="16">
        <v>0.25</v>
      </c>
    </row>
    <row r="128" spans="1:21">
      <c r="A128" s="9" t="s">
        <v>1039</v>
      </c>
      <c r="B128" s="22" t="s">
        <v>1399</v>
      </c>
      <c r="C128" s="26">
        <f>+[2]称号計算!I133</f>
        <v>0.56040000000000001</v>
      </c>
      <c r="D128" s="10">
        <f>+[2]称号計算!J133</f>
        <v>0.43980000000000002</v>
      </c>
      <c r="E128" s="10">
        <f>+[2]称号計算!K133</f>
        <v>4.8099999999999997E-2</v>
      </c>
      <c r="F128" s="10">
        <f>+[2]称号計算!L133</f>
        <v>0.74050000000000005</v>
      </c>
      <c r="G128" s="10">
        <f>+[2]称号計算!M133</f>
        <v>0.41289999999999999</v>
      </c>
      <c r="H128" s="11">
        <f>+[2]称号計算!N133</f>
        <v>0.39019999999999999</v>
      </c>
      <c r="I128" s="26">
        <f>+[2]称号計算!O133</f>
        <v>0.114</v>
      </c>
      <c r="J128" s="11">
        <f>+[2]称号計算!P133</f>
        <v>0.1797</v>
      </c>
      <c r="K128" s="26">
        <f>+[2]称号計算!Q133</f>
        <v>9.7699999999999995E-2</v>
      </c>
      <c r="L128" s="10">
        <f>+[2]称号計算!R133</f>
        <v>0.1777</v>
      </c>
      <c r="M128" s="11">
        <f>+[2]称号計算!S133</f>
        <v>0.2571</v>
      </c>
      <c r="N128" s="26">
        <f>+[2]称号計算!T133</f>
        <v>1.01E-2</v>
      </c>
      <c r="O128" s="10">
        <f>+[2]称号計算!U133</f>
        <v>1.01E-2</v>
      </c>
      <c r="P128" s="10">
        <f>+[2]称号計算!V133</f>
        <v>1.01E-2</v>
      </c>
      <c r="Q128" s="10">
        <f>+[2]称号計算!W133</f>
        <v>1.01E-2</v>
      </c>
      <c r="R128" s="10">
        <f>+[2]称号計算!X133</f>
        <v>2.7E-2</v>
      </c>
      <c r="S128" s="11">
        <f>+[2]称号計算!Y133</f>
        <v>0.2024</v>
      </c>
      <c r="T128" s="18">
        <f>+[2]称号計算!Z133</f>
        <v>0.96850000000000003</v>
      </c>
      <c r="U128" s="11">
        <v>1</v>
      </c>
    </row>
    <row r="129" spans="1:21">
      <c r="A129" s="12" t="s">
        <v>1040</v>
      </c>
      <c r="B129" s="23" t="s">
        <v>1400</v>
      </c>
      <c r="C129" s="27">
        <f>+[2]称号計算!I134</f>
        <v>0.39479999999999998</v>
      </c>
      <c r="D129" s="5">
        <f>+[2]称号計算!J134</f>
        <v>0.4738</v>
      </c>
      <c r="E129" s="5">
        <f>+[2]称号計算!K134</f>
        <v>6.2799999999999995E-2</v>
      </c>
      <c r="F129" s="5">
        <f>+[2]称号計算!L134</f>
        <v>0.89729999999999999</v>
      </c>
      <c r="G129" s="5">
        <f>+[2]称号計算!M134</f>
        <v>0.29289999999999999</v>
      </c>
      <c r="H129" s="13">
        <f>+[2]称号計算!N134</f>
        <v>0.31119999999999998</v>
      </c>
      <c r="I129" s="27">
        <f>+[2]称号計算!O134</f>
        <v>0.1777</v>
      </c>
      <c r="J129" s="13">
        <f>+[2]称号計算!P134</f>
        <v>0.2177</v>
      </c>
      <c r="K129" s="27">
        <f>+[2]称号計算!Q134</f>
        <v>0.16189999999999999</v>
      </c>
      <c r="L129" s="5">
        <f>+[2]称号計算!R134</f>
        <v>0.33019999999999999</v>
      </c>
      <c r="M129" s="13">
        <f>+[2]称号計算!S134</f>
        <v>0.26879999999999998</v>
      </c>
      <c r="N129" s="27">
        <f>+[2]称号計算!T134</f>
        <v>1.44E-2</v>
      </c>
      <c r="O129" s="5">
        <f>+[2]称号計算!U134</f>
        <v>1.44E-2</v>
      </c>
      <c r="P129" s="5">
        <f>+[2]称号計算!V134</f>
        <v>5.3800000000000001E-2</v>
      </c>
      <c r="Q129" s="5">
        <f>+[2]称号計算!W134</f>
        <v>0.21529999999999999</v>
      </c>
      <c r="R129" s="5">
        <f>+[2]称号計算!X134</f>
        <v>1.0800000000000001E-2</v>
      </c>
      <c r="S129" s="13">
        <f>+[2]称号計算!Y134</f>
        <v>1.0800000000000001E-2</v>
      </c>
      <c r="T129" s="19">
        <f>+[2]称号計算!Z134</f>
        <v>1.1266</v>
      </c>
      <c r="U129" s="13">
        <v>1</v>
      </c>
    </row>
    <row r="130" spans="1:21">
      <c r="A130" s="12" t="s">
        <v>1041</v>
      </c>
      <c r="B130" s="23" t="s">
        <v>1401</v>
      </c>
      <c r="C130" s="27">
        <f>+[2]称号計算!I135</f>
        <v>0.38229999999999997</v>
      </c>
      <c r="D130" s="5">
        <f>+[2]称号計算!J135</f>
        <v>0.41560000000000002</v>
      </c>
      <c r="E130" s="5">
        <f>+[2]称号計算!K135</f>
        <v>9.4500000000000001E-2</v>
      </c>
      <c r="F130" s="5">
        <f>+[2]称号計算!L135</f>
        <v>0.94450000000000001</v>
      </c>
      <c r="G130" s="5">
        <f>+[2]称号計算!M135</f>
        <v>0.30509999999999998</v>
      </c>
      <c r="H130" s="13">
        <f>+[2]称号計算!N135</f>
        <v>0.3372</v>
      </c>
      <c r="I130" s="27">
        <f>+[2]称号計算!O135</f>
        <v>0.20780000000000001</v>
      </c>
      <c r="J130" s="13">
        <f>+[2]称号計算!P135</f>
        <v>0.24560000000000001</v>
      </c>
      <c r="K130" s="27">
        <f>+[2]称号計算!Q135</f>
        <v>0.16619999999999999</v>
      </c>
      <c r="L130" s="5">
        <f>+[2]称号計算!R135</f>
        <v>0.3967</v>
      </c>
      <c r="M130" s="13">
        <f>+[2]称号計算!S135</f>
        <v>0.26450000000000001</v>
      </c>
      <c r="N130" s="27">
        <f>+[2]称号計算!T135</f>
        <v>7.4999999999999997E-3</v>
      </c>
      <c r="O130" s="5">
        <f>+[2]称号計算!U135</f>
        <v>7.4999999999999997E-3</v>
      </c>
      <c r="P130" s="5">
        <f>+[2]称号計算!V135</f>
        <v>7.4999999999999997E-3</v>
      </c>
      <c r="Q130" s="5">
        <f>+[2]称号計算!W135</f>
        <v>7.4999999999999997E-3</v>
      </c>
      <c r="R130" s="5">
        <f>+[2]称号計算!X135</f>
        <v>2.01E-2</v>
      </c>
      <c r="S130" s="13">
        <f>+[2]称号計算!Y135</f>
        <v>0.15040000000000001</v>
      </c>
      <c r="T130" s="19">
        <f>+[2]称号計算!Z135</f>
        <v>1.1698</v>
      </c>
      <c r="U130" s="13">
        <v>0.9</v>
      </c>
    </row>
    <row r="131" spans="1:21">
      <c r="A131" s="12" t="s">
        <v>1042</v>
      </c>
      <c r="B131" s="23" t="s">
        <v>1402</v>
      </c>
      <c r="C131" s="27">
        <f>+[2]称号計算!I136</f>
        <v>0.33429999999999999</v>
      </c>
      <c r="D131" s="5">
        <f>+[2]称号計算!J136</f>
        <v>0.15670000000000001</v>
      </c>
      <c r="E131" s="5">
        <f>+[2]称号計算!K136</f>
        <v>0.94979999999999998</v>
      </c>
      <c r="F131" s="5">
        <f>+[2]称号計算!L136</f>
        <v>7.22E-2</v>
      </c>
      <c r="G131" s="5">
        <f>+[2]称号計算!M136</f>
        <v>0.26479999999999998</v>
      </c>
      <c r="H131" s="13">
        <f>+[2]称号計算!N136</f>
        <v>0.24540000000000001</v>
      </c>
      <c r="I131" s="27">
        <f>+[2]称号計算!O136</f>
        <v>0.54330000000000001</v>
      </c>
      <c r="J131" s="13">
        <f>+[2]称号計算!P136</f>
        <v>0.27989999999999998</v>
      </c>
      <c r="K131" s="27">
        <f>+[2]称号計算!Q136</f>
        <v>0.25080000000000002</v>
      </c>
      <c r="L131" s="5">
        <f>+[2]称号計算!R136</f>
        <v>0.4027</v>
      </c>
      <c r="M131" s="13">
        <f>+[2]称号計算!S136</f>
        <v>0.43080000000000002</v>
      </c>
      <c r="N131" s="27">
        <f>+[2]称号計算!T136</f>
        <v>0.12889999999999999</v>
      </c>
      <c r="O131" s="5">
        <f>+[2]称号計算!U136</f>
        <v>2.58E-2</v>
      </c>
      <c r="P131" s="5">
        <f>+[2]称号計算!V136</f>
        <v>8.6E-3</v>
      </c>
      <c r="Q131" s="5">
        <f>+[2]称号計算!W136</f>
        <v>8.6E-3</v>
      </c>
      <c r="R131" s="5">
        <f>+[2]称号計算!X136</f>
        <v>6.4000000000000003E-3</v>
      </c>
      <c r="S131" s="13">
        <f>+[2]称号計算!Y136</f>
        <v>6.4000000000000003E-3</v>
      </c>
      <c r="T131" s="19">
        <f>+[2]称号計算!Z136</f>
        <v>1.4413</v>
      </c>
      <c r="U131" s="13">
        <v>0.55000000000000004</v>
      </c>
    </row>
    <row r="132" spans="1:21">
      <c r="A132" s="12" t="s">
        <v>1043</v>
      </c>
      <c r="B132" s="23" t="s">
        <v>1403</v>
      </c>
      <c r="C132" s="27">
        <f>+[2]称号計算!I137</f>
        <v>0.27460000000000001</v>
      </c>
      <c r="D132" s="5">
        <f>+[2]称号計算!J137</f>
        <v>0.12479999999999999</v>
      </c>
      <c r="E132" s="5">
        <f>+[2]称号計算!K137</f>
        <v>0.9456</v>
      </c>
      <c r="F132" s="5">
        <f>+[2]称号計算!L137</f>
        <v>5.1999999999999998E-2</v>
      </c>
      <c r="G132" s="5">
        <f>+[2]称号計算!M137</f>
        <v>0.22509999999999999</v>
      </c>
      <c r="H132" s="13">
        <f>+[2]称号計算!N137</f>
        <v>0.2283</v>
      </c>
      <c r="I132" s="27">
        <f>+[2]称号計算!O137</f>
        <v>0.87370000000000003</v>
      </c>
      <c r="J132" s="13">
        <f>+[2]称号計算!P137</f>
        <v>0.2918</v>
      </c>
      <c r="K132" s="27">
        <f>+[2]称号計算!Q137</f>
        <v>0.33700000000000002</v>
      </c>
      <c r="L132" s="5">
        <f>+[2]称号計算!R137</f>
        <v>0.59009999999999996</v>
      </c>
      <c r="M132" s="13">
        <f>+[2]称号計算!S137</f>
        <v>0.15890000000000001</v>
      </c>
      <c r="N132" s="27">
        <f>+[2]称号計算!T137</f>
        <v>0.1116</v>
      </c>
      <c r="O132" s="5">
        <f>+[2]称号計算!U137</f>
        <v>2.23E-2</v>
      </c>
      <c r="P132" s="5">
        <f>+[2]称号計算!V137</f>
        <v>7.4000000000000003E-3</v>
      </c>
      <c r="Q132" s="5">
        <f>+[2]称号計算!W137</f>
        <v>7.4000000000000003E-3</v>
      </c>
      <c r="R132" s="5">
        <f>+[2]称号計算!X137</f>
        <v>5.5999999999999999E-3</v>
      </c>
      <c r="S132" s="13">
        <f>+[2]称号計算!Y137</f>
        <v>5.5999999999999999E-3</v>
      </c>
      <c r="T132" s="19">
        <f>+[2]称号計算!Z137</f>
        <v>1.7433000000000001</v>
      </c>
      <c r="U132" s="13">
        <v>0.5</v>
      </c>
    </row>
    <row r="133" spans="1:21" ht="19.5" thickBot="1">
      <c r="A133" s="14" t="s">
        <v>1044</v>
      </c>
      <c r="B133" s="24" t="s">
        <v>1404</v>
      </c>
      <c r="C133" s="28">
        <f>+[2]称号計算!I138</f>
        <v>0.35780000000000001</v>
      </c>
      <c r="D133" s="15">
        <f>+[2]称号計算!J138</f>
        <v>0.40760000000000002</v>
      </c>
      <c r="E133" s="15">
        <f>+[2]称号計算!K138</f>
        <v>5.4600000000000003E-2</v>
      </c>
      <c r="F133" s="15">
        <f>+[2]称号計算!L138</f>
        <v>1.0293000000000001</v>
      </c>
      <c r="G133" s="15">
        <f>+[2]称号計算!M138</f>
        <v>0.29749999999999999</v>
      </c>
      <c r="H133" s="16">
        <f>+[2]称号計算!N138</f>
        <v>0.28349999999999997</v>
      </c>
      <c r="I133" s="28">
        <f>+[2]称号計算!O138</f>
        <v>0.2944</v>
      </c>
      <c r="J133" s="16">
        <f>+[2]称号計算!P138</f>
        <v>0.25869999999999999</v>
      </c>
      <c r="K133" s="28">
        <f>+[2]称号計算!Q138</f>
        <v>0.36230000000000001</v>
      </c>
      <c r="L133" s="15">
        <f>+[2]称号計算!R138</f>
        <v>0.70809999999999995</v>
      </c>
      <c r="M133" s="16">
        <f>+[2]称号計算!S138</f>
        <v>0.219</v>
      </c>
      <c r="N133" s="28">
        <f>+[2]称号計算!T138</f>
        <v>8.2000000000000007E-3</v>
      </c>
      <c r="O133" s="15">
        <f>+[2]称号計算!U138</f>
        <v>8.2000000000000007E-3</v>
      </c>
      <c r="P133" s="15">
        <f>+[2]称号計算!V138</f>
        <v>3.0800000000000001E-2</v>
      </c>
      <c r="Q133" s="15">
        <f>+[2]称号計算!W138</f>
        <v>0.1231</v>
      </c>
      <c r="R133" s="15">
        <f>+[2]称号計算!X138</f>
        <v>6.1999999999999998E-3</v>
      </c>
      <c r="S133" s="16">
        <f>+[2]称号計算!Y138</f>
        <v>6.1999999999999998E-3</v>
      </c>
      <c r="T133" s="20">
        <f>+[2]称号計算!Z138</f>
        <v>1.804</v>
      </c>
      <c r="U133" s="16">
        <v>0.25</v>
      </c>
    </row>
    <row r="134" spans="1:21">
      <c r="A134" s="9" t="s">
        <v>1045</v>
      </c>
      <c r="B134" s="22" t="s">
        <v>1405</v>
      </c>
      <c r="C134" s="26">
        <f>+[2]称号計算!I139</f>
        <v>0.40400000000000003</v>
      </c>
      <c r="D134" s="10">
        <f>+[2]称号計算!J139</f>
        <v>0.4869</v>
      </c>
      <c r="E134" s="10">
        <f>+[2]称号計算!K139</f>
        <v>5.4100000000000002E-2</v>
      </c>
      <c r="F134" s="10">
        <f>+[2]称号計算!L139</f>
        <v>0.81969999999999998</v>
      </c>
      <c r="G134" s="10">
        <f>+[2]称号計算!M139</f>
        <v>0.54349999999999998</v>
      </c>
      <c r="H134" s="11">
        <f>+[2]称号計算!N139</f>
        <v>0.20069999999999999</v>
      </c>
      <c r="I134" s="26">
        <f>+[2]称号計算!O139</f>
        <v>0.19839999999999999</v>
      </c>
      <c r="J134" s="11">
        <f>+[2]称号計算!P139</f>
        <v>0.21310000000000001</v>
      </c>
      <c r="K134" s="26">
        <f>+[2]称号計算!Q139</f>
        <v>0.13350000000000001</v>
      </c>
      <c r="L134" s="10">
        <f>+[2]称号計算!R139</f>
        <v>0.2853</v>
      </c>
      <c r="M134" s="11">
        <f>+[2]称号計算!S139</f>
        <v>0.21579999999999999</v>
      </c>
      <c r="N134" s="26">
        <f>+[2]称号計算!T139</f>
        <v>8.9999999999999993E-3</v>
      </c>
      <c r="O134" s="10">
        <f>+[2]称号計算!U139</f>
        <v>8.9999999999999993E-3</v>
      </c>
      <c r="P134" s="10">
        <f>+[2]称号計算!V139</f>
        <v>8.9999999999999993E-3</v>
      </c>
      <c r="Q134" s="10">
        <f>+[2]称号計算!W139</f>
        <v>8.9999999999999993E-3</v>
      </c>
      <c r="R134" s="10">
        <f>+[2]称号計算!X139</f>
        <v>2.3900000000000001E-2</v>
      </c>
      <c r="S134" s="11">
        <f>+[2]称号計算!Y139</f>
        <v>0.1792</v>
      </c>
      <c r="T134" s="18">
        <f>+[2]称号計算!Z139</f>
        <v>1.0763</v>
      </c>
      <c r="U134" s="11">
        <v>1</v>
      </c>
    </row>
    <row r="135" spans="1:21">
      <c r="A135" s="12" t="s">
        <v>1046</v>
      </c>
      <c r="B135" s="23" t="s">
        <v>1406</v>
      </c>
      <c r="C135" s="27">
        <f>+[2]称号計算!I140</f>
        <v>0.35239999999999999</v>
      </c>
      <c r="D135" s="5">
        <f>+[2]称号計算!J140</f>
        <v>0.38679999999999998</v>
      </c>
      <c r="E135" s="5">
        <f>+[2]称号計算!K140</f>
        <v>9.7699999999999995E-2</v>
      </c>
      <c r="F135" s="5">
        <f>+[2]称号計算!L140</f>
        <v>0.97670000000000001</v>
      </c>
      <c r="G135" s="5">
        <f>+[2]称号計算!M140</f>
        <v>0.2823</v>
      </c>
      <c r="H135" s="13">
        <f>+[2]称号計算!N140</f>
        <v>0.33210000000000001</v>
      </c>
      <c r="I135" s="27">
        <f>+[2]称号計算!O140</f>
        <v>0.21490000000000001</v>
      </c>
      <c r="J135" s="13">
        <f>+[2]称号計算!P140</f>
        <v>0.25390000000000001</v>
      </c>
      <c r="K135" s="27">
        <f>+[2]称号計算!Q140</f>
        <v>0.1719</v>
      </c>
      <c r="L135" s="5">
        <f>+[2]称号計算!R140</f>
        <v>0.39069999999999999</v>
      </c>
      <c r="M135" s="13">
        <f>+[2]称号計算!S140</f>
        <v>0.27350000000000002</v>
      </c>
      <c r="N135" s="27">
        <f>+[2]称号計算!T140</f>
        <v>6.8999999999999999E-3</v>
      </c>
      <c r="O135" s="5">
        <f>+[2]称号計算!U140</f>
        <v>6.8999999999999999E-3</v>
      </c>
      <c r="P135" s="5">
        <f>+[2]称号計算!V140</f>
        <v>6.8999999999999999E-3</v>
      </c>
      <c r="Q135" s="5">
        <f>+[2]称号計算!W140</f>
        <v>6.8999999999999999E-3</v>
      </c>
      <c r="R135" s="5">
        <f>+[2]称号計算!X140</f>
        <v>1.83E-2</v>
      </c>
      <c r="S135" s="13">
        <f>+[2]称号計算!Y140</f>
        <v>0.13739999999999999</v>
      </c>
      <c r="T135" s="19">
        <f>+[2]称号計算!Z140</f>
        <v>1.1613</v>
      </c>
      <c r="U135" s="13">
        <v>1</v>
      </c>
    </row>
    <row r="136" spans="1:21">
      <c r="A136" s="12" t="s">
        <v>1047</v>
      </c>
      <c r="B136" s="23" t="s">
        <v>1407</v>
      </c>
      <c r="C136" s="27">
        <f>+[2]称号計算!I141</f>
        <v>0.44409999999999999</v>
      </c>
      <c r="D136" s="5">
        <f>+[2]称号計算!J141</f>
        <v>0.4239</v>
      </c>
      <c r="E136" s="5">
        <f>+[2]称号計算!K141</f>
        <v>9.1800000000000007E-2</v>
      </c>
      <c r="F136" s="5">
        <f>+[2]称号計算!L141</f>
        <v>0.91749999999999998</v>
      </c>
      <c r="G136" s="5">
        <f>+[2]称号計算!M141</f>
        <v>0.34320000000000001</v>
      </c>
      <c r="H136" s="13">
        <f>+[2]称号計算!N141</f>
        <v>0.34320000000000001</v>
      </c>
      <c r="I136" s="27">
        <f>+[2]称号計算!O141</f>
        <v>0.28260000000000002</v>
      </c>
      <c r="J136" s="13">
        <f>+[2]称号計算!P141</f>
        <v>0.2465</v>
      </c>
      <c r="K136" s="27">
        <f>+[2]称号計算!Q141</f>
        <v>0.1938</v>
      </c>
      <c r="L136" s="5">
        <f>+[2]称号計算!R141</f>
        <v>0.36699999999999999</v>
      </c>
      <c r="M136" s="13">
        <f>+[2]称号計算!S141</f>
        <v>0.25690000000000002</v>
      </c>
      <c r="N136" s="27">
        <f>+[2]称号計算!T141</f>
        <v>8.3999999999999995E-3</v>
      </c>
      <c r="O136" s="5">
        <f>+[2]称号計算!U141</f>
        <v>8.3999999999999995E-3</v>
      </c>
      <c r="P136" s="5">
        <f>+[2]称号計算!V141</f>
        <v>8.3999999999999995E-3</v>
      </c>
      <c r="Q136" s="5">
        <f>+[2]称号計算!W141</f>
        <v>8.3999999999999995E-3</v>
      </c>
      <c r="R136" s="5">
        <f>+[2]称号計算!X141</f>
        <v>2.2499999999999999E-2</v>
      </c>
      <c r="S136" s="13">
        <f>+[2]称号計算!Y141</f>
        <v>0.16889999999999999</v>
      </c>
      <c r="T136" s="19">
        <f>+[2]称号計算!Z141</f>
        <v>1.3035000000000001</v>
      </c>
      <c r="U136" s="13">
        <v>0.9</v>
      </c>
    </row>
    <row r="137" spans="1:21">
      <c r="A137" s="12" t="s">
        <v>1048</v>
      </c>
      <c r="B137" s="23" t="s">
        <v>1408</v>
      </c>
      <c r="C137" s="27">
        <f>+[2]称号計算!I142</f>
        <v>0.41670000000000001</v>
      </c>
      <c r="D137" s="5">
        <f>+[2]称号計算!J142</f>
        <v>0.20380000000000001</v>
      </c>
      <c r="E137" s="5">
        <f>+[2]称号計算!K142</f>
        <v>1.0295000000000001</v>
      </c>
      <c r="F137" s="5">
        <f>+[2]称号計算!L142</f>
        <v>8.2400000000000001E-2</v>
      </c>
      <c r="G137" s="5">
        <f>+[2]称号計算!M142</f>
        <v>0.32200000000000001</v>
      </c>
      <c r="H137" s="13">
        <f>+[2]称号計算!N142</f>
        <v>0.29749999999999999</v>
      </c>
      <c r="I137" s="27">
        <f>+[2]称号計算!O142</f>
        <v>0.31709999999999999</v>
      </c>
      <c r="J137" s="13">
        <f>+[2]称号計算!P142</f>
        <v>0.28549999999999998</v>
      </c>
      <c r="K137" s="27">
        <f>+[2]称号計算!Q142</f>
        <v>0.222</v>
      </c>
      <c r="L137" s="5">
        <f>+[2]称号計算!R142</f>
        <v>0.3871</v>
      </c>
      <c r="M137" s="13">
        <f>+[2]称号計算!S142</f>
        <v>0.52459999999999996</v>
      </c>
      <c r="N137" s="27">
        <f>+[2]称号計算!T142</f>
        <v>7.0000000000000001E-3</v>
      </c>
      <c r="O137" s="5">
        <f>+[2]称号計算!U142</f>
        <v>7.0000000000000001E-3</v>
      </c>
      <c r="P137" s="5">
        <f>+[2]称号計算!V142</f>
        <v>7.0000000000000001E-3</v>
      </c>
      <c r="Q137" s="5">
        <f>+[2]称号計算!W142</f>
        <v>7.0000000000000001E-3</v>
      </c>
      <c r="R137" s="5">
        <f>+[2]称号計算!X142</f>
        <v>1.8800000000000001E-2</v>
      </c>
      <c r="S137" s="13">
        <f>+[2]称号計算!Y142</f>
        <v>0.1406</v>
      </c>
      <c r="T137" s="19">
        <f>+[2]称号計算!Z142</f>
        <v>1.3741000000000001</v>
      </c>
      <c r="U137" s="13">
        <v>0.55000000000000004</v>
      </c>
    </row>
    <row r="138" spans="1:21">
      <c r="A138" s="12" t="s">
        <v>1049</v>
      </c>
      <c r="B138" s="23" t="s">
        <v>1409</v>
      </c>
      <c r="C138" s="27">
        <f>+[2]称号計算!I143</f>
        <v>0.53879999999999995</v>
      </c>
      <c r="D138" s="5">
        <f>+[2]称号計算!J143</f>
        <v>0.25140000000000001</v>
      </c>
      <c r="E138" s="5">
        <f>+[2]称号計算!K143</f>
        <v>1.0204</v>
      </c>
      <c r="F138" s="5">
        <f>+[2]称号計算!L143</f>
        <v>8.4699999999999998E-2</v>
      </c>
      <c r="G138" s="5">
        <f>+[2]称号計算!M143</f>
        <v>0.26369999999999999</v>
      </c>
      <c r="H138" s="13">
        <f>+[2]称号計算!N143</f>
        <v>0.72860000000000003</v>
      </c>
      <c r="I138" s="27">
        <f>+[2]称号計算!O143</f>
        <v>0.22450000000000001</v>
      </c>
      <c r="J138" s="13">
        <f>+[2]称号計算!P143</f>
        <v>0.26</v>
      </c>
      <c r="K138" s="27">
        <f>+[2]称号計算!Q143</f>
        <v>0.22</v>
      </c>
      <c r="L138" s="5">
        <f>+[2]称号計算!R143</f>
        <v>0.40820000000000001</v>
      </c>
      <c r="M138" s="13">
        <f>+[2]称号計算!S143</f>
        <v>0.26569999999999999</v>
      </c>
      <c r="N138" s="27">
        <f>+[2]称号計算!T143</f>
        <v>1.0699999999999999E-2</v>
      </c>
      <c r="O138" s="5">
        <f>+[2]称号計算!U143</f>
        <v>1.0699999999999999E-2</v>
      </c>
      <c r="P138" s="5">
        <f>+[2]称号計算!V143</f>
        <v>1.0699999999999999E-2</v>
      </c>
      <c r="Q138" s="5">
        <f>+[2]称号計算!W143</f>
        <v>1.0699999999999999E-2</v>
      </c>
      <c r="R138" s="5">
        <f>+[2]称号計算!X143</f>
        <v>2.87E-2</v>
      </c>
      <c r="S138" s="13">
        <f>+[2]称号計算!Y143</f>
        <v>0.215</v>
      </c>
      <c r="T138" s="19">
        <f>+[2]称号計算!Z143</f>
        <v>1.4338</v>
      </c>
      <c r="U138" s="13">
        <v>0.5</v>
      </c>
    </row>
    <row r="139" spans="1:21" ht="19.5" thickBot="1">
      <c r="A139" s="14" t="s">
        <v>1050</v>
      </c>
      <c r="B139" s="24" t="s">
        <v>1410</v>
      </c>
      <c r="C139" s="28">
        <f>+[2]称号計算!I144</f>
        <v>0.57889999999999997</v>
      </c>
      <c r="D139" s="15">
        <f>+[2]称号計算!J144</f>
        <v>0.4824</v>
      </c>
      <c r="E139" s="15">
        <f>+[2]称号計算!K144</f>
        <v>8.77E-2</v>
      </c>
      <c r="F139" s="15">
        <f>+[2]称号計算!L144</f>
        <v>0.877</v>
      </c>
      <c r="G139" s="15">
        <f>+[2]称号計算!M144</f>
        <v>0.44729999999999998</v>
      </c>
      <c r="H139" s="16">
        <f>+[2]称号計算!N144</f>
        <v>0.41749999999999998</v>
      </c>
      <c r="I139" s="28">
        <f>+[2]称号計算!O144</f>
        <v>0.38590000000000002</v>
      </c>
      <c r="J139" s="16">
        <f>+[2]称号計算!P144</f>
        <v>0.26600000000000001</v>
      </c>
      <c r="K139" s="28">
        <f>+[2]称号計算!Q144</f>
        <v>0.1852</v>
      </c>
      <c r="L139" s="15">
        <f>+[2]称号計算!R144</f>
        <v>0.42099999999999999</v>
      </c>
      <c r="M139" s="16">
        <f>+[2]称号計算!S144</f>
        <v>0.29470000000000002</v>
      </c>
      <c r="N139" s="28">
        <f>+[2]称号計算!T144</f>
        <v>4.6899999999999997E-2</v>
      </c>
      <c r="O139" s="15">
        <f>+[2]称号計算!U144</f>
        <v>0.2346</v>
      </c>
      <c r="P139" s="15">
        <f>+[2]称号計算!V144</f>
        <v>1.5599999999999999E-2</v>
      </c>
      <c r="Q139" s="15">
        <f>+[2]称号計算!W144</f>
        <v>1.5599999999999999E-2</v>
      </c>
      <c r="R139" s="15">
        <f>+[2]称号計算!X144</f>
        <v>1.17E-2</v>
      </c>
      <c r="S139" s="16">
        <f>+[2]称号計算!Y144</f>
        <v>1.17E-2</v>
      </c>
      <c r="T139" s="20">
        <f>+[2]称号計算!Z144</f>
        <v>1.4812000000000001</v>
      </c>
      <c r="U139" s="16">
        <v>0.25</v>
      </c>
    </row>
    <row r="140" spans="1:21">
      <c r="A140" s="9" t="s">
        <v>1051</v>
      </c>
      <c r="B140" s="22" t="s">
        <v>1411</v>
      </c>
      <c r="C140" s="26">
        <f>+[2]称号計算!I145</f>
        <v>0.19650000000000001</v>
      </c>
      <c r="D140" s="10">
        <f>+[2]称号計算!J145</f>
        <v>0.53590000000000004</v>
      </c>
      <c r="E140" s="10">
        <f>+[2]称号計算!K145</f>
        <v>6.5000000000000002E-2</v>
      </c>
      <c r="F140" s="10">
        <f>+[2]称号計算!L145</f>
        <v>0.81189999999999996</v>
      </c>
      <c r="G140" s="10">
        <f>+[2]称号計算!M145</f>
        <v>0.40029999999999999</v>
      </c>
      <c r="H140" s="11">
        <f>+[2]称号計算!N145</f>
        <v>0.62109999999999999</v>
      </c>
      <c r="I140" s="26">
        <f>+[2]称号計算!O145</f>
        <v>0.1429</v>
      </c>
      <c r="J140" s="11">
        <f>+[2]称号計算!P145</f>
        <v>0.19420000000000001</v>
      </c>
      <c r="K140" s="26">
        <f>+[2]称号計算!Q145</f>
        <v>0.15720000000000001</v>
      </c>
      <c r="L140" s="10">
        <f>+[2]称号計算!R145</f>
        <v>0.2858</v>
      </c>
      <c r="M140" s="11">
        <f>+[2]称号計算!S145</f>
        <v>0.28639999999999999</v>
      </c>
      <c r="N140" s="26">
        <f>+[2]称号計算!T145</f>
        <v>0.2218</v>
      </c>
      <c r="O140" s="10">
        <f>+[2]称号計算!U145</f>
        <v>4.4400000000000002E-2</v>
      </c>
      <c r="P140" s="10">
        <f>+[2]称号計算!V145</f>
        <v>1.4800000000000001E-2</v>
      </c>
      <c r="Q140" s="10">
        <f>+[2]称号計算!W145</f>
        <v>1.4800000000000001E-2</v>
      </c>
      <c r="R140" s="10">
        <f>+[2]称号計算!X145</f>
        <v>1.11E-2</v>
      </c>
      <c r="S140" s="11">
        <f>+[2]称号計算!Y145</f>
        <v>1.11E-2</v>
      </c>
      <c r="T140" s="18">
        <f>+[2]称号計算!Z145</f>
        <v>1.1913</v>
      </c>
      <c r="U140" s="11">
        <v>1</v>
      </c>
    </row>
    <row r="141" spans="1:21">
      <c r="A141" s="12" t="s">
        <v>1052</v>
      </c>
      <c r="B141" s="23" t="s">
        <v>1412</v>
      </c>
      <c r="C141" s="27">
        <f>+[2]称号計算!I146</f>
        <v>0.39539999999999997</v>
      </c>
      <c r="D141" s="5">
        <f>+[2]称号計算!J146</f>
        <v>0.57340000000000002</v>
      </c>
      <c r="E141" s="5">
        <f>+[2]称号計算!K146</f>
        <v>8.9899999999999994E-2</v>
      </c>
      <c r="F141" s="5">
        <f>+[2]称号計算!L146</f>
        <v>0.89870000000000005</v>
      </c>
      <c r="G141" s="5">
        <f>+[2]称号計算!M146</f>
        <v>0.30559999999999998</v>
      </c>
      <c r="H141" s="13">
        <f>+[2]称号計算!N146</f>
        <v>0.36670000000000003</v>
      </c>
      <c r="I141" s="27">
        <f>+[2]称号計算!O146</f>
        <v>0.23730000000000001</v>
      </c>
      <c r="J141" s="13">
        <f>+[2]称号計算!P146</f>
        <v>0.21809999999999999</v>
      </c>
      <c r="K141" s="27">
        <f>+[2]称号計算!Q146</f>
        <v>0.1661</v>
      </c>
      <c r="L141" s="5">
        <f>+[2]称号計算!R146</f>
        <v>0.34150000000000003</v>
      </c>
      <c r="M141" s="13">
        <f>+[2]称号計算!S146</f>
        <v>0.28939999999999999</v>
      </c>
      <c r="N141" s="27">
        <f>+[2]称号計算!T146</f>
        <v>3.4799999999999998E-2</v>
      </c>
      <c r="O141" s="5">
        <f>+[2]称号計算!U146</f>
        <v>0.1739</v>
      </c>
      <c r="P141" s="5">
        <f>+[2]称号計算!V146</f>
        <v>1.1599999999999999E-2</v>
      </c>
      <c r="Q141" s="5">
        <f>+[2]称号計算!W146</f>
        <v>1.1599999999999999E-2</v>
      </c>
      <c r="R141" s="5">
        <f>+[2]称号計算!X146</f>
        <v>8.6999999999999994E-3</v>
      </c>
      <c r="S141" s="13">
        <f>+[2]称号計算!Y146</f>
        <v>8.6999999999999994E-3</v>
      </c>
      <c r="T141" s="19">
        <f>+[2]称号計算!Z146</f>
        <v>1.2293000000000001</v>
      </c>
      <c r="U141" s="13">
        <v>1</v>
      </c>
    </row>
    <row r="142" spans="1:21">
      <c r="A142" s="12" t="s">
        <v>1053</v>
      </c>
      <c r="B142" s="23" t="s">
        <v>1413</v>
      </c>
      <c r="C142" s="27">
        <f>+[2]称号計算!I147</f>
        <v>0.4098</v>
      </c>
      <c r="D142" s="5">
        <f>+[2]称号計算!J147</f>
        <v>0.46949999999999997</v>
      </c>
      <c r="E142" s="5">
        <f>+[2]称号計算!K147</f>
        <v>6.0100000000000001E-2</v>
      </c>
      <c r="F142" s="5">
        <f>+[2]称号計算!L147</f>
        <v>0.97009999999999996</v>
      </c>
      <c r="G142" s="5">
        <f>+[2]称号計算!M147</f>
        <v>0.27050000000000002</v>
      </c>
      <c r="H142" s="13">
        <f>+[2]称号計算!N147</f>
        <v>0.30020000000000002</v>
      </c>
      <c r="I142" s="27">
        <f>+[2]称号計算!O147</f>
        <v>0.25609999999999999</v>
      </c>
      <c r="J142" s="13">
        <f>+[2]称号計算!P147</f>
        <v>0.26910000000000001</v>
      </c>
      <c r="K142" s="27">
        <f>+[2]称号計算!Q147</f>
        <v>0.19209999999999999</v>
      </c>
      <c r="L142" s="5">
        <f>+[2]称号計算!R147</f>
        <v>0.35310000000000002</v>
      </c>
      <c r="M142" s="13">
        <f>+[2]称号計算!S147</f>
        <v>0.5161</v>
      </c>
      <c r="N142" s="27">
        <f>+[2]称号計算!T147</f>
        <v>0.1497</v>
      </c>
      <c r="O142" s="5">
        <f>+[2]称号計算!U147</f>
        <v>2.9899999999999999E-2</v>
      </c>
      <c r="P142" s="5">
        <f>+[2]称号計算!V147</f>
        <v>0.01</v>
      </c>
      <c r="Q142" s="5">
        <f>+[2]称号計算!W147</f>
        <v>0.01</v>
      </c>
      <c r="R142" s="5">
        <f>+[2]称号計算!X147</f>
        <v>7.4999999999999997E-3</v>
      </c>
      <c r="S142" s="13">
        <f>+[2]称号計算!Y147</f>
        <v>7.4999999999999997E-3</v>
      </c>
      <c r="T142" s="19">
        <f>+[2]称号計算!Z147</f>
        <v>1.3217000000000001</v>
      </c>
      <c r="U142" s="13">
        <v>0.9</v>
      </c>
    </row>
    <row r="143" spans="1:21">
      <c r="A143" s="12" t="s">
        <v>1054</v>
      </c>
      <c r="B143" s="23" t="s">
        <v>1414</v>
      </c>
      <c r="C143" s="27">
        <f>+[2]称号計算!I148</f>
        <v>0.35049999999999998</v>
      </c>
      <c r="D143" s="5">
        <f>+[2]称号計算!J148</f>
        <v>0.14499999999999999</v>
      </c>
      <c r="E143" s="5">
        <f>+[2]称号計算!K148</f>
        <v>0.91549999999999998</v>
      </c>
      <c r="F143" s="5">
        <f>+[2]称号計算!L148</f>
        <v>5.9499999999999997E-2</v>
      </c>
      <c r="G143" s="5">
        <f>+[2]称号計算!M148</f>
        <v>0.26769999999999999</v>
      </c>
      <c r="H143" s="13">
        <f>+[2]称号計算!N148</f>
        <v>0.2397</v>
      </c>
      <c r="I143" s="27">
        <f>+[2]称号計算!O148</f>
        <v>1.0876999999999999</v>
      </c>
      <c r="J143" s="13">
        <f>+[2]称号計算!P148</f>
        <v>0.3221</v>
      </c>
      <c r="K143" s="27">
        <f>+[2]称号計算!Q148</f>
        <v>0.22159999999999999</v>
      </c>
      <c r="L143" s="5">
        <f>+[2]称号計算!R148</f>
        <v>0.38090000000000002</v>
      </c>
      <c r="M143" s="13">
        <f>+[2]称号計算!S148</f>
        <v>0.26150000000000001</v>
      </c>
      <c r="N143" s="27">
        <f>+[2]称号計算!T148</f>
        <v>6.4999999999999997E-3</v>
      </c>
      <c r="O143" s="5">
        <f>+[2]称号計算!U148</f>
        <v>6.4999999999999997E-3</v>
      </c>
      <c r="P143" s="5">
        <f>+[2]称号計算!V148</f>
        <v>6.4999999999999997E-3</v>
      </c>
      <c r="Q143" s="5">
        <f>+[2]称号計算!W148</f>
        <v>6.4999999999999997E-3</v>
      </c>
      <c r="R143" s="5">
        <f>+[2]称号計算!X148</f>
        <v>1.72E-2</v>
      </c>
      <c r="S143" s="13">
        <f>+[2]称号計算!Y148</f>
        <v>0.12920000000000001</v>
      </c>
      <c r="T143" s="19">
        <f>+[2]称号計算!Z148</f>
        <v>1.4999</v>
      </c>
      <c r="U143" s="13">
        <v>0.55000000000000004</v>
      </c>
    </row>
    <row r="144" spans="1:21">
      <c r="A144" s="12" t="s">
        <v>1055</v>
      </c>
      <c r="B144" s="23" t="s">
        <v>1415</v>
      </c>
      <c r="C144" s="27">
        <f>+[2]称号計算!I149</f>
        <v>0.48470000000000002</v>
      </c>
      <c r="D144" s="5">
        <f>+[2]称号計算!J149</f>
        <v>0.26340000000000002</v>
      </c>
      <c r="E144" s="5">
        <f>+[2]称号計算!K149</f>
        <v>1.1975</v>
      </c>
      <c r="F144" s="5">
        <f>+[2]称号計算!L149</f>
        <v>0.1197</v>
      </c>
      <c r="G144" s="5">
        <f>+[2]称号計算!M149</f>
        <v>0.38679999999999998</v>
      </c>
      <c r="H144" s="13">
        <f>+[2]称号計算!N149</f>
        <v>0.42749999999999999</v>
      </c>
      <c r="I144" s="27">
        <f>+[2]称号計算!O149</f>
        <v>0.26340000000000002</v>
      </c>
      <c r="J144" s="13">
        <f>+[2]称号計算!P149</f>
        <v>0.31130000000000002</v>
      </c>
      <c r="K144" s="27">
        <f>+[2]称号計算!Q149</f>
        <v>0.21079999999999999</v>
      </c>
      <c r="L144" s="5">
        <f>+[2]称号計算!R149</f>
        <v>0.50290000000000001</v>
      </c>
      <c r="M144" s="13">
        <f>+[2]称号計算!S149</f>
        <v>0.26819999999999999</v>
      </c>
      <c r="N144" s="27">
        <f>+[2]称号計算!T149</f>
        <v>9.1999999999999998E-3</v>
      </c>
      <c r="O144" s="5">
        <f>+[2]称号計算!U149</f>
        <v>9.1999999999999998E-3</v>
      </c>
      <c r="P144" s="5">
        <f>+[2]称号計算!V149</f>
        <v>9.1999999999999998E-3</v>
      </c>
      <c r="Q144" s="5">
        <f>+[2]称号計算!W149</f>
        <v>9.1999999999999998E-3</v>
      </c>
      <c r="R144" s="5">
        <f>+[2]称号計算!X149</f>
        <v>2.46E-2</v>
      </c>
      <c r="S144" s="13">
        <f>+[2]称号計算!Y149</f>
        <v>0.18459999999999999</v>
      </c>
      <c r="T144" s="19">
        <f>+[2]称号計算!Z149</f>
        <v>1.3802000000000001</v>
      </c>
      <c r="U144" s="13">
        <v>0.5</v>
      </c>
    </row>
    <row r="145" spans="1:21" ht="19.5" thickBot="1">
      <c r="A145" s="14" t="s">
        <v>1056</v>
      </c>
      <c r="B145" s="24" t="s">
        <v>1416</v>
      </c>
      <c r="C145" s="28">
        <f>+[2]称号計算!I150</f>
        <v>0.30859999999999999</v>
      </c>
      <c r="D145" s="15">
        <f>+[2]称号計算!J150</f>
        <v>0.50660000000000005</v>
      </c>
      <c r="E145" s="15">
        <f>+[2]称号計算!K150</f>
        <v>5.4399999999999997E-2</v>
      </c>
      <c r="F145" s="15">
        <f>+[2]称号計算!L150</f>
        <v>1.0467</v>
      </c>
      <c r="G145" s="15">
        <f>+[2]称号計算!M150</f>
        <v>0.23130000000000001</v>
      </c>
      <c r="H145" s="16">
        <f>+[2]称号計算!N150</f>
        <v>0.28470000000000001</v>
      </c>
      <c r="I145" s="28">
        <f>+[2]称号計算!O150</f>
        <v>0.82899999999999996</v>
      </c>
      <c r="J145" s="16">
        <f>+[2]称号計算!P150</f>
        <v>0.33560000000000001</v>
      </c>
      <c r="K145" s="28">
        <f>+[2]称号計算!Q150</f>
        <v>0.1888</v>
      </c>
      <c r="L145" s="15">
        <f>+[2]称号計算!R150</f>
        <v>0.314</v>
      </c>
      <c r="M145" s="16">
        <f>+[2]称号計算!S150</f>
        <v>0.52170000000000005</v>
      </c>
      <c r="N145" s="28">
        <f>+[2]称号計算!T150</f>
        <v>7.0000000000000001E-3</v>
      </c>
      <c r="O145" s="15">
        <f>+[2]称号計算!U150</f>
        <v>7.0000000000000001E-3</v>
      </c>
      <c r="P145" s="15">
        <f>+[2]称号計算!V150</f>
        <v>7.0000000000000001E-3</v>
      </c>
      <c r="Q145" s="15">
        <f>+[2]称号計算!W150</f>
        <v>7.0000000000000001E-3</v>
      </c>
      <c r="R145" s="15">
        <f>+[2]称号計算!X150</f>
        <v>1.8700000000000001E-2</v>
      </c>
      <c r="S145" s="16">
        <f>+[2]称号計算!Y150</f>
        <v>0.14050000000000001</v>
      </c>
      <c r="T145" s="20">
        <f>+[2]称号計算!Z150</f>
        <v>1.4505999999999999</v>
      </c>
      <c r="U145" s="16">
        <v>0.25</v>
      </c>
    </row>
    <row r="146" spans="1:21">
      <c r="A146" s="9" t="s">
        <v>1057</v>
      </c>
      <c r="B146" s="22" t="s">
        <v>1417</v>
      </c>
      <c r="C146" s="26">
        <f>+[2]称号計算!I151</f>
        <v>0.31509999999999999</v>
      </c>
      <c r="D146" s="10">
        <f>+[2]称号計算!J151</f>
        <v>0.46460000000000001</v>
      </c>
      <c r="E146" s="10">
        <f>+[2]称号計算!K151</f>
        <v>9.1800000000000007E-2</v>
      </c>
      <c r="F146" s="10">
        <f>+[2]称号計算!L151</f>
        <v>0.91810000000000003</v>
      </c>
      <c r="G146" s="10">
        <f>+[2]称号計算!M151</f>
        <v>0.2341</v>
      </c>
      <c r="H146" s="11">
        <f>+[2]称号計算!N151</f>
        <v>0.24970000000000001</v>
      </c>
      <c r="I146" s="26">
        <f>+[2]称号計算!O151</f>
        <v>0.44440000000000002</v>
      </c>
      <c r="J146" s="11">
        <f>+[2]称号計算!P151</f>
        <v>0.2626</v>
      </c>
      <c r="K146" s="26">
        <f>+[2]称号計算!Q151</f>
        <v>0.17780000000000001</v>
      </c>
      <c r="L146" s="10">
        <f>+[2]称号計算!R151</f>
        <v>0.40400000000000003</v>
      </c>
      <c r="M146" s="11">
        <f>+[2]称号計算!S151</f>
        <v>0.2828</v>
      </c>
      <c r="N146" s="26">
        <f>+[2]称号計算!T151</f>
        <v>8.6E-3</v>
      </c>
      <c r="O146" s="10">
        <f>+[2]称号計算!U151</f>
        <v>8.6E-3</v>
      </c>
      <c r="P146" s="10">
        <f>+[2]称号計算!V151</f>
        <v>0.12920000000000001</v>
      </c>
      <c r="Q146" s="10">
        <f>+[2]称号計算!W151</f>
        <v>3.2300000000000002E-2</v>
      </c>
      <c r="R146" s="10">
        <f>+[2]称号計算!X151</f>
        <v>6.4999999999999997E-3</v>
      </c>
      <c r="S146" s="11">
        <f>+[2]称号計算!Y151</f>
        <v>6.4999999999999997E-3</v>
      </c>
      <c r="T146" s="18">
        <f>+[2]称号計算!Z151</f>
        <v>1.2388999999999999</v>
      </c>
      <c r="U146" s="11">
        <v>1</v>
      </c>
    </row>
    <row r="147" spans="1:21">
      <c r="A147" s="12" t="s">
        <v>1058</v>
      </c>
      <c r="B147" s="23" t="s">
        <v>1418</v>
      </c>
      <c r="C147" s="27">
        <f>+[2]称号計算!I152</f>
        <v>0.66190000000000004</v>
      </c>
      <c r="D147" s="5">
        <f>+[2]称号計算!J152</f>
        <v>0.51949999999999996</v>
      </c>
      <c r="E147" s="5">
        <f>+[2]称号計算!K152</f>
        <v>5.6800000000000003E-2</v>
      </c>
      <c r="F147" s="5">
        <f>+[2]称号計算!L152</f>
        <v>0.87460000000000004</v>
      </c>
      <c r="G147" s="5">
        <f>+[2]称号計算!M152</f>
        <v>0.48770000000000002</v>
      </c>
      <c r="H147" s="13">
        <f>+[2]称号計算!N152</f>
        <v>0.46089999999999998</v>
      </c>
      <c r="I147" s="27">
        <f>+[2]称号計算!O152</f>
        <v>0.13469999999999999</v>
      </c>
      <c r="J147" s="13">
        <f>+[2]称号計算!P152</f>
        <v>0.2122</v>
      </c>
      <c r="K147" s="27">
        <f>+[2]称号計算!Q152</f>
        <v>0.1154</v>
      </c>
      <c r="L147" s="5">
        <f>+[2]称号計算!R152</f>
        <v>0.2099</v>
      </c>
      <c r="M147" s="13">
        <f>+[2]称号計算!S152</f>
        <v>0.30359999999999998</v>
      </c>
      <c r="N147" s="27">
        <f>+[2]称号計算!T152</f>
        <v>4.7800000000000002E-2</v>
      </c>
      <c r="O147" s="5">
        <f>+[2]称号計算!U152</f>
        <v>0.23899999999999999</v>
      </c>
      <c r="P147" s="5">
        <f>+[2]称号計算!V152</f>
        <v>1.5900000000000001E-2</v>
      </c>
      <c r="Q147" s="5">
        <f>+[2]称号計算!W152</f>
        <v>1.5900000000000001E-2</v>
      </c>
      <c r="R147" s="5">
        <f>+[2]称号計算!X152</f>
        <v>1.2E-2</v>
      </c>
      <c r="S147" s="13">
        <f>+[2]称号計算!Y152</f>
        <v>1.2E-2</v>
      </c>
      <c r="T147" s="19">
        <f>+[2]称号計算!Z152</f>
        <v>1.1438999999999999</v>
      </c>
      <c r="U147" s="13">
        <v>1</v>
      </c>
    </row>
    <row r="148" spans="1:21">
      <c r="A148" s="12" t="s">
        <v>1059</v>
      </c>
      <c r="B148" s="23" t="s">
        <v>1419</v>
      </c>
      <c r="C148" s="27">
        <f>+[2]称号計算!I153</f>
        <v>0.46529999999999999</v>
      </c>
      <c r="D148" s="5">
        <f>+[2]称号計算!J153</f>
        <v>0.55830000000000002</v>
      </c>
      <c r="E148" s="5">
        <f>+[2]称号計算!K153</f>
        <v>7.3999999999999996E-2</v>
      </c>
      <c r="F148" s="5">
        <f>+[2]称号計算!L153</f>
        <v>1.0573999999999999</v>
      </c>
      <c r="G148" s="5">
        <f>+[2]称号計算!M153</f>
        <v>0.34510000000000002</v>
      </c>
      <c r="H148" s="13">
        <f>+[2]称号計算!N153</f>
        <v>0.36670000000000003</v>
      </c>
      <c r="I148" s="27">
        <f>+[2]称号計算!O153</f>
        <v>0.2094</v>
      </c>
      <c r="J148" s="13">
        <f>+[2]称号計算!P153</f>
        <v>0.25659999999999999</v>
      </c>
      <c r="K148" s="27">
        <f>+[2]称号計算!Q153</f>
        <v>0.1908</v>
      </c>
      <c r="L148" s="5">
        <f>+[2]称号計算!R153</f>
        <v>0.3891</v>
      </c>
      <c r="M148" s="13">
        <f>+[2]称号計算!S153</f>
        <v>0.31680000000000003</v>
      </c>
      <c r="N148" s="27">
        <f>+[2]称号計算!T153</f>
        <v>1.2699999999999999E-2</v>
      </c>
      <c r="O148" s="5">
        <f>+[2]称号計算!U153</f>
        <v>1.2699999999999999E-2</v>
      </c>
      <c r="P148" s="5">
        <f>+[2]称号計算!V153</f>
        <v>1.2699999999999999E-2</v>
      </c>
      <c r="Q148" s="5">
        <f>+[2]称号計算!W153</f>
        <v>1.2699999999999999E-2</v>
      </c>
      <c r="R148" s="5">
        <f>+[2]称号計算!X153</f>
        <v>3.3799999999999997E-2</v>
      </c>
      <c r="S148" s="13">
        <f>+[2]称号計算!Y153</f>
        <v>0.25380000000000003</v>
      </c>
      <c r="T148" s="19">
        <f>+[2]称号計算!Z153</f>
        <v>1.3275999999999999</v>
      </c>
      <c r="U148" s="13">
        <v>0.9</v>
      </c>
    </row>
    <row r="149" spans="1:21">
      <c r="A149" s="12" t="s">
        <v>1060</v>
      </c>
      <c r="B149" s="23" t="s">
        <v>1420</v>
      </c>
      <c r="C149" s="27">
        <f>+[2]称号計算!I154</f>
        <v>0.62250000000000005</v>
      </c>
      <c r="D149" s="5">
        <f>+[2]称号計算!J154</f>
        <v>0.20749999999999999</v>
      </c>
      <c r="E149" s="5">
        <f>+[2]称号計算!K154</f>
        <v>1.0481</v>
      </c>
      <c r="F149" s="5">
        <f>+[2]称号計算!L154</f>
        <v>0.1048</v>
      </c>
      <c r="G149" s="5">
        <f>+[2]称号計算!M154</f>
        <v>0.49890000000000001</v>
      </c>
      <c r="H149" s="13">
        <f>+[2]称号計算!N154</f>
        <v>0.35630000000000001</v>
      </c>
      <c r="I149" s="27">
        <f>+[2]称号計算!O154</f>
        <v>0.36890000000000001</v>
      </c>
      <c r="J149" s="13">
        <f>+[2]称号計算!P154</f>
        <v>0.29070000000000001</v>
      </c>
      <c r="K149" s="27">
        <f>+[2]称号計算!Q154</f>
        <v>0.249</v>
      </c>
      <c r="L149" s="5">
        <f>+[2]称号計算!R154</f>
        <v>0.44019999999999998</v>
      </c>
      <c r="M149" s="13">
        <f>+[2]称号計算!S154</f>
        <v>0.23480000000000001</v>
      </c>
      <c r="N149" s="27">
        <f>+[2]称号計算!T154</f>
        <v>1.11E-2</v>
      </c>
      <c r="O149" s="5">
        <f>+[2]称号計算!U154</f>
        <v>1.11E-2</v>
      </c>
      <c r="P149" s="5">
        <f>+[2]称号計算!V154</f>
        <v>1.11E-2</v>
      </c>
      <c r="Q149" s="5">
        <f>+[2]称号計算!W154</f>
        <v>1.11E-2</v>
      </c>
      <c r="R149" s="5">
        <f>+[2]称号計算!X154</f>
        <v>2.9700000000000001E-2</v>
      </c>
      <c r="S149" s="13">
        <f>+[2]称号計算!Y154</f>
        <v>0.22289999999999999</v>
      </c>
      <c r="T149" s="19">
        <f>+[2]称号計算!Z154</f>
        <v>1.5476000000000001</v>
      </c>
      <c r="U149" s="13">
        <v>0.55000000000000004</v>
      </c>
    </row>
    <row r="150" spans="1:21">
      <c r="A150" s="12" t="s">
        <v>1061</v>
      </c>
      <c r="B150" s="23" t="s">
        <v>1421</v>
      </c>
      <c r="C150" s="27">
        <f>+[2]称号計算!I155</f>
        <v>0.39240000000000003</v>
      </c>
      <c r="D150" s="5">
        <f>+[2]称号計算!J155</f>
        <v>0.184</v>
      </c>
      <c r="E150" s="5">
        <f>+[2]称号計算!K155</f>
        <v>1.1149</v>
      </c>
      <c r="F150" s="5">
        <f>+[2]称号計算!L155</f>
        <v>8.4699999999999998E-2</v>
      </c>
      <c r="G150" s="5">
        <f>+[2]称号計算!M155</f>
        <v>0.31080000000000002</v>
      </c>
      <c r="H150" s="13">
        <f>+[2]称号計算!N155</f>
        <v>0.28810000000000002</v>
      </c>
      <c r="I150" s="27">
        <f>+[2]称号計算!O155</f>
        <v>0.63770000000000004</v>
      </c>
      <c r="J150" s="13">
        <f>+[2]称号計算!P155</f>
        <v>0.32850000000000001</v>
      </c>
      <c r="K150" s="27">
        <f>+[2]称号計算!Q155</f>
        <v>0.29430000000000001</v>
      </c>
      <c r="L150" s="5">
        <f>+[2]称号計算!R155</f>
        <v>0.47270000000000001</v>
      </c>
      <c r="M150" s="13">
        <f>+[2]称号計算!S155</f>
        <v>0.50570000000000004</v>
      </c>
      <c r="N150" s="27">
        <f>+[2]称号計算!T155</f>
        <v>7.6E-3</v>
      </c>
      <c r="O150" s="5">
        <f>+[2]称号計算!U155</f>
        <v>7.6E-3</v>
      </c>
      <c r="P150" s="5">
        <f>+[2]称号計算!V155</f>
        <v>7.6E-3</v>
      </c>
      <c r="Q150" s="5">
        <f>+[2]称号計算!W155</f>
        <v>7.6E-3</v>
      </c>
      <c r="R150" s="5">
        <f>+[2]称号計算!X155</f>
        <v>2.0199999999999999E-2</v>
      </c>
      <c r="S150" s="13">
        <f>+[2]称号計算!Y155</f>
        <v>0.15129999999999999</v>
      </c>
      <c r="T150" s="19">
        <f>+[2]称号計算!Z155</f>
        <v>1.6918</v>
      </c>
      <c r="U150" s="13">
        <v>0.5</v>
      </c>
    </row>
    <row r="151" spans="1:21" ht="19.5" thickBot="1">
      <c r="A151" s="14" t="s">
        <v>1062</v>
      </c>
      <c r="B151" s="24" t="s">
        <v>1422</v>
      </c>
      <c r="C151" s="28">
        <f>+[2]称号計算!I156</f>
        <v>0.31730000000000003</v>
      </c>
      <c r="D151" s="15">
        <f>+[2]称号計算!J156</f>
        <v>0.51290000000000002</v>
      </c>
      <c r="E151" s="15">
        <f>+[2]称号計算!K156</f>
        <v>5.5300000000000002E-2</v>
      </c>
      <c r="F151" s="15">
        <f>+[2]称号計算!L156</f>
        <v>0.98799999999999999</v>
      </c>
      <c r="G151" s="15">
        <f>+[2]称号計算!M156</f>
        <v>0.2586</v>
      </c>
      <c r="H151" s="16">
        <f>+[2]称号計算!N156</f>
        <v>0.28549999999999998</v>
      </c>
      <c r="I151" s="28">
        <f>+[2]称号計算!O156</f>
        <v>1.1302000000000001</v>
      </c>
      <c r="J151" s="16">
        <f>+[2]称号計算!P156</f>
        <v>0.33389999999999997</v>
      </c>
      <c r="K151" s="28">
        <f>+[2]称号計算!Q156</f>
        <v>0.23910000000000001</v>
      </c>
      <c r="L151" s="15">
        <f>+[2]称号計算!R156</f>
        <v>0.37540000000000001</v>
      </c>
      <c r="M151" s="16">
        <f>+[2]称号計算!S156</f>
        <v>0.30980000000000002</v>
      </c>
      <c r="N151" s="28">
        <f>+[2]称号計算!T156</f>
        <v>7.7000000000000002E-3</v>
      </c>
      <c r="O151" s="15">
        <f>+[2]称号計算!U156</f>
        <v>7.7000000000000002E-3</v>
      </c>
      <c r="P151" s="15">
        <f>+[2]称号計算!V156</f>
        <v>7.7000000000000002E-3</v>
      </c>
      <c r="Q151" s="15">
        <f>+[2]称号計算!W156</f>
        <v>7.7000000000000002E-3</v>
      </c>
      <c r="R151" s="15">
        <f>+[2]称号計算!X156</f>
        <v>2.0500000000000001E-2</v>
      </c>
      <c r="S151" s="16">
        <f>+[2]称号計算!Y156</f>
        <v>0.15379999999999999</v>
      </c>
      <c r="T151" s="20">
        <f>+[2]称号計算!Z156</f>
        <v>1.6955</v>
      </c>
      <c r="U151" s="16">
        <v>0.25</v>
      </c>
    </row>
    <row r="152" spans="1:21">
      <c r="A152" s="9" t="s">
        <v>1063</v>
      </c>
      <c r="B152" s="22" t="s">
        <v>1423</v>
      </c>
      <c r="C152" s="26">
        <f>+[2]称号計算!I157</f>
        <v>0.26319999999999999</v>
      </c>
      <c r="D152" s="10">
        <f>+[2]称号計算!J157</f>
        <v>0.35399999999999998</v>
      </c>
      <c r="E152" s="10">
        <f>+[2]称号計算!K157</f>
        <v>5.16E-2</v>
      </c>
      <c r="F152" s="10">
        <f>+[2]称号計算!L157</f>
        <v>1.0313000000000001</v>
      </c>
      <c r="G152" s="10">
        <f>+[2]称号計算!M157</f>
        <v>0.22439999999999999</v>
      </c>
      <c r="H152" s="11">
        <f>+[2]称号計算!N157</f>
        <v>0.22789999999999999</v>
      </c>
      <c r="I152" s="26">
        <f>+[2]称号計算!O157</f>
        <v>0.36299999999999999</v>
      </c>
      <c r="J152" s="11">
        <f>+[2]称号計算!P157</f>
        <v>0.27710000000000001</v>
      </c>
      <c r="K152" s="26">
        <f>+[2]称号計算!Q157</f>
        <v>0.38119999999999998</v>
      </c>
      <c r="L152" s="10">
        <f>+[2]称号計算!R157</f>
        <v>0.5363</v>
      </c>
      <c r="M152" s="11">
        <f>+[2]称号計算!S157</f>
        <v>0.2888</v>
      </c>
      <c r="N152" s="26">
        <f>+[2]称号計算!T157</f>
        <v>5.1000000000000004E-3</v>
      </c>
      <c r="O152" s="10">
        <f>+[2]称号計算!U157</f>
        <v>5.1000000000000004E-3</v>
      </c>
      <c r="P152" s="10">
        <f>+[2]称号計算!V157</f>
        <v>5.1000000000000004E-3</v>
      </c>
      <c r="Q152" s="10">
        <f>+[2]称号計算!W157</f>
        <v>5.1000000000000004E-3</v>
      </c>
      <c r="R152" s="10">
        <f>+[2]称号計算!X157</f>
        <v>1.3599999999999999E-2</v>
      </c>
      <c r="S152" s="11">
        <f>+[2]称号計算!Y157</f>
        <v>0.1024</v>
      </c>
      <c r="T152" s="18">
        <f>+[2]称号計算!Z157</f>
        <v>1.7327999999999999</v>
      </c>
      <c r="U152" s="11">
        <v>1</v>
      </c>
    </row>
    <row r="153" spans="1:21">
      <c r="A153" s="12" t="s">
        <v>1064</v>
      </c>
      <c r="B153" s="23" t="s">
        <v>1424</v>
      </c>
      <c r="C153" s="27">
        <f>+[2]称号計算!I158</f>
        <v>0.47710000000000002</v>
      </c>
      <c r="D153" s="5">
        <f>+[2]称号計算!J158</f>
        <v>0.57509999999999994</v>
      </c>
      <c r="E153" s="5">
        <f>+[2]称号計算!K158</f>
        <v>6.3899999999999998E-2</v>
      </c>
      <c r="F153" s="5">
        <f>+[2]称号計算!L158</f>
        <v>0.96819999999999995</v>
      </c>
      <c r="G153" s="5">
        <f>+[2]称号計算!M158</f>
        <v>0.64190000000000003</v>
      </c>
      <c r="H153" s="13">
        <f>+[2]称号計算!N158</f>
        <v>0.23699999999999999</v>
      </c>
      <c r="I153" s="27">
        <f>+[2]称号計算!O158</f>
        <v>0.23430000000000001</v>
      </c>
      <c r="J153" s="13">
        <f>+[2]称号計算!P158</f>
        <v>0.25169999999999998</v>
      </c>
      <c r="K153" s="27">
        <f>+[2]称号計算!Q158</f>
        <v>0.15759999999999999</v>
      </c>
      <c r="L153" s="5">
        <f>+[2]称号計算!R158</f>
        <v>0.33689999999999998</v>
      </c>
      <c r="M153" s="13">
        <f>+[2]称号計算!S158</f>
        <v>0.25480000000000003</v>
      </c>
      <c r="N153" s="27">
        <f>+[2]称号計算!T158</f>
        <v>1.41E-2</v>
      </c>
      <c r="O153" s="5">
        <f>+[2]称号計算!U158</f>
        <v>1.41E-2</v>
      </c>
      <c r="P153" s="5">
        <f>+[2]称号計算!V158</f>
        <v>5.2900000000000003E-2</v>
      </c>
      <c r="Q153" s="5">
        <f>+[2]称号計算!W158</f>
        <v>0.21160000000000001</v>
      </c>
      <c r="R153" s="5">
        <f>+[2]称号計算!X158</f>
        <v>1.06E-2</v>
      </c>
      <c r="S153" s="13">
        <f>+[2]称号計算!Y158</f>
        <v>1.06E-2</v>
      </c>
      <c r="T153" s="19">
        <f>+[2]称号計算!Z158</f>
        <v>1.2713000000000001</v>
      </c>
      <c r="U153" s="13">
        <v>1</v>
      </c>
    </row>
    <row r="154" spans="1:21">
      <c r="A154" s="12" t="s">
        <v>1065</v>
      </c>
      <c r="B154" s="23" t="s">
        <v>1425</v>
      </c>
      <c r="C154" s="27">
        <f>+[2]称号計算!I159</f>
        <v>0.4153</v>
      </c>
      <c r="D154" s="5">
        <f>+[2]称号計算!J159</f>
        <v>0.45579999999999998</v>
      </c>
      <c r="E154" s="5">
        <f>+[2]称号計算!K159</f>
        <v>0.11509999999999999</v>
      </c>
      <c r="F154" s="5">
        <f>+[2]称号計算!L159</f>
        <v>1.1509</v>
      </c>
      <c r="G154" s="5">
        <f>+[2]称号計算!M159</f>
        <v>0.33260000000000001</v>
      </c>
      <c r="H154" s="13">
        <f>+[2]称号計算!N159</f>
        <v>0.39129999999999998</v>
      </c>
      <c r="I154" s="27">
        <f>+[2]称号計算!O159</f>
        <v>0.25319999999999998</v>
      </c>
      <c r="J154" s="13">
        <f>+[2]称号計算!P159</f>
        <v>0.29920000000000002</v>
      </c>
      <c r="K154" s="27">
        <f>+[2]称号計算!Q159</f>
        <v>0.2026</v>
      </c>
      <c r="L154" s="5">
        <f>+[2]称号計算!R159</f>
        <v>0.46039999999999998</v>
      </c>
      <c r="M154" s="13">
        <f>+[2]称号計算!S159</f>
        <v>0.32229999999999998</v>
      </c>
      <c r="N154" s="27">
        <f>+[2]称号計算!T159</f>
        <v>1.0800000000000001E-2</v>
      </c>
      <c r="O154" s="5">
        <f>+[2]称号計算!U159</f>
        <v>1.0800000000000001E-2</v>
      </c>
      <c r="P154" s="5">
        <f>+[2]称号計算!V159</f>
        <v>4.0500000000000001E-2</v>
      </c>
      <c r="Q154" s="5">
        <f>+[2]称号計算!W159</f>
        <v>0.16189999999999999</v>
      </c>
      <c r="R154" s="5">
        <f>+[2]称号計算!X159</f>
        <v>8.0999999999999996E-3</v>
      </c>
      <c r="S154" s="13">
        <f>+[2]称号計算!Y159</f>
        <v>8.0999999999999996E-3</v>
      </c>
      <c r="T154" s="19">
        <f>+[2]称号計算!Z159</f>
        <v>1.3685</v>
      </c>
      <c r="U154" s="13">
        <v>0.9</v>
      </c>
    </row>
    <row r="155" spans="1:21">
      <c r="A155" s="12" t="s">
        <v>1066</v>
      </c>
      <c r="B155" s="23" t="s">
        <v>1426</v>
      </c>
      <c r="C155" s="27">
        <f>+[2]称号計算!I160</f>
        <v>0.68069999999999997</v>
      </c>
      <c r="D155" s="5">
        <f>+[2]称号計算!J160</f>
        <v>0.18759999999999999</v>
      </c>
      <c r="E155" s="5">
        <f>+[2]称号計算!K160</f>
        <v>1.2181</v>
      </c>
      <c r="F155" s="5">
        <f>+[2]称号計算!L160</f>
        <v>7.9200000000000007E-2</v>
      </c>
      <c r="G155" s="5">
        <f>+[2]称号計算!M160</f>
        <v>0.43490000000000001</v>
      </c>
      <c r="H155" s="13">
        <f>+[2]称号計算!N160</f>
        <v>0.36449999999999999</v>
      </c>
      <c r="I155" s="27">
        <f>+[2]称号計算!O160</f>
        <v>0.3216</v>
      </c>
      <c r="J155" s="13">
        <f>+[2]称号計算!P160</f>
        <v>0.45400000000000001</v>
      </c>
      <c r="K155" s="27">
        <f>+[2]称号計算!Q160</f>
        <v>0.1769</v>
      </c>
      <c r="L155" s="5">
        <f>+[2]称号計算!R160</f>
        <v>0.25819999999999999</v>
      </c>
      <c r="M155" s="13">
        <f>+[2]称号計算!S160</f>
        <v>0.4229</v>
      </c>
      <c r="N155" s="27">
        <f>+[2]称号計算!T160</f>
        <v>1.0999999999999999E-2</v>
      </c>
      <c r="O155" s="5">
        <f>+[2]称号計算!U160</f>
        <v>1.0999999999999999E-2</v>
      </c>
      <c r="P155" s="5">
        <f>+[2]称号計算!V160</f>
        <v>4.1399999999999999E-2</v>
      </c>
      <c r="Q155" s="5">
        <f>+[2]称号計算!W160</f>
        <v>0.16550000000000001</v>
      </c>
      <c r="R155" s="5">
        <f>+[2]称号計算!X160</f>
        <v>8.3000000000000001E-3</v>
      </c>
      <c r="S155" s="13">
        <f>+[2]称号計算!Y160</f>
        <v>8.3000000000000001E-3</v>
      </c>
      <c r="T155" s="19">
        <f>+[2]称号計算!Z160</f>
        <v>1.3411999999999999</v>
      </c>
      <c r="U155" s="13">
        <v>0.55000000000000004</v>
      </c>
    </row>
    <row r="156" spans="1:21">
      <c r="A156" s="12" t="s">
        <v>1067</v>
      </c>
      <c r="B156" s="23" t="s">
        <v>1427</v>
      </c>
      <c r="C156" s="27">
        <f>+[2]称号計算!I161</f>
        <v>0.48909999999999998</v>
      </c>
      <c r="D156" s="5">
        <f>+[2]称号計算!J161</f>
        <v>0.23930000000000001</v>
      </c>
      <c r="E156" s="5">
        <f>+[2]称号計算!K161</f>
        <v>1.2082999999999999</v>
      </c>
      <c r="F156" s="5">
        <f>+[2]称号計算!L161</f>
        <v>9.6699999999999994E-2</v>
      </c>
      <c r="G156" s="5">
        <f>+[2]称号計算!M161</f>
        <v>0.378</v>
      </c>
      <c r="H156" s="13">
        <f>+[2]称号計算!N161</f>
        <v>0.34920000000000001</v>
      </c>
      <c r="I156" s="27">
        <f>+[2]称号計算!O161</f>
        <v>0.37219999999999998</v>
      </c>
      <c r="J156" s="13">
        <f>+[2]称号計算!P161</f>
        <v>0.33510000000000001</v>
      </c>
      <c r="K156" s="27">
        <f>+[2]称号計算!Q161</f>
        <v>0.26050000000000001</v>
      </c>
      <c r="L156" s="5">
        <f>+[2]称号計算!R161</f>
        <v>0.45429999999999998</v>
      </c>
      <c r="M156" s="13">
        <f>+[2]称号計算!S161</f>
        <v>0.61580000000000001</v>
      </c>
      <c r="N156" s="27">
        <f>+[2]称号計算!T161</f>
        <v>8.3000000000000001E-3</v>
      </c>
      <c r="O156" s="5">
        <f>+[2]称号計算!U161</f>
        <v>8.3000000000000001E-3</v>
      </c>
      <c r="P156" s="5">
        <f>+[2]称号計算!V161</f>
        <v>8.3000000000000001E-3</v>
      </c>
      <c r="Q156" s="5">
        <f>+[2]称号計算!W161</f>
        <v>8.3000000000000001E-3</v>
      </c>
      <c r="R156" s="5">
        <f>+[2]称号計算!X161</f>
        <v>2.1999999999999999E-2</v>
      </c>
      <c r="S156" s="13">
        <f>+[2]称号計算!Y161</f>
        <v>0.1651</v>
      </c>
      <c r="T156" s="19">
        <f>+[2]称号計算!Z161</f>
        <v>1.6128</v>
      </c>
      <c r="U156" s="13">
        <v>0.5</v>
      </c>
    </row>
    <row r="157" spans="1:21" ht="19.5" thickBot="1">
      <c r="A157" s="14" t="s">
        <v>1068</v>
      </c>
      <c r="B157" s="24" t="s">
        <v>1428</v>
      </c>
      <c r="C157" s="28">
        <f>+[2]称号計算!I162</f>
        <v>0.47060000000000002</v>
      </c>
      <c r="D157" s="15">
        <f>+[2]称号計算!J162</f>
        <v>0.50239999999999996</v>
      </c>
      <c r="E157" s="15">
        <f>+[2]称号計算!K162</f>
        <v>7.2099999999999997E-2</v>
      </c>
      <c r="F157" s="15">
        <f>+[2]称号計算!L162</f>
        <v>1.2018</v>
      </c>
      <c r="G157" s="15">
        <f>+[2]称号計算!M162</f>
        <v>0.37590000000000001</v>
      </c>
      <c r="H157" s="16">
        <f>+[2]称号計算!N162</f>
        <v>0.37180000000000002</v>
      </c>
      <c r="I157" s="28">
        <f>+[2]称号計算!O162</f>
        <v>0.39660000000000001</v>
      </c>
      <c r="J157" s="16">
        <f>+[2]称号計算!P162</f>
        <v>0.3125</v>
      </c>
      <c r="K157" s="28">
        <f>+[2]称号計算!Q162</f>
        <v>0.32790000000000002</v>
      </c>
      <c r="L157" s="15">
        <f>+[2]称号計算!R162</f>
        <v>0.55279999999999996</v>
      </c>
      <c r="M157" s="16">
        <f>+[2]称号計算!S162</f>
        <v>0.41389999999999999</v>
      </c>
      <c r="N157" s="28">
        <f>+[2]称号計算!T162</f>
        <v>1.2800000000000001E-2</v>
      </c>
      <c r="O157" s="15">
        <f>+[2]称号計算!U162</f>
        <v>1.2800000000000001E-2</v>
      </c>
      <c r="P157" s="15">
        <f>+[2]称号計算!V162</f>
        <v>4.8000000000000001E-2</v>
      </c>
      <c r="Q157" s="15">
        <f>+[2]称号計算!W162</f>
        <v>0.19189999999999999</v>
      </c>
      <c r="R157" s="15">
        <f>+[2]称号計算!X162</f>
        <v>9.5999999999999992E-3</v>
      </c>
      <c r="S157" s="16">
        <f>+[2]称号計算!Y162</f>
        <v>9.5999999999999992E-3</v>
      </c>
      <c r="T157" s="20">
        <f>+[2]称号計算!Z162</f>
        <v>3.1101000000000001</v>
      </c>
      <c r="U157" s="16">
        <v>0.25</v>
      </c>
    </row>
    <row r="158" spans="1:21">
      <c r="A158" s="9" t="s">
        <v>1069</v>
      </c>
      <c r="B158" s="22" t="s">
        <v>1429</v>
      </c>
      <c r="C158" s="26">
        <f>+[2]称号計算!I163</f>
        <v>0.43009999999999998</v>
      </c>
      <c r="D158" s="10">
        <f>+[2]称号計算!J163</f>
        <v>0.71009999999999995</v>
      </c>
      <c r="E158" s="10">
        <f>+[2]称号計算!K163</f>
        <v>5.9900000000000002E-2</v>
      </c>
      <c r="F158" s="10">
        <f>+[2]称号計算!L163</f>
        <v>0.92220000000000002</v>
      </c>
      <c r="G158" s="10">
        <f>+[2]称号計算!M163</f>
        <v>0.2414</v>
      </c>
      <c r="H158" s="11">
        <f>+[2]称号計算!N163</f>
        <v>0.64280000000000004</v>
      </c>
      <c r="I158" s="26">
        <f>+[2]称号計算!O163</f>
        <v>0.18260000000000001</v>
      </c>
      <c r="J158" s="11">
        <f>+[2]称号計算!P163</f>
        <v>0.23180000000000001</v>
      </c>
      <c r="K158" s="26">
        <f>+[2]称号計算!Q163</f>
        <v>0.1542</v>
      </c>
      <c r="L158" s="10">
        <f>+[2]称号計算!R163</f>
        <v>0.30990000000000001</v>
      </c>
      <c r="M158" s="11">
        <f>+[2]称号計算!S163</f>
        <v>0.2737</v>
      </c>
      <c r="N158" s="26">
        <f>+[2]称号計算!T163</f>
        <v>4.5199999999999997E-2</v>
      </c>
      <c r="O158" s="10">
        <f>+[2]称号計算!U163</f>
        <v>0.22620000000000001</v>
      </c>
      <c r="P158" s="10">
        <f>+[2]称号計算!V163</f>
        <v>1.5100000000000001E-2</v>
      </c>
      <c r="Q158" s="10">
        <f>+[2]称号計算!W163</f>
        <v>1.5100000000000001E-2</v>
      </c>
      <c r="R158" s="10">
        <f>+[2]称号計算!X163</f>
        <v>1.1299999999999999E-2</v>
      </c>
      <c r="S158" s="11">
        <f>+[2]称号計算!Y163</f>
        <v>1.1299999999999999E-2</v>
      </c>
      <c r="T158" s="18">
        <f>+[2]称号計算!Z163</f>
        <v>1.2706999999999999</v>
      </c>
      <c r="U158" s="11">
        <v>1</v>
      </c>
    </row>
    <row r="159" spans="1:21">
      <c r="A159" s="12" t="s">
        <v>1070</v>
      </c>
      <c r="B159" s="23" t="s">
        <v>1430</v>
      </c>
      <c r="C159" s="27">
        <f>+[2]称号計算!I164</f>
        <v>0.2321</v>
      </c>
      <c r="D159" s="5">
        <f>+[2]称号計算!J164</f>
        <v>0.63290000000000002</v>
      </c>
      <c r="E159" s="5">
        <f>+[2]称号計算!K164</f>
        <v>7.6700000000000004E-2</v>
      </c>
      <c r="F159" s="5">
        <f>+[2]称号計算!L164</f>
        <v>0.95889999999999997</v>
      </c>
      <c r="G159" s="5">
        <f>+[2]称号計算!M164</f>
        <v>0.4728</v>
      </c>
      <c r="H159" s="13">
        <f>+[2]称号計算!N164</f>
        <v>0.73360000000000003</v>
      </c>
      <c r="I159" s="27">
        <f>+[2]称号計算!O164</f>
        <v>0.16880000000000001</v>
      </c>
      <c r="J159" s="13">
        <f>+[2]称号計算!P164</f>
        <v>0.22939999999999999</v>
      </c>
      <c r="K159" s="27">
        <f>+[2]称号計算!Q164</f>
        <v>0.1857</v>
      </c>
      <c r="L159" s="5">
        <f>+[2]称号計算!R164</f>
        <v>0.33750000000000002</v>
      </c>
      <c r="M159" s="13">
        <f>+[2]称号計算!S164</f>
        <v>0.33829999999999999</v>
      </c>
      <c r="N159" s="27">
        <f>+[2]称号計算!T164</f>
        <v>5.2400000000000002E-2</v>
      </c>
      <c r="O159" s="5">
        <f>+[2]称号計算!U164</f>
        <v>0.26200000000000001</v>
      </c>
      <c r="P159" s="5">
        <f>+[2]称号計算!V164</f>
        <v>1.7500000000000002E-2</v>
      </c>
      <c r="Q159" s="5">
        <f>+[2]称号計算!W164</f>
        <v>1.7500000000000002E-2</v>
      </c>
      <c r="R159" s="5">
        <f>+[2]称号計算!X164</f>
        <v>1.3100000000000001E-2</v>
      </c>
      <c r="S159" s="13">
        <f>+[2]称号計算!Y164</f>
        <v>1.3100000000000001E-2</v>
      </c>
      <c r="T159" s="19">
        <f>+[2]称号計算!Z164</f>
        <v>1.407</v>
      </c>
      <c r="U159" s="13">
        <v>1</v>
      </c>
    </row>
    <row r="160" spans="1:21">
      <c r="A160" s="12" t="s">
        <v>1071</v>
      </c>
      <c r="B160" s="23" t="s">
        <v>1431</v>
      </c>
      <c r="C160" s="27">
        <f>+[2]称号計算!I165</f>
        <v>0.46600000000000003</v>
      </c>
      <c r="D160" s="5">
        <f>+[2]称号計算!J165</f>
        <v>0.67569999999999997</v>
      </c>
      <c r="E160" s="5">
        <f>+[2]称号計算!K165</f>
        <v>0.10589999999999999</v>
      </c>
      <c r="F160" s="5">
        <f>+[2]称号計算!L165</f>
        <v>1.0590999999999999</v>
      </c>
      <c r="G160" s="5">
        <f>+[2]称号計算!M165</f>
        <v>0.36009999999999998</v>
      </c>
      <c r="H160" s="13">
        <f>+[2]称号計算!N165</f>
        <v>0.43209999999999998</v>
      </c>
      <c r="I160" s="27">
        <f>+[2]称号計算!O165</f>
        <v>0.27960000000000002</v>
      </c>
      <c r="J160" s="13">
        <f>+[2]称号計算!P165</f>
        <v>0.25700000000000001</v>
      </c>
      <c r="K160" s="27">
        <f>+[2]称号計算!Q165</f>
        <v>0.19570000000000001</v>
      </c>
      <c r="L160" s="5">
        <f>+[2]称号計算!R165</f>
        <v>0.40239999999999998</v>
      </c>
      <c r="M160" s="13">
        <f>+[2]称号計算!S165</f>
        <v>0.34100000000000003</v>
      </c>
      <c r="N160" s="27">
        <f>+[2]称号計算!T165</f>
        <v>4.1000000000000002E-2</v>
      </c>
      <c r="O160" s="5">
        <f>+[2]称号計算!U165</f>
        <v>0.2049</v>
      </c>
      <c r="P160" s="5">
        <f>+[2]称号計算!V165</f>
        <v>1.37E-2</v>
      </c>
      <c r="Q160" s="5">
        <f>+[2]称号計算!W165</f>
        <v>1.37E-2</v>
      </c>
      <c r="R160" s="5">
        <f>+[2]称号計算!X165</f>
        <v>1.0200000000000001E-2</v>
      </c>
      <c r="S160" s="13">
        <f>+[2]称号計算!Y165</f>
        <v>1.0200000000000001E-2</v>
      </c>
      <c r="T160" s="19">
        <f>+[2]称号計算!Z165</f>
        <v>1.4486000000000001</v>
      </c>
      <c r="U160" s="13">
        <v>0.9</v>
      </c>
    </row>
    <row r="161" spans="1:21">
      <c r="A161" s="12" t="s">
        <v>1072</v>
      </c>
      <c r="B161" s="23" t="s">
        <v>1432</v>
      </c>
      <c r="C161" s="27">
        <f>+[2]称号計算!I166</f>
        <v>0.64890000000000003</v>
      </c>
      <c r="D161" s="5">
        <f>+[2]称号計算!J166</f>
        <v>0.28870000000000001</v>
      </c>
      <c r="E161" s="5">
        <f>+[2]称号計算!K166</f>
        <v>1.2499</v>
      </c>
      <c r="F161" s="5">
        <f>+[2]称号計算!L166</f>
        <v>8.7499999999999994E-2</v>
      </c>
      <c r="G161" s="5">
        <f>+[2]称号計算!M166</f>
        <v>0.4844</v>
      </c>
      <c r="H161" s="13">
        <f>+[2]称号計算!N166</f>
        <v>0.4844</v>
      </c>
      <c r="I161" s="27">
        <f>+[2]称号計算!O166</f>
        <v>0.22</v>
      </c>
      <c r="J161" s="13">
        <f>+[2]称号計算!P166</f>
        <v>0.30980000000000002</v>
      </c>
      <c r="K161" s="27">
        <f>+[2]称号計算!Q166</f>
        <v>0.23649999999999999</v>
      </c>
      <c r="L161" s="5">
        <f>+[2]称号計算!R166</f>
        <v>0.43990000000000001</v>
      </c>
      <c r="M161" s="13">
        <f>+[2]称号計算!S166</f>
        <v>0.33250000000000002</v>
      </c>
      <c r="N161" s="27">
        <f>+[2]称号計算!T166</f>
        <v>5.74E-2</v>
      </c>
      <c r="O161" s="5">
        <f>+[2]称号計算!U166</f>
        <v>0.28699999999999998</v>
      </c>
      <c r="P161" s="5">
        <f>+[2]称号計算!V166</f>
        <v>1.9099999999999999E-2</v>
      </c>
      <c r="Q161" s="5">
        <f>+[2]称号計算!W166</f>
        <v>1.9099999999999999E-2</v>
      </c>
      <c r="R161" s="5">
        <f>+[2]称号計算!X166</f>
        <v>1.43E-2</v>
      </c>
      <c r="S161" s="13">
        <f>+[2]称号計算!Y166</f>
        <v>1.43E-2</v>
      </c>
      <c r="T161" s="19">
        <f>+[2]称号計算!Z166</f>
        <v>1.5277000000000001</v>
      </c>
      <c r="U161" s="13">
        <v>0.55000000000000004</v>
      </c>
    </row>
    <row r="162" spans="1:21">
      <c r="A162" s="12" t="s">
        <v>1073</v>
      </c>
      <c r="B162" s="23" t="s">
        <v>1433</v>
      </c>
      <c r="C162" s="27">
        <f>+[2]称号計算!I167</f>
        <v>0.41139999999999999</v>
      </c>
      <c r="D162" s="5">
        <f>+[2]称号計算!J167</f>
        <v>0.17019999999999999</v>
      </c>
      <c r="E162" s="5">
        <f>+[2]称号計算!K167</f>
        <v>1.0746</v>
      </c>
      <c r="F162" s="5">
        <f>+[2]称号計算!L167</f>
        <v>6.9900000000000004E-2</v>
      </c>
      <c r="G162" s="5">
        <f>+[2]称号計算!M167</f>
        <v>0.31419999999999998</v>
      </c>
      <c r="H162" s="13">
        <f>+[2]称号計算!N167</f>
        <v>0.28129999999999999</v>
      </c>
      <c r="I162" s="27">
        <f>+[2]称号計算!O167</f>
        <v>1.2766999999999999</v>
      </c>
      <c r="J162" s="13">
        <f>+[2]称号計算!P167</f>
        <v>0.37809999999999999</v>
      </c>
      <c r="K162" s="27">
        <f>+[2]称号計算!Q167</f>
        <v>0.2601</v>
      </c>
      <c r="L162" s="5">
        <f>+[2]称号計算!R167</f>
        <v>0.44700000000000001</v>
      </c>
      <c r="M162" s="13">
        <f>+[2]称号計算!S167</f>
        <v>0.30690000000000001</v>
      </c>
      <c r="N162" s="27">
        <f>+[2]称号計算!T167</f>
        <v>3.0300000000000001E-2</v>
      </c>
      <c r="O162" s="5">
        <f>+[2]称号計算!U167</f>
        <v>0.1517</v>
      </c>
      <c r="P162" s="5">
        <f>+[2]称号計算!V167</f>
        <v>1.01E-2</v>
      </c>
      <c r="Q162" s="5">
        <f>+[2]称号計算!W167</f>
        <v>1.01E-2</v>
      </c>
      <c r="R162" s="5">
        <f>+[2]称号計算!X167</f>
        <v>7.6E-3</v>
      </c>
      <c r="S162" s="13">
        <f>+[2]称号計算!Y167</f>
        <v>7.6E-3</v>
      </c>
      <c r="T162" s="19">
        <f>+[2]称号計算!Z167</f>
        <v>1.7605</v>
      </c>
      <c r="U162" s="13">
        <v>0.5</v>
      </c>
    </row>
    <row r="163" spans="1:21" ht="19.5" thickBot="1">
      <c r="A163" s="14" t="s">
        <v>1074</v>
      </c>
      <c r="B163" s="24" t="s">
        <v>1434</v>
      </c>
      <c r="C163" s="28">
        <f>+[2]称号計算!I168</f>
        <v>0.53910000000000002</v>
      </c>
      <c r="D163" s="15">
        <f>+[2]称号計算!J168</f>
        <v>0.59309999999999996</v>
      </c>
      <c r="E163" s="15">
        <f>+[2]称号計算!K168</f>
        <v>0.1225</v>
      </c>
      <c r="F163" s="15">
        <f>+[2]称号計算!L168</f>
        <v>1.2253000000000001</v>
      </c>
      <c r="G163" s="15">
        <f>+[2]称号計算!M168</f>
        <v>0.39579999999999999</v>
      </c>
      <c r="H163" s="16">
        <f>+[2]称号計算!N168</f>
        <v>0.45829999999999999</v>
      </c>
      <c r="I163" s="28">
        <f>+[2]称号計算!O168</f>
        <v>0.37740000000000001</v>
      </c>
      <c r="J163" s="16">
        <f>+[2]称号計算!P168</f>
        <v>0.32919999999999999</v>
      </c>
      <c r="K163" s="28">
        <f>+[2]称号計算!Q168</f>
        <v>0.248</v>
      </c>
      <c r="L163" s="15">
        <f>+[2]称号計算!R168</f>
        <v>0.53910000000000002</v>
      </c>
      <c r="M163" s="16">
        <f>+[2]称号計算!S168</f>
        <v>0.3705</v>
      </c>
      <c r="N163" s="28">
        <f>+[2]称号計算!T168</f>
        <v>1.2200000000000001E-2</v>
      </c>
      <c r="O163" s="15">
        <f>+[2]称号計算!U168</f>
        <v>1.2200000000000001E-2</v>
      </c>
      <c r="P163" s="15">
        <f>+[2]称号計算!V168</f>
        <v>0.183</v>
      </c>
      <c r="Q163" s="15">
        <f>+[2]称号計算!W168</f>
        <v>4.5699999999999998E-2</v>
      </c>
      <c r="R163" s="15">
        <f>+[2]称号計算!X168</f>
        <v>9.1000000000000004E-3</v>
      </c>
      <c r="S163" s="16">
        <f>+[2]称号計算!Y168</f>
        <v>9.1000000000000004E-3</v>
      </c>
      <c r="T163" s="20">
        <f>+[2]称号計算!Z168</f>
        <v>1.7039</v>
      </c>
      <c r="U163" s="16">
        <v>0.25</v>
      </c>
    </row>
    <row r="164" spans="1:21">
      <c r="A164" s="9" t="s">
        <v>1075</v>
      </c>
      <c r="B164" s="22" t="s">
        <v>1435</v>
      </c>
      <c r="C164" s="26">
        <f>+[2]称号計算!I169</f>
        <v>0.5151</v>
      </c>
      <c r="D164" s="10">
        <f>+[2]称号計算!J169</f>
        <v>0.8095</v>
      </c>
      <c r="E164" s="10">
        <f>+[2]称号計算!K169</f>
        <v>7.0199999999999999E-2</v>
      </c>
      <c r="F164" s="10">
        <f>+[2]称号計算!L169</f>
        <v>0.83620000000000005</v>
      </c>
      <c r="G164" s="10">
        <f>+[2]称号計算!M169</f>
        <v>0.27010000000000001</v>
      </c>
      <c r="H164" s="11">
        <f>+[2]称号計算!N169</f>
        <v>0.47760000000000002</v>
      </c>
      <c r="I164" s="26">
        <f>+[2]称号計算!O169</f>
        <v>0.42309999999999998</v>
      </c>
      <c r="J164" s="11">
        <f>+[2]称号計算!P169</f>
        <v>0.28260000000000002</v>
      </c>
      <c r="K164" s="26">
        <f>+[2]称号計算!Q169</f>
        <v>8.8300000000000003E-2</v>
      </c>
      <c r="L164" s="10">
        <f>+[2]称号計算!R169</f>
        <v>0.24079999999999999</v>
      </c>
      <c r="M164" s="11">
        <f>+[2]称号計算!S169</f>
        <v>0.31140000000000001</v>
      </c>
      <c r="N164" s="26">
        <f>+[2]称号計算!T169</f>
        <v>1.14E-2</v>
      </c>
      <c r="O164" s="10">
        <f>+[2]称号計算!U169</f>
        <v>1.14E-2</v>
      </c>
      <c r="P164" s="10">
        <f>+[2]称号計算!V169</f>
        <v>1.14E-2</v>
      </c>
      <c r="Q164" s="10">
        <f>+[2]称号計算!W169</f>
        <v>1.14E-2</v>
      </c>
      <c r="R164" s="10">
        <f>+[2]称号計算!X169</f>
        <v>3.04E-2</v>
      </c>
      <c r="S164" s="11">
        <f>+[2]称号計算!Y169</f>
        <v>0.22839999999999999</v>
      </c>
      <c r="T164" s="18">
        <f>+[2]称号計算!Z169</f>
        <v>1.1533</v>
      </c>
      <c r="U164" s="11">
        <v>1</v>
      </c>
    </row>
    <row r="165" spans="1:21">
      <c r="A165" s="12" t="s">
        <v>1076</v>
      </c>
      <c r="B165" s="23" t="s">
        <v>1436</v>
      </c>
      <c r="C165" s="27">
        <f>+[2]称号計算!I170</f>
        <v>0.37219999999999998</v>
      </c>
      <c r="D165" s="5">
        <f>+[2]称号計算!J170</f>
        <v>0.54869999999999997</v>
      </c>
      <c r="E165" s="5">
        <f>+[2]称号計算!K170</f>
        <v>0.1084</v>
      </c>
      <c r="F165" s="5">
        <f>+[2]称号計算!L170</f>
        <v>1.0844</v>
      </c>
      <c r="G165" s="5">
        <f>+[2]称号計算!M170</f>
        <v>0.27650000000000002</v>
      </c>
      <c r="H165" s="13">
        <f>+[2]称号計算!N170</f>
        <v>0.29499999999999998</v>
      </c>
      <c r="I165" s="27">
        <f>+[2]称号計算!O170</f>
        <v>0.52490000000000003</v>
      </c>
      <c r="J165" s="13">
        <f>+[2]称号計算!P170</f>
        <v>0.31009999999999999</v>
      </c>
      <c r="K165" s="27">
        <f>+[2]称号計算!Q170</f>
        <v>0.2099</v>
      </c>
      <c r="L165" s="5">
        <f>+[2]称号計算!R170</f>
        <v>0.47710000000000002</v>
      </c>
      <c r="M165" s="13">
        <f>+[2]称号計算!S170</f>
        <v>0.33400000000000002</v>
      </c>
      <c r="N165" s="27">
        <f>+[2]称号計算!T170</f>
        <v>7.6E-3</v>
      </c>
      <c r="O165" s="5">
        <f>+[2]称号計算!U170</f>
        <v>7.6E-3</v>
      </c>
      <c r="P165" s="5">
        <f>+[2]称号計算!V170</f>
        <v>7.6E-3</v>
      </c>
      <c r="Q165" s="5">
        <f>+[2]称号計算!W170</f>
        <v>7.6E-3</v>
      </c>
      <c r="R165" s="5">
        <f>+[2]称号計算!X170</f>
        <v>2.0299999999999999E-2</v>
      </c>
      <c r="S165" s="13">
        <f>+[2]称号計算!Y170</f>
        <v>0.15260000000000001</v>
      </c>
      <c r="T165" s="19">
        <f>+[2]称号計算!Z170</f>
        <v>1.4633</v>
      </c>
      <c r="U165" s="13">
        <v>1</v>
      </c>
    </row>
    <row r="166" spans="1:21">
      <c r="A166" s="12" t="s">
        <v>1077</v>
      </c>
      <c r="B166" s="23" t="s">
        <v>1437</v>
      </c>
      <c r="C166" s="27">
        <f>+[2]称号計算!I171</f>
        <v>0.78</v>
      </c>
      <c r="D166" s="5">
        <f>+[2]称号計算!J171</f>
        <v>0.61219999999999997</v>
      </c>
      <c r="E166" s="5">
        <f>+[2]称号計算!K171</f>
        <v>6.7000000000000004E-2</v>
      </c>
      <c r="F166" s="5">
        <f>+[2]称号計算!L171</f>
        <v>1.0306</v>
      </c>
      <c r="G166" s="5">
        <f>+[2]称号計算!M171</f>
        <v>0.57469999999999999</v>
      </c>
      <c r="H166" s="13">
        <f>+[2]称号計算!N171</f>
        <v>0.54310000000000003</v>
      </c>
      <c r="I166" s="27">
        <f>+[2]称号計算!O171</f>
        <v>0.15870000000000001</v>
      </c>
      <c r="J166" s="13">
        <f>+[2]称号計算!P171</f>
        <v>0.25009999999999999</v>
      </c>
      <c r="K166" s="27">
        <f>+[2]称号計算!Q171</f>
        <v>0.13600000000000001</v>
      </c>
      <c r="L166" s="5">
        <f>+[2]称号計算!R171</f>
        <v>0.24729999999999999</v>
      </c>
      <c r="M166" s="13">
        <f>+[2]称号計算!S171</f>
        <v>0.35780000000000001</v>
      </c>
      <c r="N166" s="27">
        <f>+[2]称号計算!T171</f>
        <v>0.28160000000000002</v>
      </c>
      <c r="O166" s="5">
        <f>+[2]称号計算!U171</f>
        <v>5.6300000000000003E-2</v>
      </c>
      <c r="P166" s="5">
        <f>+[2]称号計算!V171</f>
        <v>1.8800000000000001E-2</v>
      </c>
      <c r="Q166" s="5">
        <f>+[2]称号計算!W171</f>
        <v>1.8800000000000001E-2</v>
      </c>
      <c r="R166" s="5">
        <f>+[2]称号計算!X171</f>
        <v>1.41E-2</v>
      </c>
      <c r="S166" s="13">
        <f>+[2]称号計算!Y171</f>
        <v>1.41E-2</v>
      </c>
      <c r="T166" s="19">
        <f>+[2]称号計算!Z171</f>
        <v>1.3480000000000001</v>
      </c>
      <c r="U166" s="13">
        <v>0.9</v>
      </c>
    </row>
    <row r="167" spans="1:21">
      <c r="A167" s="12" t="s">
        <v>1078</v>
      </c>
      <c r="B167" s="23" t="s">
        <v>1438</v>
      </c>
      <c r="C167" s="27">
        <f>+[2]称号計算!I172</f>
        <v>1.1301000000000001</v>
      </c>
      <c r="D167" s="5">
        <f>+[2]称号計算!J172</f>
        <v>0.16539999999999999</v>
      </c>
      <c r="E167" s="5">
        <f>+[2]称号計算!K172</f>
        <v>1.2527999999999999</v>
      </c>
      <c r="F167" s="5">
        <f>+[2]称号計算!L172</f>
        <v>0.1128</v>
      </c>
      <c r="G167" s="5">
        <f>+[2]称号計算!M172</f>
        <v>0.64749999999999996</v>
      </c>
      <c r="H167" s="13">
        <f>+[2]称号計算!N172</f>
        <v>0.55379999999999996</v>
      </c>
      <c r="I167" s="27">
        <f>+[2]称号計算!O172</f>
        <v>0.13780000000000001</v>
      </c>
      <c r="J167" s="13">
        <f>+[2]称号計算!P172</f>
        <v>0.29320000000000002</v>
      </c>
      <c r="K167" s="27">
        <f>+[2]称号計算!Q172</f>
        <v>0.1268</v>
      </c>
      <c r="L167" s="5">
        <f>+[2]称号計算!R172</f>
        <v>0.25559999999999999</v>
      </c>
      <c r="M167" s="13">
        <f>+[2]称号計算!S172</f>
        <v>0.29820000000000002</v>
      </c>
      <c r="N167" s="27">
        <f>+[2]称号計算!T172</f>
        <v>1.1900000000000001E-2</v>
      </c>
      <c r="O167" s="5">
        <f>+[2]称号計算!U172</f>
        <v>1.1900000000000001E-2</v>
      </c>
      <c r="P167" s="5">
        <f>+[2]称号計算!V172</f>
        <v>1.1900000000000001E-2</v>
      </c>
      <c r="Q167" s="5">
        <f>+[2]称号計算!W172</f>
        <v>1.1900000000000001E-2</v>
      </c>
      <c r="R167" s="5">
        <f>+[2]称号計算!X172</f>
        <v>3.1800000000000002E-2</v>
      </c>
      <c r="S167" s="13">
        <f>+[2]称号計算!Y172</f>
        <v>0.2387</v>
      </c>
      <c r="T167" s="19">
        <f>+[2]称号計算!Z172</f>
        <v>1.3125</v>
      </c>
      <c r="U167" s="13">
        <v>0.55000000000000004</v>
      </c>
    </row>
    <row r="168" spans="1:21">
      <c r="A168" s="12" t="s">
        <v>1079</v>
      </c>
      <c r="B168" s="23" t="s">
        <v>1439</v>
      </c>
      <c r="C168" s="27">
        <f>+[2]称号計算!I173</f>
        <v>0.73070000000000002</v>
      </c>
      <c r="D168" s="5">
        <f>+[2]称号計算!J173</f>
        <v>0.24360000000000001</v>
      </c>
      <c r="E168" s="5">
        <f>+[2]称号計算!K173</f>
        <v>1.2302</v>
      </c>
      <c r="F168" s="5">
        <f>+[2]称号計算!L173</f>
        <v>0.123</v>
      </c>
      <c r="G168" s="5">
        <f>+[2]称号計算!M173</f>
        <v>0.58560000000000001</v>
      </c>
      <c r="H168" s="13">
        <f>+[2]称号計算!N173</f>
        <v>0.41830000000000001</v>
      </c>
      <c r="I168" s="27">
        <f>+[2]称号計算!O173</f>
        <v>0.433</v>
      </c>
      <c r="J168" s="13">
        <f>+[2]称号計算!P173</f>
        <v>0.3412</v>
      </c>
      <c r="K168" s="27">
        <f>+[2]称号計算!Q173</f>
        <v>0.2923</v>
      </c>
      <c r="L168" s="5">
        <f>+[2]称号計算!R173</f>
        <v>0.51670000000000005</v>
      </c>
      <c r="M168" s="13">
        <f>+[2]称号計算!S173</f>
        <v>0.27560000000000001</v>
      </c>
      <c r="N168" s="27">
        <f>+[2]称号計算!T173</f>
        <v>1.3100000000000001E-2</v>
      </c>
      <c r="O168" s="5">
        <f>+[2]称号計算!U173</f>
        <v>1.3100000000000001E-2</v>
      </c>
      <c r="P168" s="5">
        <f>+[2]称号計算!V173</f>
        <v>1.3100000000000001E-2</v>
      </c>
      <c r="Q168" s="5">
        <f>+[2]称号計算!W173</f>
        <v>1.3100000000000001E-2</v>
      </c>
      <c r="R168" s="5">
        <f>+[2]称号計算!X173</f>
        <v>3.49E-2</v>
      </c>
      <c r="S168" s="13">
        <f>+[2]称号計算!Y173</f>
        <v>0.2616</v>
      </c>
      <c r="T168" s="19">
        <f>+[2]称号計算!Z173</f>
        <v>1.8165</v>
      </c>
      <c r="U168" s="13">
        <v>0.5</v>
      </c>
    </row>
    <row r="169" spans="1:21" ht="19.5" thickBot="1">
      <c r="A169" s="14" t="s">
        <v>1080</v>
      </c>
      <c r="B169" s="24" t="s">
        <v>1440</v>
      </c>
      <c r="C169" s="28">
        <f>+[2]称号計算!I174</f>
        <v>0.44290000000000002</v>
      </c>
      <c r="D169" s="15">
        <f>+[2]称号計算!J174</f>
        <v>0.56859999999999999</v>
      </c>
      <c r="E169" s="15">
        <f>+[2]称号計算!K174</f>
        <v>8.8400000000000006E-2</v>
      </c>
      <c r="F169" s="15">
        <f>+[2]称号計算!L174</f>
        <v>1.3604000000000001</v>
      </c>
      <c r="G169" s="15">
        <f>+[2]称号計算!M174</f>
        <v>0.33300000000000002</v>
      </c>
      <c r="H169" s="16">
        <f>+[2]称号計算!N174</f>
        <v>0.38850000000000001</v>
      </c>
      <c r="I169" s="28">
        <f>+[2]称号計算!O174</f>
        <v>0.29930000000000001</v>
      </c>
      <c r="J169" s="16">
        <f>+[2]称号計算!P174</f>
        <v>0.3301</v>
      </c>
      <c r="K169" s="28">
        <f>+[2]称号計算!Q174</f>
        <v>0.40100000000000002</v>
      </c>
      <c r="L169" s="15">
        <f>+[2]称号計算!R174</f>
        <v>0.84340000000000004</v>
      </c>
      <c r="M169" s="16">
        <f>+[2]称号計算!S174</f>
        <v>0.35039999999999999</v>
      </c>
      <c r="N169" s="28">
        <f>+[2]称号計算!T174</f>
        <v>7.7999999999999996E-3</v>
      </c>
      <c r="O169" s="15">
        <f>+[2]称号計算!U174</f>
        <v>7.7999999999999996E-3</v>
      </c>
      <c r="P169" s="15">
        <f>+[2]称号計算!V174</f>
        <v>7.7999999999999996E-3</v>
      </c>
      <c r="Q169" s="15">
        <f>+[2]称号計算!W174</f>
        <v>7.7999999999999996E-3</v>
      </c>
      <c r="R169" s="15">
        <f>+[2]称号計算!X174</f>
        <v>2.0799999999999999E-2</v>
      </c>
      <c r="S169" s="16">
        <f>+[2]称号計算!Y174</f>
        <v>0.15570000000000001</v>
      </c>
      <c r="T169" s="20">
        <f>+[2]称号計算!Z174</f>
        <v>2.0874000000000001</v>
      </c>
      <c r="U169" s="16">
        <v>0.25</v>
      </c>
    </row>
    <row r="170" spans="1:21">
      <c r="A170" s="9" t="s">
        <v>1081</v>
      </c>
      <c r="B170" s="22" t="s">
        <v>1441</v>
      </c>
      <c r="C170" s="26">
        <f>+[2]称号計算!I175</f>
        <v>0.5454</v>
      </c>
      <c r="D170" s="10">
        <f>+[2]称号計算!J175</f>
        <v>0.45450000000000002</v>
      </c>
      <c r="E170" s="10">
        <f>+[2]称号計算!K175</f>
        <v>0.1033</v>
      </c>
      <c r="F170" s="10">
        <f>+[2]称号計算!L175</f>
        <v>1.0328999999999999</v>
      </c>
      <c r="G170" s="10">
        <f>+[2]称号計算!M175</f>
        <v>0.45650000000000002</v>
      </c>
      <c r="H170" s="11">
        <f>+[2]称号計算!N175</f>
        <v>0.29849999999999999</v>
      </c>
      <c r="I170" s="26">
        <f>+[2]称号計算!O175</f>
        <v>0.36359999999999998</v>
      </c>
      <c r="J170" s="11">
        <f>+[2]称号計算!P175</f>
        <v>0.28649999999999998</v>
      </c>
      <c r="K170" s="26">
        <f>+[2]称号計算!Q175</f>
        <v>0.2545</v>
      </c>
      <c r="L170" s="10">
        <f>+[2]称号計算!R175</f>
        <v>0.41320000000000001</v>
      </c>
      <c r="M170" s="11">
        <f>+[2]称号計算!S175</f>
        <v>0.28920000000000001</v>
      </c>
      <c r="N170" s="26">
        <f>+[2]称号計算!T175</f>
        <v>1.2699999999999999E-2</v>
      </c>
      <c r="O170" s="10">
        <f>+[2]称号計算!U175</f>
        <v>1.2699999999999999E-2</v>
      </c>
      <c r="P170" s="10">
        <f>+[2]称号計算!V175</f>
        <v>4.7699999999999999E-2</v>
      </c>
      <c r="Q170" s="10">
        <f>+[2]称号計算!W175</f>
        <v>0.19070000000000001</v>
      </c>
      <c r="R170" s="10">
        <f>+[2]称号計算!X175</f>
        <v>9.4999999999999998E-3</v>
      </c>
      <c r="S170" s="11">
        <f>+[2]称号計算!Y175</f>
        <v>9.4999999999999998E-3</v>
      </c>
      <c r="T170" s="18">
        <f>+[2]称号計算!Z175</f>
        <v>1.5992999999999999</v>
      </c>
      <c r="U170" s="11">
        <v>1</v>
      </c>
    </row>
    <row r="171" spans="1:21">
      <c r="A171" s="12" t="s">
        <v>1082</v>
      </c>
      <c r="B171" s="23" t="s">
        <v>1442</v>
      </c>
      <c r="C171" s="27">
        <f>+[2]称号計算!I176</f>
        <v>0.31090000000000001</v>
      </c>
      <c r="D171" s="5">
        <f>+[2]称号計算!J176</f>
        <v>0.41810000000000003</v>
      </c>
      <c r="E171" s="5">
        <f>+[2]称号計算!K176</f>
        <v>6.0900000000000003E-2</v>
      </c>
      <c r="F171" s="5">
        <f>+[2]称号計算!L176</f>
        <v>1.2181</v>
      </c>
      <c r="G171" s="5">
        <f>+[2]称号計算!M176</f>
        <v>0.2651</v>
      </c>
      <c r="H171" s="13">
        <f>+[2]称号計算!N176</f>
        <v>0.26919999999999999</v>
      </c>
      <c r="I171" s="27">
        <f>+[2]称号計算!O176</f>
        <v>0.42880000000000001</v>
      </c>
      <c r="J171" s="13">
        <f>+[2]称号計算!P176</f>
        <v>0.32729999999999998</v>
      </c>
      <c r="K171" s="27">
        <f>+[2]称号計算!Q176</f>
        <v>0.45019999999999999</v>
      </c>
      <c r="L171" s="5">
        <f>+[2]称号計算!R176</f>
        <v>0.63339999999999996</v>
      </c>
      <c r="M171" s="13">
        <f>+[2]称号計算!S176</f>
        <v>0.34110000000000001</v>
      </c>
      <c r="N171" s="27">
        <f>+[2]称号計算!T176</f>
        <v>6.0000000000000001E-3</v>
      </c>
      <c r="O171" s="5">
        <f>+[2]称号計算!U176</f>
        <v>6.0000000000000001E-3</v>
      </c>
      <c r="P171" s="5">
        <f>+[2]称号計算!V176</f>
        <v>6.0000000000000001E-3</v>
      </c>
      <c r="Q171" s="5">
        <f>+[2]称号計算!W176</f>
        <v>6.0000000000000001E-3</v>
      </c>
      <c r="R171" s="5">
        <f>+[2]称号計算!X176</f>
        <v>1.61E-2</v>
      </c>
      <c r="S171" s="13">
        <f>+[2]称号計算!Y176</f>
        <v>0.12089999999999999</v>
      </c>
      <c r="T171" s="19">
        <f>+[2]称号計算!Z176</f>
        <v>2.0466000000000002</v>
      </c>
      <c r="U171" s="13">
        <v>1</v>
      </c>
    </row>
    <row r="172" spans="1:21">
      <c r="A172" s="12" t="s">
        <v>1083</v>
      </c>
      <c r="B172" s="23" t="s">
        <v>1443</v>
      </c>
      <c r="C172" s="27">
        <f>+[2]称号計算!I177</f>
        <v>0.56230000000000002</v>
      </c>
      <c r="D172" s="5">
        <f>+[2]称号計算!J177</f>
        <v>0.67769999999999997</v>
      </c>
      <c r="E172" s="5">
        <f>+[2]称号計算!K177</f>
        <v>7.5300000000000006E-2</v>
      </c>
      <c r="F172" s="5">
        <f>+[2]称号計算!L177</f>
        <v>1.141</v>
      </c>
      <c r="G172" s="5">
        <f>+[2]称号計算!M177</f>
        <v>0.75649999999999995</v>
      </c>
      <c r="H172" s="13">
        <f>+[2]称号計算!N177</f>
        <v>0.27929999999999999</v>
      </c>
      <c r="I172" s="27">
        <f>+[2]称号計算!O177</f>
        <v>0.27610000000000001</v>
      </c>
      <c r="J172" s="13">
        <f>+[2]称号計算!P177</f>
        <v>0.29659999999999997</v>
      </c>
      <c r="K172" s="27">
        <f>+[2]称号計算!Q177</f>
        <v>0.1857</v>
      </c>
      <c r="L172" s="5">
        <f>+[2]称号計算!R177</f>
        <v>0.39710000000000001</v>
      </c>
      <c r="M172" s="13">
        <f>+[2]称号計算!S177</f>
        <v>0.30030000000000001</v>
      </c>
      <c r="N172" s="27">
        <f>+[2]称号計算!T177</f>
        <v>1.66E-2</v>
      </c>
      <c r="O172" s="5">
        <f>+[2]称号計算!U177</f>
        <v>1.66E-2</v>
      </c>
      <c r="P172" s="5">
        <f>+[2]称号計算!V177</f>
        <v>6.2300000000000001E-2</v>
      </c>
      <c r="Q172" s="5">
        <f>+[2]称号計算!W177</f>
        <v>0.24940000000000001</v>
      </c>
      <c r="R172" s="5">
        <f>+[2]称号計算!X177</f>
        <v>1.2500000000000001E-2</v>
      </c>
      <c r="S172" s="13">
        <f>+[2]称号計算!Y177</f>
        <v>1.2500000000000001E-2</v>
      </c>
      <c r="T172" s="19">
        <f>+[2]称号計算!Z177</f>
        <v>1.4981</v>
      </c>
      <c r="U172" s="13">
        <v>0.9</v>
      </c>
    </row>
    <row r="173" spans="1:21">
      <c r="A173" s="12" t="s">
        <v>1084</v>
      </c>
      <c r="B173" s="23" t="s">
        <v>1444</v>
      </c>
      <c r="C173" s="27">
        <f>+[2]称号計算!I178</f>
        <v>0.67510000000000003</v>
      </c>
      <c r="D173" s="5">
        <f>+[2]称号計算!J178</f>
        <v>0.23910000000000001</v>
      </c>
      <c r="E173" s="5">
        <f>+[2]称号計算!K178</f>
        <v>1.2786</v>
      </c>
      <c r="F173" s="5">
        <f>+[2]称号計算!L178</f>
        <v>0.12790000000000001</v>
      </c>
      <c r="G173" s="5">
        <f>+[2]称号計算!M178</f>
        <v>0.56510000000000005</v>
      </c>
      <c r="H173" s="13">
        <f>+[2]称号計算!N178</f>
        <v>0.3695</v>
      </c>
      <c r="I173" s="27">
        <f>+[2]称号計算!O178</f>
        <v>0.4501</v>
      </c>
      <c r="J173" s="13">
        <f>+[2]称号計算!P178</f>
        <v>0.35460000000000003</v>
      </c>
      <c r="K173" s="27">
        <f>+[2]称号計算!Q178</f>
        <v>0.315</v>
      </c>
      <c r="L173" s="5">
        <f>+[2]称号計算!R178</f>
        <v>0.51139999999999997</v>
      </c>
      <c r="M173" s="13">
        <f>+[2]称号計算!S178</f>
        <v>0.28639999999999999</v>
      </c>
      <c r="N173" s="27">
        <f>+[2]称号計算!T178</f>
        <v>1.5699999999999999E-2</v>
      </c>
      <c r="O173" s="5">
        <f>+[2]称号計算!U178</f>
        <v>1.5699999999999999E-2</v>
      </c>
      <c r="P173" s="5">
        <f>+[2]称号計算!V178</f>
        <v>5.8999999999999997E-2</v>
      </c>
      <c r="Q173" s="5">
        <f>+[2]称号計算!W178</f>
        <v>0.2359</v>
      </c>
      <c r="R173" s="5">
        <f>+[2]称号計算!X178</f>
        <v>1.18E-2</v>
      </c>
      <c r="S173" s="13">
        <f>+[2]称号計算!Y178</f>
        <v>1.18E-2</v>
      </c>
      <c r="T173" s="19">
        <f>+[2]称号計算!Z178</f>
        <v>1.8391999999999999</v>
      </c>
      <c r="U173" s="13">
        <v>0.55000000000000004</v>
      </c>
    </row>
    <row r="174" spans="1:21">
      <c r="A174" s="12" t="s">
        <v>1085</v>
      </c>
      <c r="B174" s="23" t="s">
        <v>1445</v>
      </c>
      <c r="C174" s="27">
        <f>+[2]称号計算!I179</f>
        <v>0.79900000000000004</v>
      </c>
      <c r="D174" s="5">
        <f>+[2]称号計算!J179</f>
        <v>0.22020000000000001</v>
      </c>
      <c r="E174" s="5">
        <f>+[2]称号計算!K179</f>
        <v>1.4298</v>
      </c>
      <c r="F174" s="5">
        <f>+[2]称号計算!L179</f>
        <v>9.2899999999999996E-2</v>
      </c>
      <c r="G174" s="5">
        <f>+[2]称号計算!M179</f>
        <v>0.51039999999999996</v>
      </c>
      <c r="H174" s="13">
        <f>+[2]称号計算!N179</f>
        <v>0.42780000000000001</v>
      </c>
      <c r="I174" s="27">
        <f>+[2]称号計算!O179</f>
        <v>0.3775</v>
      </c>
      <c r="J174" s="13">
        <f>+[2]称号計算!P179</f>
        <v>0.53280000000000005</v>
      </c>
      <c r="K174" s="27">
        <f>+[2]称号計算!Q179</f>
        <v>0.20760000000000001</v>
      </c>
      <c r="L174" s="5">
        <f>+[2]称号計算!R179</f>
        <v>0.30309999999999998</v>
      </c>
      <c r="M174" s="13">
        <f>+[2]称号計算!S179</f>
        <v>0.49640000000000001</v>
      </c>
      <c r="N174" s="27">
        <f>+[2]称号計算!T179</f>
        <v>1.2999999999999999E-2</v>
      </c>
      <c r="O174" s="5">
        <f>+[2]称号計算!U179</f>
        <v>1.2999999999999999E-2</v>
      </c>
      <c r="P174" s="5">
        <f>+[2]称号計算!V179</f>
        <v>4.8599999999999997E-2</v>
      </c>
      <c r="Q174" s="5">
        <f>+[2]称号計算!W179</f>
        <v>0.1943</v>
      </c>
      <c r="R174" s="5">
        <f>+[2]称号計算!X179</f>
        <v>9.7000000000000003E-3</v>
      </c>
      <c r="S174" s="13">
        <f>+[2]称号計算!Y179</f>
        <v>9.7000000000000003E-3</v>
      </c>
      <c r="T174" s="19">
        <f>+[2]称号計算!Z179</f>
        <v>1.5743</v>
      </c>
      <c r="U174" s="13">
        <v>0.5</v>
      </c>
    </row>
    <row r="175" spans="1:21" ht="19.5" thickBot="1">
      <c r="A175" s="14" t="s">
        <v>1086</v>
      </c>
      <c r="B175" s="24" t="s">
        <v>1446</v>
      </c>
      <c r="C175" s="28">
        <f>+[2]称号計算!I180</f>
        <v>0.71430000000000005</v>
      </c>
      <c r="D175" s="15">
        <f>+[2]称号計算!J180</f>
        <v>0.53010000000000002</v>
      </c>
      <c r="E175" s="15">
        <f>+[2]称号計算!K180</f>
        <v>0.10780000000000001</v>
      </c>
      <c r="F175" s="15">
        <f>+[2]称号計算!L180</f>
        <v>1.2683</v>
      </c>
      <c r="G175" s="15">
        <f>+[2]称号計算!M180</f>
        <v>0.53039999999999998</v>
      </c>
      <c r="H175" s="16">
        <f>+[2]称号計算!N180</f>
        <v>0.48299999999999998</v>
      </c>
      <c r="I175" s="28">
        <f>+[2]称号計算!O180</f>
        <v>0.3906</v>
      </c>
      <c r="J175" s="16">
        <f>+[2]称号計算!P180</f>
        <v>0.32979999999999998</v>
      </c>
      <c r="K175" s="28">
        <f>+[2]称号計算!Q180</f>
        <v>0.3125</v>
      </c>
      <c r="L175" s="15">
        <f>+[2]称号計算!R180</f>
        <v>0.73560000000000003</v>
      </c>
      <c r="M175" s="16">
        <f>+[2]称号計算!S180</f>
        <v>0.22020000000000001</v>
      </c>
      <c r="N175" s="28">
        <f>+[2]称号計算!T180</f>
        <v>1.6799999999999999E-2</v>
      </c>
      <c r="O175" s="15">
        <f>+[2]称号計算!U180</f>
        <v>1.6799999999999999E-2</v>
      </c>
      <c r="P175" s="15">
        <f>+[2]称号計算!V180</f>
        <v>6.3E-2</v>
      </c>
      <c r="Q175" s="15">
        <f>+[2]称号計算!W180</f>
        <v>0.25190000000000001</v>
      </c>
      <c r="R175" s="15">
        <f>+[2]称号計算!X180</f>
        <v>1.26E-2</v>
      </c>
      <c r="S175" s="16">
        <f>+[2]称号計算!Y180</f>
        <v>1.26E-2</v>
      </c>
      <c r="T175" s="20">
        <f>+[2]称号計算!Z180</f>
        <v>1.9991000000000001</v>
      </c>
      <c r="U175" s="16">
        <v>0.25</v>
      </c>
    </row>
    <row r="176" spans="1:21">
      <c r="A176" s="9" t="s">
        <v>1087</v>
      </c>
      <c r="B176" s="22" t="s">
        <v>1447</v>
      </c>
      <c r="C176" s="26">
        <f>+[2]称号計算!I181</f>
        <v>0.44869999999999999</v>
      </c>
      <c r="D176" s="10">
        <f>+[2]称号計算!J181</f>
        <v>0.78890000000000005</v>
      </c>
      <c r="E176" s="10">
        <f>+[2]称号計算!K181</f>
        <v>8.4000000000000005E-2</v>
      </c>
      <c r="F176" s="10">
        <f>+[2]称号計算!L181</f>
        <v>1.1206</v>
      </c>
      <c r="G176" s="10">
        <f>+[2]称号計算!M181</f>
        <v>0.33529999999999999</v>
      </c>
      <c r="H176" s="11">
        <f>+[2]称号計算!N181</f>
        <v>0.36199999999999999</v>
      </c>
      <c r="I176" s="26">
        <f>+[2]称号計算!O181</f>
        <v>0.19719999999999999</v>
      </c>
      <c r="J176" s="11">
        <f>+[2]称号計算!P181</f>
        <v>0.42730000000000001</v>
      </c>
      <c r="K176" s="26">
        <f>+[2]称号計算!Q181</f>
        <v>0.16270000000000001</v>
      </c>
      <c r="L176" s="10">
        <f>+[2]称号計算!R181</f>
        <v>0.28689999999999999</v>
      </c>
      <c r="M176" s="11">
        <f>+[2]称号計算!S181</f>
        <v>0.46439999999999998</v>
      </c>
      <c r="N176" s="26">
        <f>+[2]称号計算!T181</f>
        <v>0.16839999999999999</v>
      </c>
      <c r="O176" s="10">
        <f>+[2]称号計算!U181</f>
        <v>3.3700000000000001E-2</v>
      </c>
      <c r="P176" s="10">
        <f>+[2]称号計算!V181</f>
        <v>1.12E-2</v>
      </c>
      <c r="Q176" s="10">
        <f>+[2]称号計算!W181</f>
        <v>1.12E-2</v>
      </c>
      <c r="R176" s="10">
        <f>+[2]称号計算!X181</f>
        <v>8.3999999999999995E-3</v>
      </c>
      <c r="S176" s="11">
        <f>+[2]称号計算!Y181</f>
        <v>8.3999999999999995E-3</v>
      </c>
      <c r="T176" s="18">
        <f>+[2]称号計算!Z181</f>
        <v>1.3644000000000001</v>
      </c>
      <c r="U176" s="11">
        <v>1</v>
      </c>
    </row>
    <row r="177" spans="1:21">
      <c r="A177" s="12" t="s">
        <v>1088</v>
      </c>
      <c r="B177" s="23" t="s">
        <v>1448</v>
      </c>
      <c r="C177" s="27">
        <f>+[2]称号計算!I182</f>
        <v>0.50800000000000001</v>
      </c>
      <c r="D177" s="5">
        <f>+[2]称号計算!J182</f>
        <v>0.8387</v>
      </c>
      <c r="E177" s="5">
        <f>+[2]称号計算!K182</f>
        <v>7.0800000000000002E-2</v>
      </c>
      <c r="F177" s="5">
        <f>+[2]称号計算!L182</f>
        <v>1.0891999999999999</v>
      </c>
      <c r="G177" s="5">
        <f>+[2]称号計算!M182</f>
        <v>0.28520000000000001</v>
      </c>
      <c r="H177" s="13">
        <f>+[2]称号計算!N182</f>
        <v>0.75919999999999999</v>
      </c>
      <c r="I177" s="27">
        <f>+[2]称号計算!O182</f>
        <v>0.2157</v>
      </c>
      <c r="J177" s="13">
        <f>+[2]称号計算!P182</f>
        <v>0.27379999999999999</v>
      </c>
      <c r="K177" s="27">
        <f>+[2]称号計算!Q182</f>
        <v>0.18210000000000001</v>
      </c>
      <c r="L177" s="5">
        <f>+[2]称号計算!R182</f>
        <v>0.36599999999999999</v>
      </c>
      <c r="M177" s="13">
        <f>+[2]称号計算!S182</f>
        <v>0.32329999999999998</v>
      </c>
      <c r="N177" s="27">
        <f>+[2]称号計算!T182</f>
        <v>0.26719999999999999</v>
      </c>
      <c r="O177" s="5">
        <f>+[2]称号計算!U182</f>
        <v>5.3400000000000003E-2</v>
      </c>
      <c r="P177" s="5">
        <f>+[2]称号計算!V182</f>
        <v>1.78E-2</v>
      </c>
      <c r="Q177" s="5">
        <f>+[2]称号計算!W182</f>
        <v>1.78E-2</v>
      </c>
      <c r="R177" s="5">
        <f>+[2]称号計算!X182</f>
        <v>1.34E-2</v>
      </c>
      <c r="S177" s="13">
        <f>+[2]称号計算!Y182</f>
        <v>1.34E-2</v>
      </c>
      <c r="T177" s="19">
        <f>+[2]称号計算!Z182</f>
        <v>1.5008999999999999</v>
      </c>
      <c r="U177" s="13">
        <v>1</v>
      </c>
    </row>
    <row r="178" spans="1:21">
      <c r="A178" s="12" t="s">
        <v>1089</v>
      </c>
      <c r="B178" s="23" t="s">
        <v>1449</v>
      </c>
      <c r="C178" s="27">
        <f>+[2]称号計算!I183</f>
        <v>0.27350000000000002</v>
      </c>
      <c r="D178" s="5">
        <f>+[2]称号計算!J183</f>
        <v>0.74580000000000002</v>
      </c>
      <c r="E178" s="5">
        <f>+[2]称号計算!K183</f>
        <v>9.0399999999999994E-2</v>
      </c>
      <c r="F178" s="5">
        <f>+[2]称号計算!L183</f>
        <v>1.1299999999999999</v>
      </c>
      <c r="G178" s="5">
        <f>+[2]称号計算!M183</f>
        <v>0.55710000000000004</v>
      </c>
      <c r="H178" s="13">
        <f>+[2]称号計算!N183</f>
        <v>0.86450000000000005</v>
      </c>
      <c r="I178" s="27">
        <f>+[2]称号計算!O183</f>
        <v>0.19889999999999999</v>
      </c>
      <c r="J178" s="13">
        <f>+[2]称号計算!P183</f>
        <v>0.27029999999999998</v>
      </c>
      <c r="K178" s="27">
        <f>+[2]称号計算!Q183</f>
        <v>0.21879999999999999</v>
      </c>
      <c r="L178" s="5">
        <f>+[2]称号計算!R183</f>
        <v>0.39779999999999999</v>
      </c>
      <c r="M178" s="13">
        <f>+[2]称号計算!S183</f>
        <v>0.3987</v>
      </c>
      <c r="N178" s="27">
        <f>+[2]称号計算!T183</f>
        <v>0.30869999999999997</v>
      </c>
      <c r="O178" s="5">
        <f>+[2]称号計算!U183</f>
        <v>6.1699999999999998E-2</v>
      </c>
      <c r="P178" s="5">
        <f>+[2]称号計算!V183</f>
        <v>2.06E-2</v>
      </c>
      <c r="Q178" s="5">
        <f>+[2]称号計算!W183</f>
        <v>2.06E-2</v>
      </c>
      <c r="R178" s="5">
        <f>+[2]称号計算!X183</f>
        <v>1.54E-2</v>
      </c>
      <c r="S178" s="13">
        <f>+[2]称号計算!Y183</f>
        <v>1.54E-2</v>
      </c>
      <c r="T178" s="19">
        <f>+[2]称号計算!Z183</f>
        <v>1.6580999999999999</v>
      </c>
      <c r="U178" s="13">
        <v>0.9</v>
      </c>
    </row>
    <row r="179" spans="1:21">
      <c r="A179" s="12" t="s">
        <v>1090</v>
      </c>
      <c r="B179" s="23" t="s">
        <v>1450</v>
      </c>
      <c r="C179" s="27">
        <f>+[2]称号計算!I184</f>
        <v>0.37409999999999999</v>
      </c>
      <c r="D179" s="5">
        <f>+[2]称号計算!J184</f>
        <v>0.1381</v>
      </c>
      <c r="E179" s="5">
        <f>+[2]称号計算!K184</f>
        <v>1.3081</v>
      </c>
      <c r="F179" s="5">
        <f>+[2]称号計算!L184</f>
        <v>8.5000000000000006E-2</v>
      </c>
      <c r="G179" s="5">
        <f>+[2]称号計算!M184</f>
        <v>0.2757</v>
      </c>
      <c r="H179" s="13">
        <f>+[2]称号計算!N184</f>
        <v>0.3024</v>
      </c>
      <c r="I179" s="27">
        <f>+[2]称号計算!O184</f>
        <v>1.036</v>
      </c>
      <c r="J179" s="13">
        <f>+[2]称号計算!P184</f>
        <v>0.47610000000000002</v>
      </c>
      <c r="K179" s="27">
        <f>+[2]称号計算!Q184</f>
        <v>0.36259999999999998</v>
      </c>
      <c r="L179" s="5">
        <f>+[2]称号計算!R184</f>
        <v>0.70640000000000003</v>
      </c>
      <c r="M179" s="13">
        <f>+[2]称号計算!S184</f>
        <v>0.315</v>
      </c>
      <c r="N179" s="27">
        <f>+[2]称号計算!T184</f>
        <v>0.14630000000000001</v>
      </c>
      <c r="O179" s="5">
        <f>+[2]称号計算!U184</f>
        <v>2.93E-2</v>
      </c>
      <c r="P179" s="5">
        <f>+[2]称号計算!V184</f>
        <v>9.7999999999999997E-3</v>
      </c>
      <c r="Q179" s="5">
        <f>+[2]称号計算!W184</f>
        <v>9.7999999999999997E-3</v>
      </c>
      <c r="R179" s="5">
        <f>+[2]称号計算!X184</f>
        <v>7.3000000000000001E-3</v>
      </c>
      <c r="S179" s="13">
        <f>+[2]称号計算!Y184</f>
        <v>7.3000000000000001E-3</v>
      </c>
      <c r="T179" s="19">
        <f>+[2]称号計算!Z184</f>
        <v>2.0173999999999999</v>
      </c>
      <c r="U179" s="13">
        <v>0.55000000000000004</v>
      </c>
    </row>
    <row r="180" spans="1:21">
      <c r="A180" s="12" t="s">
        <v>1091</v>
      </c>
      <c r="B180" s="23" t="s">
        <v>1451</v>
      </c>
      <c r="C180" s="27">
        <f>+[2]称号計算!I185</f>
        <v>0.76170000000000004</v>
      </c>
      <c r="D180" s="5">
        <f>+[2]称号計算!J185</f>
        <v>0.33889999999999998</v>
      </c>
      <c r="E180" s="5">
        <f>+[2]称号計算!K185</f>
        <v>1.4670000000000001</v>
      </c>
      <c r="F180" s="5">
        <f>+[2]称号計算!L185</f>
        <v>0.1027</v>
      </c>
      <c r="G180" s="5">
        <f>+[2]称号計算!M185</f>
        <v>0.56859999999999999</v>
      </c>
      <c r="H180" s="13">
        <f>+[2]称号計算!N185</f>
        <v>0.56859999999999999</v>
      </c>
      <c r="I180" s="27">
        <f>+[2]称号計算!O185</f>
        <v>0.25819999999999999</v>
      </c>
      <c r="J180" s="13">
        <f>+[2]称号計算!P185</f>
        <v>0.36359999999999998</v>
      </c>
      <c r="K180" s="27">
        <f>+[2]称号計算!Q185</f>
        <v>0.27760000000000001</v>
      </c>
      <c r="L180" s="5">
        <f>+[2]称号計算!R185</f>
        <v>0.51639999999999997</v>
      </c>
      <c r="M180" s="13">
        <f>+[2]称号計算!S185</f>
        <v>0.39019999999999999</v>
      </c>
      <c r="N180" s="27">
        <f>+[2]称号計算!T185</f>
        <v>0.33679999999999999</v>
      </c>
      <c r="O180" s="5">
        <f>+[2]称号計算!U185</f>
        <v>6.7400000000000002E-2</v>
      </c>
      <c r="P180" s="5">
        <f>+[2]称号計算!V185</f>
        <v>2.2499999999999999E-2</v>
      </c>
      <c r="Q180" s="5">
        <f>+[2]称号計算!W185</f>
        <v>2.2499999999999999E-2</v>
      </c>
      <c r="R180" s="5">
        <f>+[2]称号計算!X185</f>
        <v>1.6799999999999999E-2</v>
      </c>
      <c r="S180" s="13">
        <f>+[2]称号計算!Y185</f>
        <v>1.6799999999999999E-2</v>
      </c>
      <c r="T180" s="19">
        <f>+[2]称号計算!Z185</f>
        <v>1.7931999999999999</v>
      </c>
      <c r="U180" s="13">
        <v>0.5</v>
      </c>
    </row>
    <row r="181" spans="1:21" ht="19.5" thickBot="1">
      <c r="A181" s="14" t="s">
        <v>1092</v>
      </c>
      <c r="B181" s="24" t="s">
        <v>1452</v>
      </c>
      <c r="C181" s="28">
        <f>+[2]称号計算!I186</f>
        <v>0.55069999999999997</v>
      </c>
      <c r="D181" s="15">
        <f>+[2]称号計算!J186</f>
        <v>1.4167000000000001</v>
      </c>
      <c r="E181" s="15">
        <f>+[2]称号計算!K186</f>
        <v>8.5099999999999995E-2</v>
      </c>
      <c r="F181" s="15">
        <f>+[2]称号計算!L186</f>
        <v>1.2151000000000001</v>
      </c>
      <c r="G181" s="15">
        <f>+[2]称号計算!M186</f>
        <v>0.39660000000000001</v>
      </c>
      <c r="H181" s="16">
        <f>+[2]称号計算!N186</f>
        <v>0.48749999999999999</v>
      </c>
      <c r="I181" s="28">
        <f>+[2]称号計算!O186</f>
        <v>0.34749999999999998</v>
      </c>
      <c r="J181" s="16">
        <f>+[2]称号計算!P186</f>
        <v>0.3054</v>
      </c>
      <c r="K181" s="28">
        <f>+[2]称号計算!Q186</f>
        <v>0.22450000000000001</v>
      </c>
      <c r="L181" s="15">
        <f>+[2]称号計算!R186</f>
        <v>0.43740000000000001</v>
      </c>
      <c r="M181" s="16">
        <f>+[2]称号計算!S186</f>
        <v>0.38100000000000001</v>
      </c>
      <c r="N181" s="28">
        <f>+[2]称号計算!T186</f>
        <v>0.25259999999999999</v>
      </c>
      <c r="O181" s="15">
        <f>+[2]称号計算!U186</f>
        <v>5.0500000000000003E-2</v>
      </c>
      <c r="P181" s="15">
        <f>+[2]称号計算!V186</f>
        <v>1.6799999999999999E-2</v>
      </c>
      <c r="Q181" s="15">
        <f>+[2]称号計算!W186</f>
        <v>1.6799999999999999E-2</v>
      </c>
      <c r="R181" s="15">
        <f>+[2]称号計算!X186</f>
        <v>1.26E-2</v>
      </c>
      <c r="S181" s="16">
        <f>+[2]称号計算!Y186</f>
        <v>1.26E-2</v>
      </c>
      <c r="T181" s="20">
        <f>+[2]称号計算!Z186</f>
        <v>1.8516999999999999</v>
      </c>
      <c r="U181" s="16">
        <v>0.25</v>
      </c>
    </row>
    <row r="182" spans="1:21">
      <c r="A182" s="9" t="s">
        <v>1093</v>
      </c>
      <c r="B182" s="22" t="s">
        <v>1453</v>
      </c>
      <c r="C182" s="26">
        <f>+[2]称号計算!I187</f>
        <v>0.39639999999999997</v>
      </c>
      <c r="D182" s="10">
        <f>+[2]称号計算!J187</f>
        <v>0.65259999999999996</v>
      </c>
      <c r="E182" s="10">
        <f>+[2]称号計算!K187</f>
        <v>6.59E-2</v>
      </c>
      <c r="F182" s="10">
        <f>+[2]称号計算!L187</f>
        <v>1.0987</v>
      </c>
      <c r="G182" s="10">
        <f>+[2]称号計算!M187</f>
        <v>0.30259999999999998</v>
      </c>
      <c r="H182" s="11">
        <f>+[2]称号計算!N187</f>
        <v>0.32500000000000001</v>
      </c>
      <c r="I182" s="26">
        <f>+[2]称号計算!O187</f>
        <v>0.58009999999999995</v>
      </c>
      <c r="J182" s="11">
        <f>+[2]称号計算!P187</f>
        <v>0.48559999999999998</v>
      </c>
      <c r="K182" s="26">
        <f>+[2]称号計算!Q187</f>
        <v>0.22239999999999999</v>
      </c>
      <c r="L182" s="10">
        <f>+[2]称号計算!R187</f>
        <v>0.29880000000000001</v>
      </c>
      <c r="M182" s="11">
        <f>+[2]称号計算!S187</f>
        <v>0.43680000000000002</v>
      </c>
      <c r="N182" s="26">
        <f>+[2]称号計算!T187</f>
        <v>3.04E-2</v>
      </c>
      <c r="O182" s="10">
        <f>+[2]称号計算!U187</f>
        <v>0.15179999999999999</v>
      </c>
      <c r="P182" s="10">
        <f>+[2]称号計算!V187</f>
        <v>1.01E-2</v>
      </c>
      <c r="Q182" s="10">
        <f>+[2]称号計算!W187</f>
        <v>1.01E-2</v>
      </c>
      <c r="R182" s="10">
        <f>+[2]称号計算!X187</f>
        <v>7.6E-3</v>
      </c>
      <c r="S182" s="11">
        <f>+[2]称号計算!Y187</f>
        <v>7.6E-3</v>
      </c>
      <c r="T182" s="18">
        <f>+[2]称号計算!Z187</f>
        <v>1.5947</v>
      </c>
      <c r="U182" s="11">
        <v>1</v>
      </c>
    </row>
    <row r="183" spans="1:21">
      <c r="A183" s="12" t="s">
        <v>1094</v>
      </c>
      <c r="B183" s="23" t="s">
        <v>1454</v>
      </c>
      <c r="C183" s="27">
        <f>+[2]称号計算!I188</f>
        <v>0.60840000000000005</v>
      </c>
      <c r="D183" s="5">
        <f>+[2]称号計算!J188</f>
        <v>0.95609999999999995</v>
      </c>
      <c r="E183" s="5">
        <f>+[2]称号計算!K188</f>
        <v>8.3000000000000004E-2</v>
      </c>
      <c r="F183" s="5">
        <f>+[2]称号計算!L188</f>
        <v>0.98770000000000002</v>
      </c>
      <c r="G183" s="5">
        <f>+[2]称号計算!M188</f>
        <v>0.31900000000000001</v>
      </c>
      <c r="H183" s="13">
        <f>+[2]称号計算!N188</f>
        <v>0.56410000000000005</v>
      </c>
      <c r="I183" s="27">
        <f>+[2]称号計算!O188</f>
        <v>0.49980000000000002</v>
      </c>
      <c r="J183" s="13">
        <f>+[2]称号計算!P188</f>
        <v>0.33379999999999999</v>
      </c>
      <c r="K183" s="27">
        <f>+[2]称号計算!Q188</f>
        <v>0.1043</v>
      </c>
      <c r="L183" s="5">
        <f>+[2]称号計算!R188</f>
        <v>0.28439999999999999</v>
      </c>
      <c r="M183" s="13">
        <f>+[2]称号計算!S188</f>
        <v>0.36780000000000002</v>
      </c>
      <c r="N183" s="27">
        <f>+[2]称号計算!T188</f>
        <v>5.3900000000000003E-2</v>
      </c>
      <c r="O183" s="5">
        <f>+[2]称号計算!U188</f>
        <v>0.2697</v>
      </c>
      <c r="P183" s="5">
        <f>+[2]称号計算!V188</f>
        <v>1.7999999999999999E-2</v>
      </c>
      <c r="Q183" s="5">
        <f>+[2]称号計算!W188</f>
        <v>1.7999999999999999E-2</v>
      </c>
      <c r="R183" s="5">
        <f>+[2]称号計算!X188</f>
        <v>1.35E-2</v>
      </c>
      <c r="S183" s="13">
        <f>+[2]称号計算!Y188</f>
        <v>1.35E-2</v>
      </c>
      <c r="T183" s="19">
        <f>+[2]称号計算!Z188</f>
        <v>1.3622000000000001</v>
      </c>
      <c r="U183" s="13">
        <v>1</v>
      </c>
    </row>
    <row r="184" spans="1:21">
      <c r="A184" s="12" t="s">
        <v>1095</v>
      </c>
      <c r="B184" s="23" t="s">
        <v>1455</v>
      </c>
      <c r="C184" s="27">
        <f>+[2]称号計算!I189</f>
        <v>0.43859999999999999</v>
      </c>
      <c r="D184" s="5">
        <f>+[2]称号計算!J189</f>
        <v>0.64659999999999995</v>
      </c>
      <c r="E184" s="5">
        <f>+[2]称号計算!K189</f>
        <v>0.1278</v>
      </c>
      <c r="F184" s="5">
        <f>+[2]称号計算!L189</f>
        <v>1.2779</v>
      </c>
      <c r="G184" s="5">
        <f>+[2]称号計算!M189</f>
        <v>0.32590000000000002</v>
      </c>
      <c r="H184" s="13">
        <f>+[2]称号計算!N189</f>
        <v>0.34760000000000002</v>
      </c>
      <c r="I184" s="27">
        <f>+[2]称号計算!O189</f>
        <v>0.61850000000000005</v>
      </c>
      <c r="J184" s="13">
        <f>+[2]称号計算!P189</f>
        <v>0.36549999999999999</v>
      </c>
      <c r="K184" s="27">
        <f>+[2]称号計算!Q189</f>
        <v>0.24740000000000001</v>
      </c>
      <c r="L184" s="5">
        <f>+[2]称号計算!R189</f>
        <v>0.56230000000000002</v>
      </c>
      <c r="M184" s="13">
        <f>+[2]称号計算!S189</f>
        <v>0.39360000000000001</v>
      </c>
      <c r="N184" s="27">
        <f>+[2]称号計算!T189</f>
        <v>3.5999999999999997E-2</v>
      </c>
      <c r="O184" s="5">
        <f>+[2]称号計算!U189</f>
        <v>0.17979999999999999</v>
      </c>
      <c r="P184" s="5">
        <f>+[2]称号計算!V189</f>
        <v>1.2E-2</v>
      </c>
      <c r="Q184" s="5">
        <f>+[2]称号計算!W189</f>
        <v>1.2E-2</v>
      </c>
      <c r="R184" s="5">
        <f>+[2]称号計算!X189</f>
        <v>8.9999999999999993E-3</v>
      </c>
      <c r="S184" s="13">
        <f>+[2]称号計算!Y189</f>
        <v>8.9999999999999993E-3</v>
      </c>
      <c r="T184" s="19">
        <f>+[2]称号計算!Z189</f>
        <v>1.7243999999999999</v>
      </c>
      <c r="U184" s="13">
        <v>0.9</v>
      </c>
    </row>
    <row r="185" spans="1:21">
      <c r="A185" s="12" t="s">
        <v>1096</v>
      </c>
      <c r="B185" s="23" t="s">
        <v>1456</v>
      </c>
      <c r="C185" s="27">
        <f>+[2]称号計算!I190</f>
        <v>0.85850000000000004</v>
      </c>
      <c r="D185" s="5">
        <f>+[2]称号計算!J190</f>
        <v>0.29199999999999998</v>
      </c>
      <c r="E185" s="5">
        <f>+[2]称号計算!K190</f>
        <v>1.3272999999999999</v>
      </c>
      <c r="F185" s="5">
        <f>+[2]称号計算!L190</f>
        <v>0.1009</v>
      </c>
      <c r="G185" s="5">
        <f>+[2]称号計算!M190</f>
        <v>0.41520000000000001</v>
      </c>
      <c r="H185" s="13">
        <f>+[2]称号計算!N190</f>
        <v>0.99280000000000002</v>
      </c>
      <c r="I185" s="27">
        <f>+[2]称号計算!O190</f>
        <v>0.29199999999999998</v>
      </c>
      <c r="J185" s="13">
        <f>+[2]称号計算!P190</f>
        <v>0.34510000000000002</v>
      </c>
      <c r="K185" s="27">
        <f>+[2]称号計算!Q190</f>
        <v>0.2394</v>
      </c>
      <c r="L185" s="5">
        <f>+[2]称号計算!R190</f>
        <v>0.4194</v>
      </c>
      <c r="M185" s="13">
        <f>+[2]称号計算!S190</f>
        <v>0.31219999999999998</v>
      </c>
      <c r="N185" s="27">
        <f>+[2]称号計算!T190</f>
        <v>5.7299999999999997E-2</v>
      </c>
      <c r="O185" s="5">
        <f>+[2]称号計算!U190</f>
        <v>0.28649999999999998</v>
      </c>
      <c r="P185" s="5">
        <f>+[2]称号計算!V190</f>
        <v>1.9099999999999999E-2</v>
      </c>
      <c r="Q185" s="5">
        <f>+[2]称号計算!W190</f>
        <v>1.9099999999999999E-2</v>
      </c>
      <c r="R185" s="5">
        <f>+[2]称号計算!X190</f>
        <v>1.43E-2</v>
      </c>
      <c r="S185" s="13">
        <f>+[2]称号計算!Y190</f>
        <v>1.43E-2</v>
      </c>
      <c r="T185" s="19">
        <f>+[2]称号計算!Z190</f>
        <v>1.7562</v>
      </c>
      <c r="U185" s="13">
        <v>0.55000000000000004</v>
      </c>
    </row>
    <row r="186" spans="1:21">
      <c r="A186" s="12" t="s">
        <v>1097</v>
      </c>
      <c r="B186" s="23" t="s">
        <v>1457</v>
      </c>
      <c r="C186" s="27">
        <f>+[2]称号計算!I191</f>
        <v>1.3264</v>
      </c>
      <c r="D186" s="5">
        <f>+[2]称号計算!J191</f>
        <v>0.19409999999999999</v>
      </c>
      <c r="E186" s="5">
        <f>+[2]称号計算!K191</f>
        <v>1.4705999999999999</v>
      </c>
      <c r="F186" s="5">
        <f>+[2]称号計算!L191</f>
        <v>0.13239999999999999</v>
      </c>
      <c r="G186" s="5">
        <f>+[2]称号計算!M191</f>
        <v>0.76</v>
      </c>
      <c r="H186" s="13">
        <f>+[2]称号計算!N191</f>
        <v>0.65</v>
      </c>
      <c r="I186" s="27">
        <f>+[2]称号計算!O191</f>
        <v>0.1618</v>
      </c>
      <c r="J186" s="13">
        <f>+[2]称号計算!P191</f>
        <v>0.34410000000000002</v>
      </c>
      <c r="K186" s="27">
        <f>+[2]称号計算!Q191</f>
        <v>0.14879999999999999</v>
      </c>
      <c r="L186" s="5">
        <f>+[2]称号計算!R191</f>
        <v>0.3</v>
      </c>
      <c r="M186" s="13">
        <f>+[2]称号計算!S191</f>
        <v>0.35</v>
      </c>
      <c r="N186" s="27">
        <f>+[2]称号計算!T191</f>
        <v>5.6000000000000001E-2</v>
      </c>
      <c r="O186" s="5">
        <f>+[2]称号計算!U191</f>
        <v>0.2802</v>
      </c>
      <c r="P186" s="5">
        <f>+[2]称号計算!V191</f>
        <v>1.8700000000000001E-2</v>
      </c>
      <c r="Q186" s="5">
        <f>+[2]称号計算!W191</f>
        <v>1.8700000000000001E-2</v>
      </c>
      <c r="R186" s="5">
        <f>+[2]称号計算!X191</f>
        <v>1.4E-2</v>
      </c>
      <c r="S186" s="13">
        <f>+[2]称号計算!Y191</f>
        <v>1.4E-2</v>
      </c>
      <c r="T186" s="19">
        <f>+[2]称号計算!Z191</f>
        <v>1.5406</v>
      </c>
      <c r="U186" s="13">
        <v>0.5</v>
      </c>
    </row>
    <row r="187" spans="1:21" ht="19.5" thickBot="1">
      <c r="A187" s="14" t="s">
        <v>1098</v>
      </c>
      <c r="B187" s="24" t="s">
        <v>1458</v>
      </c>
      <c r="C187" s="28">
        <f>+[2]称号計算!I192</f>
        <v>0.61839999999999995</v>
      </c>
      <c r="D187" s="15">
        <f>+[2]称号計算!J192</f>
        <v>0.67220000000000002</v>
      </c>
      <c r="E187" s="15">
        <f>+[2]称号計算!K192</f>
        <v>0.15279999999999999</v>
      </c>
      <c r="F187" s="15">
        <f>+[2]称号計算!L192</f>
        <v>1.5277000000000001</v>
      </c>
      <c r="G187" s="15">
        <f>+[2]称号計算!M192</f>
        <v>0.49340000000000001</v>
      </c>
      <c r="H187" s="16">
        <f>+[2]称号計算!N192</f>
        <v>0.5454</v>
      </c>
      <c r="I187" s="28">
        <f>+[2]称号計算!O192</f>
        <v>0.33610000000000001</v>
      </c>
      <c r="J187" s="16">
        <f>+[2]称号計算!P192</f>
        <v>0.3972</v>
      </c>
      <c r="K187" s="28">
        <f>+[2]称号計算!Q192</f>
        <v>0.26889999999999997</v>
      </c>
      <c r="L187" s="15">
        <f>+[2]称号計算!R192</f>
        <v>0.64159999999999995</v>
      </c>
      <c r="M187" s="16">
        <f>+[2]称号計算!S192</f>
        <v>0.42770000000000002</v>
      </c>
      <c r="N187" s="28">
        <f>+[2]称号計算!T192</f>
        <v>4.87E-2</v>
      </c>
      <c r="O187" s="15">
        <f>+[2]称号計算!U192</f>
        <v>0.24329999999999999</v>
      </c>
      <c r="P187" s="15">
        <f>+[2]称号計算!V192</f>
        <v>1.6199999999999999E-2</v>
      </c>
      <c r="Q187" s="15">
        <f>+[2]称号計算!W192</f>
        <v>1.6199999999999999E-2</v>
      </c>
      <c r="R187" s="15">
        <f>+[2]称号計算!X192</f>
        <v>1.2200000000000001E-2</v>
      </c>
      <c r="S187" s="16">
        <f>+[2]称号計算!Y192</f>
        <v>1.2200000000000001E-2</v>
      </c>
      <c r="T187" s="20">
        <f>+[2]称号計算!Z192</f>
        <v>1.8919999999999999</v>
      </c>
      <c r="U187" s="16">
        <v>0.25</v>
      </c>
    </row>
    <row r="188" spans="1:21">
      <c r="A188" s="9" t="s">
        <v>1099</v>
      </c>
      <c r="B188" s="22" t="s">
        <v>1459</v>
      </c>
      <c r="C188" s="26">
        <f>+[2]称号計算!I193</f>
        <v>0.42370000000000002</v>
      </c>
      <c r="D188" s="10">
        <f>+[2]称号計算!J193</f>
        <v>0.48270000000000002</v>
      </c>
      <c r="E188" s="10">
        <f>+[2]称号計算!K193</f>
        <v>6.4600000000000005E-2</v>
      </c>
      <c r="F188" s="10">
        <f>+[2]称号計算!L193</f>
        <v>1.2189000000000001</v>
      </c>
      <c r="G188" s="10">
        <f>+[2]称号計算!M193</f>
        <v>0.3523</v>
      </c>
      <c r="H188" s="11">
        <f>+[2]称号計算!N193</f>
        <v>0.3357</v>
      </c>
      <c r="I188" s="26">
        <f>+[2]称号計算!O193</f>
        <v>0.34860000000000002</v>
      </c>
      <c r="J188" s="11">
        <f>+[2]称号計算!P193</f>
        <v>0.30630000000000002</v>
      </c>
      <c r="K188" s="26">
        <f>+[2]称号計算!Q193</f>
        <v>0.42899999999999999</v>
      </c>
      <c r="L188" s="10">
        <f>+[2]称号計算!R193</f>
        <v>0.83860000000000001</v>
      </c>
      <c r="M188" s="11">
        <f>+[2]称号計算!S193</f>
        <v>0.25940000000000002</v>
      </c>
      <c r="N188" s="26">
        <f>+[2]称号計算!T193</f>
        <v>9.7000000000000003E-3</v>
      </c>
      <c r="O188" s="10">
        <f>+[2]称号計算!U193</f>
        <v>9.7000000000000003E-3</v>
      </c>
      <c r="P188" s="10">
        <f>+[2]称号計算!V193</f>
        <v>0.1457</v>
      </c>
      <c r="Q188" s="10">
        <f>+[2]称号計算!W193</f>
        <v>3.6400000000000002E-2</v>
      </c>
      <c r="R188" s="10">
        <f>+[2]称号計算!X193</f>
        <v>7.3000000000000001E-3</v>
      </c>
      <c r="S188" s="11">
        <f>+[2]称号計算!Y193</f>
        <v>7.3000000000000001E-3</v>
      </c>
      <c r="T188" s="18">
        <f>+[2]称号計算!Z193</f>
        <v>2.1362999999999999</v>
      </c>
      <c r="U188" s="11">
        <v>1</v>
      </c>
    </row>
    <row r="189" spans="1:21">
      <c r="A189" s="12" t="s">
        <v>1100</v>
      </c>
      <c r="B189" s="23" t="s">
        <v>1460</v>
      </c>
      <c r="C189" s="27">
        <f>+[2]称号計算!I194</f>
        <v>0.64410000000000001</v>
      </c>
      <c r="D189" s="5">
        <f>+[2]称号計算!J194</f>
        <v>0.53680000000000005</v>
      </c>
      <c r="E189" s="5">
        <f>+[2]称号計算!K194</f>
        <v>0.122</v>
      </c>
      <c r="F189" s="5">
        <f>+[2]称号計算!L194</f>
        <v>1.22</v>
      </c>
      <c r="G189" s="5">
        <f>+[2]称号計算!M194</f>
        <v>0.53920000000000001</v>
      </c>
      <c r="H189" s="13">
        <f>+[2]称号計算!N194</f>
        <v>0.35260000000000002</v>
      </c>
      <c r="I189" s="27">
        <f>+[2]称号計算!O194</f>
        <v>0.4294</v>
      </c>
      <c r="J189" s="13">
        <f>+[2]称号計算!P194</f>
        <v>0.33829999999999999</v>
      </c>
      <c r="K189" s="27">
        <f>+[2]称号計算!Q194</f>
        <v>0.30059999999999998</v>
      </c>
      <c r="L189" s="5">
        <f>+[2]称号計算!R194</f>
        <v>0.48799999999999999</v>
      </c>
      <c r="M189" s="13">
        <f>+[2]称号計算!S194</f>
        <v>0.34160000000000001</v>
      </c>
      <c r="N189" s="27">
        <f>+[2]称号計算!T194</f>
        <v>1.4999999999999999E-2</v>
      </c>
      <c r="O189" s="5">
        <f>+[2]称号計算!U194</f>
        <v>1.4999999999999999E-2</v>
      </c>
      <c r="P189" s="5">
        <f>+[2]称号計算!V194</f>
        <v>0.2253</v>
      </c>
      <c r="Q189" s="5">
        <f>+[2]称号計算!W194</f>
        <v>5.6300000000000003E-2</v>
      </c>
      <c r="R189" s="5">
        <f>+[2]称号計算!X194</f>
        <v>1.1299999999999999E-2</v>
      </c>
      <c r="S189" s="13">
        <f>+[2]称号計算!Y194</f>
        <v>1.1299999999999999E-2</v>
      </c>
      <c r="T189" s="19">
        <f>+[2]称号計算!Z194</f>
        <v>1.889</v>
      </c>
      <c r="U189" s="13">
        <v>1</v>
      </c>
    </row>
    <row r="190" spans="1:21">
      <c r="A190" s="12" t="s">
        <v>1101</v>
      </c>
      <c r="B190" s="23" t="s">
        <v>1461</v>
      </c>
      <c r="C190" s="27">
        <f>+[2]称号計算!I195</f>
        <v>0.36630000000000001</v>
      </c>
      <c r="D190" s="5">
        <f>+[2]称号計算!J195</f>
        <v>0.49270000000000003</v>
      </c>
      <c r="E190" s="5">
        <f>+[2]称号計算!K195</f>
        <v>7.1800000000000003E-2</v>
      </c>
      <c r="F190" s="5">
        <f>+[2]称号計算!L195</f>
        <v>1.4355</v>
      </c>
      <c r="G190" s="5">
        <f>+[2]称号計算!M195</f>
        <v>0.31240000000000001</v>
      </c>
      <c r="H190" s="13">
        <f>+[2]称号計算!N195</f>
        <v>0.31719999999999998</v>
      </c>
      <c r="I190" s="27">
        <f>+[2]称号計算!O195</f>
        <v>0.50529999999999997</v>
      </c>
      <c r="J190" s="13">
        <f>+[2]称号計算!P195</f>
        <v>0.38569999999999999</v>
      </c>
      <c r="K190" s="27">
        <f>+[2]称号計算!Q195</f>
        <v>0.53049999999999997</v>
      </c>
      <c r="L190" s="5">
        <f>+[2]称号計算!R195</f>
        <v>0.74639999999999995</v>
      </c>
      <c r="M190" s="13">
        <f>+[2]称号計算!S195</f>
        <v>0.40189999999999998</v>
      </c>
      <c r="N190" s="27">
        <f>+[2]称号計算!T195</f>
        <v>9.4999999999999998E-3</v>
      </c>
      <c r="O190" s="5">
        <f>+[2]称号計算!U195</f>
        <v>9.4999999999999998E-3</v>
      </c>
      <c r="P190" s="5">
        <f>+[2]称号計算!V195</f>
        <v>0.14249999999999999</v>
      </c>
      <c r="Q190" s="5">
        <f>+[2]称号計算!W195</f>
        <v>3.56E-2</v>
      </c>
      <c r="R190" s="5">
        <f>+[2]称号計算!X195</f>
        <v>7.1000000000000004E-3</v>
      </c>
      <c r="S190" s="13">
        <f>+[2]称号計算!Y195</f>
        <v>7.1000000000000004E-3</v>
      </c>
      <c r="T190" s="19">
        <f>+[2]称号計算!Z195</f>
        <v>2.4117999999999999</v>
      </c>
      <c r="U190" s="13">
        <v>0.9</v>
      </c>
    </row>
    <row r="191" spans="1:21">
      <c r="A191" s="12" t="s">
        <v>1102</v>
      </c>
      <c r="B191" s="23" t="s">
        <v>1462</v>
      </c>
      <c r="C191" s="27">
        <f>+[2]称号計算!I196</f>
        <v>0.48920000000000002</v>
      </c>
      <c r="D191" s="5">
        <f>+[2]称号計算!J196</f>
        <v>0.26319999999999999</v>
      </c>
      <c r="E191" s="5">
        <f>+[2]称号計算!K196</f>
        <v>1.4075</v>
      </c>
      <c r="F191" s="5">
        <f>+[2]称号計算!L196</f>
        <v>9.8500000000000004E-2</v>
      </c>
      <c r="G191" s="5">
        <f>+[2]称号計算!M196</f>
        <v>0.37809999999999999</v>
      </c>
      <c r="H191" s="13">
        <f>+[2]称号計算!N196</f>
        <v>0.3493</v>
      </c>
      <c r="I191" s="27">
        <f>+[2]称号計算!O196</f>
        <v>0.61929999999999996</v>
      </c>
      <c r="J191" s="13">
        <f>+[2]称号計算!P196</f>
        <v>0.45129999999999998</v>
      </c>
      <c r="K191" s="27">
        <f>+[2]称号計算!Q196</f>
        <v>0.49540000000000001</v>
      </c>
      <c r="L191" s="5">
        <f>+[2]称号計算!R196</f>
        <v>0.79379999999999995</v>
      </c>
      <c r="M191" s="13">
        <f>+[2]称号計算!S196</f>
        <v>0.47289999999999999</v>
      </c>
      <c r="N191" s="27">
        <f>+[2]称号計算!T196</f>
        <v>1.21E-2</v>
      </c>
      <c r="O191" s="5">
        <f>+[2]称号計算!U196</f>
        <v>1.21E-2</v>
      </c>
      <c r="P191" s="5">
        <f>+[2]称号計算!V196</f>
        <v>0.18149999999999999</v>
      </c>
      <c r="Q191" s="5">
        <f>+[2]称号計算!W196</f>
        <v>4.5400000000000003E-2</v>
      </c>
      <c r="R191" s="5">
        <f>+[2]称号計算!X196</f>
        <v>9.1000000000000004E-3</v>
      </c>
      <c r="S191" s="13">
        <f>+[2]称号計算!Y196</f>
        <v>9.1000000000000004E-3</v>
      </c>
      <c r="T191" s="19">
        <f>+[2]称号計算!Z196</f>
        <v>2.4567999999999999</v>
      </c>
      <c r="U191" s="13">
        <v>0.55000000000000004</v>
      </c>
    </row>
    <row r="192" spans="1:21">
      <c r="A192" s="12" t="s">
        <v>1103</v>
      </c>
      <c r="B192" s="23" t="s">
        <v>1463</v>
      </c>
      <c r="C192" s="27">
        <f>+[2]称号計算!I197</f>
        <v>0.79239999999999999</v>
      </c>
      <c r="D192" s="5">
        <f>+[2]称号計算!J197</f>
        <v>0.28060000000000002</v>
      </c>
      <c r="E192" s="5">
        <f>+[2]称号計算!K197</f>
        <v>1.5007999999999999</v>
      </c>
      <c r="F192" s="5">
        <f>+[2]称号計算!L197</f>
        <v>0.15010000000000001</v>
      </c>
      <c r="G192" s="5">
        <f>+[2]称号計算!M197</f>
        <v>0.6633</v>
      </c>
      <c r="H192" s="13">
        <f>+[2]称号計算!N197</f>
        <v>0.43369999999999997</v>
      </c>
      <c r="I192" s="27">
        <f>+[2]称号計算!O197</f>
        <v>0.52829999999999999</v>
      </c>
      <c r="J192" s="13">
        <f>+[2]称号計算!P197</f>
        <v>0.41620000000000001</v>
      </c>
      <c r="K192" s="27">
        <f>+[2]称号計算!Q197</f>
        <v>0.36980000000000002</v>
      </c>
      <c r="L192" s="5">
        <f>+[2]称号計算!R197</f>
        <v>0.60029999999999994</v>
      </c>
      <c r="M192" s="13">
        <f>+[2]称号計算!S197</f>
        <v>0.3362</v>
      </c>
      <c r="N192" s="27">
        <f>+[2]称号計算!T197</f>
        <v>1.8499999999999999E-2</v>
      </c>
      <c r="O192" s="5">
        <f>+[2]称号計算!U197</f>
        <v>1.8499999999999999E-2</v>
      </c>
      <c r="P192" s="5">
        <f>+[2]称号計算!V197</f>
        <v>0.27689999999999998</v>
      </c>
      <c r="Q192" s="5">
        <f>+[2]称号計算!W197</f>
        <v>6.9199999999999998E-2</v>
      </c>
      <c r="R192" s="5">
        <f>+[2]称号計算!X197</f>
        <v>1.38E-2</v>
      </c>
      <c r="S192" s="13">
        <f>+[2]称号計算!Y197</f>
        <v>1.38E-2</v>
      </c>
      <c r="T192" s="19">
        <f>+[2]称号計算!Z197</f>
        <v>2.1587999999999998</v>
      </c>
      <c r="U192" s="13">
        <v>0.5</v>
      </c>
    </row>
    <row r="193" spans="1:21" ht="19.5" thickBot="1">
      <c r="A193" s="14" t="s">
        <v>1104</v>
      </c>
      <c r="B193" s="24" t="s">
        <v>1464</v>
      </c>
      <c r="C193" s="28">
        <f>+[2]称号計算!I198</f>
        <v>0.71830000000000005</v>
      </c>
      <c r="D193" s="15">
        <f>+[2]称号計算!J198</f>
        <v>0.68559999999999999</v>
      </c>
      <c r="E193" s="15">
        <f>+[2]称号計算!K198</f>
        <v>0.1484</v>
      </c>
      <c r="F193" s="15">
        <f>+[2]称号計算!L198</f>
        <v>1.484</v>
      </c>
      <c r="G193" s="15">
        <f>+[2]称号計算!M198</f>
        <v>0.55500000000000005</v>
      </c>
      <c r="H193" s="16">
        <f>+[2]称号計算!N198</f>
        <v>0.55500000000000005</v>
      </c>
      <c r="I193" s="28">
        <f>+[2]称号計算!O198</f>
        <v>0.45710000000000001</v>
      </c>
      <c r="J193" s="16">
        <f>+[2]称号計算!P198</f>
        <v>0.3987</v>
      </c>
      <c r="K193" s="28">
        <f>+[2]称号計算!Q198</f>
        <v>0.31340000000000001</v>
      </c>
      <c r="L193" s="15">
        <f>+[2]称号計算!R198</f>
        <v>0.59360000000000002</v>
      </c>
      <c r="M193" s="16">
        <f>+[2]称号計算!S198</f>
        <v>0.41549999999999998</v>
      </c>
      <c r="N193" s="28">
        <f>+[2]称号計算!T198</f>
        <v>1.8200000000000001E-2</v>
      </c>
      <c r="O193" s="15">
        <f>+[2]称号計算!U198</f>
        <v>1.8200000000000001E-2</v>
      </c>
      <c r="P193" s="15">
        <f>+[2]称号計算!V198</f>
        <v>0.2732</v>
      </c>
      <c r="Q193" s="15">
        <f>+[2]称号計算!W198</f>
        <v>6.83E-2</v>
      </c>
      <c r="R193" s="15">
        <f>+[2]称号計算!X198</f>
        <v>1.37E-2</v>
      </c>
      <c r="S193" s="16">
        <f>+[2]称号計算!Y198</f>
        <v>1.37E-2</v>
      </c>
      <c r="T193" s="20">
        <f>+[2]称号計算!Z198</f>
        <v>2.1082000000000001</v>
      </c>
      <c r="U193" s="16">
        <v>0.25</v>
      </c>
    </row>
    <row r="194" spans="1:21">
      <c r="A194" s="9" t="s">
        <v>1105</v>
      </c>
      <c r="B194" s="22" t="s">
        <v>1465</v>
      </c>
      <c r="C194" s="26">
        <f>+[2]称号計算!I199</f>
        <v>0.6855</v>
      </c>
      <c r="D194" s="10">
        <f>+[2]称号計算!J199</f>
        <v>0.57120000000000004</v>
      </c>
      <c r="E194" s="10">
        <f>+[2]称号計算!K199</f>
        <v>0.10390000000000001</v>
      </c>
      <c r="F194" s="10">
        <f>+[2]称号計算!L199</f>
        <v>1.0386</v>
      </c>
      <c r="G194" s="10">
        <f>+[2]称号計算!M199</f>
        <v>0.52969999999999995</v>
      </c>
      <c r="H194" s="11">
        <f>+[2]称号計算!N199</f>
        <v>0.49440000000000001</v>
      </c>
      <c r="I194" s="26">
        <f>+[2]称号計算!O199</f>
        <v>0.45700000000000002</v>
      </c>
      <c r="J194" s="11">
        <f>+[2]称号計算!P199</f>
        <v>0.315</v>
      </c>
      <c r="K194" s="26">
        <f>+[2]称号計算!Q199</f>
        <v>0.21940000000000001</v>
      </c>
      <c r="L194" s="10">
        <f>+[2]称号計算!R199</f>
        <v>0.4985</v>
      </c>
      <c r="M194" s="11">
        <f>+[2]称号計算!S199</f>
        <v>0.34899999999999998</v>
      </c>
      <c r="N194" s="26">
        <f>+[2]称号計算!T199</f>
        <v>1.8499999999999999E-2</v>
      </c>
      <c r="O194" s="10">
        <f>+[2]称号計算!U199</f>
        <v>1.8499999999999999E-2</v>
      </c>
      <c r="P194" s="10">
        <f>+[2]称号計算!V199</f>
        <v>6.9500000000000006E-2</v>
      </c>
      <c r="Q194" s="10">
        <f>+[2]称号計算!W199</f>
        <v>0.27779999999999999</v>
      </c>
      <c r="R194" s="10">
        <f>+[2]称号計算!X199</f>
        <v>1.3899999999999999E-2</v>
      </c>
      <c r="S194" s="11">
        <f>+[2]称号計算!Y199</f>
        <v>1.3899999999999999E-2</v>
      </c>
      <c r="T194" s="18">
        <f>+[2]称号計算!Z199</f>
        <v>1.754</v>
      </c>
      <c r="U194" s="11">
        <v>1</v>
      </c>
    </row>
    <row r="195" spans="1:21">
      <c r="A195" s="12" t="s">
        <v>1106</v>
      </c>
      <c r="B195" s="23" t="s">
        <v>1466</v>
      </c>
      <c r="C195" s="27">
        <f>+[2]称号計算!I200</f>
        <v>0.52990000000000004</v>
      </c>
      <c r="D195" s="5">
        <f>+[2]称号計算!J200</f>
        <v>0.93179999999999996</v>
      </c>
      <c r="E195" s="5">
        <f>+[2]称号計算!K200</f>
        <v>9.9299999999999999E-2</v>
      </c>
      <c r="F195" s="5">
        <f>+[2]称号計算!L200</f>
        <v>1.3234999999999999</v>
      </c>
      <c r="G195" s="5">
        <f>+[2]称号計算!M200</f>
        <v>0.39600000000000002</v>
      </c>
      <c r="H195" s="13">
        <f>+[2]称号計算!N200</f>
        <v>0.42749999999999999</v>
      </c>
      <c r="I195" s="27">
        <f>+[2]称号計算!O200</f>
        <v>0.2329</v>
      </c>
      <c r="J195" s="13">
        <f>+[2]称号計算!P200</f>
        <v>0.50470000000000004</v>
      </c>
      <c r="K195" s="27">
        <f>+[2]称号計算!Q200</f>
        <v>0.19220000000000001</v>
      </c>
      <c r="L195" s="5">
        <f>+[2]称号計算!R200</f>
        <v>0.33879999999999999</v>
      </c>
      <c r="M195" s="13">
        <f>+[2]称号計算!S200</f>
        <v>0.54849999999999999</v>
      </c>
      <c r="N195" s="27">
        <f>+[2]称号計算!T200</f>
        <v>1.3299999999999999E-2</v>
      </c>
      <c r="O195" s="5">
        <f>+[2]称号計算!U200</f>
        <v>1.3299999999999999E-2</v>
      </c>
      <c r="P195" s="5">
        <f>+[2]称号計算!V200</f>
        <v>4.9700000000000001E-2</v>
      </c>
      <c r="Q195" s="5">
        <f>+[2]称号計算!W200</f>
        <v>0.19889999999999999</v>
      </c>
      <c r="R195" s="5">
        <f>+[2]称号計算!X200</f>
        <v>9.9000000000000008E-3</v>
      </c>
      <c r="S195" s="13">
        <f>+[2]称号計算!Y200</f>
        <v>9.9000000000000008E-3</v>
      </c>
      <c r="T195" s="19">
        <f>+[2]称号計算!Z200</f>
        <v>1.6114999999999999</v>
      </c>
      <c r="U195" s="13">
        <v>1</v>
      </c>
    </row>
    <row r="196" spans="1:21">
      <c r="A196" s="12" t="s">
        <v>1107</v>
      </c>
      <c r="B196" s="23" t="s">
        <v>1467</v>
      </c>
      <c r="C196" s="27">
        <f>+[2]称号計算!I201</f>
        <v>0.59870000000000001</v>
      </c>
      <c r="D196" s="5">
        <f>+[2]称号計算!J201</f>
        <v>0.98829999999999996</v>
      </c>
      <c r="E196" s="5">
        <f>+[2]称号計算!K201</f>
        <v>8.3400000000000002E-2</v>
      </c>
      <c r="F196" s="5">
        <f>+[2]称号計算!L201</f>
        <v>1.2836000000000001</v>
      </c>
      <c r="G196" s="5">
        <f>+[2]称号計算!M201</f>
        <v>0.33600000000000002</v>
      </c>
      <c r="H196" s="13">
        <f>+[2]称号計算!N201</f>
        <v>0.89459999999999995</v>
      </c>
      <c r="I196" s="27">
        <f>+[2]称号計算!O201</f>
        <v>0.25409999999999999</v>
      </c>
      <c r="J196" s="13">
        <f>+[2]称号計算!P201</f>
        <v>0.3226</v>
      </c>
      <c r="K196" s="27">
        <f>+[2]称号計算!Q201</f>
        <v>0.21460000000000001</v>
      </c>
      <c r="L196" s="5">
        <f>+[2]称号計算!R201</f>
        <v>0.43130000000000002</v>
      </c>
      <c r="M196" s="13">
        <f>+[2]称号計算!S201</f>
        <v>0.38100000000000001</v>
      </c>
      <c r="N196" s="27">
        <f>+[2]称号計算!T201</f>
        <v>2.1000000000000001E-2</v>
      </c>
      <c r="O196" s="5">
        <f>+[2]称号計算!U201</f>
        <v>2.1000000000000001E-2</v>
      </c>
      <c r="P196" s="5">
        <f>+[2]称号計算!V201</f>
        <v>7.8700000000000006E-2</v>
      </c>
      <c r="Q196" s="5">
        <f>+[2]称号計算!W201</f>
        <v>0.31490000000000001</v>
      </c>
      <c r="R196" s="5">
        <f>+[2]称号計算!X201</f>
        <v>1.5699999999999999E-2</v>
      </c>
      <c r="S196" s="13">
        <f>+[2]称号計算!Y201</f>
        <v>1.5699999999999999E-2</v>
      </c>
      <c r="T196" s="19">
        <f>+[2]称号計算!Z201</f>
        <v>1.7685999999999999</v>
      </c>
      <c r="U196" s="13">
        <v>0.9</v>
      </c>
    </row>
    <row r="197" spans="1:21">
      <c r="A197" s="12" t="s">
        <v>1108</v>
      </c>
      <c r="B197" s="23" t="s">
        <v>1468</v>
      </c>
      <c r="C197" s="27">
        <f>+[2]称号計算!I202</f>
        <v>0.52229999999999999</v>
      </c>
      <c r="D197" s="5">
        <f>+[2]称号計算!J202</f>
        <v>0.21299999999999999</v>
      </c>
      <c r="E197" s="5">
        <f>+[2]称号計算!K202</f>
        <v>1.5619000000000001</v>
      </c>
      <c r="F197" s="5">
        <f>+[2]称号計算!L202</f>
        <v>9.6799999999999997E-2</v>
      </c>
      <c r="G197" s="5">
        <f>+[2]称号計算!M202</f>
        <v>0.40360000000000001</v>
      </c>
      <c r="H197" s="13">
        <f>+[2]称号計算!N202</f>
        <v>0.37169999999999997</v>
      </c>
      <c r="I197" s="27">
        <f>+[2]称号計算!O202</f>
        <v>0.65290000000000004</v>
      </c>
      <c r="J197" s="13">
        <f>+[2]称号計算!P202</f>
        <v>0.64970000000000006</v>
      </c>
      <c r="K197" s="27">
        <f>+[2]称号計算!Q202</f>
        <v>0.46039999999999998</v>
      </c>
      <c r="L197" s="5">
        <f>+[2]称号計算!R202</f>
        <v>0.5373</v>
      </c>
      <c r="M197" s="13">
        <f>+[2]称号計算!S202</f>
        <v>0.58160000000000001</v>
      </c>
      <c r="N197" s="27">
        <f>+[2]称号計算!T202</f>
        <v>1.1599999999999999E-2</v>
      </c>
      <c r="O197" s="5">
        <f>+[2]称号計算!U202</f>
        <v>1.1599999999999999E-2</v>
      </c>
      <c r="P197" s="5">
        <f>+[2]称号計算!V202</f>
        <v>4.36E-2</v>
      </c>
      <c r="Q197" s="5">
        <f>+[2]称号計算!W202</f>
        <v>0.17430000000000001</v>
      </c>
      <c r="R197" s="5">
        <f>+[2]称号計算!X202</f>
        <v>8.6999999999999994E-3</v>
      </c>
      <c r="S197" s="13">
        <f>+[2]称号計算!Y202</f>
        <v>8.6999999999999994E-3</v>
      </c>
      <c r="T197" s="19">
        <f>+[2]称号計算!Z202</f>
        <v>2.3365</v>
      </c>
      <c r="U197" s="13">
        <v>0.55000000000000004</v>
      </c>
    </row>
    <row r="198" spans="1:21">
      <c r="A198" s="12" t="s">
        <v>1109</v>
      </c>
      <c r="B198" s="23" t="s">
        <v>1469</v>
      </c>
      <c r="C198" s="27">
        <f>+[2]称号計算!I203</f>
        <v>0.43909999999999999</v>
      </c>
      <c r="D198" s="5">
        <f>+[2]称号計算!J203</f>
        <v>0.16209999999999999</v>
      </c>
      <c r="E198" s="5">
        <f>+[2]称号計算!K203</f>
        <v>1.5354000000000001</v>
      </c>
      <c r="F198" s="5">
        <f>+[2]称号計算!L203</f>
        <v>9.98E-2</v>
      </c>
      <c r="G198" s="5">
        <f>+[2]称号計算!M203</f>
        <v>0.32369999999999999</v>
      </c>
      <c r="H198" s="13">
        <f>+[2]称号計算!N203</f>
        <v>0.35499999999999998</v>
      </c>
      <c r="I198" s="27">
        <f>+[2]称号計算!O203</f>
        <v>1.216</v>
      </c>
      <c r="J198" s="13">
        <f>+[2]称号計算!P203</f>
        <v>0.55889999999999995</v>
      </c>
      <c r="K198" s="27">
        <f>+[2]称号計算!Q203</f>
        <v>0.42559999999999998</v>
      </c>
      <c r="L198" s="5">
        <f>+[2]称号計算!R203</f>
        <v>0.82909999999999995</v>
      </c>
      <c r="M198" s="13">
        <f>+[2]称号計算!S203</f>
        <v>0.36969999999999997</v>
      </c>
      <c r="N198" s="27">
        <f>+[2]称号計算!T203</f>
        <v>1.15E-2</v>
      </c>
      <c r="O198" s="5">
        <f>+[2]称号計算!U203</f>
        <v>1.15E-2</v>
      </c>
      <c r="P198" s="5">
        <f>+[2]称号計算!V203</f>
        <v>4.2900000000000001E-2</v>
      </c>
      <c r="Q198" s="5">
        <f>+[2]称号計算!W203</f>
        <v>0.17180000000000001</v>
      </c>
      <c r="R198" s="5">
        <f>+[2]称号計算!X203</f>
        <v>8.6E-3</v>
      </c>
      <c r="S198" s="13">
        <f>+[2]称号計算!Y203</f>
        <v>8.6E-3</v>
      </c>
      <c r="T198" s="19">
        <f>+[2]称号計算!Z203</f>
        <v>2.3679000000000001</v>
      </c>
      <c r="U198" s="13">
        <v>0.5</v>
      </c>
    </row>
    <row r="199" spans="1:21" ht="19.5" thickBot="1">
      <c r="A199" s="14" t="s">
        <v>1110</v>
      </c>
      <c r="B199" s="24" t="s">
        <v>1470</v>
      </c>
      <c r="C199" s="28">
        <f>+[2]称号計算!I204</f>
        <v>0.66279999999999994</v>
      </c>
      <c r="D199" s="15">
        <f>+[2]称号計算!J204</f>
        <v>0.75939999999999996</v>
      </c>
      <c r="E199" s="15">
        <f>+[2]称号計算!K204</f>
        <v>9.7299999999999998E-2</v>
      </c>
      <c r="F199" s="15">
        <f>+[2]称号計算!L204</f>
        <v>1.5690999999999999</v>
      </c>
      <c r="G199" s="15">
        <f>+[2]称号計算!M204</f>
        <v>0.4375</v>
      </c>
      <c r="H199" s="16">
        <f>+[2]称号計算!N204</f>
        <v>0.48549999999999999</v>
      </c>
      <c r="I199" s="28">
        <f>+[2]称号計算!O204</f>
        <v>0.41420000000000001</v>
      </c>
      <c r="J199" s="16">
        <f>+[2]称号計算!P204</f>
        <v>0.43519999999999998</v>
      </c>
      <c r="K199" s="28">
        <f>+[2]称号計算!Q204</f>
        <v>0.31069999999999998</v>
      </c>
      <c r="L199" s="15">
        <f>+[2]称号計算!R204</f>
        <v>0.57120000000000004</v>
      </c>
      <c r="M199" s="16">
        <f>+[2]称号計算!S204</f>
        <v>0.83479999999999999</v>
      </c>
      <c r="N199" s="28">
        <f>+[2]称号計算!T204</f>
        <v>1.61E-2</v>
      </c>
      <c r="O199" s="15">
        <f>+[2]称号計算!U204</f>
        <v>1.61E-2</v>
      </c>
      <c r="P199" s="15">
        <f>+[2]称号計算!V204</f>
        <v>6.0499999999999998E-2</v>
      </c>
      <c r="Q199" s="15">
        <f>+[2]称号計算!W204</f>
        <v>0.24210000000000001</v>
      </c>
      <c r="R199" s="15">
        <f>+[2]称号計算!X204</f>
        <v>1.21E-2</v>
      </c>
      <c r="S199" s="16">
        <f>+[2]称号計算!Y204</f>
        <v>1.21E-2</v>
      </c>
      <c r="T199" s="20">
        <f>+[2]称号計算!Z204</f>
        <v>2.1377000000000002</v>
      </c>
      <c r="U199" s="16">
        <v>0.25</v>
      </c>
    </row>
    <row r="200" spans="1:21">
      <c r="A200" s="9" t="s">
        <v>1111</v>
      </c>
      <c r="B200" s="22" t="s">
        <v>1471</v>
      </c>
      <c r="C200" s="26">
        <f>+[2]称号計算!I205</f>
        <v>0.3654</v>
      </c>
      <c r="D200" s="10">
        <f>+[2]称号計算!J205</f>
        <v>0.59989999999999999</v>
      </c>
      <c r="E200" s="10">
        <f>+[2]称号計算!K205</f>
        <v>6.4500000000000002E-2</v>
      </c>
      <c r="F200" s="10">
        <f>+[2]称号計算!L205</f>
        <v>1.2395</v>
      </c>
      <c r="G200" s="10">
        <f>+[2]称号計算!M205</f>
        <v>0.27389999999999998</v>
      </c>
      <c r="H200" s="11">
        <f>+[2]称号計算!N205</f>
        <v>0.33710000000000001</v>
      </c>
      <c r="I200" s="26">
        <f>+[2]称号計算!O205</f>
        <v>0.98170000000000002</v>
      </c>
      <c r="J200" s="11">
        <f>+[2]称号計算!P205</f>
        <v>0.39750000000000002</v>
      </c>
      <c r="K200" s="26">
        <f>+[2]称号計算!Q205</f>
        <v>0.22359999999999999</v>
      </c>
      <c r="L200" s="10">
        <f>+[2]称号計算!R205</f>
        <v>0.37180000000000002</v>
      </c>
      <c r="M200" s="11">
        <f>+[2]称号計算!S205</f>
        <v>0.61770000000000003</v>
      </c>
      <c r="N200" s="26">
        <f>+[2]称号計算!T205</f>
        <v>1.11E-2</v>
      </c>
      <c r="O200" s="10">
        <f>+[2]称号計算!U205</f>
        <v>1.11E-2</v>
      </c>
      <c r="P200" s="10">
        <f>+[2]称号計算!V205</f>
        <v>0.16639999999999999</v>
      </c>
      <c r="Q200" s="10">
        <f>+[2]称号計算!W205</f>
        <v>4.1599999999999998E-2</v>
      </c>
      <c r="R200" s="10">
        <f>+[2]称号計算!X205</f>
        <v>8.3000000000000001E-3</v>
      </c>
      <c r="S200" s="11">
        <f>+[2]称号計算!Y205</f>
        <v>8.3000000000000001E-3</v>
      </c>
      <c r="T200" s="18">
        <f>+[2]称号計算!Z205</f>
        <v>1.7178</v>
      </c>
      <c r="U200" s="11">
        <v>1</v>
      </c>
    </row>
    <row r="201" spans="1:21">
      <c r="A201" s="12" t="s">
        <v>1112</v>
      </c>
      <c r="B201" s="23" t="s">
        <v>1472</v>
      </c>
      <c r="C201" s="27">
        <f>+[2]称号計算!I206</f>
        <v>0.46820000000000001</v>
      </c>
      <c r="D201" s="5">
        <f>+[2]称号計算!J206</f>
        <v>0.77080000000000004</v>
      </c>
      <c r="E201" s="5">
        <f>+[2]称号計算!K206</f>
        <v>7.7899999999999997E-2</v>
      </c>
      <c r="F201" s="5">
        <f>+[2]称号計算!L206</f>
        <v>1.2977000000000001</v>
      </c>
      <c r="G201" s="5">
        <f>+[2]称号計算!M206</f>
        <v>0.3574</v>
      </c>
      <c r="H201" s="13">
        <f>+[2]称号計算!N206</f>
        <v>0.38390000000000002</v>
      </c>
      <c r="I201" s="27">
        <f>+[2]称号計算!O206</f>
        <v>0.68520000000000003</v>
      </c>
      <c r="J201" s="13">
        <f>+[2]称号計算!P206</f>
        <v>0.5736</v>
      </c>
      <c r="K201" s="27">
        <f>+[2]称号計算!Q206</f>
        <v>0.26269999999999999</v>
      </c>
      <c r="L201" s="5">
        <f>+[2]称号計算!R206</f>
        <v>0.35299999999999998</v>
      </c>
      <c r="M201" s="13">
        <f>+[2]称号計算!S206</f>
        <v>0.51600000000000001</v>
      </c>
      <c r="N201" s="27">
        <f>+[2]称号計算!T206</f>
        <v>1.2E-2</v>
      </c>
      <c r="O201" s="5">
        <f>+[2]称号計算!U206</f>
        <v>1.2E-2</v>
      </c>
      <c r="P201" s="5">
        <f>+[2]称号計算!V206</f>
        <v>4.48E-2</v>
      </c>
      <c r="Q201" s="5">
        <f>+[2]称号計算!W206</f>
        <v>0.17929999999999999</v>
      </c>
      <c r="R201" s="5">
        <f>+[2]称号計算!X206</f>
        <v>8.9999999999999993E-3</v>
      </c>
      <c r="S201" s="13">
        <f>+[2]称号計算!Y206</f>
        <v>8.9999999999999993E-3</v>
      </c>
      <c r="T201" s="19">
        <f>+[2]称号計算!Z206</f>
        <v>1.8835</v>
      </c>
      <c r="U201" s="13">
        <v>1</v>
      </c>
    </row>
    <row r="202" spans="1:21">
      <c r="A202" s="12" t="s">
        <v>1113</v>
      </c>
      <c r="B202" s="23" t="s">
        <v>1473</v>
      </c>
      <c r="C202" s="27">
        <f>+[2]称号計算!I207</f>
        <v>0.71699999999999997</v>
      </c>
      <c r="D202" s="5">
        <f>+[2]称号計算!J207</f>
        <v>1.1266</v>
      </c>
      <c r="E202" s="5">
        <f>+[2]称号計算!K207</f>
        <v>9.7799999999999998E-2</v>
      </c>
      <c r="F202" s="5">
        <f>+[2]称号計算!L207</f>
        <v>1.1638999999999999</v>
      </c>
      <c r="G202" s="5">
        <f>+[2]称号計算!M207</f>
        <v>0.37590000000000001</v>
      </c>
      <c r="H202" s="13">
        <f>+[2]称号計算!N207</f>
        <v>0.66479999999999995</v>
      </c>
      <c r="I202" s="27">
        <f>+[2]称号計算!O207</f>
        <v>0.58889999999999998</v>
      </c>
      <c r="J202" s="13">
        <f>+[2]称号計算!P207</f>
        <v>0.39340000000000003</v>
      </c>
      <c r="K202" s="27">
        <f>+[2]称号計算!Q207</f>
        <v>0.1229</v>
      </c>
      <c r="L202" s="5">
        <f>+[2]称号計算!R207</f>
        <v>0.3352</v>
      </c>
      <c r="M202" s="13">
        <f>+[2]称号計算!S207</f>
        <v>0.43340000000000001</v>
      </c>
      <c r="N202" s="27">
        <f>+[2]称号計算!T207</f>
        <v>2.12E-2</v>
      </c>
      <c r="O202" s="5">
        <f>+[2]称号計算!U207</f>
        <v>2.12E-2</v>
      </c>
      <c r="P202" s="5">
        <f>+[2]称号計算!V207</f>
        <v>0.31780000000000003</v>
      </c>
      <c r="Q202" s="5">
        <f>+[2]称号計算!W207</f>
        <v>7.9500000000000001E-2</v>
      </c>
      <c r="R202" s="5">
        <f>+[2]称号計算!X207</f>
        <v>1.5900000000000001E-2</v>
      </c>
      <c r="S202" s="13">
        <f>+[2]称号計算!Y207</f>
        <v>1.5900000000000001E-2</v>
      </c>
      <c r="T202" s="19">
        <f>+[2]称号計算!Z207</f>
        <v>1.6052999999999999</v>
      </c>
      <c r="U202" s="13">
        <v>0.9</v>
      </c>
    </row>
    <row r="203" spans="1:21">
      <c r="A203" s="12" t="s">
        <v>1114</v>
      </c>
      <c r="B203" s="23" t="s">
        <v>1474</v>
      </c>
      <c r="C203" s="27">
        <f>+[2]称号計算!I208</f>
        <v>1.0654999999999999</v>
      </c>
      <c r="D203" s="5">
        <f>+[2]称号計算!J208</f>
        <v>0.28299999999999997</v>
      </c>
      <c r="E203" s="5">
        <f>+[2]称号計算!K208</f>
        <v>1.5135000000000001</v>
      </c>
      <c r="F203" s="5">
        <f>+[2]称号計算!L208</f>
        <v>0.15129999999999999</v>
      </c>
      <c r="G203" s="5">
        <f>+[2]称号計算!M208</f>
        <v>0.79759999999999998</v>
      </c>
      <c r="H203" s="13">
        <f>+[2]称号計算!N208</f>
        <v>0.72040000000000004</v>
      </c>
      <c r="I203" s="27">
        <f>+[2]称号計算!O208</f>
        <v>0.26640000000000003</v>
      </c>
      <c r="J203" s="13">
        <f>+[2]称号計算!P208</f>
        <v>0.36730000000000002</v>
      </c>
      <c r="K203" s="27">
        <f>+[2]称号計算!Q208</f>
        <v>0.29299999999999998</v>
      </c>
      <c r="L203" s="5">
        <f>+[2]称号計算!R208</f>
        <v>0.49640000000000001</v>
      </c>
      <c r="M203" s="13">
        <f>+[2]称号計算!S208</f>
        <v>0.33900000000000002</v>
      </c>
      <c r="N203" s="27">
        <f>+[2]称号計算!T208</f>
        <v>2.35E-2</v>
      </c>
      <c r="O203" s="5">
        <f>+[2]称号計算!U208</f>
        <v>2.35E-2</v>
      </c>
      <c r="P203" s="5">
        <f>+[2]称号計算!V208</f>
        <v>8.8099999999999998E-2</v>
      </c>
      <c r="Q203" s="5">
        <f>+[2]称号計算!W208</f>
        <v>0.35239999999999999</v>
      </c>
      <c r="R203" s="5">
        <f>+[2]称号計算!X208</f>
        <v>1.7600000000000001E-2</v>
      </c>
      <c r="S203" s="13">
        <f>+[2]称号計算!Y208</f>
        <v>1.7600000000000001E-2</v>
      </c>
      <c r="T203" s="19">
        <f>+[2]称号計算!Z208</f>
        <v>2.0278999999999998</v>
      </c>
      <c r="U203" s="13">
        <v>0.55000000000000004</v>
      </c>
    </row>
    <row r="204" spans="1:21">
      <c r="A204" s="12" t="s">
        <v>1115</v>
      </c>
      <c r="B204" s="23" t="s">
        <v>1475</v>
      </c>
      <c r="C204" s="27">
        <f>+[2]称号計算!I209</f>
        <v>1.0077</v>
      </c>
      <c r="D204" s="5">
        <f>+[2]称号計算!J209</f>
        <v>0.3427</v>
      </c>
      <c r="E204" s="5">
        <f>+[2]称号計算!K209</f>
        <v>1.5580000000000001</v>
      </c>
      <c r="F204" s="5">
        <f>+[2]称号計算!L209</f>
        <v>0.11840000000000001</v>
      </c>
      <c r="G204" s="5">
        <f>+[2]称号計算!M209</f>
        <v>0.48730000000000001</v>
      </c>
      <c r="H204" s="13">
        <f>+[2]称号計算!N209</f>
        <v>1.1653</v>
      </c>
      <c r="I204" s="27">
        <f>+[2]称号計算!O209</f>
        <v>0.3427</v>
      </c>
      <c r="J204" s="13">
        <f>+[2]称号計算!P209</f>
        <v>0.40510000000000002</v>
      </c>
      <c r="K204" s="27">
        <f>+[2]称号計算!Q209</f>
        <v>0.28110000000000002</v>
      </c>
      <c r="L204" s="5">
        <f>+[2]称号計算!R209</f>
        <v>0.49230000000000002</v>
      </c>
      <c r="M204" s="13">
        <f>+[2]称号計算!S209</f>
        <v>0.3664</v>
      </c>
      <c r="N204" s="27">
        <f>+[2]称号計算!T209</f>
        <v>2.24E-2</v>
      </c>
      <c r="O204" s="5">
        <f>+[2]称号計算!U209</f>
        <v>2.24E-2</v>
      </c>
      <c r="P204" s="5">
        <f>+[2]称号計算!V209</f>
        <v>0.3362</v>
      </c>
      <c r="Q204" s="5">
        <f>+[2]称号計算!W209</f>
        <v>8.4099999999999994E-2</v>
      </c>
      <c r="R204" s="5">
        <f>+[2]称号計算!X209</f>
        <v>1.6799999999999999E-2</v>
      </c>
      <c r="S204" s="13">
        <f>+[2]称号計算!Y209</f>
        <v>1.6799999999999999E-2</v>
      </c>
      <c r="T204" s="19">
        <f>+[2]称号計算!Z209</f>
        <v>2.0613000000000001</v>
      </c>
      <c r="U204" s="13">
        <v>0.5</v>
      </c>
    </row>
    <row r="205" spans="1:21" ht="19.5" thickBot="1">
      <c r="A205" s="14" t="s">
        <v>1116</v>
      </c>
      <c r="B205" s="24" t="s">
        <v>1476</v>
      </c>
      <c r="C205" s="28">
        <f>+[2]称号計算!I210</f>
        <v>0.75249999999999995</v>
      </c>
      <c r="D205" s="15">
        <f>+[2]称号計算!J210</f>
        <v>0.90300000000000002</v>
      </c>
      <c r="E205" s="15">
        <f>+[2]称号計算!K210</f>
        <v>0.1197</v>
      </c>
      <c r="F205" s="15">
        <f>+[2]称号計算!L210</f>
        <v>1.7101999999999999</v>
      </c>
      <c r="G205" s="15">
        <f>+[2]称号計算!M210</f>
        <v>0.55820000000000003</v>
      </c>
      <c r="H205" s="16">
        <f>+[2]称号計算!N210</f>
        <v>0.59309999999999996</v>
      </c>
      <c r="I205" s="28">
        <f>+[2]称号計算!O210</f>
        <v>0.33860000000000001</v>
      </c>
      <c r="J205" s="16">
        <f>+[2]称号計算!P210</f>
        <v>0.41499999999999998</v>
      </c>
      <c r="K205" s="28">
        <f>+[2]称号計算!Q210</f>
        <v>0.3085</v>
      </c>
      <c r="L205" s="15">
        <f>+[2]称号計算!R210</f>
        <v>0.62939999999999996</v>
      </c>
      <c r="M205" s="16">
        <f>+[2]称号計算!S210</f>
        <v>0.51239999999999997</v>
      </c>
      <c r="N205" s="28">
        <f>+[2]称号計算!T210</f>
        <v>2.0500000000000001E-2</v>
      </c>
      <c r="O205" s="15">
        <f>+[2]称号計算!U210</f>
        <v>2.0500000000000001E-2</v>
      </c>
      <c r="P205" s="15">
        <f>+[2]称号計算!V210</f>
        <v>2.0500000000000001E-2</v>
      </c>
      <c r="Q205" s="15">
        <f>+[2]称号計算!W210</f>
        <v>2.0500000000000001E-2</v>
      </c>
      <c r="R205" s="15">
        <f>+[2]称号計算!X210</f>
        <v>0.41039999999999999</v>
      </c>
      <c r="S205" s="16">
        <f>+[2]称号計算!Y210</f>
        <v>5.4699999999999999E-2</v>
      </c>
      <c r="T205" s="20">
        <f>+[2]称号計算!Z210</f>
        <v>2.1472000000000002</v>
      </c>
      <c r="U205" s="16">
        <v>0.25</v>
      </c>
    </row>
    <row r="206" spans="1:21">
      <c r="A206" s="9" t="s">
        <v>1117</v>
      </c>
      <c r="B206" s="22" t="s">
        <v>1477</v>
      </c>
      <c r="C206" s="26">
        <f>+[2]称号計算!I211</f>
        <v>0.37580000000000002</v>
      </c>
      <c r="D206" s="10">
        <f>+[2]称号計算!J211</f>
        <v>0.60740000000000005</v>
      </c>
      <c r="E206" s="10">
        <f>+[2]称号計算!K211</f>
        <v>6.5500000000000003E-2</v>
      </c>
      <c r="F206" s="10">
        <f>+[2]称号計算!L211</f>
        <v>1.1698999999999999</v>
      </c>
      <c r="G206" s="10">
        <f>+[2]称号計算!M211</f>
        <v>0.30630000000000002</v>
      </c>
      <c r="H206" s="11">
        <f>+[2]称号計算!N211</f>
        <v>0.33810000000000001</v>
      </c>
      <c r="I206" s="26">
        <f>+[2]称号計算!O211</f>
        <v>1.3384</v>
      </c>
      <c r="J206" s="11">
        <f>+[2]称号計算!P211</f>
        <v>0.39539999999999997</v>
      </c>
      <c r="K206" s="26">
        <f>+[2]称号計算!Q211</f>
        <v>0.28310000000000002</v>
      </c>
      <c r="L206" s="10">
        <f>+[2]称号計算!R211</f>
        <v>0.4446</v>
      </c>
      <c r="M206" s="11">
        <f>+[2]称号計算!S211</f>
        <v>0.3669</v>
      </c>
      <c r="N206" s="26">
        <f>+[2]称号計算!T211</f>
        <v>9.1000000000000004E-3</v>
      </c>
      <c r="O206" s="10">
        <f>+[2]称号計算!U211</f>
        <v>9.1000000000000004E-3</v>
      </c>
      <c r="P206" s="10">
        <f>+[2]称号計算!V211</f>
        <v>9.1000000000000004E-3</v>
      </c>
      <c r="Q206" s="10">
        <f>+[2]称号計算!W211</f>
        <v>9.1000000000000004E-3</v>
      </c>
      <c r="R206" s="10">
        <f>+[2]称号計算!X211</f>
        <v>2.4299999999999999E-2</v>
      </c>
      <c r="S206" s="11">
        <f>+[2]称号計算!Y211</f>
        <v>0.18210000000000001</v>
      </c>
      <c r="T206" s="18">
        <f>+[2]称号計算!Z211</f>
        <v>2.0078</v>
      </c>
      <c r="U206" s="11">
        <v>1</v>
      </c>
    </row>
    <row r="207" spans="1:21">
      <c r="A207" s="12" t="s">
        <v>1118</v>
      </c>
      <c r="B207" s="23" t="s">
        <v>1478</v>
      </c>
      <c r="C207" s="27">
        <f>+[2]称号計算!I212</f>
        <v>0.50039999999999996</v>
      </c>
      <c r="D207" s="5">
        <f>+[2]称号計算!J212</f>
        <v>0.57010000000000005</v>
      </c>
      <c r="E207" s="5">
        <f>+[2]称号計算!K212</f>
        <v>7.6300000000000007E-2</v>
      </c>
      <c r="F207" s="5">
        <f>+[2]称号計算!L212</f>
        <v>1.4396</v>
      </c>
      <c r="G207" s="5">
        <f>+[2]称号計算!M212</f>
        <v>0.41599999999999998</v>
      </c>
      <c r="H207" s="13">
        <f>+[2]称号計算!N212</f>
        <v>0.39650000000000002</v>
      </c>
      <c r="I207" s="27">
        <f>+[2]称号計算!O212</f>
        <v>0.41170000000000001</v>
      </c>
      <c r="J207" s="13">
        <f>+[2]称号計算!P212</f>
        <v>0.36180000000000001</v>
      </c>
      <c r="K207" s="27">
        <f>+[2]称号計算!Q212</f>
        <v>0.50670000000000004</v>
      </c>
      <c r="L207" s="5">
        <f>+[2]称号計算!R212</f>
        <v>0.99050000000000005</v>
      </c>
      <c r="M207" s="13">
        <f>+[2]称号計算!S212</f>
        <v>0.30640000000000001</v>
      </c>
      <c r="N207" s="27">
        <f>+[2]称号計算!T212</f>
        <v>8.6E-3</v>
      </c>
      <c r="O207" s="5">
        <f>+[2]称号計算!U212</f>
        <v>8.6E-3</v>
      </c>
      <c r="P207" s="5">
        <f>+[2]称号計算!V212</f>
        <v>8.6E-3</v>
      </c>
      <c r="Q207" s="5">
        <f>+[2]称号計算!W212</f>
        <v>8.6E-3</v>
      </c>
      <c r="R207" s="5">
        <f>+[2]称号計算!X212</f>
        <v>2.29E-2</v>
      </c>
      <c r="S207" s="13">
        <f>+[2]称号計算!Y212</f>
        <v>0.1721</v>
      </c>
      <c r="T207" s="19">
        <f>+[2]称号計算!Z212</f>
        <v>2.5232000000000001</v>
      </c>
      <c r="U207" s="13">
        <v>1</v>
      </c>
    </row>
    <row r="208" spans="1:21">
      <c r="A208" s="12" t="s">
        <v>1119</v>
      </c>
      <c r="B208" s="23" t="s">
        <v>1479</v>
      </c>
      <c r="C208" s="27">
        <f>+[2]称号計算!I213</f>
        <v>0.7591</v>
      </c>
      <c r="D208" s="5">
        <f>+[2]称号計算!J213</f>
        <v>0.63260000000000005</v>
      </c>
      <c r="E208" s="5">
        <f>+[2]称号計算!K213</f>
        <v>0.14380000000000001</v>
      </c>
      <c r="F208" s="5">
        <f>+[2]称号計算!L213</f>
        <v>1.4377</v>
      </c>
      <c r="G208" s="5">
        <f>+[2]称号計算!M213</f>
        <v>0.63539999999999996</v>
      </c>
      <c r="H208" s="13">
        <f>+[2]称号計算!N213</f>
        <v>0.41549999999999998</v>
      </c>
      <c r="I208" s="27">
        <f>+[2]称号計算!O213</f>
        <v>0.50609999999999999</v>
      </c>
      <c r="J208" s="13">
        <f>+[2]称号計算!P213</f>
        <v>0.3987</v>
      </c>
      <c r="K208" s="27">
        <f>+[2]称号計算!Q213</f>
        <v>0.35420000000000001</v>
      </c>
      <c r="L208" s="5">
        <f>+[2]称号計算!R213</f>
        <v>0.57509999999999994</v>
      </c>
      <c r="M208" s="13">
        <f>+[2]称号計算!S213</f>
        <v>0.40250000000000002</v>
      </c>
      <c r="N208" s="27">
        <f>+[2]称号計算!T213</f>
        <v>1.3299999999999999E-2</v>
      </c>
      <c r="O208" s="5">
        <f>+[2]称号計算!U213</f>
        <v>1.3299999999999999E-2</v>
      </c>
      <c r="P208" s="5">
        <f>+[2]称号計算!V213</f>
        <v>1.3299999999999999E-2</v>
      </c>
      <c r="Q208" s="5">
        <f>+[2]称号計算!W213</f>
        <v>1.3299999999999999E-2</v>
      </c>
      <c r="R208" s="5">
        <f>+[2]称号計算!X213</f>
        <v>3.5400000000000001E-2</v>
      </c>
      <c r="S208" s="13">
        <f>+[2]称号計算!Y213</f>
        <v>0.26550000000000001</v>
      </c>
      <c r="T208" s="19">
        <f>+[2]称号計算!Z213</f>
        <v>2.226</v>
      </c>
      <c r="U208" s="13">
        <v>0.9</v>
      </c>
    </row>
    <row r="209" spans="1:21">
      <c r="A209" s="12" t="s">
        <v>1120</v>
      </c>
      <c r="B209" s="23" t="s">
        <v>1480</v>
      </c>
      <c r="C209" s="27">
        <f>+[2]称号計算!I214</f>
        <v>1.2837000000000001</v>
      </c>
      <c r="D209" s="5">
        <f>+[2]称号計算!J214</f>
        <v>0.25390000000000001</v>
      </c>
      <c r="E209" s="5">
        <f>+[2]称号計算!K214</f>
        <v>1.603</v>
      </c>
      <c r="F209" s="5">
        <f>+[2]称号計算!L214</f>
        <v>0.13469999999999999</v>
      </c>
      <c r="G209" s="5">
        <f>+[2]称号計算!M214</f>
        <v>1.1718</v>
      </c>
      <c r="H209" s="13">
        <f>+[2]称号計算!N214</f>
        <v>0.57769999999999999</v>
      </c>
      <c r="I209" s="27">
        <f>+[2]称号計算!O214</f>
        <v>0.21160000000000001</v>
      </c>
      <c r="J209" s="13">
        <f>+[2]称号計算!P214</f>
        <v>0.37509999999999999</v>
      </c>
      <c r="K209" s="27">
        <f>+[2]称号計算!Q214</f>
        <v>0.21160000000000001</v>
      </c>
      <c r="L209" s="5">
        <f>+[2]称号計算!R214</f>
        <v>0.4168</v>
      </c>
      <c r="M209" s="13">
        <f>+[2]称号計算!S214</f>
        <v>0.30520000000000003</v>
      </c>
      <c r="N209" s="27">
        <f>+[2]称号計算!T214</f>
        <v>1.83E-2</v>
      </c>
      <c r="O209" s="5">
        <f>+[2]称号計算!U214</f>
        <v>1.83E-2</v>
      </c>
      <c r="P209" s="5">
        <f>+[2]称号計算!V214</f>
        <v>1.83E-2</v>
      </c>
      <c r="Q209" s="5">
        <f>+[2]称号計算!W214</f>
        <v>1.83E-2</v>
      </c>
      <c r="R209" s="5">
        <f>+[2]称号計算!X214</f>
        <v>4.8899999999999999E-2</v>
      </c>
      <c r="S209" s="13">
        <f>+[2]称号計算!Y214</f>
        <v>0.36649999999999999</v>
      </c>
      <c r="T209" s="19">
        <f>+[2]称号計算!Z214</f>
        <v>1.8545</v>
      </c>
      <c r="U209" s="13">
        <v>0.55000000000000004</v>
      </c>
    </row>
    <row r="210" spans="1:21">
      <c r="A210" s="12" t="s">
        <v>1121</v>
      </c>
      <c r="B210" s="23" t="s">
        <v>1481</v>
      </c>
      <c r="C210" s="27">
        <f>+[2]称号計算!I215</f>
        <v>0.57430000000000003</v>
      </c>
      <c r="D210" s="5">
        <f>+[2]称号計算!J215</f>
        <v>0.30890000000000001</v>
      </c>
      <c r="E210" s="5">
        <f>+[2]称号計算!K215</f>
        <v>1.6520999999999999</v>
      </c>
      <c r="F210" s="5">
        <f>+[2]称号計算!L215</f>
        <v>0.11559999999999999</v>
      </c>
      <c r="G210" s="5">
        <f>+[2]称号計算!M215</f>
        <v>0.44369999999999998</v>
      </c>
      <c r="H210" s="13">
        <f>+[2]称号計算!N215</f>
        <v>0.41</v>
      </c>
      <c r="I210" s="27">
        <f>+[2]称号計算!O215</f>
        <v>0.72689999999999999</v>
      </c>
      <c r="J210" s="13">
        <f>+[2]称号計算!P215</f>
        <v>0.52980000000000005</v>
      </c>
      <c r="K210" s="27">
        <f>+[2]称号計算!Q215</f>
        <v>0.58150000000000002</v>
      </c>
      <c r="L210" s="5">
        <f>+[2]称号計算!R215</f>
        <v>0.93179999999999996</v>
      </c>
      <c r="M210" s="13">
        <f>+[2]称号計算!S215</f>
        <v>0.55510000000000004</v>
      </c>
      <c r="N210" s="27">
        <f>+[2]称号計算!T215</f>
        <v>1.0699999999999999E-2</v>
      </c>
      <c r="O210" s="5">
        <f>+[2]称号計算!U215</f>
        <v>1.0699999999999999E-2</v>
      </c>
      <c r="P210" s="5">
        <f>+[2]称号計算!V215</f>
        <v>1.0699999999999999E-2</v>
      </c>
      <c r="Q210" s="5">
        <f>+[2]称号計算!W215</f>
        <v>1.0699999999999999E-2</v>
      </c>
      <c r="R210" s="5">
        <f>+[2]称号計算!X215</f>
        <v>2.8400000000000002E-2</v>
      </c>
      <c r="S210" s="13">
        <f>+[2]称号計算!Y215</f>
        <v>0.21310000000000001</v>
      </c>
      <c r="T210" s="19">
        <f>+[2]称号計算!Z215</f>
        <v>2.8837000000000002</v>
      </c>
      <c r="U210" s="13">
        <v>0.5</v>
      </c>
    </row>
    <row r="211" spans="1:21" ht="19.5" thickBot="1">
      <c r="A211" s="14" t="s">
        <v>1122</v>
      </c>
      <c r="B211" s="24" t="s">
        <v>1482</v>
      </c>
      <c r="C211" s="28">
        <f>+[2]称号計算!I216</f>
        <v>0.67159999999999997</v>
      </c>
      <c r="D211" s="15">
        <f>+[2]称号計算!J216</f>
        <v>0.73719999999999997</v>
      </c>
      <c r="E211" s="15">
        <f>+[2]称号計算!K216</f>
        <v>0.1862</v>
      </c>
      <c r="F211" s="15">
        <f>+[2]称号計算!L216</f>
        <v>1.8614999999999999</v>
      </c>
      <c r="G211" s="15">
        <f>+[2]称号計算!M216</f>
        <v>0.53800000000000003</v>
      </c>
      <c r="H211" s="16">
        <f>+[2]称号計算!N216</f>
        <v>0.63290000000000002</v>
      </c>
      <c r="I211" s="28">
        <f>+[2]称号計算!O216</f>
        <v>0.40949999999999998</v>
      </c>
      <c r="J211" s="16">
        <f>+[2]称号計算!P216</f>
        <v>0.48399999999999999</v>
      </c>
      <c r="K211" s="28">
        <f>+[2]称号計算!Q216</f>
        <v>0.3276</v>
      </c>
      <c r="L211" s="15">
        <f>+[2]称号計算!R216</f>
        <v>0.74460000000000004</v>
      </c>
      <c r="M211" s="16">
        <f>+[2]称号計算!S216</f>
        <v>0.5212</v>
      </c>
      <c r="N211" s="28">
        <f>+[2]称号計算!T216</f>
        <v>1.3100000000000001E-2</v>
      </c>
      <c r="O211" s="15">
        <f>+[2]称号計算!U216</f>
        <v>1.3100000000000001E-2</v>
      </c>
      <c r="P211" s="15">
        <f>+[2]称号計算!V216</f>
        <v>1.3100000000000001E-2</v>
      </c>
      <c r="Q211" s="15">
        <f>+[2]称号計算!W216</f>
        <v>1.3100000000000001E-2</v>
      </c>
      <c r="R211" s="15">
        <f>+[2]称号計算!X216</f>
        <v>3.49E-2</v>
      </c>
      <c r="S211" s="16">
        <f>+[2]称号計算!Y216</f>
        <v>0.26179999999999998</v>
      </c>
      <c r="T211" s="20">
        <f>+[2]称号計算!Z216</f>
        <v>2.2134</v>
      </c>
      <c r="U211" s="16">
        <v>0.25</v>
      </c>
    </row>
    <row r="212" spans="1:21">
      <c r="A212" s="9" t="s">
        <v>1123</v>
      </c>
      <c r="B212" s="22" t="s">
        <v>1483</v>
      </c>
      <c r="C212" s="26">
        <f>+[2]称号計算!I217</f>
        <v>0.55730000000000002</v>
      </c>
      <c r="D212" s="10">
        <f>+[2]称号計算!J217</f>
        <v>0.59489999999999998</v>
      </c>
      <c r="E212" s="10">
        <f>+[2]称号計算!K217</f>
        <v>8.5400000000000004E-2</v>
      </c>
      <c r="F212" s="10">
        <f>+[2]称号計算!L217</f>
        <v>1.4232</v>
      </c>
      <c r="G212" s="10">
        <f>+[2]称号計算!M217</f>
        <v>0.44519999999999998</v>
      </c>
      <c r="H212" s="11">
        <f>+[2]称号計算!N217</f>
        <v>0.44030000000000002</v>
      </c>
      <c r="I212" s="26">
        <f>+[2]称号計算!O217</f>
        <v>0.46970000000000001</v>
      </c>
      <c r="J212" s="11">
        <f>+[2]称号計算!P217</f>
        <v>0.37</v>
      </c>
      <c r="K212" s="26">
        <f>+[2]称号計算!Q217</f>
        <v>0.38829999999999998</v>
      </c>
      <c r="L212" s="10">
        <f>+[2]称号計算!R217</f>
        <v>0.65469999999999995</v>
      </c>
      <c r="M212" s="11">
        <f>+[2]称号計算!S217</f>
        <v>0.49020000000000002</v>
      </c>
      <c r="N212" s="26">
        <f>+[2]称号計算!T217</f>
        <v>1.14E-2</v>
      </c>
      <c r="O212" s="10">
        <f>+[2]称号計算!U217</f>
        <v>1.14E-2</v>
      </c>
      <c r="P212" s="10">
        <f>+[2]称号計算!V217</f>
        <v>1.14E-2</v>
      </c>
      <c r="Q212" s="10">
        <f>+[2]称号計算!W217</f>
        <v>1.14E-2</v>
      </c>
      <c r="R212" s="10">
        <f>+[2]称号計算!X217</f>
        <v>3.0300000000000001E-2</v>
      </c>
      <c r="S212" s="11">
        <f>+[2]称号計算!Y217</f>
        <v>0.2273</v>
      </c>
      <c r="T212" s="18">
        <f>+[2]称号計算!Z217</f>
        <v>3.6829999999999998</v>
      </c>
      <c r="U212" s="11">
        <v>1</v>
      </c>
    </row>
    <row r="213" spans="1:21">
      <c r="A213" s="12" t="s">
        <v>1124</v>
      </c>
      <c r="B213" s="23" t="s">
        <v>1484</v>
      </c>
      <c r="C213" s="27">
        <f>+[2]称号計算!I218</f>
        <v>0.80959999999999999</v>
      </c>
      <c r="D213" s="5">
        <f>+[2]称号計算!J218</f>
        <v>0.67469999999999997</v>
      </c>
      <c r="E213" s="5">
        <f>+[2]称号計算!K218</f>
        <v>0.1227</v>
      </c>
      <c r="F213" s="5">
        <f>+[2]称号計算!L218</f>
        <v>1.2266999999999999</v>
      </c>
      <c r="G213" s="5">
        <f>+[2]称号計算!M218</f>
        <v>0.62560000000000004</v>
      </c>
      <c r="H213" s="13">
        <f>+[2]称号計算!N218</f>
        <v>0.58389999999999997</v>
      </c>
      <c r="I213" s="27">
        <f>+[2]称号計算!O218</f>
        <v>0.53969999999999996</v>
      </c>
      <c r="J213" s="13">
        <f>+[2]称号計算!P218</f>
        <v>0.37209999999999999</v>
      </c>
      <c r="K213" s="27">
        <f>+[2]称号計算!Q218</f>
        <v>0.2591</v>
      </c>
      <c r="L213" s="5">
        <f>+[2]称号計算!R218</f>
        <v>0.58879999999999999</v>
      </c>
      <c r="M213" s="13">
        <f>+[2]称号計算!S218</f>
        <v>0.41220000000000001</v>
      </c>
      <c r="N213" s="27">
        <f>+[2]称号計算!T218</f>
        <v>2.1899999999999999E-2</v>
      </c>
      <c r="O213" s="5">
        <f>+[2]称号計算!U218</f>
        <v>2.1899999999999999E-2</v>
      </c>
      <c r="P213" s="5">
        <f>+[2]称号計算!V218</f>
        <v>8.2000000000000003E-2</v>
      </c>
      <c r="Q213" s="5">
        <f>+[2]称号計算!W218</f>
        <v>0.32819999999999999</v>
      </c>
      <c r="R213" s="5">
        <f>+[2]称号計算!X218</f>
        <v>1.6400000000000001E-2</v>
      </c>
      <c r="S213" s="13">
        <f>+[2]称号計算!Y218</f>
        <v>1.6400000000000001E-2</v>
      </c>
      <c r="T213" s="19">
        <f>+[2]称号計算!Z218</f>
        <v>2.0716999999999999</v>
      </c>
      <c r="U213" s="13">
        <v>1</v>
      </c>
    </row>
    <row r="214" spans="1:21">
      <c r="A214" s="12" t="s">
        <v>1125</v>
      </c>
      <c r="B214" s="23" t="s">
        <v>1485</v>
      </c>
      <c r="C214" s="27">
        <f>+[2]称号計算!I219</f>
        <v>0.62450000000000006</v>
      </c>
      <c r="D214" s="5">
        <f>+[2]称号計算!J219</f>
        <v>1.0980000000000001</v>
      </c>
      <c r="E214" s="5">
        <f>+[2]称号計算!K219</f>
        <v>0.11700000000000001</v>
      </c>
      <c r="F214" s="5">
        <f>+[2]称号計算!L219</f>
        <v>1.5597000000000001</v>
      </c>
      <c r="G214" s="5">
        <f>+[2]称号計算!M219</f>
        <v>0.4667</v>
      </c>
      <c r="H214" s="13">
        <f>+[2]称号計算!N219</f>
        <v>0.50380000000000003</v>
      </c>
      <c r="I214" s="27">
        <f>+[2]称号計算!O219</f>
        <v>0.27450000000000002</v>
      </c>
      <c r="J214" s="13">
        <f>+[2]称号計算!P219</f>
        <v>0.5948</v>
      </c>
      <c r="K214" s="27">
        <f>+[2]称号計算!Q219</f>
        <v>0.22650000000000001</v>
      </c>
      <c r="L214" s="5">
        <f>+[2]称号計算!R219</f>
        <v>0.39929999999999999</v>
      </c>
      <c r="M214" s="13">
        <f>+[2]称号計算!S219</f>
        <v>0.64629999999999999</v>
      </c>
      <c r="N214" s="27">
        <f>+[2]称号計算!T219</f>
        <v>1.17E-2</v>
      </c>
      <c r="O214" s="5">
        <f>+[2]称号計算!U219</f>
        <v>1.17E-2</v>
      </c>
      <c r="P214" s="5">
        <f>+[2]称号計算!V219</f>
        <v>1.17E-2</v>
      </c>
      <c r="Q214" s="5">
        <f>+[2]称号計算!W219</f>
        <v>1.17E-2</v>
      </c>
      <c r="R214" s="5">
        <f>+[2]称号計算!X219</f>
        <v>3.1300000000000001E-2</v>
      </c>
      <c r="S214" s="13">
        <f>+[2]称号計算!Y219</f>
        <v>0.2344</v>
      </c>
      <c r="T214" s="19">
        <f>+[2]称号計算!Z219</f>
        <v>1.8991</v>
      </c>
      <c r="U214" s="13">
        <v>0.9</v>
      </c>
    </row>
    <row r="215" spans="1:21">
      <c r="A215" s="12" t="s">
        <v>1126</v>
      </c>
      <c r="B215" s="23" t="s">
        <v>1486</v>
      </c>
      <c r="C215" s="27">
        <f>+[2]称号計算!I220</f>
        <v>0.84909999999999997</v>
      </c>
      <c r="D215" s="5">
        <f>+[2]称号計算!J220</f>
        <v>0.36009999999999998</v>
      </c>
      <c r="E215" s="5">
        <f>+[2]称号計算!K220</f>
        <v>1.7231000000000001</v>
      </c>
      <c r="F215" s="5">
        <f>+[2]称号計算!L220</f>
        <v>0.13439999999999999</v>
      </c>
      <c r="G215" s="5">
        <f>+[2]称号計算!M220</f>
        <v>0.73819999999999997</v>
      </c>
      <c r="H215" s="13">
        <f>+[2]称号計算!N220</f>
        <v>0.72650000000000003</v>
      </c>
      <c r="I215" s="27">
        <f>+[2]称号計算!O220</f>
        <v>0.30330000000000001</v>
      </c>
      <c r="J215" s="13">
        <f>+[2]称号計算!P220</f>
        <v>0.41810000000000003</v>
      </c>
      <c r="K215" s="27">
        <f>+[2]称号計算!Q220</f>
        <v>0.3715</v>
      </c>
      <c r="L215" s="5">
        <f>+[2]称号計算!R220</f>
        <v>0.70989999999999998</v>
      </c>
      <c r="M215" s="13">
        <f>+[2]称号計算!S220</f>
        <v>0.4728</v>
      </c>
      <c r="N215" s="27">
        <f>+[2]称号計算!T220</f>
        <v>2.1100000000000001E-2</v>
      </c>
      <c r="O215" s="5">
        <f>+[2]称号計算!U220</f>
        <v>2.1100000000000001E-2</v>
      </c>
      <c r="P215" s="5">
        <f>+[2]称号計算!V220</f>
        <v>7.9000000000000001E-2</v>
      </c>
      <c r="Q215" s="5">
        <f>+[2]称号計算!W220</f>
        <v>0.31580000000000003</v>
      </c>
      <c r="R215" s="5">
        <f>+[2]称号計算!X220</f>
        <v>1.5800000000000002E-2</v>
      </c>
      <c r="S215" s="13">
        <f>+[2]称号計算!Y220</f>
        <v>1.5800000000000002E-2</v>
      </c>
      <c r="T215" s="19">
        <f>+[2]称号計算!Z220</f>
        <v>2.2879</v>
      </c>
      <c r="U215" s="13">
        <v>0.55000000000000004</v>
      </c>
    </row>
    <row r="216" spans="1:21">
      <c r="A216" s="12" t="s">
        <v>1127</v>
      </c>
      <c r="B216" s="23" t="s">
        <v>1487</v>
      </c>
      <c r="C216" s="27">
        <f>+[2]称号計算!I221</f>
        <v>0.61309999999999998</v>
      </c>
      <c r="D216" s="5">
        <f>+[2]称号計算!J221</f>
        <v>0.25009999999999999</v>
      </c>
      <c r="E216" s="5">
        <f>+[2]称号計算!K221</f>
        <v>1.8332999999999999</v>
      </c>
      <c r="F216" s="5">
        <f>+[2]称号計算!L221</f>
        <v>0.1137</v>
      </c>
      <c r="G216" s="5">
        <f>+[2]称号計算!M221</f>
        <v>0.47370000000000001</v>
      </c>
      <c r="H216" s="13">
        <f>+[2]称号計算!N221</f>
        <v>0.43630000000000002</v>
      </c>
      <c r="I216" s="27">
        <f>+[2]称号計算!O221</f>
        <v>0.76629999999999998</v>
      </c>
      <c r="J216" s="13">
        <f>+[2]称号計算!P221</f>
        <v>0.76270000000000004</v>
      </c>
      <c r="K216" s="27">
        <f>+[2]称号計算!Q221</f>
        <v>0.54049999999999998</v>
      </c>
      <c r="L216" s="5">
        <f>+[2]称号計算!R221</f>
        <v>0.63070000000000004</v>
      </c>
      <c r="M216" s="13">
        <f>+[2]称号計算!S221</f>
        <v>0.68269999999999997</v>
      </c>
      <c r="N216" s="27">
        <f>+[2]称号計算!T221</f>
        <v>1.0200000000000001E-2</v>
      </c>
      <c r="O216" s="5">
        <f>+[2]称号計算!U221</f>
        <v>1.0200000000000001E-2</v>
      </c>
      <c r="P216" s="5">
        <f>+[2]称号計算!V221</f>
        <v>1.0200000000000001E-2</v>
      </c>
      <c r="Q216" s="5">
        <f>+[2]称号計算!W221</f>
        <v>1.0200000000000001E-2</v>
      </c>
      <c r="R216" s="5">
        <f>+[2]称号計算!X221</f>
        <v>0.2046</v>
      </c>
      <c r="S216" s="13">
        <f>+[2]称号計算!Y221</f>
        <v>2.7300000000000001E-2</v>
      </c>
      <c r="T216" s="19">
        <f>+[2]称号計算!Z221</f>
        <v>2.7425000000000002</v>
      </c>
      <c r="U216" s="13">
        <v>0.5</v>
      </c>
    </row>
    <row r="217" spans="1:21" ht="19.5" thickBot="1">
      <c r="A217" s="14" t="s">
        <v>1128</v>
      </c>
      <c r="B217" s="24" t="s">
        <v>1488</v>
      </c>
      <c r="C217" s="28">
        <f>+[2]称号計算!I222</f>
        <v>0.75370000000000004</v>
      </c>
      <c r="D217" s="15">
        <f>+[2]称号計算!J222</f>
        <v>1.0928</v>
      </c>
      <c r="E217" s="15">
        <f>+[2]称号計算!K222</f>
        <v>0.17130000000000001</v>
      </c>
      <c r="F217" s="15">
        <f>+[2]称号計算!L222</f>
        <v>1.7129000000000001</v>
      </c>
      <c r="G217" s="15">
        <f>+[2]称号計算!M222</f>
        <v>0.58240000000000003</v>
      </c>
      <c r="H217" s="16">
        <f>+[2]称号計算!N222</f>
        <v>0.69889999999999997</v>
      </c>
      <c r="I217" s="28">
        <f>+[2]称号計算!O222</f>
        <v>0.45219999999999999</v>
      </c>
      <c r="J217" s="16">
        <f>+[2]称号計算!P222</f>
        <v>0.41570000000000001</v>
      </c>
      <c r="K217" s="28">
        <f>+[2]称号計算!Q222</f>
        <v>0.3165</v>
      </c>
      <c r="L217" s="15">
        <f>+[2]称号計算!R222</f>
        <v>0.65090000000000003</v>
      </c>
      <c r="M217" s="16">
        <f>+[2]称号計算!S222</f>
        <v>0.55159999999999998</v>
      </c>
      <c r="N217" s="28">
        <f>+[2]称号計算!T222</f>
        <v>1.66E-2</v>
      </c>
      <c r="O217" s="15">
        <f>+[2]称号計算!U222</f>
        <v>1.66E-2</v>
      </c>
      <c r="P217" s="15">
        <f>+[2]称号計算!V222</f>
        <v>1.66E-2</v>
      </c>
      <c r="Q217" s="15">
        <f>+[2]称号計算!W222</f>
        <v>1.66E-2</v>
      </c>
      <c r="R217" s="15">
        <f>+[2]称号計算!X222</f>
        <v>0.33150000000000002</v>
      </c>
      <c r="S217" s="16">
        <f>+[2]称号計算!Y222</f>
        <v>4.4200000000000003E-2</v>
      </c>
      <c r="T217" s="20">
        <f>+[2]称号計算!Z222</f>
        <v>2.343</v>
      </c>
      <c r="U217" s="16">
        <v>0.25</v>
      </c>
    </row>
    <row r="218" spans="1:21">
      <c r="A218" s="9" t="s">
        <v>1129</v>
      </c>
      <c r="B218" s="22" t="s">
        <v>1489</v>
      </c>
      <c r="C218" s="26">
        <f>+[2]称号計算!I223</f>
        <v>0.63839999999999997</v>
      </c>
      <c r="D218" s="10">
        <f>+[2]称号計算!J223</f>
        <v>0.70230000000000004</v>
      </c>
      <c r="E218" s="10">
        <f>+[2]称号計算!K223</f>
        <v>0.14510000000000001</v>
      </c>
      <c r="F218" s="10">
        <f>+[2]称号計算!L223</f>
        <v>1.4510000000000001</v>
      </c>
      <c r="G218" s="10">
        <f>+[2]称号計算!M223</f>
        <v>0.46870000000000001</v>
      </c>
      <c r="H218" s="11">
        <f>+[2]称号計算!N223</f>
        <v>0.54269999999999996</v>
      </c>
      <c r="I218" s="26">
        <f>+[2]称号計算!O223</f>
        <v>0.44690000000000002</v>
      </c>
      <c r="J218" s="11">
        <f>+[2]称号計算!P223</f>
        <v>0.38979999999999998</v>
      </c>
      <c r="K218" s="26">
        <f>+[2]称号計算!Q223</f>
        <v>0.29370000000000002</v>
      </c>
      <c r="L218" s="10">
        <f>+[2]称号計算!R223</f>
        <v>0.63839999999999997</v>
      </c>
      <c r="M218" s="11">
        <f>+[2]称号計算!S223</f>
        <v>0.43880000000000002</v>
      </c>
      <c r="N218" s="26">
        <f>+[2]称号計算!T223</f>
        <v>1.0800000000000001E-2</v>
      </c>
      <c r="O218" s="10">
        <f>+[2]称号計算!U223</f>
        <v>1.0800000000000001E-2</v>
      </c>
      <c r="P218" s="10">
        <f>+[2]称号計算!V223</f>
        <v>1.0800000000000001E-2</v>
      </c>
      <c r="Q218" s="10">
        <f>+[2]称号計算!W223</f>
        <v>1.0800000000000001E-2</v>
      </c>
      <c r="R218" s="10">
        <f>+[2]称号計算!X223</f>
        <v>2.8899999999999999E-2</v>
      </c>
      <c r="S218" s="11">
        <f>+[2]称号計算!Y223</f>
        <v>0.2167</v>
      </c>
      <c r="T218" s="18">
        <f>+[2]称号計算!Z223</f>
        <v>2.0177999999999998</v>
      </c>
      <c r="U218" s="11">
        <v>1</v>
      </c>
    </row>
    <row r="219" spans="1:21">
      <c r="A219" s="12" t="s">
        <v>1130</v>
      </c>
      <c r="B219" s="23" t="s">
        <v>1490</v>
      </c>
      <c r="C219" s="27">
        <f>+[2]称号計算!I224</f>
        <v>0.43159999999999998</v>
      </c>
      <c r="D219" s="5">
        <f>+[2]称号計算!J224</f>
        <v>0.70850000000000002</v>
      </c>
      <c r="E219" s="5">
        <f>+[2]称号計算!K224</f>
        <v>7.6100000000000001E-2</v>
      </c>
      <c r="F219" s="5">
        <f>+[2]称号計算!L224</f>
        <v>1.4639</v>
      </c>
      <c r="G219" s="5">
        <f>+[2]称号計算!M224</f>
        <v>0.32350000000000001</v>
      </c>
      <c r="H219" s="13">
        <f>+[2]称号計算!N224</f>
        <v>0.3982</v>
      </c>
      <c r="I219" s="27">
        <f>+[2]称号計算!O224</f>
        <v>1.1594</v>
      </c>
      <c r="J219" s="13">
        <f>+[2]称号計算!P224</f>
        <v>0.46939999999999998</v>
      </c>
      <c r="K219" s="27">
        <f>+[2]称号計算!Q224</f>
        <v>0.2641</v>
      </c>
      <c r="L219" s="5">
        <f>+[2]称号計算!R224</f>
        <v>0.43919999999999998</v>
      </c>
      <c r="M219" s="13">
        <f>+[2]称号計算!S224</f>
        <v>0.72960000000000003</v>
      </c>
      <c r="N219" s="27">
        <f>+[2]称号計算!T224</f>
        <v>9.7999999999999997E-3</v>
      </c>
      <c r="O219" s="5">
        <f>+[2]称号計算!U224</f>
        <v>9.7999999999999997E-3</v>
      </c>
      <c r="P219" s="5">
        <f>+[2]称号計算!V224</f>
        <v>9.7999999999999997E-3</v>
      </c>
      <c r="Q219" s="5">
        <f>+[2]称号計算!W224</f>
        <v>9.7999999999999997E-3</v>
      </c>
      <c r="R219" s="5">
        <f>+[2]称号計算!X224</f>
        <v>2.6200000000000001E-2</v>
      </c>
      <c r="S219" s="13">
        <f>+[2]称号計算!Y224</f>
        <v>0.19650000000000001</v>
      </c>
      <c r="T219" s="19">
        <f>+[2]称号計算!Z224</f>
        <v>2.0289000000000001</v>
      </c>
      <c r="U219" s="13">
        <v>1</v>
      </c>
    </row>
    <row r="220" spans="1:21">
      <c r="A220" s="12" t="s">
        <v>1131</v>
      </c>
      <c r="B220" s="23" t="s">
        <v>1491</v>
      </c>
      <c r="C220" s="27">
        <f>+[2]称号計算!I225</f>
        <v>0.55179999999999996</v>
      </c>
      <c r="D220" s="5">
        <f>+[2]称号計算!J225</f>
        <v>0.90839999999999999</v>
      </c>
      <c r="E220" s="5">
        <f>+[2]称号計算!K225</f>
        <v>9.1800000000000007E-2</v>
      </c>
      <c r="F220" s="5">
        <f>+[2]称号計算!L225</f>
        <v>1.5291999999999999</v>
      </c>
      <c r="G220" s="5">
        <f>+[2]称号計算!M225</f>
        <v>0.42120000000000002</v>
      </c>
      <c r="H220" s="13">
        <f>+[2]称号計算!N225</f>
        <v>0.45240000000000002</v>
      </c>
      <c r="I220" s="27">
        <f>+[2]称号計算!O225</f>
        <v>0.80740000000000001</v>
      </c>
      <c r="J220" s="13">
        <f>+[2]称号計算!P225</f>
        <v>0.67589999999999995</v>
      </c>
      <c r="K220" s="27">
        <f>+[2]称号計算!Q225</f>
        <v>0.3095</v>
      </c>
      <c r="L220" s="5">
        <f>+[2]称号計算!R225</f>
        <v>0.41599999999999998</v>
      </c>
      <c r="M220" s="13">
        <f>+[2]称号計算!S225</f>
        <v>0.60799999999999998</v>
      </c>
      <c r="N220" s="27">
        <f>+[2]称号計算!T225</f>
        <v>1.06E-2</v>
      </c>
      <c r="O220" s="5">
        <f>+[2]称号計算!U225</f>
        <v>1.06E-2</v>
      </c>
      <c r="P220" s="5">
        <f>+[2]称号計算!V225</f>
        <v>1.06E-2</v>
      </c>
      <c r="Q220" s="5">
        <f>+[2]称号計算!W225</f>
        <v>1.06E-2</v>
      </c>
      <c r="R220" s="5">
        <f>+[2]称号計算!X225</f>
        <v>2.8199999999999999E-2</v>
      </c>
      <c r="S220" s="13">
        <f>+[2]称号計算!Y225</f>
        <v>0.21129999999999999</v>
      </c>
      <c r="T220" s="19">
        <f>+[2]称号計算!Z225</f>
        <v>2.2195</v>
      </c>
      <c r="U220" s="13">
        <v>0.9</v>
      </c>
    </row>
    <row r="221" spans="1:21">
      <c r="A221" s="12" t="s">
        <v>1132</v>
      </c>
      <c r="B221" s="23" t="s">
        <v>1492</v>
      </c>
      <c r="C221" s="27">
        <f>+[2]称号計算!I226</f>
        <v>1.1463000000000001</v>
      </c>
      <c r="D221" s="5">
        <f>+[2]称号計算!J226</f>
        <v>0.31879999999999997</v>
      </c>
      <c r="E221" s="5">
        <f>+[2]称号計算!K226</f>
        <v>1.7253000000000001</v>
      </c>
      <c r="F221" s="5">
        <f>+[2]称号計算!L226</f>
        <v>0.1346</v>
      </c>
      <c r="G221" s="5">
        <f>+[2]称号計算!M226</f>
        <v>0.99129999999999996</v>
      </c>
      <c r="H221" s="13">
        <f>+[2]称号計算!N226</f>
        <v>0.5514</v>
      </c>
      <c r="I221" s="27">
        <f>+[2]称号計算!O226</f>
        <v>0.26569999999999999</v>
      </c>
      <c r="J221" s="13">
        <f>+[2]称号計算!P226</f>
        <v>0.42759999999999998</v>
      </c>
      <c r="K221" s="27">
        <f>+[2]称号計算!Q226</f>
        <v>0.26569999999999999</v>
      </c>
      <c r="L221" s="5">
        <f>+[2]称号計算!R226</f>
        <v>0.50380000000000003</v>
      </c>
      <c r="M221" s="13">
        <f>+[2]称号計算!S226</f>
        <v>0.74880000000000002</v>
      </c>
      <c r="N221" s="27">
        <f>+[2]称号計算!T226</f>
        <v>1.9300000000000001E-2</v>
      </c>
      <c r="O221" s="5">
        <f>+[2]称号計算!U226</f>
        <v>1.9300000000000001E-2</v>
      </c>
      <c r="P221" s="5">
        <f>+[2]称号計算!V226</f>
        <v>1.9300000000000001E-2</v>
      </c>
      <c r="Q221" s="5">
        <f>+[2]称号計算!W226</f>
        <v>1.9300000000000001E-2</v>
      </c>
      <c r="R221" s="5">
        <f>+[2]称号計算!X226</f>
        <v>5.1299999999999998E-2</v>
      </c>
      <c r="S221" s="13">
        <f>+[2]称号計算!Y226</f>
        <v>0.3851</v>
      </c>
      <c r="T221" s="19">
        <f>+[2]称号計算!Z226</f>
        <v>2.1040999999999999</v>
      </c>
      <c r="U221" s="13">
        <v>0.55000000000000004</v>
      </c>
    </row>
    <row r="222" spans="1:21">
      <c r="A222" s="12" t="s">
        <v>1133</v>
      </c>
      <c r="B222" s="23" t="s">
        <v>1493</v>
      </c>
      <c r="C222" s="27">
        <f>+[2]称号計算!I227</f>
        <v>1.2505999999999999</v>
      </c>
      <c r="D222" s="5">
        <f>+[2]称号計算!J227</f>
        <v>0.3322</v>
      </c>
      <c r="E222" s="5">
        <f>+[2]称号計算!K227</f>
        <v>1.7765</v>
      </c>
      <c r="F222" s="5">
        <f>+[2]称号計算!L227</f>
        <v>0.17760000000000001</v>
      </c>
      <c r="G222" s="5">
        <f>+[2]称号計算!M227</f>
        <v>0.93620000000000003</v>
      </c>
      <c r="H222" s="13">
        <f>+[2]称号計算!N227</f>
        <v>0.84560000000000002</v>
      </c>
      <c r="I222" s="27">
        <f>+[2]称号計算!O227</f>
        <v>0.31269999999999998</v>
      </c>
      <c r="J222" s="13">
        <f>+[2]称号計算!P227</f>
        <v>0.43109999999999998</v>
      </c>
      <c r="K222" s="27">
        <f>+[2]称号計算!Q227</f>
        <v>0.34389999999999998</v>
      </c>
      <c r="L222" s="5">
        <f>+[2]称号計算!R227</f>
        <v>0.5827</v>
      </c>
      <c r="M222" s="13">
        <f>+[2]称号計算!S227</f>
        <v>0.39789999999999998</v>
      </c>
      <c r="N222" s="27">
        <f>+[2]称号計算!T227</f>
        <v>2.07E-2</v>
      </c>
      <c r="O222" s="5">
        <f>+[2]称号計算!U227</f>
        <v>2.07E-2</v>
      </c>
      <c r="P222" s="5">
        <f>+[2]称号計算!V227</f>
        <v>2.07E-2</v>
      </c>
      <c r="Q222" s="5">
        <f>+[2]称号計算!W227</f>
        <v>2.07E-2</v>
      </c>
      <c r="R222" s="5">
        <f>+[2]称号計算!X227</f>
        <v>5.5199999999999999E-2</v>
      </c>
      <c r="S222" s="13">
        <f>+[2]称号計算!Y227</f>
        <v>0.41370000000000001</v>
      </c>
      <c r="T222" s="19">
        <f>+[2]称号計算!Z227</f>
        <v>2.3803000000000001</v>
      </c>
      <c r="U222" s="13">
        <v>0.5</v>
      </c>
    </row>
    <row r="223" spans="1:21" ht="19.5" thickBot="1">
      <c r="A223" s="14" t="s">
        <v>1134</v>
      </c>
      <c r="B223" s="24" t="s">
        <v>1494</v>
      </c>
      <c r="C223" s="28">
        <f>+[2]称号計算!I228</f>
        <v>1.2615000000000001</v>
      </c>
      <c r="D223" s="15">
        <f>+[2]称号計算!J228</f>
        <v>0.99009999999999998</v>
      </c>
      <c r="E223" s="15">
        <f>+[2]称号計算!K228</f>
        <v>0.10829999999999999</v>
      </c>
      <c r="F223" s="15">
        <f>+[2]称号計算!L228</f>
        <v>1.6669</v>
      </c>
      <c r="G223" s="15">
        <f>+[2]称号計算!M228</f>
        <v>0.92949999999999999</v>
      </c>
      <c r="H223" s="16">
        <f>+[2]称号計算!N228</f>
        <v>0.87849999999999995</v>
      </c>
      <c r="I223" s="28">
        <f>+[2]称号計算!O228</f>
        <v>0.25669999999999998</v>
      </c>
      <c r="J223" s="16">
        <f>+[2]称号計算!P228</f>
        <v>0.40450000000000003</v>
      </c>
      <c r="K223" s="28">
        <f>+[2]称号計算!Q228</f>
        <v>0.22</v>
      </c>
      <c r="L223" s="15">
        <f>+[2]称号計算!R228</f>
        <v>0.40010000000000001</v>
      </c>
      <c r="M223" s="16">
        <f>+[2]称号計算!S228</f>
        <v>0.57869999999999999</v>
      </c>
      <c r="N223" s="28">
        <f>+[2]称号計算!T228</f>
        <v>2.2800000000000001E-2</v>
      </c>
      <c r="O223" s="15">
        <f>+[2]称号計算!U228</f>
        <v>2.2800000000000001E-2</v>
      </c>
      <c r="P223" s="15">
        <f>+[2]称号計算!V228</f>
        <v>2.2800000000000001E-2</v>
      </c>
      <c r="Q223" s="15">
        <f>+[2]称号計算!W228</f>
        <v>2.2800000000000001E-2</v>
      </c>
      <c r="R223" s="15">
        <f>+[2]称号計算!X228</f>
        <v>6.0699999999999997E-2</v>
      </c>
      <c r="S223" s="16">
        <f>+[2]称号計算!Y228</f>
        <v>0.45550000000000002</v>
      </c>
      <c r="T223" s="20">
        <f>+[2]称号計算!Z228</f>
        <v>2.1802000000000001</v>
      </c>
      <c r="U223" s="16">
        <v>0.25</v>
      </c>
    </row>
    <row r="224" spans="1:21">
      <c r="A224" s="9" t="s">
        <v>1135</v>
      </c>
      <c r="B224" s="22" t="s">
        <v>1495</v>
      </c>
      <c r="C224" s="26">
        <f>+[2]称号計算!I229</f>
        <v>0.52449999999999997</v>
      </c>
      <c r="D224" s="10">
        <f>+[2]称号計算!J229</f>
        <v>0.6734</v>
      </c>
      <c r="E224" s="10">
        <f>+[2]称号計算!K229</f>
        <v>0.1047</v>
      </c>
      <c r="F224" s="10">
        <f>+[2]称号計算!L229</f>
        <v>1.611</v>
      </c>
      <c r="G224" s="10">
        <f>+[2]称号計算!M229</f>
        <v>0.39439999999999997</v>
      </c>
      <c r="H224" s="11">
        <f>+[2]称号計算!N229</f>
        <v>0.46010000000000001</v>
      </c>
      <c r="I224" s="26">
        <f>+[2]称号計算!O229</f>
        <v>0.35439999999999999</v>
      </c>
      <c r="J224" s="11">
        <f>+[2]称号計算!P229</f>
        <v>0.39090000000000003</v>
      </c>
      <c r="K224" s="26">
        <f>+[2]称号計算!Q229</f>
        <v>0.47489999999999999</v>
      </c>
      <c r="L224" s="10">
        <f>+[2]称号計算!R229</f>
        <v>0.99880000000000002</v>
      </c>
      <c r="M224" s="11">
        <f>+[2]称号計算!S229</f>
        <v>0.41499999999999998</v>
      </c>
      <c r="N224" s="26">
        <f>+[2]称号計算!T229</f>
        <v>9.1999999999999998E-3</v>
      </c>
      <c r="O224" s="10">
        <f>+[2]称号計算!U229</f>
        <v>9.1999999999999998E-3</v>
      </c>
      <c r="P224" s="10">
        <f>+[2]称号計算!V229</f>
        <v>9.1999999999999998E-3</v>
      </c>
      <c r="Q224" s="10">
        <f>+[2]称号計算!W229</f>
        <v>9.1999999999999998E-3</v>
      </c>
      <c r="R224" s="10">
        <f>+[2]称号計算!X229</f>
        <v>0.18440000000000001</v>
      </c>
      <c r="S224" s="11">
        <f>+[2]称号計算!Y229</f>
        <v>2.46E-2</v>
      </c>
      <c r="T224" s="18">
        <f>+[2]称号計算!Z229</f>
        <v>2.4719000000000002</v>
      </c>
      <c r="U224" s="11">
        <v>1</v>
      </c>
    </row>
    <row r="225" spans="1:21">
      <c r="A225" s="12" t="s">
        <v>1136</v>
      </c>
      <c r="B225" s="23" t="s">
        <v>1496</v>
      </c>
      <c r="C225" s="27">
        <f>+[2]称号計算!I230</f>
        <v>0.44379999999999997</v>
      </c>
      <c r="D225" s="5">
        <f>+[2]称号計算!J230</f>
        <v>0.71740000000000004</v>
      </c>
      <c r="E225" s="5">
        <f>+[2]称号計算!K230</f>
        <v>7.7399999999999997E-2</v>
      </c>
      <c r="F225" s="5">
        <f>+[2]称号計算!L230</f>
        <v>1.3817999999999999</v>
      </c>
      <c r="G225" s="5">
        <f>+[2]称号計算!M230</f>
        <v>0.36180000000000001</v>
      </c>
      <c r="H225" s="13">
        <f>+[2]称号計算!N230</f>
        <v>0.39929999999999999</v>
      </c>
      <c r="I225" s="27">
        <f>+[2]称号計算!O230</f>
        <v>1.5808</v>
      </c>
      <c r="J225" s="13">
        <f>+[2]称号計算!P230</f>
        <v>0.46710000000000002</v>
      </c>
      <c r="K225" s="27">
        <f>+[2]称号計算!Q230</f>
        <v>0.33439999999999998</v>
      </c>
      <c r="L225" s="5">
        <f>+[2]称号計算!R230</f>
        <v>0.52510000000000001</v>
      </c>
      <c r="M225" s="13">
        <f>+[2]称号計算!S230</f>
        <v>0.43330000000000002</v>
      </c>
      <c r="N225" s="27">
        <f>+[2]称号計算!T230</f>
        <v>4.2999999999999997E-2</v>
      </c>
      <c r="O225" s="5">
        <f>+[2]称号計算!U230</f>
        <v>0.21510000000000001</v>
      </c>
      <c r="P225" s="5">
        <f>+[2]称号計算!V230</f>
        <v>1.43E-2</v>
      </c>
      <c r="Q225" s="5">
        <f>+[2]称号計算!W230</f>
        <v>1.43E-2</v>
      </c>
      <c r="R225" s="5">
        <f>+[2]称号計算!X230</f>
        <v>1.0800000000000001E-2</v>
      </c>
      <c r="S225" s="13">
        <f>+[2]称号計算!Y230</f>
        <v>1.0800000000000001E-2</v>
      </c>
      <c r="T225" s="19">
        <f>+[2]称号計算!Z230</f>
        <v>2.3715000000000002</v>
      </c>
      <c r="U225" s="13">
        <v>1</v>
      </c>
    </row>
    <row r="226" spans="1:21">
      <c r="A226" s="12" t="s">
        <v>1137</v>
      </c>
      <c r="B226" s="23" t="s">
        <v>1497</v>
      </c>
      <c r="C226" s="27">
        <f>+[2]称号計算!I231</f>
        <v>0.5897</v>
      </c>
      <c r="D226" s="5">
        <f>+[2]称号計算!J231</f>
        <v>0.67179999999999995</v>
      </c>
      <c r="E226" s="5">
        <f>+[2]称号計算!K231</f>
        <v>8.9899999999999994E-2</v>
      </c>
      <c r="F226" s="5">
        <f>+[2]称号計算!L231</f>
        <v>1.6964999999999999</v>
      </c>
      <c r="G226" s="5">
        <f>+[2]称号計算!M231</f>
        <v>0.49030000000000001</v>
      </c>
      <c r="H226" s="13">
        <f>+[2]称号計算!N231</f>
        <v>0.4672</v>
      </c>
      <c r="I226" s="27">
        <f>+[2]称号計算!O231</f>
        <v>0.48520000000000002</v>
      </c>
      <c r="J226" s="13">
        <f>+[2]称号計算!P231</f>
        <v>0.4264</v>
      </c>
      <c r="K226" s="27">
        <f>+[2]称号計算!Q231</f>
        <v>0.59719999999999995</v>
      </c>
      <c r="L226" s="5">
        <f>+[2]称号計算!R231</f>
        <v>1.1672</v>
      </c>
      <c r="M226" s="13">
        <f>+[2]称号計算!S231</f>
        <v>0.36099999999999999</v>
      </c>
      <c r="N226" s="27">
        <f>+[2]称号計算!T231</f>
        <v>1.01E-2</v>
      </c>
      <c r="O226" s="5">
        <f>+[2]称号計算!U231</f>
        <v>1.01E-2</v>
      </c>
      <c r="P226" s="5">
        <f>+[2]称号計算!V231</f>
        <v>1.01E-2</v>
      </c>
      <c r="Q226" s="5">
        <f>+[2]称号計算!W231</f>
        <v>1.01E-2</v>
      </c>
      <c r="R226" s="5">
        <f>+[2]称号計算!X231</f>
        <v>0.20280000000000001</v>
      </c>
      <c r="S226" s="13">
        <f>+[2]称号計算!Y231</f>
        <v>2.7E-2</v>
      </c>
      <c r="T226" s="19">
        <f>+[2]称号計算!Z231</f>
        <v>2.9733999999999998</v>
      </c>
      <c r="U226" s="13">
        <v>0.9</v>
      </c>
    </row>
    <row r="227" spans="1:21">
      <c r="A227" s="12" t="s">
        <v>1138</v>
      </c>
      <c r="B227" s="23" t="s">
        <v>1498</v>
      </c>
      <c r="C227" s="27">
        <f>+[2]称号計算!I232</f>
        <v>0.66420000000000001</v>
      </c>
      <c r="D227" s="5">
        <f>+[2]称号計算!J232</f>
        <v>0.3528</v>
      </c>
      <c r="E227" s="5">
        <f>+[2]称号計算!K232</f>
        <v>1.8868</v>
      </c>
      <c r="F227" s="5">
        <f>+[2]称号計算!L232</f>
        <v>0.18870000000000001</v>
      </c>
      <c r="G227" s="5">
        <f>+[2]称号計算!M232</f>
        <v>0.51319999999999999</v>
      </c>
      <c r="H227" s="13">
        <f>+[2]称号計算!N232</f>
        <v>0.51319999999999999</v>
      </c>
      <c r="I227" s="27">
        <f>+[2]称号計算!O232</f>
        <v>0.66420000000000001</v>
      </c>
      <c r="J227" s="13">
        <f>+[2]称号計算!P232</f>
        <v>0.50690000000000002</v>
      </c>
      <c r="K227" s="27">
        <f>+[2]称号計算!Q232</f>
        <v>0.54790000000000005</v>
      </c>
      <c r="L227" s="5">
        <f>+[2]称号計算!R232</f>
        <v>0.99619999999999997</v>
      </c>
      <c r="M227" s="13">
        <f>+[2]称号計算!S232</f>
        <v>0.52829999999999999</v>
      </c>
      <c r="N227" s="27">
        <f>+[2]称号計算!T232</f>
        <v>1.24E-2</v>
      </c>
      <c r="O227" s="5">
        <f>+[2]称号計算!U232</f>
        <v>1.24E-2</v>
      </c>
      <c r="P227" s="5">
        <f>+[2]称号計算!V232</f>
        <v>1.24E-2</v>
      </c>
      <c r="Q227" s="5">
        <f>+[2]称号計算!W232</f>
        <v>1.24E-2</v>
      </c>
      <c r="R227" s="5">
        <f>+[2]称号計算!X232</f>
        <v>3.3000000000000002E-2</v>
      </c>
      <c r="S227" s="13">
        <f>+[2]称号計算!Y232</f>
        <v>0.24740000000000001</v>
      </c>
      <c r="T227" s="19">
        <f>+[2]称号計算!Z232</f>
        <v>2.8222999999999998</v>
      </c>
      <c r="U227" s="13">
        <v>0.55000000000000004</v>
      </c>
    </row>
    <row r="228" spans="1:21">
      <c r="A228" s="12" t="s">
        <v>1139</v>
      </c>
      <c r="B228" s="23" t="s">
        <v>1499</v>
      </c>
      <c r="C228" s="27">
        <f>+[2]称号計算!I233</f>
        <v>1.5067999999999999</v>
      </c>
      <c r="D228" s="5">
        <f>+[2]称号計算!J233</f>
        <v>0.29799999999999999</v>
      </c>
      <c r="E228" s="5">
        <f>+[2]称号計算!K233</f>
        <v>1.8815999999999999</v>
      </c>
      <c r="F228" s="5">
        <f>+[2]称号計算!L233</f>
        <v>0.15809999999999999</v>
      </c>
      <c r="G228" s="5">
        <f>+[2]称号計算!M233</f>
        <v>1.3754</v>
      </c>
      <c r="H228" s="13">
        <f>+[2]称号計算!N233</f>
        <v>0.67810000000000004</v>
      </c>
      <c r="I228" s="27">
        <f>+[2]称号計算!O233</f>
        <v>0.24840000000000001</v>
      </c>
      <c r="J228" s="13">
        <f>+[2]称号計算!P233</f>
        <v>0.44030000000000002</v>
      </c>
      <c r="K228" s="27">
        <f>+[2]称号計算!Q233</f>
        <v>0.24840000000000001</v>
      </c>
      <c r="L228" s="5">
        <f>+[2]称号計算!R233</f>
        <v>0.48920000000000002</v>
      </c>
      <c r="M228" s="13">
        <f>+[2]称号計算!S233</f>
        <v>0.35830000000000001</v>
      </c>
      <c r="N228" s="27">
        <f>+[2]称号計算!T233</f>
        <v>2.1499999999999998E-2</v>
      </c>
      <c r="O228" s="5">
        <f>+[2]称号計算!U233</f>
        <v>2.1499999999999998E-2</v>
      </c>
      <c r="P228" s="5">
        <f>+[2]称号計算!V233</f>
        <v>2.1499999999999998E-2</v>
      </c>
      <c r="Q228" s="5">
        <f>+[2]称号計算!W233</f>
        <v>2.1499999999999998E-2</v>
      </c>
      <c r="R228" s="5">
        <f>+[2]称号計算!X233</f>
        <v>0.43020000000000003</v>
      </c>
      <c r="S228" s="13">
        <f>+[2]称号計算!Y233</f>
        <v>5.74E-2</v>
      </c>
      <c r="T228" s="19">
        <f>+[2]称号計算!Z233</f>
        <v>2.1766999999999999</v>
      </c>
      <c r="U228" s="13">
        <v>0.5</v>
      </c>
    </row>
    <row r="229" spans="1:21" ht="19.5" thickBot="1">
      <c r="A229" s="14" t="s">
        <v>1140</v>
      </c>
      <c r="B229" s="24" t="s">
        <v>1500</v>
      </c>
      <c r="C229" s="28">
        <f>+[2]称号計算!I234</f>
        <v>0.90939999999999999</v>
      </c>
      <c r="D229" s="15">
        <f>+[2]称号計算!J234</f>
        <v>1.0962000000000001</v>
      </c>
      <c r="E229" s="15">
        <f>+[2]称号計算!K234</f>
        <v>0.12180000000000001</v>
      </c>
      <c r="F229" s="15">
        <f>+[2]称号計算!L234</f>
        <v>1.8453999999999999</v>
      </c>
      <c r="G229" s="15">
        <f>+[2]称号計算!M234</f>
        <v>1.2235</v>
      </c>
      <c r="H229" s="16">
        <f>+[2]称号計算!N234</f>
        <v>0.45169999999999999</v>
      </c>
      <c r="I229" s="28">
        <f>+[2]称号計算!O234</f>
        <v>0.4466</v>
      </c>
      <c r="J229" s="16">
        <f>+[2]称号計算!P234</f>
        <v>0.4798</v>
      </c>
      <c r="K229" s="28">
        <f>+[2]称号計算!Q234</f>
        <v>0.3004</v>
      </c>
      <c r="L229" s="15">
        <f>+[2]称号計算!R234</f>
        <v>0.64219999999999999</v>
      </c>
      <c r="M229" s="16">
        <f>+[2]称号計算!S234</f>
        <v>0.48570000000000002</v>
      </c>
      <c r="N229" s="28">
        <f>+[2]称号計算!T234</f>
        <v>2.0199999999999999E-2</v>
      </c>
      <c r="O229" s="15">
        <f>+[2]称号計算!U234</f>
        <v>2.0199999999999999E-2</v>
      </c>
      <c r="P229" s="15">
        <f>+[2]称号計算!V234</f>
        <v>2.0199999999999999E-2</v>
      </c>
      <c r="Q229" s="15">
        <f>+[2]称号計算!W234</f>
        <v>2.0199999999999999E-2</v>
      </c>
      <c r="R229" s="15">
        <f>+[2]称号計算!X234</f>
        <v>0.40329999999999999</v>
      </c>
      <c r="S229" s="16">
        <f>+[2]称号計算!Y234</f>
        <v>5.3800000000000001E-2</v>
      </c>
      <c r="T229" s="20">
        <f>+[2]称号計算!Z234</f>
        <v>2.423</v>
      </c>
      <c r="U229" s="16">
        <v>0.25</v>
      </c>
    </row>
    <row r="230" spans="1:21">
      <c r="A230" s="9" t="s">
        <v>1141</v>
      </c>
      <c r="B230" s="22" t="s">
        <v>1501</v>
      </c>
      <c r="C230" s="26">
        <f>+[2]称号計算!I235</f>
        <v>0.84589999999999999</v>
      </c>
      <c r="D230" s="10">
        <f>+[2]称号計算!J235</f>
        <v>0.62780000000000002</v>
      </c>
      <c r="E230" s="10">
        <f>+[2]称号計算!K235</f>
        <v>0.12770000000000001</v>
      </c>
      <c r="F230" s="10">
        <f>+[2]称号計算!L235</f>
        <v>1.5019</v>
      </c>
      <c r="G230" s="10">
        <f>+[2]称号計算!M235</f>
        <v>0.62809999999999999</v>
      </c>
      <c r="H230" s="11">
        <f>+[2]称号計算!N235</f>
        <v>0.57189999999999996</v>
      </c>
      <c r="I230" s="26">
        <f>+[2]称号計算!O235</f>
        <v>0.46260000000000001</v>
      </c>
      <c r="J230" s="11">
        <f>+[2]称号計算!P235</f>
        <v>0.39050000000000001</v>
      </c>
      <c r="K230" s="26">
        <f>+[2]称号計算!Q235</f>
        <v>0.37009999999999998</v>
      </c>
      <c r="L230" s="10">
        <f>+[2]称号計算!R235</f>
        <v>0.87109999999999999</v>
      </c>
      <c r="M230" s="11">
        <f>+[2]称号計算!S235</f>
        <v>0.26069999999999999</v>
      </c>
      <c r="N230" s="26">
        <f>+[2]称号計算!T235</f>
        <v>1.49E-2</v>
      </c>
      <c r="O230" s="10">
        <f>+[2]称号計算!U235</f>
        <v>1.49E-2</v>
      </c>
      <c r="P230" s="10">
        <f>+[2]称号計算!V235</f>
        <v>1.49E-2</v>
      </c>
      <c r="Q230" s="10">
        <f>+[2]称号計算!W235</f>
        <v>1.49E-2</v>
      </c>
      <c r="R230" s="10">
        <f>+[2]称号計算!X235</f>
        <v>3.9800000000000002E-2</v>
      </c>
      <c r="S230" s="11">
        <f>+[2]称号計算!Y235</f>
        <v>0.29830000000000001</v>
      </c>
      <c r="T230" s="18">
        <f>+[2]称号計算!Z235</f>
        <v>2.3673999999999999</v>
      </c>
      <c r="U230" s="11">
        <v>1</v>
      </c>
    </row>
    <row r="231" spans="1:21">
      <c r="A231" s="12" t="s">
        <v>1142</v>
      </c>
      <c r="B231" s="23" t="s">
        <v>1502</v>
      </c>
      <c r="C231" s="27">
        <f>+[2]称号計算!I236</f>
        <v>0.6583</v>
      </c>
      <c r="D231" s="5">
        <f>+[2]称号計算!J236</f>
        <v>0.7026</v>
      </c>
      <c r="E231" s="5">
        <f>+[2]称号計算!K236</f>
        <v>0.1009</v>
      </c>
      <c r="F231" s="5">
        <f>+[2]称号計算!L236</f>
        <v>1.681</v>
      </c>
      <c r="G231" s="5">
        <f>+[2]称号計算!M236</f>
        <v>0.52580000000000005</v>
      </c>
      <c r="H231" s="13">
        <f>+[2]称号計算!N236</f>
        <v>0.52010000000000001</v>
      </c>
      <c r="I231" s="27">
        <f>+[2]称号計算!O236</f>
        <v>0.55469999999999997</v>
      </c>
      <c r="J231" s="13">
        <f>+[2]称号計算!P236</f>
        <v>0.43709999999999999</v>
      </c>
      <c r="K231" s="27">
        <f>+[2]称号計算!Q236</f>
        <v>0.45860000000000001</v>
      </c>
      <c r="L231" s="5">
        <f>+[2]称号計算!R236</f>
        <v>0.7732</v>
      </c>
      <c r="M231" s="13">
        <f>+[2]称号計算!S236</f>
        <v>0.57889999999999997</v>
      </c>
      <c r="N231" s="27">
        <f>+[2]称号計算!T236</f>
        <v>1.34E-2</v>
      </c>
      <c r="O231" s="5">
        <f>+[2]称号計算!U236</f>
        <v>1.34E-2</v>
      </c>
      <c r="P231" s="5">
        <f>+[2]称号計算!V236</f>
        <v>1.34E-2</v>
      </c>
      <c r="Q231" s="5">
        <f>+[2]称号計算!W236</f>
        <v>1.34E-2</v>
      </c>
      <c r="R231" s="5">
        <f>+[2]称号計算!X236</f>
        <v>3.5799999999999998E-2</v>
      </c>
      <c r="S231" s="13">
        <f>+[2]称号計算!Y236</f>
        <v>0.26850000000000002</v>
      </c>
      <c r="T231" s="19">
        <f>+[2]称号計算!Z236</f>
        <v>4.3499999999999996</v>
      </c>
      <c r="U231" s="13">
        <v>1</v>
      </c>
    </row>
    <row r="232" spans="1:21">
      <c r="A232" s="12" t="s">
        <v>1143</v>
      </c>
      <c r="B232" s="23" t="s">
        <v>1503</v>
      </c>
      <c r="C232" s="27">
        <f>+[2]称号計算!I237</f>
        <v>0.95409999999999995</v>
      </c>
      <c r="D232" s="5">
        <f>+[2]称号計算!J237</f>
        <v>0.79510000000000003</v>
      </c>
      <c r="E232" s="5">
        <f>+[2]称号計算!K237</f>
        <v>0.14460000000000001</v>
      </c>
      <c r="F232" s="5">
        <f>+[2]称号計算!L237</f>
        <v>1.4456</v>
      </c>
      <c r="G232" s="5">
        <f>+[2]称号計算!M237</f>
        <v>0.73719999999999997</v>
      </c>
      <c r="H232" s="13">
        <f>+[2]称号計算!N237</f>
        <v>0.68810000000000004</v>
      </c>
      <c r="I232" s="27">
        <f>+[2]称号計算!O237</f>
        <v>0.6361</v>
      </c>
      <c r="J232" s="13">
        <f>+[2]称号計算!P237</f>
        <v>0.4385</v>
      </c>
      <c r="K232" s="27">
        <f>+[2]称号計算!Q237</f>
        <v>0.30530000000000002</v>
      </c>
      <c r="L232" s="5">
        <f>+[2]称号計算!R237</f>
        <v>0.69389999999999996</v>
      </c>
      <c r="M232" s="13">
        <f>+[2]称号計算!S237</f>
        <v>0.48570000000000002</v>
      </c>
      <c r="N232" s="27">
        <f>+[2]称号計算!T237</f>
        <v>1.9300000000000001E-2</v>
      </c>
      <c r="O232" s="5">
        <f>+[2]称号計算!U237</f>
        <v>1.9300000000000001E-2</v>
      </c>
      <c r="P232" s="5">
        <f>+[2]称号計算!V237</f>
        <v>1.9300000000000001E-2</v>
      </c>
      <c r="Q232" s="5">
        <f>+[2]称号計算!W237</f>
        <v>1.9300000000000001E-2</v>
      </c>
      <c r="R232" s="5">
        <f>+[2]称号計算!X237</f>
        <v>5.16E-2</v>
      </c>
      <c r="S232" s="13">
        <f>+[2]称号計算!Y237</f>
        <v>0.38669999999999999</v>
      </c>
      <c r="T232" s="19">
        <f>+[2]称号計算!Z237</f>
        <v>2.4413</v>
      </c>
      <c r="U232" s="13">
        <v>0.9</v>
      </c>
    </row>
    <row r="233" spans="1:21">
      <c r="A233" s="12" t="s">
        <v>1144</v>
      </c>
      <c r="B233" s="23" t="s">
        <v>1504</v>
      </c>
      <c r="C233" s="27">
        <f>+[2]称号計算!I238</f>
        <v>0.58819999999999995</v>
      </c>
      <c r="D233" s="5">
        <f>+[2]称号計算!J238</f>
        <v>0.35709999999999997</v>
      </c>
      <c r="E233" s="5">
        <f>+[2]称号計算!K238</f>
        <v>1.9097</v>
      </c>
      <c r="F233" s="5">
        <f>+[2]称号計算!L238</f>
        <v>0.14319999999999999</v>
      </c>
      <c r="G233" s="5">
        <f>+[2]称号計算!M238</f>
        <v>0.49349999999999999</v>
      </c>
      <c r="H233" s="13">
        <f>+[2]称号計算!N238</f>
        <v>0.50649999999999995</v>
      </c>
      <c r="I233" s="27">
        <f>+[2]称号計算!O238</f>
        <v>0.92430000000000001</v>
      </c>
      <c r="J233" s="13">
        <f>+[2]称号計算!P238</f>
        <v>0.52300000000000002</v>
      </c>
      <c r="K233" s="27">
        <f>+[2]称号計算!Q238</f>
        <v>0.74780000000000002</v>
      </c>
      <c r="L233" s="5">
        <f>+[2]称号計算!R238</f>
        <v>0.99309999999999998</v>
      </c>
      <c r="M233" s="13">
        <f>+[2]称号計算!S238</f>
        <v>0.47060000000000002</v>
      </c>
      <c r="N233" s="27">
        <f>+[2]称号計算!T238</f>
        <v>0.23280000000000001</v>
      </c>
      <c r="O233" s="5">
        <f>+[2]称号計算!U238</f>
        <v>4.6600000000000003E-2</v>
      </c>
      <c r="P233" s="5">
        <f>+[2]称号計算!V238</f>
        <v>1.55E-2</v>
      </c>
      <c r="Q233" s="5">
        <f>+[2]称号計算!W238</f>
        <v>1.55E-2</v>
      </c>
      <c r="R233" s="5">
        <f>+[2]称号計算!X238</f>
        <v>1.1599999999999999E-2</v>
      </c>
      <c r="S233" s="13">
        <f>+[2]称号計算!Y238</f>
        <v>1.1599999999999999E-2</v>
      </c>
      <c r="T233" s="19">
        <f>+[2]称号計算!Z238</f>
        <v>3.4243999999999999</v>
      </c>
      <c r="U233" s="13">
        <v>0.55000000000000004</v>
      </c>
    </row>
    <row r="234" spans="1:21">
      <c r="A234" s="12" t="s">
        <v>1145</v>
      </c>
      <c r="B234" s="23" t="s">
        <v>1505</v>
      </c>
      <c r="C234" s="27">
        <f>+[2]称号計算!I239</f>
        <v>0.99670000000000003</v>
      </c>
      <c r="D234" s="5">
        <f>+[2]称号計算!J239</f>
        <v>0.42270000000000002</v>
      </c>
      <c r="E234" s="5">
        <f>+[2]称号計算!K239</f>
        <v>2.0225</v>
      </c>
      <c r="F234" s="5">
        <f>+[2]称号計算!L239</f>
        <v>0.1578</v>
      </c>
      <c r="G234" s="5">
        <f>+[2]称号計算!M239</f>
        <v>0.86639999999999995</v>
      </c>
      <c r="H234" s="13">
        <f>+[2]称号計算!N239</f>
        <v>0.85270000000000001</v>
      </c>
      <c r="I234" s="27">
        <f>+[2]称号計算!O239</f>
        <v>0.35599999999999998</v>
      </c>
      <c r="J234" s="13">
        <f>+[2]称号計算!P239</f>
        <v>0.49080000000000001</v>
      </c>
      <c r="K234" s="27">
        <f>+[2]称号計算!Q239</f>
        <v>0.43609999999999999</v>
      </c>
      <c r="L234" s="5">
        <f>+[2]称号計算!R239</f>
        <v>0.83330000000000004</v>
      </c>
      <c r="M234" s="13">
        <f>+[2]称号計算!S239</f>
        <v>0.55500000000000005</v>
      </c>
      <c r="N234" s="27">
        <f>+[2]称号計算!T239</f>
        <v>1.8499999999999999E-2</v>
      </c>
      <c r="O234" s="5">
        <f>+[2]称号計算!U239</f>
        <v>1.8499999999999999E-2</v>
      </c>
      <c r="P234" s="5">
        <f>+[2]称号計算!V239</f>
        <v>1.8499999999999999E-2</v>
      </c>
      <c r="Q234" s="5">
        <f>+[2]称号計算!W239</f>
        <v>1.8499999999999999E-2</v>
      </c>
      <c r="R234" s="5">
        <f>+[2]称号計算!X239</f>
        <v>0.37069999999999997</v>
      </c>
      <c r="S234" s="13">
        <f>+[2]称号計算!Y239</f>
        <v>4.9399999999999999E-2</v>
      </c>
      <c r="T234" s="19">
        <f>+[2]称号計算!Z239</f>
        <v>2.6855000000000002</v>
      </c>
      <c r="U234" s="13">
        <v>0.5</v>
      </c>
    </row>
    <row r="235" spans="1:21" ht="19.5" thickBot="1">
      <c r="A235" s="14" t="s">
        <v>1146</v>
      </c>
      <c r="B235" s="24" t="s">
        <v>1506</v>
      </c>
      <c r="C235" s="28">
        <f>+[2]称号計算!I240</f>
        <v>0.44230000000000003</v>
      </c>
      <c r="D235" s="15">
        <f>+[2]称号計算!J240</f>
        <v>1.2062999999999999</v>
      </c>
      <c r="E235" s="15">
        <f>+[2]称号計算!K240</f>
        <v>0.1462</v>
      </c>
      <c r="F235" s="15">
        <f>+[2]称号計算!L240</f>
        <v>1.8277000000000001</v>
      </c>
      <c r="G235" s="15">
        <f>+[2]称号計算!M240</f>
        <v>0.90110000000000001</v>
      </c>
      <c r="H235" s="16">
        <f>+[2]称号計算!N240</f>
        <v>1.3982000000000001</v>
      </c>
      <c r="I235" s="28">
        <f>+[2]称号計算!O240</f>
        <v>0.32169999999999999</v>
      </c>
      <c r="J235" s="16">
        <f>+[2]称号計算!P240</f>
        <v>0.43719999999999998</v>
      </c>
      <c r="K235" s="28">
        <f>+[2]称号計算!Q240</f>
        <v>0.3538</v>
      </c>
      <c r="L235" s="15">
        <f>+[2]称号計算!R240</f>
        <v>0.64339999999999997</v>
      </c>
      <c r="M235" s="16">
        <f>+[2]称号計算!S240</f>
        <v>0.64480000000000004</v>
      </c>
      <c r="N235" s="28">
        <f>+[2]称号計算!T240</f>
        <v>2.5000000000000001E-2</v>
      </c>
      <c r="O235" s="15">
        <f>+[2]称号計算!U240</f>
        <v>2.5000000000000001E-2</v>
      </c>
      <c r="P235" s="15">
        <f>+[2]称号計算!V240</f>
        <v>2.5000000000000001E-2</v>
      </c>
      <c r="Q235" s="15">
        <f>+[2]称号計算!W240</f>
        <v>2.5000000000000001E-2</v>
      </c>
      <c r="R235" s="15">
        <f>+[2]称号計算!X240</f>
        <v>6.6600000000000006E-2</v>
      </c>
      <c r="S235" s="16">
        <f>+[2]称号計算!Y240</f>
        <v>0.49940000000000001</v>
      </c>
      <c r="T235" s="20">
        <f>+[2]称号計算!Z240</f>
        <v>2.6818</v>
      </c>
      <c r="U235" s="16">
        <v>0.25</v>
      </c>
    </row>
    <row r="236" spans="1:21">
      <c r="A236" s="9" t="s">
        <v>1147</v>
      </c>
      <c r="B236" s="22" t="s">
        <v>1507</v>
      </c>
      <c r="C236" s="26">
        <f>+[2]称号計算!I241</f>
        <v>0.65210000000000001</v>
      </c>
      <c r="D236" s="10">
        <f>+[2]称号計算!J241</f>
        <v>1.6777</v>
      </c>
      <c r="E236" s="10">
        <f>+[2]称号計算!K241</f>
        <v>0.1007</v>
      </c>
      <c r="F236" s="10">
        <f>+[2]称号計算!L241</f>
        <v>1.4389000000000001</v>
      </c>
      <c r="G236" s="10">
        <f>+[2]称号計算!M241</f>
        <v>0.46960000000000002</v>
      </c>
      <c r="H236" s="11">
        <f>+[2]称号計算!N241</f>
        <v>0.57730000000000004</v>
      </c>
      <c r="I236" s="26">
        <f>+[2]称号計算!O241</f>
        <v>0.41149999999999998</v>
      </c>
      <c r="J236" s="11">
        <f>+[2]称号計算!P241</f>
        <v>0.36159999999999998</v>
      </c>
      <c r="K236" s="26">
        <f>+[2]称号計算!Q241</f>
        <v>0.26590000000000003</v>
      </c>
      <c r="L236" s="10">
        <f>+[2]称号計算!R241</f>
        <v>0.51800000000000002</v>
      </c>
      <c r="M236" s="11">
        <f>+[2]称号計算!S241</f>
        <v>0.45119999999999999</v>
      </c>
      <c r="N236" s="26">
        <f>+[2]称号計算!T241</f>
        <v>1.4999999999999999E-2</v>
      </c>
      <c r="O236" s="10">
        <f>+[2]称号計算!U241</f>
        <v>1.4999999999999999E-2</v>
      </c>
      <c r="P236" s="10">
        <f>+[2]称号計算!V241</f>
        <v>1.4999999999999999E-2</v>
      </c>
      <c r="Q236" s="10">
        <f>+[2]称号計算!W241</f>
        <v>1.4999999999999999E-2</v>
      </c>
      <c r="R236" s="10">
        <f>+[2]称号計算!X241</f>
        <v>0.29909999999999998</v>
      </c>
      <c r="S236" s="11">
        <f>+[2]称号計算!Y241</f>
        <v>3.9899999999999998E-2</v>
      </c>
      <c r="T236" s="18">
        <f>+[2]称号計算!Z241</f>
        <v>2.1928000000000001</v>
      </c>
      <c r="U236" s="11">
        <v>1</v>
      </c>
    </row>
    <row r="237" spans="1:21">
      <c r="A237" s="12" t="s">
        <v>1148</v>
      </c>
      <c r="B237" s="23" t="s">
        <v>1508</v>
      </c>
      <c r="C237" s="27">
        <f>+[2]称号計算!I242</f>
        <v>0.75409999999999999</v>
      </c>
      <c r="D237" s="5">
        <f>+[2]称号計算!J242</f>
        <v>0.82950000000000002</v>
      </c>
      <c r="E237" s="5">
        <f>+[2]称号計算!K242</f>
        <v>0.1714</v>
      </c>
      <c r="F237" s="5">
        <f>+[2]称号計算!L242</f>
        <v>1.7138</v>
      </c>
      <c r="G237" s="5">
        <f>+[2]称号計算!M242</f>
        <v>0.55359999999999998</v>
      </c>
      <c r="H237" s="13">
        <f>+[2]称号計算!N242</f>
        <v>0.64100000000000001</v>
      </c>
      <c r="I237" s="27">
        <f>+[2]称号計算!O242</f>
        <v>0.52790000000000004</v>
      </c>
      <c r="J237" s="13">
        <f>+[2]称号計算!P242</f>
        <v>0.46039999999999998</v>
      </c>
      <c r="K237" s="27">
        <f>+[2]称号計算!Q242</f>
        <v>0.34689999999999999</v>
      </c>
      <c r="L237" s="5">
        <f>+[2]称号計算!R242</f>
        <v>0.75409999999999999</v>
      </c>
      <c r="M237" s="13">
        <f>+[2]称号計算!S242</f>
        <v>0.51829999999999998</v>
      </c>
      <c r="N237" s="27">
        <f>+[2]称号計算!T242</f>
        <v>1.2800000000000001E-2</v>
      </c>
      <c r="O237" s="5">
        <f>+[2]称号計算!U242</f>
        <v>1.2800000000000001E-2</v>
      </c>
      <c r="P237" s="5">
        <f>+[2]称号計算!V242</f>
        <v>1.2800000000000001E-2</v>
      </c>
      <c r="Q237" s="5">
        <f>+[2]称号計算!W242</f>
        <v>1.2800000000000001E-2</v>
      </c>
      <c r="R237" s="5">
        <f>+[2]称号計算!X242</f>
        <v>0.25590000000000002</v>
      </c>
      <c r="S237" s="13">
        <f>+[2]称号計算!Y242</f>
        <v>3.4099999999999998E-2</v>
      </c>
      <c r="T237" s="19">
        <f>+[2]称号計算!Z242</f>
        <v>2.3832</v>
      </c>
      <c r="U237" s="13">
        <v>1</v>
      </c>
    </row>
    <row r="238" spans="1:21">
      <c r="A238" s="12" t="s">
        <v>1149</v>
      </c>
      <c r="B238" s="23" t="s">
        <v>1509</v>
      </c>
      <c r="C238" s="27">
        <f>+[2]称号計算!I243</f>
        <v>0.50860000000000005</v>
      </c>
      <c r="D238" s="5">
        <f>+[2]称号計算!J243</f>
        <v>0.83499999999999996</v>
      </c>
      <c r="E238" s="5">
        <f>+[2]称号計算!K243</f>
        <v>8.9700000000000002E-2</v>
      </c>
      <c r="F238" s="5">
        <f>+[2]称号計算!L243</f>
        <v>1.7252000000000001</v>
      </c>
      <c r="G238" s="5">
        <f>+[2]称号計算!M243</f>
        <v>0.38129999999999997</v>
      </c>
      <c r="H238" s="13">
        <f>+[2]称号計算!N243</f>
        <v>0.46920000000000001</v>
      </c>
      <c r="I238" s="27">
        <f>+[2]称号計算!O243</f>
        <v>1.3663000000000001</v>
      </c>
      <c r="J238" s="13">
        <f>+[2]称号計算!P243</f>
        <v>0.55320000000000003</v>
      </c>
      <c r="K238" s="27">
        <f>+[2]称号計算!Q243</f>
        <v>0.31119999999999998</v>
      </c>
      <c r="L238" s="5">
        <f>+[2]称号計算!R243</f>
        <v>0.51749999999999996</v>
      </c>
      <c r="M238" s="13">
        <f>+[2]称号計算!S243</f>
        <v>0.85980000000000001</v>
      </c>
      <c r="N238" s="27">
        <f>+[2]称号計算!T243</f>
        <v>1.1599999999999999E-2</v>
      </c>
      <c r="O238" s="5">
        <f>+[2]称号計算!U243</f>
        <v>1.1599999999999999E-2</v>
      </c>
      <c r="P238" s="5">
        <f>+[2]称号計算!V243</f>
        <v>1.1599999999999999E-2</v>
      </c>
      <c r="Q238" s="5">
        <f>+[2]称号計算!W243</f>
        <v>1.1599999999999999E-2</v>
      </c>
      <c r="R238" s="5">
        <f>+[2]称号計算!X243</f>
        <v>3.09E-2</v>
      </c>
      <c r="S238" s="13">
        <f>+[2]称号計算!Y243</f>
        <v>0.2316</v>
      </c>
      <c r="T238" s="19">
        <f>+[2]称号計算!Z243</f>
        <v>2.3908999999999998</v>
      </c>
      <c r="U238" s="13">
        <v>0.9</v>
      </c>
    </row>
    <row r="239" spans="1:21">
      <c r="A239" s="12" t="s">
        <v>1150</v>
      </c>
      <c r="B239" s="23" t="s">
        <v>1510</v>
      </c>
      <c r="C239" s="27">
        <f>+[2]称号計算!I244</f>
        <v>0.59109999999999996</v>
      </c>
      <c r="D239" s="5">
        <f>+[2]称号計算!J244</f>
        <v>0.25480000000000003</v>
      </c>
      <c r="E239" s="5">
        <f>+[2]称号計算!K244</f>
        <v>2.3161</v>
      </c>
      <c r="F239" s="5">
        <f>+[2]称号計算!L244</f>
        <v>0.1158</v>
      </c>
      <c r="G239" s="5">
        <f>+[2]称号計算!M244</f>
        <v>0.43309999999999998</v>
      </c>
      <c r="H239" s="13">
        <f>+[2]称号計算!N244</f>
        <v>0.441</v>
      </c>
      <c r="I239" s="27">
        <f>+[2]称号計算!O244</f>
        <v>0.81530000000000002</v>
      </c>
      <c r="J239" s="13">
        <f>+[2]称号計算!P244</f>
        <v>0.78280000000000005</v>
      </c>
      <c r="K239" s="27">
        <f>+[2]称号計算!Q244</f>
        <v>0.58089999999999997</v>
      </c>
      <c r="L239" s="5">
        <f>+[2]称号計算!R244</f>
        <v>1.0098</v>
      </c>
      <c r="M239" s="13">
        <f>+[2]称号計算!S244</f>
        <v>0.62260000000000004</v>
      </c>
      <c r="N239" s="27">
        <f>+[2]称号計算!T244</f>
        <v>8.6E-3</v>
      </c>
      <c r="O239" s="5">
        <f>+[2]称号計算!U244</f>
        <v>8.6E-3</v>
      </c>
      <c r="P239" s="5">
        <f>+[2]称号計算!V244</f>
        <v>8.6E-3</v>
      </c>
      <c r="Q239" s="5">
        <f>+[2]称号計算!W244</f>
        <v>8.6E-3</v>
      </c>
      <c r="R239" s="5">
        <f>+[2]称号計算!X244</f>
        <v>0.17199999999999999</v>
      </c>
      <c r="S239" s="13">
        <f>+[2]称号計算!Y244</f>
        <v>2.29E-2</v>
      </c>
      <c r="T239" s="19">
        <f>+[2]称号計算!Z244</f>
        <v>2.8534999999999999</v>
      </c>
      <c r="U239" s="13">
        <v>0.55000000000000004</v>
      </c>
    </row>
    <row r="240" spans="1:21">
      <c r="A240" s="12" t="s">
        <v>1151</v>
      </c>
      <c r="B240" s="23" t="s">
        <v>1511</v>
      </c>
      <c r="C240" s="27">
        <f>+[2]称号計算!I245</f>
        <v>1.3454999999999999</v>
      </c>
      <c r="D240" s="5">
        <f>+[2]称号計算!J245</f>
        <v>0.37419999999999998</v>
      </c>
      <c r="E240" s="5">
        <f>+[2]称号計算!K245</f>
        <v>2.0251000000000001</v>
      </c>
      <c r="F240" s="5">
        <f>+[2]称号計算!L245</f>
        <v>0.158</v>
      </c>
      <c r="G240" s="5">
        <f>+[2]称号計算!M245</f>
        <v>1.1636</v>
      </c>
      <c r="H240" s="13">
        <f>+[2]称号計算!N245</f>
        <v>0.6472</v>
      </c>
      <c r="I240" s="27">
        <f>+[2]称号計算!O245</f>
        <v>0.31190000000000001</v>
      </c>
      <c r="J240" s="13">
        <f>+[2]称号計算!P245</f>
        <v>0.502</v>
      </c>
      <c r="K240" s="27">
        <f>+[2]称号計算!Q245</f>
        <v>0.31190000000000001</v>
      </c>
      <c r="L240" s="5">
        <f>+[2]称号計算!R245</f>
        <v>0.59130000000000005</v>
      </c>
      <c r="M240" s="13">
        <f>+[2]称号計算!S245</f>
        <v>0.87890000000000001</v>
      </c>
      <c r="N240" s="27">
        <f>+[2]称号計算!T245</f>
        <v>2.2599999999999999E-2</v>
      </c>
      <c r="O240" s="5">
        <f>+[2]称号計算!U245</f>
        <v>2.2599999999999999E-2</v>
      </c>
      <c r="P240" s="5">
        <f>+[2]称号計算!V245</f>
        <v>2.2599999999999999E-2</v>
      </c>
      <c r="Q240" s="5">
        <f>+[2]称号計算!W245</f>
        <v>2.2599999999999999E-2</v>
      </c>
      <c r="R240" s="5">
        <f>+[2]称号計算!X245</f>
        <v>0.45200000000000001</v>
      </c>
      <c r="S240" s="13">
        <f>+[2]称号計算!Y245</f>
        <v>6.0299999999999999E-2</v>
      </c>
      <c r="T240" s="19">
        <f>+[2]称号計算!Z245</f>
        <v>2.4698000000000002</v>
      </c>
      <c r="U240" s="13">
        <v>0.5</v>
      </c>
    </row>
    <row r="241" spans="1:21" ht="19.5" thickBot="1">
      <c r="A241" s="14" t="s">
        <v>1152</v>
      </c>
      <c r="B241" s="24" t="s">
        <v>1512</v>
      </c>
      <c r="C241" s="28">
        <f>+[2]称号計算!I246</f>
        <v>0.70940000000000003</v>
      </c>
      <c r="D241" s="15">
        <f>+[2]称号計算!J246</f>
        <v>1.0458000000000001</v>
      </c>
      <c r="E241" s="15">
        <f>+[2]称号計算!K246</f>
        <v>0.20669999999999999</v>
      </c>
      <c r="F241" s="15">
        <f>+[2]称号計算!L246</f>
        <v>2.0669</v>
      </c>
      <c r="G241" s="15">
        <f>+[2]称号計算!M246</f>
        <v>0.52710000000000001</v>
      </c>
      <c r="H241" s="16">
        <f>+[2]称号計算!N246</f>
        <v>0.56220000000000003</v>
      </c>
      <c r="I241" s="28">
        <f>+[2]称号計算!O246</f>
        <v>1.0004</v>
      </c>
      <c r="J241" s="16">
        <f>+[2]称号計算!P246</f>
        <v>0.59109999999999996</v>
      </c>
      <c r="K241" s="28">
        <f>+[2]称号計算!Q246</f>
        <v>0.40010000000000001</v>
      </c>
      <c r="L241" s="15">
        <f>+[2]称号計算!R246</f>
        <v>0.90939999999999999</v>
      </c>
      <c r="M241" s="16">
        <f>+[2]称号計算!S246</f>
        <v>0.63660000000000005</v>
      </c>
      <c r="N241" s="28">
        <f>+[2]称号計算!T246</f>
        <v>1.4500000000000001E-2</v>
      </c>
      <c r="O241" s="15">
        <f>+[2]称号計算!U246</f>
        <v>1.4500000000000001E-2</v>
      </c>
      <c r="P241" s="15">
        <f>+[2]称号計算!V246</f>
        <v>1.4500000000000001E-2</v>
      </c>
      <c r="Q241" s="15">
        <f>+[2]称号計算!W246</f>
        <v>1.4500000000000001E-2</v>
      </c>
      <c r="R241" s="15">
        <f>+[2]称号計算!X246</f>
        <v>0.2908</v>
      </c>
      <c r="S241" s="16">
        <f>+[2]称号計算!Y246</f>
        <v>3.8800000000000001E-2</v>
      </c>
      <c r="T241" s="20">
        <f>+[2]称号計算!Z246</f>
        <v>2.7890999999999999</v>
      </c>
      <c r="U241" s="16">
        <v>0.25</v>
      </c>
    </row>
    <row r="242" spans="1:21">
      <c r="A242" s="9" t="s">
        <v>1153</v>
      </c>
      <c r="B242" s="22" t="s">
        <v>1513</v>
      </c>
      <c r="C242" s="26">
        <f>+[2]称号計算!I247</f>
        <v>0.73229999999999995</v>
      </c>
      <c r="D242" s="10">
        <f>+[2]称号計算!J247</f>
        <v>0.79600000000000004</v>
      </c>
      <c r="E242" s="10">
        <f>+[2]称号計算!K247</f>
        <v>0.18090000000000001</v>
      </c>
      <c r="F242" s="10">
        <f>+[2]称号計算!L247</f>
        <v>1.8090999999999999</v>
      </c>
      <c r="G242" s="10">
        <f>+[2]称号計算!M247</f>
        <v>0.58430000000000004</v>
      </c>
      <c r="H242" s="11">
        <f>+[2]称号計算!N247</f>
        <v>0.64580000000000004</v>
      </c>
      <c r="I242" s="26">
        <f>+[2]称号計算!O247</f>
        <v>0.39800000000000002</v>
      </c>
      <c r="J242" s="11">
        <f>+[2]称号計算!P247</f>
        <v>0.47039999999999998</v>
      </c>
      <c r="K242" s="26">
        <f>+[2]称号計算!Q247</f>
        <v>0.31840000000000002</v>
      </c>
      <c r="L242" s="10">
        <f>+[2]称号計算!R247</f>
        <v>0.75980000000000003</v>
      </c>
      <c r="M242" s="11">
        <f>+[2]称号計算!S247</f>
        <v>0.50649999999999995</v>
      </c>
      <c r="N242" s="26">
        <f>+[2]称号計算!T247</f>
        <v>1.44E-2</v>
      </c>
      <c r="O242" s="10">
        <f>+[2]称号計算!U247</f>
        <v>1.44E-2</v>
      </c>
      <c r="P242" s="10">
        <f>+[2]称号計算!V247</f>
        <v>1.44E-2</v>
      </c>
      <c r="Q242" s="10">
        <f>+[2]称号計算!W247</f>
        <v>1.44E-2</v>
      </c>
      <c r="R242" s="10">
        <f>+[2]称号計算!X247</f>
        <v>3.8399999999999997E-2</v>
      </c>
      <c r="S242" s="11">
        <f>+[2]称号計算!Y247</f>
        <v>0.28810000000000002</v>
      </c>
      <c r="T242" s="18">
        <f>+[2]称号計算!Z247</f>
        <v>2.2404999999999999</v>
      </c>
      <c r="U242" s="11">
        <v>1</v>
      </c>
    </row>
    <row r="243" spans="1:21">
      <c r="A243" s="12" t="s">
        <v>1154</v>
      </c>
      <c r="B243" s="23" t="s">
        <v>1514</v>
      </c>
      <c r="C243" s="27">
        <f>+[2]称号計算!I248</f>
        <v>0.61950000000000005</v>
      </c>
      <c r="D243" s="5">
        <f>+[2]称号計算!J248</f>
        <v>0.79530000000000001</v>
      </c>
      <c r="E243" s="5">
        <f>+[2]称号計算!K248</f>
        <v>0.1237</v>
      </c>
      <c r="F243" s="5">
        <f>+[2]称号計算!L248</f>
        <v>1.9027000000000001</v>
      </c>
      <c r="G243" s="5">
        <f>+[2]称号計算!M248</f>
        <v>0.46579999999999999</v>
      </c>
      <c r="H243" s="13">
        <f>+[2]称号計算!N248</f>
        <v>0.54339999999999999</v>
      </c>
      <c r="I243" s="27">
        <f>+[2]称号計算!O248</f>
        <v>0.41860000000000003</v>
      </c>
      <c r="J243" s="13">
        <f>+[2]称号計算!P248</f>
        <v>0.4617</v>
      </c>
      <c r="K243" s="27">
        <f>+[2]称号計算!Q248</f>
        <v>0.56089999999999995</v>
      </c>
      <c r="L243" s="5">
        <f>+[2]称号計算!R248</f>
        <v>1.1797</v>
      </c>
      <c r="M243" s="13">
        <f>+[2]称号計算!S248</f>
        <v>0.49009999999999998</v>
      </c>
      <c r="N243" s="27">
        <f>+[2]称号計算!T248</f>
        <v>1.4500000000000001E-2</v>
      </c>
      <c r="O243" s="5">
        <f>+[2]称号計算!U248</f>
        <v>1.4500000000000001E-2</v>
      </c>
      <c r="P243" s="5">
        <f>+[2]称号計算!V248</f>
        <v>5.4399999999999997E-2</v>
      </c>
      <c r="Q243" s="5">
        <f>+[2]称号計算!W248</f>
        <v>0.21779999999999999</v>
      </c>
      <c r="R243" s="5">
        <f>+[2]称号計算!X248</f>
        <v>1.09E-2</v>
      </c>
      <c r="S243" s="13">
        <f>+[2]称号計算!Y248</f>
        <v>1.09E-2</v>
      </c>
      <c r="T243" s="19">
        <f>+[2]称号計算!Z248</f>
        <v>2.9196</v>
      </c>
      <c r="U243" s="13">
        <v>1</v>
      </c>
    </row>
    <row r="244" spans="1:21">
      <c r="A244" s="12" t="s">
        <v>1155</v>
      </c>
      <c r="B244" s="23" t="s">
        <v>1515</v>
      </c>
      <c r="C244" s="27">
        <f>+[2]称号計算!I249</f>
        <v>0.52300000000000002</v>
      </c>
      <c r="D244" s="5">
        <f>+[2]称号計算!J249</f>
        <v>0.84540000000000004</v>
      </c>
      <c r="E244" s="5">
        <f>+[2]称号計算!K249</f>
        <v>9.1200000000000003E-2</v>
      </c>
      <c r="F244" s="5">
        <f>+[2]称号計算!L249</f>
        <v>1.6284000000000001</v>
      </c>
      <c r="G244" s="5">
        <f>+[2]称号計算!M249</f>
        <v>0.42630000000000001</v>
      </c>
      <c r="H244" s="13">
        <f>+[2]称号計算!N249</f>
        <v>0.47060000000000002</v>
      </c>
      <c r="I244" s="27">
        <f>+[2]称号計算!O249</f>
        <v>1.8629</v>
      </c>
      <c r="J244" s="13">
        <f>+[2]称号計算!P249</f>
        <v>0.5504</v>
      </c>
      <c r="K244" s="27">
        <f>+[2]称号計算!Q249</f>
        <v>0.39410000000000001</v>
      </c>
      <c r="L244" s="5">
        <f>+[2]称号計算!R249</f>
        <v>0.61880000000000002</v>
      </c>
      <c r="M244" s="13">
        <f>+[2]称号計算!S249</f>
        <v>0.51070000000000004</v>
      </c>
      <c r="N244" s="27">
        <f>+[2]称号計算!T249</f>
        <v>5.0700000000000002E-2</v>
      </c>
      <c r="O244" s="5">
        <f>+[2]称号計算!U249</f>
        <v>0.2535</v>
      </c>
      <c r="P244" s="5">
        <f>+[2]称号計算!V249</f>
        <v>1.6899999999999998E-2</v>
      </c>
      <c r="Q244" s="5">
        <f>+[2]称号計算!W249</f>
        <v>1.6899999999999998E-2</v>
      </c>
      <c r="R244" s="5">
        <f>+[2]称号計算!X249</f>
        <v>1.2699999999999999E-2</v>
      </c>
      <c r="S244" s="13">
        <f>+[2]称号計算!Y249</f>
        <v>1.2699999999999999E-2</v>
      </c>
      <c r="T244" s="19">
        <f>+[2]称号計算!Z249</f>
        <v>2.7946</v>
      </c>
      <c r="U244" s="13">
        <v>0.9</v>
      </c>
    </row>
    <row r="245" spans="1:21">
      <c r="A245" s="12" t="s">
        <v>1156</v>
      </c>
      <c r="B245" s="23" t="s">
        <v>1516</v>
      </c>
      <c r="C245" s="27">
        <f>+[2]称号計算!I250</f>
        <v>0.751</v>
      </c>
      <c r="D245" s="5">
        <f>+[2]称号計算!J250</f>
        <v>0.49280000000000002</v>
      </c>
      <c r="E245" s="5">
        <f>+[2]称号計算!K250</f>
        <v>2.1334</v>
      </c>
      <c r="F245" s="5">
        <f>+[2]称号計算!L250</f>
        <v>0.14929999999999999</v>
      </c>
      <c r="G245" s="5">
        <f>+[2]称号計算!M250</f>
        <v>0.5585</v>
      </c>
      <c r="H245" s="13">
        <f>+[2]称号計算!N250</f>
        <v>0.60209999999999997</v>
      </c>
      <c r="I245" s="27">
        <f>+[2]称号計算!O250</f>
        <v>0.61019999999999996</v>
      </c>
      <c r="J245" s="13">
        <f>+[2]称号計算!P250</f>
        <v>0.53990000000000005</v>
      </c>
      <c r="K245" s="27">
        <f>+[2]称号計算!Q250</f>
        <v>0.72840000000000005</v>
      </c>
      <c r="L245" s="5">
        <f>+[2]称号計算!R250</f>
        <v>1.1008</v>
      </c>
      <c r="M245" s="13">
        <f>+[2]称号計算!S250</f>
        <v>0.61529999999999996</v>
      </c>
      <c r="N245" s="27">
        <f>+[2]称号計算!T250</f>
        <v>1.3899999999999999E-2</v>
      </c>
      <c r="O245" s="5">
        <f>+[2]称号計算!U250</f>
        <v>1.3899999999999999E-2</v>
      </c>
      <c r="P245" s="5">
        <f>+[2]称号計算!V250</f>
        <v>1.3899999999999999E-2</v>
      </c>
      <c r="Q245" s="5">
        <f>+[2]称号計算!W250</f>
        <v>1.3899999999999999E-2</v>
      </c>
      <c r="R245" s="5">
        <f>+[2]称号計算!X250</f>
        <v>3.7100000000000001E-2</v>
      </c>
      <c r="S245" s="13">
        <f>+[2]称号計算!Y250</f>
        <v>0.27829999999999999</v>
      </c>
      <c r="T245" s="19">
        <f>+[2]称号計算!Z250</f>
        <v>3.4415</v>
      </c>
      <c r="U245" s="13">
        <v>0.55000000000000004</v>
      </c>
    </row>
    <row r="246" spans="1:21">
      <c r="A246" s="12" t="s">
        <v>1157</v>
      </c>
      <c r="B246" s="23" t="s">
        <v>1517</v>
      </c>
      <c r="C246" s="27">
        <f>+[2]称号計算!I251</f>
        <v>0.77959999999999996</v>
      </c>
      <c r="D246" s="5">
        <f>+[2]称号計算!J251</f>
        <v>0.41410000000000002</v>
      </c>
      <c r="E246" s="5">
        <f>+[2]称号計算!K251</f>
        <v>2.2147000000000001</v>
      </c>
      <c r="F246" s="5">
        <f>+[2]称号計算!L251</f>
        <v>0.2215</v>
      </c>
      <c r="G246" s="5">
        <f>+[2]称号計算!M251</f>
        <v>0.60240000000000005</v>
      </c>
      <c r="H246" s="13">
        <f>+[2]称号計算!N251</f>
        <v>0.60240000000000005</v>
      </c>
      <c r="I246" s="27">
        <f>+[2]称号計算!O251</f>
        <v>0.77959999999999996</v>
      </c>
      <c r="J246" s="13">
        <f>+[2]称号計算!P251</f>
        <v>0.59499999999999997</v>
      </c>
      <c r="K246" s="27">
        <f>+[2]称号計算!Q251</f>
        <v>0.6431</v>
      </c>
      <c r="L246" s="5">
        <f>+[2]称号計算!R251</f>
        <v>1.1694</v>
      </c>
      <c r="M246" s="13">
        <f>+[2]称号計算!S251</f>
        <v>0.62009999999999998</v>
      </c>
      <c r="N246" s="27">
        <f>+[2]称号計算!T251</f>
        <v>1.4500000000000001E-2</v>
      </c>
      <c r="O246" s="5">
        <f>+[2]称号計算!U251</f>
        <v>1.4500000000000001E-2</v>
      </c>
      <c r="P246" s="5">
        <f>+[2]称号計算!V251</f>
        <v>1.4500000000000001E-2</v>
      </c>
      <c r="Q246" s="5">
        <f>+[2]称号計算!W251</f>
        <v>1.4500000000000001E-2</v>
      </c>
      <c r="R246" s="5">
        <f>+[2]称号計算!X251</f>
        <v>3.8699999999999998E-2</v>
      </c>
      <c r="S246" s="13">
        <f>+[2]称号計算!Y251</f>
        <v>0.29039999999999999</v>
      </c>
      <c r="T246" s="19">
        <f>+[2]称号計算!Z251</f>
        <v>3.3127</v>
      </c>
      <c r="U246" s="13">
        <v>0.5</v>
      </c>
    </row>
    <row r="247" spans="1:21" ht="19.5" thickBot="1">
      <c r="A247" s="14" t="s">
        <v>1158</v>
      </c>
      <c r="B247" s="24" t="s">
        <v>1518</v>
      </c>
      <c r="C247" s="28">
        <f>+[2]称号計算!I252</f>
        <v>0.59250000000000003</v>
      </c>
      <c r="D247" s="15">
        <f>+[2]称号計算!J252</f>
        <v>0.79679999999999995</v>
      </c>
      <c r="E247" s="15">
        <f>+[2]称号計算!K252</f>
        <v>0.11609999999999999</v>
      </c>
      <c r="F247" s="15">
        <f>+[2]称号計算!L252</f>
        <v>2.3216999999999999</v>
      </c>
      <c r="G247" s="15">
        <f>+[2]称号計算!M252</f>
        <v>0.50519999999999998</v>
      </c>
      <c r="H247" s="16">
        <f>+[2]称号計算!N252</f>
        <v>0.5131</v>
      </c>
      <c r="I247" s="28">
        <f>+[2]称号計算!O252</f>
        <v>0.81720000000000004</v>
      </c>
      <c r="J247" s="16">
        <f>+[2]称号計算!P252</f>
        <v>0.62380000000000002</v>
      </c>
      <c r="K247" s="28">
        <f>+[2]称号計算!Q252</f>
        <v>0.85809999999999997</v>
      </c>
      <c r="L247" s="15">
        <f>+[2]称号計算!R252</f>
        <v>1.2073</v>
      </c>
      <c r="M247" s="16">
        <f>+[2]称号計算!S252</f>
        <v>0.65010000000000001</v>
      </c>
      <c r="N247" s="28">
        <f>+[2]称号計算!T252</f>
        <v>1.54E-2</v>
      </c>
      <c r="O247" s="15">
        <f>+[2]称号計算!U252</f>
        <v>1.54E-2</v>
      </c>
      <c r="P247" s="15">
        <f>+[2]称号計算!V252</f>
        <v>5.7599999999999998E-2</v>
      </c>
      <c r="Q247" s="15">
        <f>+[2]称号計算!W252</f>
        <v>0.23039999999999999</v>
      </c>
      <c r="R247" s="15">
        <f>+[2]称号計算!X252</f>
        <v>1.15E-2</v>
      </c>
      <c r="S247" s="16">
        <f>+[2]称号計算!Y252</f>
        <v>1.15E-2</v>
      </c>
      <c r="T247" s="20">
        <f>+[2]称号計算!Z252</f>
        <v>3.9007999999999998</v>
      </c>
      <c r="U247" s="16">
        <v>0.25</v>
      </c>
    </row>
    <row r="248" spans="1:21">
      <c r="A248" s="9" t="s">
        <v>1159</v>
      </c>
      <c r="B248" s="22" t="s">
        <v>1519</v>
      </c>
      <c r="C248" s="26">
        <f>+[2]称号計算!I253</f>
        <v>0.85060000000000002</v>
      </c>
      <c r="D248" s="10">
        <f>+[2]称号計算!J253</f>
        <v>0.81189999999999996</v>
      </c>
      <c r="E248" s="10">
        <f>+[2]称号計算!K253</f>
        <v>0.1757</v>
      </c>
      <c r="F248" s="10">
        <f>+[2]称号計算!L253</f>
        <v>1.7574000000000001</v>
      </c>
      <c r="G248" s="10">
        <f>+[2]称号計算!M253</f>
        <v>0.65720000000000001</v>
      </c>
      <c r="H248" s="11">
        <f>+[2]称号計算!N253</f>
        <v>0.65720000000000001</v>
      </c>
      <c r="I248" s="26">
        <f>+[2]称号計算!O253</f>
        <v>0.5413</v>
      </c>
      <c r="J248" s="11">
        <f>+[2]称号計算!P253</f>
        <v>0.47210000000000002</v>
      </c>
      <c r="K248" s="26">
        <f>+[2]称号計算!Q253</f>
        <v>0.37119999999999997</v>
      </c>
      <c r="L248" s="10">
        <f>+[2]称号計算!R253</f>
        <v>0.70289999999999997</v>
      </c>
      <c r="M248" s="11">
        <f>+[2]称号計算!S253</f>
        <v>0.49209999999999998</v>
      </c>
      <c r="N248" s="26">
        <f>+[2]称号計算!T253</f>
        <v>1.6199999999999999E-2</v>
      </c>
      <c r="O248" s="10">
        <f>+[2]称号計算!U253</f>
        <v>1.6199999999999999E-2</v>
      </c>
      <c r="P248" s="10">
        <f>+[2]称号計算!V253</f>
        <v>1.6199999999999999E-2</v>
      </c>
      <c r="Q248" s="10">
        <f>+[2]称号計算!W253</f>
        <v>1.6199999999999999E-2</v>
      </c>
      <c r="R248" s="10">
        <f>+[2]称号計算!X253</f>
        <v>0.3236</v>
      </c>
      <c r="S248" s="11">
        <f>+[2]称号計算!Y253</f>
        <v>4.3099999999999999E-2</v>
      </c>
      <c r="T248" s="18">
        <f>+[2]称号計算!Z253</f>
        <v>2.4965000000000002</v>
      </c>
      <c r="U248" s="11">
        <v>1</v>
      </c>
    </row>
    <row r="249" spans="1:21">
      <c r="A249" s="12" t="s">
        <v>1160</v>
      </c>
      <c r="B249" s="23" t="s">
        <v>1520</v>
      </c>
      <c r="C249" s="27">
        <f>+[2]称号計算!I254</f>
        <v>0.99909999999999999</v>
      </c>
      <c r="D249" s="5">
        <f>+[2]称号計算!J254</f>
        <v>0.74150000000000005</v>
      </c>
      <c r="E249" s="5">
        <f>+[2]称号計算!K254</f>
        <v>0.15079999999999999</v>
      </c>
      <c r="F249" s="5">
        <f>+[2]称号計算!L254</f>
        <v>1.7739</v>
      </c>
      <c r="G249" s="5">
        <f>+[2]称号計算!M254</f>
        <v>0.74180000000000001</v>
      </c>
      <c r="H249" s="13">
        <f>+[2]称号計算!N254</f>
        <v>0.67549999999999999</v>
      </c>
      <c r="I249" s="27">
        <f>+[2]称号計算!O254</f>
        <v>0.5464</v>
      </c>
      <c r="J249" s="13">
        <f>+[2]称号計算!P254</f>
        <v>0.4612</v>
      </c>
      <c r="K249" s="27">
        <f>+[2]称号計算!Q254</f>
        <v>0.43709999999999999</v>
      </c>
      <c r="L249" s="5">
        <f>+[2]称号計算!R254</f>
        <v>1.0288999999999999</v>
      </c>
      <c r="M249" s="13">
        <f>+[2]称号計算!S254</f>
        <v>0.30790000000000001</v>
      </c>
      <c r="N249" s="27">
        <f>+[2]称号計算!T254</f>
        <v>1.7600000000000001E-2</v>
      </c>
      <c r="O249" s="5">
        <f>+[2]称号計算!U254</f>
        <v>1.7600000000000001E-2</v>
      </c>
      <c r="P249" s="5">
        <f>+[2]称号計算!V254</f>
        <v>1.7600000000000001E-2</v>
      </c>
      <c r="Q249" s="5">
        <f>+[2]称号計算!W254</f>
        <v>1.7600000000000001E-2</v>
      </c>
      <c r="R249" s="5">
        <f>+[2]称号計算!X254</f>
        <v>0.3523</v>
      </c>
      <c r="S249" s="13">
        <f>+[2]称号計算!Y254</f>
        <v>4.7E-2</v>
      </c>
      <c r="T249" s="19">
        <f>+[2]称号計算!Z254</f>
        <v>2.7961</v>
      </c>
      <c r="U249" s="13">
        <v>1</v>
      </c>
    </row>
    <row r="250" spans="1:21">
      <c r="A250" s="12" t="s">
        <v>1161</v>
      </c>
      <c r="B250" s="23" t="s">
        <v>1521</v>
      </c>
      <c r="C250" s="27">
        <f>+[2]称号計算!I255</f>
        <v>0.77569999999999995</v>
      </c>
      <c r="D250" s="5">
        <f>+[2]称号計算!J255</f>
        <v>0.82799999999999996</v>
      </c>
      <c r="E250" s="5">
        <f>+[2]称号計算!K255</f>
        <v>0.11890000000000001</v>
      </c>
      <c r="F250" s="5">
        <f>+[2]称号計算!L255</f>
        <v>1.9809000000000001</v>
      </c>
      <c r="G250" s="5">
        <f>+[2]称号計算!M255</f>
        <v>0.61960000000000004</v>
      </c>
      <c r="H250" s="13">
        <f>+[2]称号計算!N255</f>
        <v>0.6129</v>
      </c>
      <c r="I250" s="27">
        <f>+[2]称号計算!O255</f>
        <v>0.65369999999999995</v>
      </c>
      <c r="J250" s="13">
        <f>+[2]称号計算!P255</f>
        <v>0.51500000000000001</v>
      </c>
      <c r="K250" s="27">
        <f>+[2]称号計算!Q255</f>
        <v>0.54039999999999999</v>
      </c>
      <c r="L250" s="5">
        <f>+[2]称号計算!R255</f>
        <v>0.91120000000000001</v>
      </c>
      <c r="M250" s="13">
        <f>+[2]称号計算!S255</f>
        <v>0.68220000000000003</v>
      </c>
      <c r="N250" s="27">
        <f>+[2]称号計算!T255</f>
        <v>1.5800000000000002E-2</v>
      </c>
      <c r="O250" s="5">
        <f>+[2]称号計算!U255</f>
        <v>1.5800000000000002E-2</v>
      </c>
      <c r="P250" s="5">
        <f>+[2]称号計算!V255</f>
        <v>1.5800000000000002E-2</v>
      </c>
      <c r="Q250" s="5">
        <f>+[2]称号計算!W255</f>
        <v>1.5800000000000002E-2</v>
      </c>
      <c r="R250" s="5">
        <f>+[2]称号計算!X255</f>
        <v>4.2200000000000001E-2</v>
      </c>
      <c r="S250" s="13">
        <f>+[2]称号計算!Y255</f>
        <v>0.31640000000000001</v>
      </c>
      <c r="T250" s="19">
        <f>+[2]称号計算!Z255</f>
        <v>5.1261999999999999</v>
      </c>
      <c r="U250" s="13">
        <v>0.9</v>
      </c>
    </row>
    <row r="251" spans="1:21">
      <c r="A251" s="12" t="s">
        <v>1162</v>
      </c>
      <c r="B251" s="23" t="s">
        <v>1522</v>
      </c>
      <c r="C251" s="27">
        <f>+[2]称号計算!I256</f>
        <v>0.84019999999999995</v>
      </c>
      <c r="D251" s="5">
        <f>+[2]称号計算!J256</f>
        <v>0.37340000000000001</v>
      </c>
      <c r="E251" s="5">
        <f>+[2]称号計算!K256</f>
        <v>2.1217999999999999</v>
      </c>
      <c r="F251" s="5">
        <f>+[2]称号計算!L256</f>
        <v>0.2122</v>
      </c>
      <c r="G251" s="5">
        <f>+[2]称号計算!M256</f>
        <v>0.64929999999999999</v>
      </c>
      <c r="H251" s="13">
        <f>+[2]称号計算!N256</f>
        <v>0.64929999999999999</v>
      </c>
      <c r="I251" s="27">
        <f>+[2]称号計算!O256</f>
        <v>1.0268999999999999</v>
      </c>
      <c r="J251" s="13">
        <f>+[2]称号計算!P256</f>
        <v>0.64359999999999995</v>
      </c>
      <c r="K251" s="27">
        <f>+[2]称号計算!Q256</f>
        <v>0.56020000000000003</v>
      </c>
      <c r="L251" s="5">
        <f>+[2]称号計算!R256</f>
        <v>1.0015000000000001</v>
      </c>
      <c r="M251" s="13">
        <f>+[2]称号計算!S256</f>
        <v>0.53469999999999995</v>
      </c>
      <c r="N251" s="27">
        <f>+[2]称号計算!T256</f>
        <v>2.0199999999999999E-2</v>
      </c>
      <c r="O251" s="5">
        <f>+[2]称号計算!U256</f>
        <v>2.0199999999999999E-2</v>
      </c>
      <c r="P251" s="5">
        <f>+[2]称号計算!V256</f>
        <v>7.5800000000000006E-2</v>
      </c>
      <c r="Q251" s="5">
        <f>+[2]称号計算!W256</f>
        <v>0.30320000000000003</v>
      </c>
      <c r="R251" s="5">
        <f>+[2]称号計算!X256</f>
        <v>1.52E-2</v>
      </c>
      <c r="S251" s="13">
        <f>+[2]称号計算!Y256</f>
        <v>1.52E-2</v>
      </c>
      <c r="T251" s="19">
        <f>+[2]称号計算!Z256</f>
        <v>3.1581000000000001</v>
      </c>
      <c r="U251" s="13">
        <v>0.55000000000000004</v>
      </c>
    </row>
    <row r="252" spans="1:21">
      <c r="A252" s="12" t="s">
        <v>1163</v>
      </c>
      <c r="B252" s="23" t="s">
        <v>1523</v>
      </c>
      <c r="C252" s="27">
        <f>+[2]称号計算!I257</f>
        <v>0.69040000000000001</v>
      </c>
      <c r="D252" s="5">
        <f>+[2]称号計算!J257</f>
        <v>0.41920000000000002</v>
      </c>
      <c r="E252" s="5">
        <f>+[2]称号計算!K257</f>
        <v>2.2416</v>
      </c>
      <c r="F252" s="5">
        <f>+[2]称号計算!L257</f>
        <v>0.1681</v>
      </c>
      <c r="G252" s="5">
        <f>+[2]称号計算!M257</f>
        <v>0.57920000000000005</v>
      </c>
      <c r="H252" s="13">
        <f>+[2]称号計算!N257</f>
        <v>0.59450000000000003</v>
      </c>
      <c r="I252" s="27">
        <f>+[2]称号計算!O257</f>
        <v>1.0849</v>
      </c>
      <c r="J252" s="13">
        <f>+[2]称号計算!P257</f>
        <v>0.6139</v>
      </c>
      <c r="K252" s="27">
        <f>+[2]称号計算!Q257</f>
        <v>0.87780000000000002</v>
      </c>
      <c r="L252" s="5">
        <f>+[2]称号計算!R257</f>
        <v>1.1656</v>
      </c>
      <c r="M252" s="13">
        <f>+[2]称号計算!S257</f>
        <v>0.55230000000000001</v>
      </c>
      <c r="N252" s="27">
        <f>+[2]称号計算!T257</f>
        <v>1.37E-2</v>
      </c>
      <c r="O252" s="5">
        <f>+[2]称号計算!U257</f>
        <v>1.37E-2</v>
      </c>
      <c r="P252" s="5">
        <f>+[2]称号計算!V257</f>
        <v>1.37E-2</v>
      </c>
      <c r="Q252" s="5">
        <f>+[2]称号計算!W257</f>
        <v>1.37E-2</v>
      </c>
      <c r="R252" s="5">
        <f>+[2]称号計算!X257</f>
        <v>0.2732</v>
      </c>
      <c r="S252" s="13">
        <f>+[2]称号計算!Y257</f>
        <v>3.6400000000000002E-2</v>
      </c>
      <c r="T252" s="19">
        <f>+[2]称号計算!Z257</f>
        <v>4.0194000000000001</v>
      </c>
      <c r="U252" s="13">
        <v>0.5</v>
      </c>
    </row>
    <row r="253" spans="1:21" ht="19.5" thickBot="1">
      <c r="A253" s="14" t="s">
        <v>1164</v>
      </c>
      <c r="B253" s="24" t="s">
        <v>1524</v>
      </c>
      <c r="C253" s="28">
        <f>+[2]称号計算!I258</f>
        <v>0.96830000000000005</v>
      </c>
      <c r="D253" s="15">
        <f>+[2]称号計算!J258</f>
        <v>1.5986</v>
      </c>
      <c r="E253" s="15">
        <f>+[2]称号計算!K258</f>
        <v>0.13489999999999999</v>
      </c>
      <c r="F253" s="15">
        <f>+[2]称号計算!L258</f>
        <v>2.0760000000000001</v>
      </c>
      <c r="G253" s="15">
        <f>+[2]称号計算!M258</f>
        <v>0.54349999999999998</v>
      </c>
      <c r="H253" s="16">
        <f>+[2]称号計算!N258</f>
        <v>1.4470000000000001</v>
      </c>
      <c r="I253" s="28">
        <f>+[2]称号計算!O258</f>
        <v>0.41110000000000002</v>
      </c>
      <c r="J253" s="16">
        <f>+[2]称号計算!P258</f>
        <v>0.52180000000000004</v>
      </c>
      <c r="K253" s="28">
        <f>+[2]称号計算!Q258</f>
        <v>0.34710000000000002</v>
      </c>
      <c r="L253" s="15">
        <f>+[2]称号計算!R258</f>
        <v>0.6976</v>
      </c>
      <c r="M253" s="16">
        <f>+[2]称号計算!S258</f>
        <v>0.61619999999999997</v>
      </c>
      <c r="N253" s="28">
        <f>+[2]称号計算!T258</f>
        <v>2.5499999999999998E-2</v>
      </c>
      <c r="O253" s="15">
        <f>+[2]称号計算!U258</f>
        <v>2.5499999999999998E-2</v>
      </c>
      <c r="P253" s="15">
        <f>+[2]称号計算!V258</f>
        <v>2.5499999999999998E-2</v>
      </c>
      <c r="Q253" s="15">
        <f>+[2]称号計算!W258</f>
        <v>2.5499999999999998E-2</v>
      </c>
      <c r="R253" s="15">
        <f>+[2]称号計算!X258</f>
        <v>6.7900000000000002E-2</v>
      </c>
      <c r="S253" s="16">
        <f>+[2]称号計算!Y258</f>
        <v>0.50929999999999997</v>
      </c>
      <c r="T253" s="20">
        <f>+[2]称号計算!Z258</f>
        <v>2.8605999999999998</v>
      </c>
      <c r="U253" s="16">
        <v>0.25</v>
      </c>
    </row>
    <row r="254" spans="1:21">
      <c r="A254" s="9" t="s">
        <v>1165</v>
      </c>
      <c r="B254" s="22" t="s">
        <v>1525</v>
      </c>
      <c r="C254" s="26">
        <f>+[2]称号計算!I259</f>
        <v>0.78490000000000004</v>
      </c>
      <c r="D254" s="10">
        <f>+[2]称号計算!J259</f>
        <v>0.89929999999999999</v>
      </c>
      <c r="E254" s="10">
        <f>+[2]称号計算!K259</f>
        <v>0.1152</v>
      </c>
      <c r="F254" s="10">
        <f>+[2]称号計算!L259</f>
        <v>1.8581000000000001</v>
      </c>
      <c r="G254" s="10">
        <f>+[2]称号計算!M259</f>
        <v>0.51800000000000002</v>
      </c>
      <c r="H254" s="11">
        <f>+[2]称号計算!N259</f>
        <v>0.57489999999999997</v>
      </c>
      <c r="I254" s="26">
        <f>+[2]称号計算!O259</f>
        <v>0.49049999999999999</v>
      </c>
      <c r="J254" s="11">
        <f>+[2]称号計算!P259</f>
        <v>0.51529999999999998</v>
      </c>
      <c r="K254" s="26">
        <f>+[2]称号計算!Q259</f>
        <v>0.3679</v>
      </c>
      <c r="L254" s="10">
        <f>+[2]称号計算!R259</f>
        <v>0.6764</v>
      </c>
      <c r="M254" s="11">
        <f>+[2]称号計算!S259</f>
        <v>0.98850000000000005</v>
      </c>
      <c r="N254" s="26">
        <f>+[2]称号計算!T259</f>
        <v>1.43E-2</v>
      </c>
      <c r="O254" s="10">
        <f>+[2]称号計算!U259</f>
        <v>1.43E-2</v>
      </c>
      <c r="P254" s="10">
        <f>+[2]称号計算!V259</f>
        <v>1.43E-2</v>
      </c>
      <c r="Q254" s="10">
        <f>+[2]称号計算!W259</f>
        <v>1.43E-2</v>
      </c>
      <c r="R254" s="10">
        <f>+[2]称号計算!X259</f>
        <v>3.8199999999999998E-2</v>
      </c>
      <c r="S254" s="11">
        <f>+[2]称号計算!Y259</f>
        <v>0.28660000000000002</v>
      </c>
      <c r="T254" s="18">
        <f>+[2]称号計算!Z259</f>
        <v>2.5314999999999999</v>
      </c>
      <c r="U254" s="11">
        <v>1</v>
      </c>
    </row>
    <row r="255" spans="1:21">
      <c r="A255" s="12" t="s">
        <v>1166</v>
      </c>
      <c r="B255" s="23" t="s">
        <v>1526</v>
      </c>
      <c r="C255" s="27">
        <f>+[2]称号計算!I260</f>
        <v>0.7702</v>
      </c>
      <c r="D255" s="5">
        <f>+[2]称号計算!J260</f>
        <v>1.9816</v>
      </c>
      <c r="E255" s="5">
        <f>+[2]称号計算!K260</f>
        <v>0.11899999999999999</v>
      </c>
      <c r="F255" s="5">
        <f>+[2]称号計算!L260</f>
        <v>1.6994</v>
      </c>
      <c r="G255" s="5">
        <f>+[2]称号計算!M260</f>
        <v>0.55469999999999997</v>
      </c>
      <c r="H255" s="13">
        <f>+[2]称号計算!N260</f>
        <v>0.68179999999999996</v>
      </c>
      <c r="I255" s="27">
        <f>+[2]称号計算!O260</f>
        <v>0.48599999999999999</v>
      </c>
      <c r="J255" s="13">
        <f>+[2]称号計算!P260</f>
        <v>0.42709999999999998</v>
      </c>
      <c r="K255" s="27">
        <f>+[2]称号計算!Q260</f>
        <v>0.31409999999999999</v>
      </c>
      <c r="L255" s="5">
        <f>+[2]称号計算!R260</f>
        <v>0.61180000000000001</v>
      </c>
      <c r="M255" s="13">
        <f>+[2]称号計算!S260</f>
        <v>0.53290000000000004</v>
      </c>
      <c r="N255" s="27">
        <f>+[2]称号計算!T260</f>
        <v>1.77E-2</v>
      </c>
      <c r="O255" s="5">
        <f>+[2]称号計算!U260</f>
        <v>1.77E-2</v>
      </c>
      <c r="P255" s="5">
        <f>+[2]称号計算!V260</f>
        <v>1.77E-2</v>
      </c>
      <c r="Q255" s="5">
        <f>+[2]称号計算!W260</f>
        <v>1.77E-2</v>
      </c>
      <c r="R255" s="5">
        <f>+[2]称号計算!X260</f>
        <v>4.7100000000000003E-2</v>
      </c>
      <c r="S255" s="13">
        <f>+[2]称号計算!Y260</f>
        <v>0.3533</v>
      </c>
      <c r="T255" s="19">
        <f>+[2]称号計算!Z260</f>
        <v>2.5899000000000001</v>
      </c>
      <c r="U255" s="13">
        <v>1</v>
      </c>
    </row>
    <row r="256" spans="1:21">
      <c r="A256" s="12" t="s">
        <v>1167</v>
      </c>
      <c r="B256" s="23" t="s">
        <v>1527</v>
      </c>
      <c r="C256" s="27">
        <f>+[2]称号計算!I261</f>
        <v>0.88859999999999995</v>
      </c>
      <c r="D256" s="5">
        <f>+[2]称号計算!J261</f>
        <v>0.97750000000000004</v>
      </c>
      <c r="E256" s="5">
        <f>+[2]称号計算!K261</f>
        <v>0.20200000000000001</v>
      </c>
      <c r="F256" s="5">
        <f>+[2]称号計算!L261</f>
        <v>2.0196000000000001</v>
      </c>
      <c r="G256" s="5">
        <f>+[2]称号計算!M261</f>
        <v>0.65229999999999999</v>
      </c>
      <c r="H256" s="13">
        <f>+[2]称号計算!N261</f>
        <v>0.75529999999999997</v>
      </c>
      <c r="I256" s="27">
        <f>+[2]称号計算!O261</f>
        <v>0.622</v>
      </c>
      <c r="J256" s="13">
        <f>+[2]称号計算!P261</f>
        <v>0.54259999999999997</v>
      </c>
      <c r="K256" s="27">
        <f>+[2]称号計算!Q261</f>
        <v>0.4088</v>
      </c>
      <c r="L256" s="5">
        <f>+[2]称号計算!R261</f>
        <v>0.88859999999999995</v>
      </c>
      <c r="M256" s="13">
        <f>+[2]称号計算!S261</f>
        <v>0.61070000000000002</v>
      </c>
      <c r="N256" s="27">
        <f>+[2]称号計算!T261</f>
        <v>1.5100000000000001E-2</v>
      </c>
      <c r="O256" s="5">
        <f>+[2]称号計算!U261</f>
        <v>1.5100000000000001E-2</v>
      </c>
      <c r="P256" s="5">
        <f>+[2]称号計算!V261</f>
        <v>1.5100000000000001E-2</v>
      </c>
      <c r="Q256" s="5">
        <f>+[2]称号計算!W261</f>
        <v>1.5100000000000001E-2</v>
      </c>
      <c r="R256" s="5">
        <f>+[2]称号計算!X261</f>
        <v>0.30159999999999998</v>
      </c>
      <c r="S256" s="13">
        <f>+[2]称号計算!Y261</f>
        <v>4.02E-2</v>
      </c>
      <c r="T256" s="19">
        <f>+[2]称号計算!Z261</f>
        <v>2.8083999999999998</v>
      </c>
      <c r="U256" s="13">
        <v>0.9</v>
      </c>
    </row>
    <row r="257" spans="1:21">
      <c r="A257" s="12" t="s">
        <v>1168</v>
      </c>
      <c r="B257" s="23" t="s">
        <v>1528</v>
      </c>
      <c r="C257" s="27">
        <f>+[2]称号計算!I262</f>
        <v>0.81930000000000003</v>
      </c>
      <c r="D257" s="5">
        <f>+[2]称号計算!J262</f>
        <v>0.39450000000000002</v>
      </c>
      <c r="E257" s="5">
        <f>+[2]称号計算!K262</f>
        <v>2.2989000000000002</v>
      </c>
      <c r="F257" s="5">
        <f>+[2]称号計算!L262</f>
        <v>0.16089999999999999</v>
      </c>
      <c r="G257" s="5">
        <f>+[2]称号計算!M262</f>
        <v>0.58620000000000005</v>
      </c>
      <c r="H257" s="13">
        <f>+[2]称号計算!N262</f>
        <v>0.61750000000000005</v>
      </c>
      <c r="I257" s="27">
        <f>+[2]称号計算!O262</f>
        <v>0.70799999999999996</v>
      </c>
      <c r="J257" s="13">
        <f>+[2]称号計算!P262</f>
        <v>0.57779999999999998</v>
      </c>
      <c r="K257" s="27">
        <f>+[2]称号計算!Q262</f>
        <v>0.67769999999999997</v>
      </c>
      <c r="L257" s="5">
        <f>+[2]称号計算!R262</f>
        <v>1.6275999999999999</v>
      </c>
      <c r="M257" s="13">
        <f>+[2]称号計算!S262</f>
        <v>0.48920000000000002</v>
      </c>
      <c r="N257" s="27">
        <f>+[2]称号計算!T262</f>
        <v>1.3299999999999999E-2</v>
      </c>
      <c r="O257" s="5">
        <f>+[2]称号計算!U262</f>
        <v>1.3299999999999999E-2</v>
      </c>
      <c r="P257" s="5">
        <f>+[2]称号計算!V262</f>
        <v>1.3299999999999999E-2</v>
      </c>
      <c r="Q257" s="5">
        <f>+[2]称号計算!W262</f>
        <v>1.3299999999999999E-2</v>
      </c>
      <c r="R257" s="5">
        <f>+[2]称号計算!X262</f>
        <v>0.2651</v>
      </c>
      <c r="S257" s="13">
        <f>+[2]称号計算!Y262</f>
        <v>3.5400000000000001E-2</v>
      </c>
      <c r="T257" s="19">
        <f>+[2]称号計算!Z262</f>
        <v>3.4586000000000001</v>
      </c>
      <c r="U257" s="13">
        <v>0.55000000000000004</v>
      </c>
    </row>
    <row r="258" spans="1:21">
      <c r="A258" s="12" t="s">
        <v>1169</v>
      </c>
      <c r="B258" s="23" t="s">
        <v>1529</v>
      </c>
      <c r="C258" s="27">
        <f>+[2]称号計算!I263</f>
        <v>0.69379999999999997</v>
      </c>
      <c r="D258" s="5">
        <f>+[2]称号計算!J263</f>
        <v>0.29899999999999999</v>
      </c>
      <c r="E258" s="5">
        <f>+[2]称号計算!K263</f>
        <v>2.7185999999999999</v>
      </c>
      <c r="F258" s="5">
        <f>+[2]称号計算!L263</f>
        <v>0.13589999999999999</v>
      </c>
      <c r="G258" s="5">
        <f>+[2]称号計算!M263</f>
        <v>0.50839999999999996</v>
      </c>
      <c r="H258" s="13">
        <f>+[2]称号計算!N263</f>
        <v>0.51759999999999995</v>
      </c>
      <c r="I258" s="27">
        <f>+[2]称号計算!O263</f>
        <v>0.95689999999999997</v>
      </c>
      <c r="J258" s="13">
        <f>+[2]称号計算!P263</f>
        <v>0.91890000000000005</v>
      </c>
      <c r="K258" s="27">
        <f>+[2]称号計算!Q263</f>
        <v>0.68179999999999996</v>
      </c>
      <c r="L258" s="5">
        <f>+[2]称号計算!R263</f>
        <v>1.1853</v>
      </c>
      <c r="M258" s="13">
        <f>+[2]称号計算!S263</f>
        <v>0.73080000000000001</v>
      </c>
      <c r="N258" s="27">
        <f>+[2]称号計算!T263</f>
        <v>1.01E-2</v>
      </c>
      <c r="O258" s="5">
        <f>+[2]称号計算!U263</f>
        <v>1.01E-2</v>
      </c>
      <c r="P258" s="5">
        <f>+[2]称号計算!V263</f>
        <v>1.01E-2</v>
      </c>
      <c r="Q258" s="5">
        <f>+[2]称号計算!W263</f>
        <v>1.01E-2</v>
      </c>
      <c r="R258" s="5">
        <f>+[2]称号計算!X263</f>
        <v>2.69E-2</v>
      </c>
      <c r="S258" s="13">
        <f>+[2]称号計算!Y263</f>
        <v>0.2019</v>
      </c>
      <c r="T258" s="19">
        <f>+[2]称号計算!Z263</f>
        <v>3.3492999999999999</v>
      </c>
      <c r="U258" s="13">
        <v>0.5</v>
      </c>
    </row>
    <row r="259" spans="1:21" ht="19.5" thickBot="1">
      <c r="A259" s="14" t="s">
        <v>1170</v>
      </c>
      <c r="B259" s="24" t="s">
        <v>1530</v>
      </c>
      <c r="C259" s="28">
        <f>+[2]称号計算!I264</f>
        <v>1.1596</v>
      </c>
      <c r="D259" s="15">
        <f>+[2]称号計算!J264</f>
        <v>1.8222</v>
      </c>
      <c r="E259" s="15">
        <f>+[2]称号計算!K264</f>
        <v>0.15809999999999999</v>
      </c>
      <c r="F259" s="15">
        <f>+[2]称号計算!L264</f>
        <v>1.8825000000000001</v>
      </c>
      <c r="G259" s="15">
        <f>+[2]称号計算!M264</f>
        <v>0.60799999999999998</v>
      </c>
      <c r="H259" s="16">
        <f>+[2]称号計算!N264</f>
        <v>1.0752999999999999</v>
      </c>
      <c r="I259" s="28">
        <f>+[2]称号計算!O264</f>
        <v>0.95250000000000001</v>
      </c>
      <c r="J259" s="16">
        <f>+[2]称号計算!P264</f>
        <v>0.63629999999999998</v>
      </c>
      <c r="K259" s="28">
        <f>+[2]称号計算!Q264</f>
        <v>0.1988</v>
      </c>
      <c r="L259" s="15">
        <f>+[2]称号計算!R264</f>
        <v>0.54210000000000003</v>
      </c>
      <c r="M259" s="16">
        <f>+[2]称号計算!S264</f>
        <v>0.70099999999999996</v>
      </c>
      <c r="N259" s="28">
        <f>+[2]称号計算!T264</f>
        <v>2.5700000000000001E-2</v>
      </c>
      <c r="O259" s="15">
        <f>+[2]称号計算!U264</f>
        <v>2.5700000000000001E-2</v>
      </c>
      <c r="P259" s="15">
        <f>+[2]称号計算!V264</f>
        <v>2.5700000000000001E-2</v>
      </c>
      <c r="Q259" s="15">
        <f>+[2]称号計算!W264</f>
        <v>2.5700000000000001E-2</v>
      </c>
      <c r="R259" s="15">
        <f>+[2]称号計算!X264</f>
        <v>0.5141</v>
      </c>
      <c r="S259" s="16">
        <f>+[2]称号計算!Y264</f>
        <v>6.8500000000000005E-2</v>
      </c>
      <c r="T259" s="20">
        <f>+[2]称号計算!Z264</f>
        <v>2.5964</v>
      </c>
      <c r="U259" s="16">
        <v>0.25</v>
      </c>
    </row>
    <row r="260" spans="1:21">
      <c r="A260" s="9" t="s">
        <v>1171</v>
      </c>
      <c r="B260" s="22" t="s">
        <v>1531</v>
      </c>
      <c r="C260" s="26">
        <f>+[2]称号計算!I265</f>
        <v>0.8911</v>
      </c>
      <c r="D260" s="10">
        <f>+[2]称号計算!J265</f>
        <v>1.0692999999999999</v>
      </c>
      <c r="E260" s="10">
        <f>+[2]称号計算!K265</f>
        <v>0.14180000000000001</v>
      </c>
      <c r="F260" s="10">
        <f>+[2]称号計算!L265</f>
        <v>2.0253000000000001</v>
      </c>
      <c r="G260" s="10">
        <f>+[2]称号計算!M265</f>
        <v>0.66100000000000003</v>
      </c>
      <c r="H260" s="11">
        <f>+[2]称号計算!N265</f>
        <v>0.70240000000000002</v>
      </c>
      <c r="I260" s="26">
        <f>+[2]称号計算!O265</f>
        <v>0.40100000000000002</v>
      </c>
      <c r="J260" s="11">
        <f>+[2]称号計算!P265</f>
        <v>0.49149999999999999</v>
      </c>
      <c r="K260" s="26">
        <f>+[2]称号計算!Q265</f>
        <v>0.3654</v>
      </c>
      <c r="L260" s="10">
        <f>+[2]称号計算!R265</f>
        <v>0.74529999999999996</v>
      </c>
      <c r="M260" s="11">
        <f>+[2]称号計算!S265</f>
        <v>0.60680000000000001</v>
      </c>
      <c r="N260" s="26">
        <f>+[2]称号計算!T265</f>
        <v>2.4299999999999999E-2</v>
      </c>
      <c r="O260" s="10">
        <f>+[2]称号計算!U265</f>
        <v>2.4299999999999999E-2</v>
      </c>
      <c r="P260" s="10">
        <f>+[2]称号計算!V265</f>
        <v>2.4299999999999999E-2</v>
      </c>
      <c r="Q260" s="10">
        <f>+[2]称号計算!W265</f>
        <v>2.4299999999999999E-2</v>
      </c>
      <c r="R260" s="10">
        <f>+[2]称号計算!X265</f>
        <v>6.4799999999999996E-2</v>
      </c>
      <c r="S260" s="11">
        <f>+[2]称号計算!Y265</f>
        <v>0.48599999999999999</v>
      </c>
      <c r="T260" s="18">
        <f>+[2]称号計算!Z265</f>
        <v>2.5427</v>
      </c>
      <c r="U260" s="11">
        <v>1</v>
      </c>
    </row>
    <row r="261" spans="1:21">
      <c r="A261" s="12" t="s">
        <v>1172</v>
      </c>
      <c r="B261" s="23" t="s">
        <v>1532</v>
      </c>
      <c r="C261" s="27">
        <f>+[2]称号計算!I266</f>
        <v>0.8649</v>
      </c>
      <c r="D261" s="5">
        <f>+[2]称号計算!J266</f>
        <v>0.94010000000000005</v>
      </c>
      <c r="E261" s="5">
        <f>+[2]称号計算!K266</f>
        <v>0.2137</v>
      </c>
      <c r="F261" s="5">
        <f>+[2]称号計算!L266</f>
        <v>2.1366999999999998</v>
      </c>
      <c r="G261" s="5">
        <f>+[2]称号計算!M266</f>
        <v>0.69020000000000004</v>
      </c>
      <c r="H261" s="13">
        <f>+[2]称号計算!N266</f>
        <v>0.76280000000000003</v>
      </c>
      <c r="I261" s="27">
        <f>+[2]称号計算!O266</f>
        <v>0.47010000000000002</v>
      </c>
      <c r="J261" s="13">
        <f>+[2]称号計算!P266</f>
        <v>0.55549999999999999</v>
      </c>
      <c r="K261" s="27">
        <f>+[2]称号計算!Q266</f>
        <v>0.37609999999999999</v>
      </c>
      <c r="L261" s="5">
        <f>+[2]称号計算!R266</f>
        <v>0.89739999999999998</v>
      </c>
      <c r="M261" s="13">
        <f>+[2]称号計算!S266</f>
        <v>0.59830000000000005</v>
      </c>
      <c r="N261" s="27">
        <f>+[2]称号計算!T266</f>
        <v>1.7000000000000001E-2</v>
      </c>
      <c r="O261" s="5">
        <f>+[2]称号計算!U266</f>
        <v>1.7000000000000001E-2</v>
      </c>
      <c r="P261" s="5">
        <f>+[2]称号計算!V266</f>
        <v>1.7000000000000001E-2</v>
      </c>
      <c r="Q261" s="5">
        <f>+[2]称号計算!W266</f>
        <v>1.7000000000000001E-2</v>
      </c>
      <c r="R261" s="5">
        <f>+[2]称号計算!X266</f>
        <v>0.3402</v>
      </c>
      <c r="S261" s="13">
        <f>+[2]称号計算!Y266</f>
        <v>4.5400000000000003E-2</v>
      </c>
      <c r="T261" s="19">
        <f>+[2]称号計算!Z266</f>
        <v>2.6461999999999999</v>
      </c>
      <c r="U261" s="13">
        <v>1</v>
      </c>
    </row>
    <row r="262" spans="1:21">
      <c r="A262" s="12" t="s">
        <v>1173</v>
      </c>
      <c r="B262" s="23" t="s">
        <v>1533</v>
      </c>
      <c r="C262" s="27">
        <f>+[2]称号計算!I267</f>
        <v>0.73009999999999997</v>
      </c>
      <c r="D262" s="5">
        <f>+[2]称号計算!J267</f>
        <v>0.93730000000000002</v>
      </c>
      <c r="E262" s="5">
        <f>+[2]称号計算!K267</f>
        <v>0.1457</v>
      </c>
      <c r="F262" s="5">
        <f>+[2]称号計算!L267</f>
        <v>2.2422</v>
      </c>
      <c r="G262" s="5">
        <f>+[2]称号計算!M267</f>
        <v>0.54890000000000005</v>
      </c>
      <c r="H262" s="13">
        <f>+[2]称号計算!N267</f>
        <v>0.64039999999999997</v>
      </c>
      <c r="I262" s="27">
        <f>+[2]称号計算!O267</f>
        <v>0.49330000000000002</v>
      </c>
      <c r="J262" s="13">
        <f>+[2]称号計算!P267</f>
        <v>0.54410000000000003</v>
      </c>
      <c r="K262" s="27">
        <f>+[2]称号計算!Q267</f>
        <v>0.66100000000000003</v>
      </c>
      <c r="L262" s="5">
        <f>+[2]称号計算!R267</f>
        <v>1.3902000000000001</v>
      </c>
      <c r="M262" s="13">
        <f>+[2]称号計算!S267</f>
        <v>0.5776</v>
      </c>
      <c r="N262" s="27">
        <f>+[2]称号計算!T267</f>
        <v>1.7100000000000001E-2</v>
      </c>
      <c r="O262" s="5">
        <f>+[2]称号計算!U267</f>
        <v>1.7100000000000001E-2</v>
      </c>
      <c r="P262" s="5">
        <f>+[2]称号計算!V267</f>
        <v>6.4199999999999993E-2</v>
      </c>
      <c r="Q262" s="5">
        <f>+[2]称号計算!W267</f>
        <v>0.25659999999999999</v>
      </c>
      <c r="R262" s="5">
        <f>+[2]称号計算!X267</f>
        <v>1.2800000000000001E-2</v>
      </c>
      <c r="S262" s="13">
        <f>+[2]称号計算!Y267</f>
        <v>1.2800000000000001E-2</v>
      </c>
      <c r="T262" s="19">
        <f>+[2]称号計算!Z267</f>
        <v>3.4405999999999999</v>
      </c>
      <c r="U262" s="13">
        <v>0.9</v>
      </c>
    </row>
    <row r="263" spans="1:21">
      <c r="A263" s="12" t="s">
        <v>1174</v>
      </c>
      <c r="B263" s="23" t="s">
        <v>1534</v>
      </c>
      <c r="C263" s="27">
        <f>+[2]称号計算!I268</f>
        <v>0.62370000000000003</v>
      </c>
      <c r="D263" s="5">
        <f>+[2]称号計算!J268</f>
        <v>0.28349999999999997</v>
      </c>
      <c r="E263" s="5">
        <f>+[2]称号計算!K268</f>
        <v>2.1476000000000002</v>
      </c>
      <c r="F263" s="5">
        <f>+[2]称号計算!L268</f>
        <v>0.1181</v>
      </c>
      <c r="G263" s="5">
        <f>+[2]称号計算!M268</f>
        <v>0.5111</v>
      </c>
      <c r="H263" s="13">
        <f>+[2]称号計算!N268</f>
        <v>0.51839999999999997</v>
      </c>
      <c r="I263" s="27">
        <f>+[2]称号計算!O268</f>
        <v>1.9843999999999999</v>
      </c>
      <c r="J263" s="13">
        <f>+[2]称号計算!P268</f>
        <v>0.66259999999999997</v>
      </c>
      <c r="K263" s="27">
        <f>+[2]称号計算!Q268</f>
        <v>0.76539999999999997</v>
      </c>
      <c r="L263" s="5">
        <f>+[2]称号計算!R268</f>
        <v>1.3401000000000001</v>
      </c>
      <c r="M263" s="13">
        <f>+[2]称号計算!S268</f>
        <v>0.36080000000000001</v>
      </c>
      <c r="N263" s="27">
        <f>+[2]称号計算!T268</f>
        <v>1.6899999999999998E-2</v>
      </c>
      <c r="O263" s="5">
        <f>+[2]称号計算!U268</f>
        <v>1.6899999999999998E-2</v>
      </c>
      <c r="P263" s="5">
        <f>+[2]称号計算!V268</f>
        <v>6.3299999999999995E-2</v>
      </c>
      <c r="Q263" s="5">
        <f>+[2]称号計算!W268</f>
        <v>0.25340000000000001</v>
      </c>
      <c r="R263" s="5">
        <f>+[2]称号計算!X268</f>
        <v>1.2699999999999999E-2</v>
      </c>
      <c r="S263" s="13">
        <f>+[2]称号計算!Y268</f>
        <v>1.2699999999999999E-2</v>
      </c>
      <c r="T263" s="19">
        <f>+[2]称号計算!Z268</f>
        <v>3.9592000000000001</v>
      </c>
      <c r="U263" s="13">
        <v>0.55000000000000004</v>
      </c>
    </row>
    <row r="264" spans="1:21">
      <c r="A264" s="12" t="s">
        <v>1175</v>
      </c>
      <c r="B264" s="23" t="s">
        <v>1535</v>
      </c>
      <c r="C264" s="27">
        <f>+[2]称号計算!I269</f>
        <v>0.88149999999999995</v>
      </c>
      <c r="D264" s="5">
        <f>+[2]称号計算!J269</f>
        <v>0.57850000000000001</v>
      </c>
      <c r="E264" s="5">
        <f>+[2]称号計算!K269</f>
        <v>2.5042</v>
      </c>
      <c r="F264" s="5">
        <f>+[2]称号計算!L269</f>
        <v>0.17530000000000001</v>
      </c>
      <c r="G264" s="5">
        <f>+[2]称号計算!M269</f>
        <v>0.65559999999999996</v>
      </c>
      <c r="H264" s="13">
        <f>+[2]称号計算!N269</f>
        <v>0.70669999999999999</v>
      </c>
      <c r="I264" s="27">
        <f>+[2]称号計算!O269</f>
        <v>0.71619999999999995</v>
      </c>
      <c r="J264" s="13">
        <f>+[2]称号計算!P269</f>
        <v>0.63370000000000004</v>
      </c>
      <c r="K264" s="27">
        <f>+[2]称号計算!Q269</f>
        <v>0.85499999999999998</v>
      </c>
      <c r="L264" s="5">
        <f>+[2]称号計算!R269</f>
        <v>1.2921</v>
      </c>
      <c r="M264" s="13">
        <f>+[2]称号計算!S269</f>
        <v>0.72219999999999995</v>
      </c>
      <c r="N264" s="27">
        <f>+[2]称号計算!T269</f>
        <v>1.6299999999999999E-2</v>
      </c>
      <c r="O264" s="5">
        <f>+[2]称号計算!U269</f>
        <v>1.6299999999999999E-2</v>
      </c>
      <c r="P264" s="5">
        <f>+[2]称号計算!V269</f>
        <v>1.6299999999999999E-2</v>
      </c>
      <c r="Q264" s="5">
        <f>+[2]称号計算!W269</f>
        <v>1.6299999999999999E-2</v>
      </c>
      <c r="R264" s="5">
        <f>+[2]称号計算!X269</f>
        <v>0.3266</v>
      </c>
      <c r="S264" s="13">
        <f>+[2]称号計算!Y269</f>
        <v>4.3499999999999997E-2</v>
      </c>
      <c r="T264" s="19">
        <f>+[2]称号計算!Z269</f>
        <v>4.0396000000000001</v>
      </c>
      <c r="U264" s="13">
        <v>0.5</v>
      </c>
    </row>
    <row r="265" spans="1:21" ht="19.5" thickBot="1">
      <c r="A265" s="14" t="s">
        <v>1176</v>
      </c>
      <c r="B265" s="24" t="s">
        <v>1536</v>
      </c>
      <c r="C265" s="28">
        <f>+[2]称号計算!I270</f>
        <v>1.2277</v>
      </c>
      <c r="D265" s="15">
        <f>+[2]称号計算!J270</f>
        <v>1.0230999999999999</v>
      </c>
      <c r="E265" s="15">
        <f>+[2]称号計算!K270</f>
        <v>0.23250000000000001</v>
      </c>
      <c r="F265" s="15">
        <f>+[2]称号計算!L270</f>
        <v>2.3252999999999999</v>
      </c>
      <c r="G265" s="15">
        <f>+[2]称号計算!M270</f>
        <v>1.0278</v>
      </c>
      <c r="H265" s="16">
        <f>+[2]称号計算!N270</f>
        <v>0.67200000000000004</v>
      </c>
      <c r="I265" s="28">
        <f>+[2]称号計算!O270</f>
        <v>0.81850000000000001</v>
      </c>
      <c r="J265" s="16">
        <f>+[2]称号計算!P270</f>
        <v>0.64490000000000003</v>
      </c>
      <c r="K265" s="28">
        <f>+[2]称号計算!Q270</f>
        <v>0.57289999999999996</v>
      </c>
      <c r="L265" s="15">
        <f>+[2]称号計算!R270</f>
        <v>0.93010000000000004</v>
      </c>
      <c r="M265" s="16">
        <f>+[2]称号計算!S270</f>
        <v>0.65110000000000001</v>
      </c>
      <c r="N265" s="28">
        <f>+[2]称号計算!T270</f>
        <v>2.1499999999999998E-2</v>
      </c>
      <c r="O265" s="15">
        <f>+[2]称号計算!U270</f>
        <v>2.1499999999999998E-2</v>
      </c>
      <c r="P265" s="15">
        <f>+[2]称号計算!V270</f>
        <v>2.1499999999999998E-2</v>
      </c>
      <c r="Q265" s="15">
        <f>+[2]称号計算!W270</f>
        <v>2.1499999999999998E-2</v>
      </c>
      <c r="R265" s="15">
        <f>+[2]称号計算!X270</f>
        <v>0.42930000000000001</v>
      </c>
      <c r="S265" s="16">
        <f>+[2]称号計算!Y270</f>
        <v>5.7200000000000001E-2</v>
      </c>
      <c r="T265" s="20">
        <f>+[2]称号計算!Z270</f>
        <v>3.6002999999999998</v>
      </c>
      <c r="U265" s="16">
        <v>0.25</v>
      </c>
    </row>
    <row r="266" spans="1:21">
      <c r="A266" s="9" t="s">
        <v>1177</v>
      </c>
      <c r="B266" s="22" t="s">
        <v>1537</v>
      </c>
      <c r="C266" s="26">
        <f>+[2]称号計算!I271</f>
        <v>0.79530000000000001</v>
      </c>
      <c r="D266" s="10">
        <f>+[2]称号計算!J271</f>
        <v>0.87290000000000001</v>
      </c>
      <c r="E266" s="10">
        <f>+[2]称号計算!K271</f>
        <v>0.22040000000000001</v>
      </c>
      <c r="F266" s="10">
        <f>+[2]称号計算!L271</f>
        <v>2.2044000000000001</v>
      </c>
      <c r="G266" s="10">
        <f>+[2]称号計算!M271</f>
        <v>0.6371</v>
      </c>
      <c r="H266" s="11">
        <f>+[2]称号計算!N271</f>
        <v>0.74950000000000006</v>
      </c>
      <c r="I266" s="26">
        <f>+[2]称号計算!O271</f>
        <v>0.48499999999999999</v>
      </c>
      <c r="J266" s="11">
        <f>+[2]称号計算!P271</f>
        <v>0.57310000000000005</v>
      </c>
      <c r="K266" s="26">
        <f>+[2]称号計算!Q271</f>
        <v>0.38800000000000001</v>
      </c>
      <c r="L266" s="10">
        <f>+[2]称号計算!R271</f>
        <v>0.88180000000000003</v>
      </c>
      <c r="M266" s="11">
        <f>+[2]称号計算!S271</f>
        <v>0.61719999999999997</v>
      </c>
      <c r="N266" s="26">
        <f>+[2]称号計算!T271</f>
        <v>1.55E-2</v>
      </c>
      <c r="O266" s="10">
        <f>+[2]称号計算!U271</f>
        <v>1.55E-2</v>
      </c>
      <c r="P266" s="10">
        <f>+[2]称号計算!V271</f>
        <v>1.55E-2</v>
      </c>
      <c r="Q266" s="10">
        <f>+[2]称号計算!W271</f>
        <v>1.55E-2</v>
      </c>
      <c r="R266" s="10">
        <f>+[2]称号計算!X271</f>
        <v>4.1300000000000003E-2</v>
      </c>
      <c r="S266" s="11">
        <f>+[2]称号計算!Y271</f>
        <v>0.31</v>
      </c>
      <c r="T266" s="18">
        <f>+[2]称号計算!Z271</f>
        <v>2.621</v>
      </c>
      <c r="U266" s="11">
        <v>1</v>
      </c>
    </row>
    <row r="267" spans="1:21">
      <c r="A267" s="12" t="s">
        <v>1178</v>
      </c>
      <c r="B267" s="23" t="s">
        <v>1538</v>
      </c>
      <c r="C267" s="27">
        <f>+[2]称号計算!I272</f>
        <v>1.0045999999999999</v>
      </c>
      <c r="D267" s="5">
        <f>+[2]称号計算!J272</f>
        <v>0.95889999999999997</v>
      </c>
      <c r="E267" s="5">
        <f>+[2]称号計算!K272</f>
        <v>0.20760000000000001</v>
      </c>
      <c r="F267" s="5">
        <f>+[2]称号計算!L272</f>
        <v>2.0756000000000001</v>
      </c>
      <c r="G267" s="5">
        <f>+[2]称号計算!M272</f>
        <v>0.77629999999999999</v>
      </c>
      <c r="H267" s="13">
        <f>+[2]称号計算!N272</f>
        <v>0.77629999999999999</v>
      </c>
      <c r="I267" s="27">
        <f>+[2]称号計算!O272</f>
        <v>0.63929999999999998</v>
      </c>
      <c r="J267" s="13">
        <f>+[2]称号計算!P272</f>
        <v>0.55759999999999998</v>
      </c>
      <c r="K267" s="27">
        <f>+[2]称号計算!Q272</f>
        <v>0.43840000000000001</v>
      </c>
      <c r="L267" s="5">
        <f>+[2]称号計算!R272</f>
        <v>0.83020000000000005</v>
      </c>
      <c r="M267" s="13">
        <f>+[2]称号計算!S272</f>
        <v>0.58120000000000005</v>
      </c>
      <c r="N267" s="27">
        <f>+[2]称号計算!T272</f>
        <v>0.3821</v>
      </c>
      <c r="O267" s="5">
        <f>+[2]称号計算!U272</f>
        <v>7.6399999999999996E-2</v>
      </c>
      <c r="P267" s="5">
        <f>+[2]称号計算!V272</f>
        <v>2.5499999999999998E-2</v>
      </c>
      <c r="Q267" s="5">
        <f>+[2]称号計算!W272</f>
        <v>2.5499999999999998E-2</v>
      </c>
      <c r="R267" s="5">
        <f>+[2]称号計算!X272</f>
        <v>1.9099999999999999E-2</v>
      </c>
      <c r="S267" s="13">
        <f>+[2]称号計算!Y272</f>
        <v>1.9099999999999999E-2</v>
      </c>
      <c r="T267" s="19">
        <f>+[2]称号計算!Z272</f>
        <v>2.9487000000000001</v>
      </c>
      <c r="U267" s="13">
        <v>1</v>
      </c>
    </row>
    <row r="268" spans="1:21">
      <c r="A268" s="12" t="s">
        <v>1179</v>
      </c>
      <c r="B268" s="23" t="s">
        <v>1539</v>
      </c>
      <c r="C268" s="27">
        <f>+[2]称号計算!I273</f>
        <v>1.1773</v>
      </c>
      <c r="D268" s="5">
        <f>+[2]称号計算!J273</f>
        <v>0.87380000000000002</v>
      </c>
      <c r="E268" s="5">
        <f>+[2]称号計算!K273</f>
        <v>0.1777</v>
      </c>
      <c r="F268" s="5">
        <f>+[2]称号計算!L273</f>
        <v>2.0903999999999998</v>
      </c>
      <c r="G268" s="5">
        <f>+[2]称号計算!M273</f>
        <v>0.87419999999999998</v>
      </c>
      <c r="H268" s="13">
        <f>+[2]称号計算!N273</f>
        <v>0.79600000000000004</v>
      </c>
      <c r="I268" s="27">
        <f>+[2]称号計算!O273</f>
        <v>0.64380000000000004</v>
      </c>
      <c r="J268" s="13">
        <f>+[2]称号計算!P273</f>
        <v>0.54349999999999998</v>
      </c>
      <c r="K268" s="27">
        <f>+[2]称号計算!Q273</f>
        <v>0.5151</v>
      </c>
      <c r="L268" s="5">
        <f>+[2]称号計算!R273</f>
        <v>1.2123999999999999</v>
      </c>
      <c r="M268" s="13">
        <f>+[2]称号計算!S273</f>
        <v>0.3629</v>
      </c>
      <c r="N268" s="27">
        <f>+[2]称号計算!T273</f>
        <v>0.41520000000000001</v>
      </c>
      <c r="O268" s="5">
        <f>+[2]称号計算!U273</f>
        <v>8.3000000000000004E-2</v>
      </c>
      <c r="P268" s="5">
        <f>+[2]称号計算!V273</f>
        <v>2.7699999999999999E-2</v>
      </c>
      <c r="Q268" s="5">
        <f>+[2]称号計算!W273</f>
        <v>2.7699999999999999E-2</v>
      </c>
      <c r="R268" s="5">
        <f>+[2]称号計算!X273</f>
        <v>2.0799999999999999E-2</v>
      </c>
      <c r="S268" s="13">
        <f>+[2]称号計算!Y273</f>
        <v>2.0799999999999999E-2</v>
      </c>
      <c r="T268" s="19">
        <f>+[2]称号計算!Z273</f>
        <v>3.2949999999999999</v>
      </c>
      <c r="U268" s="13">
        <v>0.9</v>
      </c>
    </row>
    <row r="269" spans="1:21">
      <c r="A269" s="12" t="s">
        <v>1180</v>
      </c>
      <c r="B269" s="23" t="s">
        <v>1540</v>
      </c>
      <c r="C269" s="27">
        <f>+[2]称号計算!I274</f>
        <v>1.2236</v>
      </c>
      <c r="D269" s="5">
        <f>+[2]称号計算!J274</f>
        <v>0.57099999999999995</v>
      </c>
      <c r="E269" s="5">
        <f>+[2]称号計算!K274</f>
        <v>2.3174999999999999</v>
      </c>
      <c r="F269" s="5">
        <f>+[2]称号計算!L274</f>
        <v>0.19239999999999999</v>
      </c>
      <c r="G269" s="5">
        <f>+[2]称号計算!M274</f>
        <v>0.5988</v>
      </c>
      <c r="H269" s="13">
        <f>+[2]称号計算!N274</f>
        <v>1.6547000000000001</v>
      </c>
      <c r="I269" s="27">
        <f>+[2]称号計算!O274</f>
        <v>0.50980000000000003</v>
      </c>
      <c r="J269" s="13">
        <f>+[2]称号計算!P274</f>
        <v>0.59050000000000002</v>
      </c>
      <c r="K269" s="27">
        <f>+[2]称号計算!Q274</f>
        <v>0.49969999999999998</v>
      </c>
      <c r="L269" s="5">
        <f>+[2]称号計算!R274</f>
        <v>0.92700000000000005</v>
      </c>
      <c r="M269" s="13">
        <f>+[2]称号計算!S274</f>
        <v>0.60350000000000004</v>
      </c>
      <c r="N269" s="27">
        <f>+[2]称号計算!T274</f>
        <v>3.2599999999999997E-2</v>
      </c>
      <c r="O269" s="5">
        <f>+[2]称号計算!U274</f>
        <v>3.2599999999999997E-2</v>
      </c>
      <c r="P269" s="5">
        <f>+[2]称号計算!V274</f>
        <v>0.1221</v>
      </c>
      <c r="Q269" s="5">
        <f>+[2]称号計算!W274</f>
        <v>0.48830000000000001</v>
      </c>
      <c r="R269" s="5">
        <f>+[2]称号計算!X274</f>
        <v>2.4400000000000002E-2</v>
      </c>
      <c r="S269" s="13">
        <f>+[2]称号計算!Y274</f>
        <v>2.4400000000000002E-2</v>
      </c>
      <c r="T269" s="19">
        <f>+[2]称号計算!Z274</f>
        <v>3.2564000000000002</v>
      </c>
      <c r="U269" s="13">
        <v>0.55000000000000004</v>
      </c>
    </row>
    <row r="270" spans="1:21">
      <c r="A270" s="12" t="s">
        <v>1181</v>
      </c>
      <c r="B270" s="23" t="s">
        <v>1541</v>
      </c>
      <c r="C270" s="27">
        <f>+[2]称号計算!I275</f>
        <v>0.98619999999999997</v>
      </c>
      <c r="D270" s="5">
        <f>+[2]称号計算!J275</f>
        <v>0.43830000000000002</v>
      </c>
      <c r="E270" s="5">
        <f>+[2]称号計算!K275</f>
        <v>2.4904999999999999</v>
      </c>
      <c r="F270" s="5">
        <f>+[2]称号計算!L275</f>
        <v>0.249</v>
      </c>
      <c r="G270" s="5">
        <f>+[2]称号計算!M275</f>
        <v>0.7621</v>
      </c>
      <c r="H270" s="13">
        <f>+[2]称号計算!N275</f>
        <v>0.7621</v>
      </c>
      <c r="I270" s="27">
        <f>+[2]称号計算!O275</f>
        <v>1.2054</v>
      </c>
      <c r="J270" s="13">
        <f>+[2]称号計算!P275</f>
        <v>0.75539999999999996</v>
      </c>
      <c r="K270" s="27">
        <f>+[2]称号計算!Q275</f>
        <v>0.65749999999999997</v>
      </c>
      <c r="L270" s="5">
        <f>+[2]称号計算!R275</f>
        <v>1.1755</v>
      </c>
      <c r="M270" s="13">
        <f>+[2]称号計算!S275</f>
        <v>0.62760000000000005</v>
      </c>
      <c r="N270" s="27">
        <f>+[2]称号計算!T275</f>
        <v>1.78E-2</v>
      </c>
      <c r="O270" s="5">
        <f>+[2]称号計算!U275</f>
        <v>1.78E-2</v>
      </c>
      <c r="P270" s="5">
        <f>+[2]称号計算!V275</f>
        <v>1.78E-2</v>
      </c>
      <c r="Q270" s="5">
        <f>+[2]称号計算!W275</f>
        <v>1.78E-2</v>
      </c>
      <c r="R270" s="5">
        <f>+[2]称号計算!X275</f>
        <v>4.7399999999999998E-2</v>
      </c>
      <c r="S270" s="13">
        <f>+[2]称号計算!Y275</f>
        <v>0.35589999999999999</v>
      </c>
      <c r="T270" s="19">
        <f>+[2]称号計算!Z275</f>
        <v>3.7069000000000001</v>
      </c>
      <c r="U270" s="13">
        <v>0.5</v>
      </c>
    </row>
    <row r="271" spans="1:21" ht="19.5" thickBot="1">
      <c r="A271" s="14" t="s">
        <v>1182</v>
      </c>
      <c r="B271" s="24" t="s">
        <v>1542</v>
      </c>
      <c r="C271" s="28">
        <f>+[2]称号計算!I276</f>
        <v>1.0101</v>
      </c>
      <c r="D271" s="15">
        <f>+[2]称号計算!J276</f>
        <v>1.776</v>
      </c>
      <c r="E271" s="15">
        <f>+[2]称号計算!K276</f>
        <v>0.18920000000000001</v>
      </c>
      <c r="F271" s="15">
        <f>+[2]称号計算!L276</f>
        <v>2.5226999999999999</v>
      </c>
      <c r="G271" s="15">
        <f>+[2]称号計算!M276</f>
        <v>0.75480000000000003</v>
      </c>
      <c r="H271" s="16">
        <f>+[2]称号計算!N276</f>
        <v>0.81479999999999997</v>
      </c>
      <c r="I271" s="28">
        <f>+[2]称号計算!O276</f>
        <v>0.44400000000000001</v>
      </c>
      <c r="J271" s="16">
        <f>+[2]称号計算!P276</f>
        <v>0.96199999999999997</v>
      </c>
      <c r="K271" s="28">
        <f>+[2]称号計算!Q276</f>
        <v>0.36630000000000001</v>
      </c>
      <c r="L271" s="15">
        <f>+[2]称号計算!R276</f>
        <v>0.64580000000000004</v>
      </c>
      <c r="M271" s="16">
        <f>+[2]称号計算!S276</f>
        <v>1.0454000000000001</v>
      </c>
      <c r="N271" s="28">
        <f>+[2]称号計算!T276</f>
        <v>1.9E-2</v>
      </c>
      <c r="O271" s="15">
        <f>+[2]称号計算!U276</f>
        <v>1.9E-2</v>
      </c>
      <c r="P271" s="15">
        <f>+[2]称号計算!V276</f>
        <v>1.9E-2</v>
      </c>
      <c r="Q271" s="15">
        <f>+[2]称号計算!W276</f>
        <v>1.9E-2</v>
      </c>
      <c r="R271" s="15">
        <f>+[2]称号計算!X276</f>
        <v>5.0500000000000003E-2</v>
      </c>
      <c r="S271" s="16">
        <f>+[2]称号計算!Y276</f>
        <v>0.37909999999999999</v>
      </c>
      <c r="T271" s="20">
        <f>+[2]称号計算!Z276</f>
        <v>3.0714999999999999</v>
      </c>
      <c r="U271" s="16">
        <v>0.25</v>
      </c>
    </row>
    <row r="272" spans="1:21">
      <c r="A272" s="9" t="s">
        <v>1183</v>
      </c>
      <c r="B272" s="22" t="s">
        <v>1543</v>
      </c>
      <c r="C272" s="26">
        <f>+[2]称号計算!I277</f>
        <v>0.89249999999999996</v>
      </c>
      <c r="D272" s="10">
        <f>+[2]称号計算!J277</f>
        <v>1.2941</v>
      </c>
      <c r="E272" s="10">
        <f>+[2]称号計算!K277</f>
        <v>0.20280000000000001</v>
      </c>
      <c r="F272" s="10">
        <f>+[2]称号計算!L277</f>
        <v>2.0284</v>
      </c>
      <c r="G272" s="10">
        <f>+[2]称号計算!M277</f>
        <v>0.68969999999999998</v>
      </c>
      <c r="H272" s="11">
        <f>+[2]称号計算!N277</f>
        <v>0.8276</v>
      </c>
      <c r="I272" s="26">
        <f>+[2]称号計算!O277</f>
        <v>0.53549999999999998</v>
      </c>
      <c r="J272" s="11">
        <f>+[2]称号計算!P277</f>
        <v>0.49220000000000003</v>
      </c>
      <c r="K272" s="26">
        <f>+[2]称号計算!Q277</f>
        <v>0.37490000000000001</v>
      </c>
      <c r="L272" s="10">
        <f>+[2]称号計算!R277</f>
        <v>0.77080000000000004</v>
      </c>
      <c r="M272" s="11">
        <f>+[2]称号計算!S277</f>
        <v>0.6532</v>
      </c>
      <c r="N272" s="26">
        <f>+[2]称号計算!T277</f>
        <v>1.9599999999999999E-2</v>
      </c>
      <c r="O272" s="10">
        <f>+[2]称号計算!U277</f>
        <v>1.9599999999999999E-2</v>
      </c>
      <c r="P272" s="10">
        <f>+[2]称号計算!V277</f>
        <v>1.9599999999999999E-2</v>
      </c>
      <c r="Q272" s="10">
        <f>+[2]称号計算!W277</f>
        <v>1.9599999999999999E-2</v>
      </c>
      <c r="R272" s="10">
        <f>+[2]称号計算!X277</f>
        <v>5.2299999999999999E-2</v>
      </c>
      <c r="S272" s="11">
        <f>+[2]称号計算!Y277</f>
        <v>0.39250000000000002</v>
      </c>
      <c r="T272" s="18">
        <f>+[2]称号計算!Z277</f>
        <v>2.7746</v>
      </c>
      <c r="U272" s="11">
        <v>1</v>
      </c>
    </row>
    <row r="273" spans="1:21">
      <c r="A273" s="12" t="s">
        <v>1184</v>
      </c>
      <c r="B273" s="23" t="s">
        <v>1544</v>
      </c>
      <c r="C273" s="27">
        <f>+[2]称号計算!I278</f>
        <v>0.92700000000000005</v>
      </c>
      <c r="D273" s="5">
        <f>+[2]称号計算!J278</f>
        <v>1.0622</v>
      </c>
      <c r="E273" s="5">
        <f>+[2]称号計算!K278</f>
        <v>0.1361</v>
      </c>
      <c r="F273" s="5">
        <f>+[2]称号計算!L278</f>
        <v>2.1947000000000001</v>
      </c>
      <c r="G273" s="5">
        <f>+[2]称号計算!M278</f>
        <v>0.6119</v>
      </c>
      <c r="H273" s="13">
        <f>+[2]称号計算!N278</f>
        <v>0.67900000000000005</v>
      </c>
      <c r="I273" s="27">
        <f>+[2]称号計算!O278</f>
        <v>0.57940000000000003</v>
      </c>
      <c r="J273" s="13">
        <f>+[2]称号計算!P278</f>
        <v>0.60870000000000002</v>
      </c>
      <c r="K273" s="27">
        <f>+[2]称号計算!Q278</f>
        <v>0.4345</v>
      </c>
      <c r="L273" s="5">
        <f>+[2]称号計算!R278</f>
        <v>0.79890000000000005</v>
      </c>
      <c r="M273" s="13">
        <f>+[2]称号計算!S278</f>
        <v>1.1676</v>
      </c>
      <c r="N273" s="27">
        <f>+[2]称号計算!T278</f>
        <v>1.6899999999999998E-2</v>
      </c>
      <c r="O273" s="5">
        <f>+[2]称号計算!U278</f>
        <v>1.6899999999999998E-2</v>
      </c>
      <c r="P273" s="5">
        <f>+[2]称号計算!V278</f>
        <v>1.6899999999999998E-2</v>
      </c>
      <c r="Q273" s="5">
        <f>+[2]称号計算!W278</f>
        <v>1.6899999999999998E-2</v>
      </c>
      <c r="R273" s="5">
        <f>+[2]称号計算!X278</f>
        <v>4.5100000000000001E-2</v>
      </c>
      <c r="S273" s="13">
        <f>+[2]称号計算!Y278</f>
        <v>0.33860000000000001</v>
      </c>
      <c r="T273" s="19">
        <f>+[2]称号計算!Z278</f>
        <v>2.99</v>
      </c>
      <c r="U273" s="13">
        <v>1</v>
      </c>
    </row>
    <row r="274" spans="1:21">
      <c r="A274" s="12" t="s">
        <v>1185</v>
      </c>
      <c r="B274" s="23" t="s">
        <v>1545</v>
      </c>
      <c r="C274" s="27">
        <f>+[2]称号計算!I279</f>
        <v>0.90759999999999996</v>
      </c>
      <c r="D274" s="5">
        <f>+[2]称号計算!J279</f>
        <v>2.3351000000000002</v>
      </c>
      <c r="E274" s="5">
        <f>+[2]称号計算!K279</f>
        <v>0.14019999999999999</v>
      </c>
      <c r="F274" s="5">
        <f>+[2]称号計算!L279</f>
        <v>2.0026999999999999</v>
      </c>
      <c r="G274" s="5">
        <f>+[2]称号計算!M279</f>
        <v>0.65369999999999995</v>
      </c>
      <c r="H274" s="13">
        <f>+[2]称号計算!N279</f>
        <v>0.80349999999999999</v>
      </c>
      <c r="I274" s="27">
        <f>+[2]称号計算!O279</f>
        <v>0.57279999999999998</v>
      </c>
      <c r="J274" s="13">
        <f>+[2]称号計算!P279</f>
        <v>0.50329999999999997</v>
      </c>
      <c r="K274" s="27">
        <f>+[2]称号計算!Q279</f>
        <v>0.37009999999999998</v>
      </c>
      <c r="L274" s="5">
        <f>+[2]称号計算!R279</f>
        <v>0.72099999999999997</v>
      </c>
      <c r="M274" s="13">
        <f>+[2]称号計算!S279</f>
        <v>0.628</v>
      </c>
      <c r="N274" s="27">
        <f>+[2]称号計算!T279</f>
        <v>2.0799999999999999E-2</v>
      </c>
      <c r="O274" s="5">
        <f>+[2]称号計算!U279</f>
        <v>2.0799999999999999E-2</v>
      </c>
      <c r="P274" s="5">
        <f>+[2]称号計算!V279</f>
        <v>2.0799999999999999E-2</v>
      </c>
      <c r="Q274" s="5">
        <f>+[2]称号計算!W279</f>
        <v>2.0799999999999999E-2</v>
      </c>
      <c r="R274" s="5">
        <f>+[2]称号計算!X279</f>
        <v>5.5500000000000001E-2</v>
      </c>
      <c r="S274" s="13">
        <f>+[2]称号計算!Y279</f>
        <v>0.41639999999999999</v>
      </c>
      <c r="T274" s="19">
        <f>+[2]称号計算!Z279</f>
        <v>3.052</v>
      </c>
      <c r="U274" s="13">
        <v>0.9</v>
      </c>
    </row>
    <row r="275" spans="1:21">
      <c r="A275" s="12" t="s">
        <v>1186</v>
      </c>
      <c r="B275" s="23" t="s">
        <v>1546</v>
      </c>
      <c r="C275" s="27">
        <f>+[2]称号計算!I280</f>
        <v>1.1009</v>
      </c>
      <c r="D275" s="5">
        <f>+[2]称号計算!J280</f>
        <v>0.59830000000000005</v>
      </c>
      <c r="E275" s="5">
        <f>+[2]称号計算!K280</f>
        <v>2.7197</v>
      </c>
      <c r="F275" s="5">
        <f>+[2]称号計算!L280</f>
        <v>0.27200000000000002</v>
      </c>
      <c r="G275" s="5">
        <f>+[2]称号計算!M280</f>
        <v>0.87849999999999995</v>
      </c>
      <c r="H275" s="13">
        <f>+[2]称号計算!N280</f>
        <v>0.97089999999999999</v>
      </c>
      <c r="I275" s="27">
        <f>+[2]称号計算!O280</f>
        <v>0.59830000000000005</v>
      </c>
      <c r="J275" s="13">
        <f>+[2]称号計算!P280</f>
        <v>0.70709999999999995</v>
      </c>
      <c r="K275" s="27">
        <f>+[2]称号計算!Q280</f>
        <v>0.47870000000000001</v>
      </c>
      <c r="L275" s="5">
        <f>+[2]称号計算!R280</f>
        <v>1.1423000000000001</v>
      </c>
      <c r="M275" s="13">
        <f>+[2]称号計算!S280</f>
        <v>0.60919999999999996</v>
      </c>
      <c r="N275" s="27">
        <f>+[2]称号計算!T280</f>
        <v>2.1000000000000001E-2</v>
      </c>
      <c r="O275" s="5">
        <f>+[2]称号計算!U280</f>
        <v>2.1000000000000001E-2</v>
      </c>
      <c r="P275" s="5">
        <f>+[2]称号計算!V280</f>
        <v>2.1000000000000001E-2</v>
      </c>
      <c r="Q275" s="5">
        <f>+[2]称号計算!W280</f>
        <v>2.1000000000000001E-2</v>
      </c>
      <c r="R275" s="5">
        <f>+[2]称号計算!X280</f>
        <v>5.5899999999999998E-2</v>
      </c>
      <c r="S275" s="13">
        <f>+[2]称号計算!Y280</f>
        <v>0.41920000000000002</v>
      </c>
      <c r="T275" s="19">
        <f>+[2]称号計算!Z280</f>
        <v>3.1347999999999998</v>
      </c>
      <c r="U275" s="13">
        <v>0.55000000000000004</v>
      </c>
    </row>
    <row r="276" spans="1:21">
      <c r="A276" s="12" t="s">
        <v>1187</v>
      </c>
      <c r="B276" s="23" t="s">
        <v>1547</v>
      </c>
      <c r="C276" s="27">
        <f>+[2]称号計算!I281</f>
        <v>0.9617</v>
      </c>
      <c r="D276" s="5">
        <f>+[2]称号計算!J281</f>
        <v>0.46300000000000002</v>
      </c>
      <c r="E276" s="5">
        <f>+[2]称号計算!K281</f>
        <v>2.6983000000000001</v>
      </c>
      <c r="F276" s="5">
        <f>+[2]称号計算!L281</f>
        <v>0.18890000000000001</v>
      </c>
      <c r="G276" s="5">
        <f>+[2]称号計算!M281</f>
        <v>0.68810000000000004</v>
      </c>
      <c r="H276" s="13">
        <f>+[2]称号計算!N281</f>
        <v>0.7248</v>
      </c>
      <c r="I276" s="27">
        <f>+[2]称号計算!O281</f>
        <v>0.83109999999999995</v>
      </c>
      <c r="J276" s="13">
        <f>+[2]称号計算!P281</f>
        <v>0.67820000000000003</v>
      </c>
      <c r="K276" s="27">
        <f>+[2]称号計算!Q281</f>
        <v>0.79549999999999998</v>
      </c>
      <c r="L276" s="5">
        <f>+[2]称号計算!R281</f>
        <v>1.9104000000000001</v>
      </c>
      <c r="M276" s="13">
        <f>+[2]称号計算!S281</f>
        <v>0.57420000000000004</v>
      </c>
      <c r="N276" s="27">
        <f>+[2]称号計算!T281</f>
        <v>1.5599999999999999E-2</v>
      </c>
      <c r="O276" s="5">
        <f>+[2]称号計算!U281</f>
        <v>1.5599999999999999E-2</v>
      </c>
      <c r="P276" s="5">
        <f>+[2]称号計算!V281</f>
        <v>1.5599999999999999E-2</v>
      </c>
      <c r="Q276" s="5">
        <f>+[2]称号計算!W281</f>
        <v>1.5599999999999999E-2</v>
      </c>
      <c r="R276" s="5">
        <f>+[2]称号計算!X281</f>
        <v>4.1500000000000002E-2</v>
      </c>
      <c r="S276" s="13">
        <f>+[2]称号計算!Y281</f>
        <v>0.31119999999999998</v>
      </c>
      <c r="T276" s="19">
        <f>+[2]称号計算!Z281</f>
        <v>4.0595999999999997</v>
      </c>
      <c r="U276" s="13">
        <v>0.5</v>
      </c>
    </row>
    <row r="277" spans="1:21" ht="19.5" thickBot="1">
      <c r="A277" s="14" t="s">
        <v>1188</v>
      </c>
      <c r="B277" s="24" t="s">
        <v>1548</v>
      </c>
      <c r="C277" s="28">
        <f>+[2]称号計算!I282</f>
        <v>0.89239999999999997</v>
      </c>
      <c r="D277" s="15">
        <f>+[2]称号計算!J282</f>
        <v>1.4692000000000001</v>
      </c>
      <c r="E277" s="15">
        <f>+[2]称号計算!K282</f>
        <v>0.1484</v>
      </c>
      <c r="F277" s="15">
        <f>+[2]称号計算!L282</f>
        <v>2.4733999999999998</v>
      </c>
      <c r="G277" s="15">
        <f>+[2]称号計算!M282</f>
        <v>0.68120000000000003</v>
      </c>
      <c r="H277" s="16">
        <f>+[2]称号計算!N282</f>
        <v>0.73160000000000003</v>
      </c>
      <c r="I277" s="28">
        <f>+[2]称号計算!O282</f>
        <v>1.306</v>
      </c>
      <c r="J277" s="16">
        <f>+[2]称号計算!P282</f>
        <v>1.0931999999999999</v>
      </c>
      <c r="K277" s="28">
        <f>+[2]称号計算!Q282</f>
        <v>0.50060000000000004</v>
      </c>
      <c r="L277" s="15">
        <f>+[2]称号計算!R282</f>
        <v>0.67279999999999995</v>
      </c>
      <c r="M277" s="16">
        <f>+[2]称号計算!S282</f>
        <v>0.98340000000000005</v>
      </c>
      <c r="N277" s="28">
        <f>+[2]称号計算!T282</f>
        <v>1.7100000000000001E-2</v>
      </c>
      <c r="O277" s="15">
        <f>+[2]称号計算!U282</f>
        <v>1.7100000000000001E-2</v>
      </c>
      <c r="P277" s="15">
        <f>+[2]称号計算!V282</f>
        <v>1.7100000000000001E-2</v>
      </c>
      <c r="Q277" s="15">
        <f>+[2]称号計算!W282</f>
        <v>1.7100000000000001E-2</v>
      </c>
      <c r="R277" s="15">
        <f>+[2]称号計算!X282</f>
        <v>4.5600000000000002E-2</v>
      </c>
      <c r="S277" s="16">
        <f>+[2]称号計算!Y282</f>
        <v>0.3417</v>
      </c>
      <c r="T277" s="20">
        <f>+[2]称号計算!Z282</f>
        <v>3.5899000000000001</v>
      </c>
      <c r="U277" s="16">
        <v>0.25</v>
      </c>
    </row>
    <row r="278" spans="1:21">
      <c r="A278" s="9" t="s">
        <v>1189</v>
      </c>
      <c r="B278" s="22" t="s">
        <v>1549</v>
      </c>
      <c r="C278" s="26">
        <f>+[2]称号計算!I283</f>
        <v>1.4939</v>
      </c>
      <c r="D278" s="10">
        <f>+[2]称号計算!J283</f>
        <v>1.1725000000000001</v>
      </c>
      <c r="E278" s="10">
        <f>+[2]称号計算!K283</f>
        <v>0.1283</v>
      </c>
      <c r="F278" s="10">
        <f>+[2]称号計算!L283</f>
        <v>1.9739</v>
      </c>
      <c r="G278" s="10">
        <f>+[2]称号計算!M283</f>
        <v>1.1007</v>
      </c>
      <c r="H278" s="11">
        <f>+[2]称号計算!N283</f>
        <v>1.0403</v>
      </c>
      <c r="I278" s="26">
        <f>+[2]称号計算!O283</f>
        <v>0.30399999999999999</v>
      </c>
      <c r="J278" s="11">
        <f>+[2]称号計算!P283</f>
        <v>0.47899999999999998</v>
      </c>
      <c r="K278" s="26">
        <f>+[2]称号計算!Q283</f>
        <v>0.2606</v>
      </c>
      <c r="L278" s="10">
        <f>+[2]称号計算!R283</f>
        <v>0.47370000000000001</v>
      </c>
      <c r="M278" s="11">
        <f>+[2]称号計算!S283</f>
        <v>0.68540000000000001</v>
      </c>
      <c r="N278" s="26">
        <f>+[2]称号計算!T283</f>
        <v>2.7E-2</v>
      </c>
      <c r="O278" s="10">
        <f>+[2]称号計算!U283</f>
        <v>2.7E-2</v>
      </c>
      <c r="P278" s="10">
        <f>+[2]称号計算!V283</f>
        <v>2.7E-2</v>
      </c>
      <c r="Q278" s="10">
        <f>+[2]称号計算!W283</f>
        <v>2.7E-2</v>
      </c>
      <c r="R278" s="10">
        <f>+[2]称号計算!X283</f>
        <v>7.1900000000000006E-2</v>
      </c>
      <c r="S278" s="11">
        <f>+[2]称号計算!Y283</f>
        <v>0.53939999999999999</v>
      </c>
      <c r="T278" s="18">
        <f>+[2]称号計算!Z283</f>
        <v>2.5817999999999999</v>
      </c>
      <c r="U278" s="11">
        <v>1</v>
      </c>
    </row>
    <row r="279" spans="1:21">
      <c r="A279" s="12" t="s">
        <v>1190</v>
      </c>
      <c r="B279" s="23" t="s">
        <v>1550</v>
      </c>
      <c r="C279" s="27">
        <f>+[2]称号計算!I284</f>
        <v>1.0525</v>
      </c>
      <c r="D279" s="5">
        <f>+[2]称号計算!J284</f>
        <v>1.2629999999999999</v>
      </c>
      <c r="E279" s="5">
        <f>+[2]称号計算!K284</f>
        <v>0.16739999999999999</v>
      </c>
      <c r="F279" s="5">
        <f>+[2]称号計算!L284</f>
        <v>2.3919999999999999</v>
      </c>
      <c r="G279" s="5">
        <f>+[2]称号計算!M284</f>
        <v>0.78080000000000005</v>
      </c>
      <c r="H279" s="13">
        <f>+[2]称号計算!N284</f>
        <v>0.8296</v>
      </c>
      <c r="I279" s="27">
        <f>+[2]称号計算!O284</f>
        <v>0.47360000000000002</v>
      </c>
      <c r="J279" s="13">
        <f>+[2]称号計算!P284</f>
        <v>0.58050000000000002</v>
      </c>
      <c r="K279" s="27">
        <f>+[2]称号計算!Q284</f>
        <v>0.43149999999999999</v>
      </c>
      <c r="L279" s="5">
        <f>+[2]称号計算!R284</f>
        <v>0.88029999999999997</v>
      </c>
      <c r="M279" s="13">
        <f>+[2]称号計算!S284</f>
        <v>0.7167</v>
      </c>
      <c r="N279" s="27">
        <f>+[2]称号計算!T284</f>
        <v>2.87E-2</v>
      </c>
      <c r="O279" s="5">
        <f>+[2]称号計算!U284</f>
        <v>2.87E-2</v>
      </c>
      <c r="P279" s="5">
        <f>+[2]称号計算!V284</f>
        <v>2.87E-2</v>
      </c>
      <c r="Q279" s="5">
        <f>+[2]称号計算!W284</f>
        <v>2.87E-2</v>
      </c>
      <c r="R279" s="5">
        <f>+[2]称号計算!X284</f>
        <v>7.6499999999999999E-2</v>
      </c>
      <c r="S279" s="13">
        <f>+[2]称号計算!Y284</f>
        <v>0.57410000000000005</v>
      </c>
      <c r="T279" s="19">
        <f>+[2]称号計算!Z284</f>
        <v>3.0032000000000001</v>
      </c>
      <c r="U279" s="13">
        <v>1</v>
      </c>
    </row>
    <row r="280" spans="1:21">
      <c r="A280" s="12" t="s">
        <v>1191</v>
      </c>
      <c r="B280" s="23" t="s">
        <v>1551</v>
      </c>
      <c r="C280" s="27">
        <f>+[2]称号計算!I285</f>
        <v>1.0193000000000001</v>
      </c>
      <c r="D280" s="5">
        <f>+[2]称号計算!J285</f>
        <v>1.1079000000000001</v>
      </c>
      <c r="E280" s="5">
        <f>+[2]称号計算!K285</f>
        <v>0.25180000000000002</v>
      </c>
      <c r="F280" s="5">
        <f>+[2]称号計算!L285</f>
        <v>2.5179999999999998</v>
      </c>
      <c r="G280" s="5">
        <f>+[2]称号計算!M285</f>
        <v>0.81330000000000002</v>
      </c>
      <c r="H280" s="13">
        <f>+[2]称号計算!N285</f>
        <v>0.89890000000000003</v>
      </c>
      <c r="I280" s="27">
        <f>+[2]称号計算!O285</f>
        <v>0.55389999999999995</v>
      </c>
      <c r="J280" s="13">
        <f>+[2]称号計算!P285</f>
        <v>0.65469999999999995</v>
      </c>
      <c r="K280" s="27">
        <f>+[2]称号計算!Q285</f>
        <v>0.44319999999999998</v>
      </c>
      <c r="L280" s="5">
        <f>+[2]称号計算!R285</f>
        <v>1.0575000000000001</v>
      </c>
      <c r="M280" s="13">
        <f>+[2]称号計算!S285</f>
        <v>0.70499999999999996</v>
      </c>
      <c r="N280" s="27">
        <f>+[2]称号計算!T285</f>
        <v>0.02</v>
      </c>
      <c r="O280" s="5">
        <f>+[2]称号計算!U285</f>
        <v>0.02</v>
      </c>
      <c r="P280" s="5">
        <f>+[2]称号計算!V285</f>
        <v>0.02</v>
      </c>
      <c r="Q280" s="5">
        <f>+[2]称号計算!W285</f>
        <v>0.02</v>
      </c>
      <c r="R280" s="5">
        <f>+[2]称号計算!X285</f>
        <v>5.3499999999999999E-2</v>
      </c>
      <c r="S280" s="13">
        <f>+[2]称号計算!Y285</f>
        <v>0.40089999999999998</v>
      </c>
      <c r="T280" s="19">
        <f>+[2]称号計算!Z285</f>
        <v>3.1183999999999998</v>
      </c>
      <c r="U280" s="13">
        <v>0.9</v>
      </c>
    </row>
    <row r="281" spans="1:21">
      <c r="A281" s="12" t="s">
        <v>1192</v>
      </c>
      <c r="B281" s="23" t="s">
        <v>1552</v>
      </c>
      <c r="C281" s="27">
        <f>+[2]称号計算!I286</f>
        <v>0.89129999999999998</v>
      </c>
      <c r="D281" s="5">
        <f>+[2]称号計算!J286</f>
        <v>0.4178</v>
      </c>
      <c r="E281" s="5">
        <f>+[2]称号計算!K286</f>
        <v>2.5320999999999998</v>
      </c>
      <c r="F281" s="5">
        <f>+[2]称号計算!L286</f>
        <v>0.19239999999999999</v>
      </c>
      <c r="G281" s="5">
        <f>+[2]称号計算!M286</f>
        <v>0.70599999999999996</v>
      </c>
      <c r="H281" s="13">
        <f>+[2]称号計算!N286</f>
        <v>0.65429999999999999</v>
      </c>
      <c r="I281" s="27">
        <f>+[2]称号計算!O286</f>
        <v>1.4483999999999999</v>
      </c>
      <c r="J281" s="13">
        <f>+[2]称号計算!P286</f>
        <v>0.74609999999999999</v>
      </c>
      <c r="K281" s="27">
        <f>+[2]称号計算!Q286</f>
        <v>0.66849999999999998</v>
      </c>
      <c r="L281" s="5">
        <f>+[2]称号計算!R286</f>
        <v>1.0736000000000001</v>
      </c>
      <c r="M281" s="13">
        <f>+[2]称号計算!S286</f>
        <v>1.1486000000000001</v>
      </c>
      <c r="N281" s="27">
        <f>+[2]称号計算!T286</f>
        <v>1.72E-2</v>
      </c>
      <c r="O281" s="5">
        <f>+[2]称号計算!U286</f>
        <v>1.72E-2</v>
      </c>
      <c r="P281" s="5">
        <f>+[2]称号計算!V286</f>
        <v>1.72E-2</v>
      </c>
      <c r="Q281" s="5">
        <f>+[2]称号計算!W286</f>
        <v>1.72E-2</v>
      </c>
      <c r="R281" s="5">
        <f>+[2]称号計算!X286</f>
        <v>4.58E-2</v>
      </c>
      <c r="S281" s="13">
        <f>+[2]称号計算!Y286</f>
        <v>0.34370000000000001</v>
      </c>
      <c r="T281" s="19">
        <f>+[2]称号計算!Z286</f>
        <v>3.8422999999999998</v>
      </c>
      <c r="U281" s="13">
        <v>0.55000000000000004</v>
      </c>
    </row>
    <row r="282" spans="1:21">
      <c r="A282" s="12" t="s">
        <v>1193</v>
      </c>
      <c r="B282" s="23" t="s">
        <v>1553</v>
      </c>
      <c r="C282" s="27">
        <f>+[2]称号計算!I287</f>
        <v>0.73199999999999998</v>
      </c>
      <c r="D282" s="5">
        <f>+[2]称号計算!J287</f>
        <v>0.3327</v>
      </c>
      <c r="E282" s="5">
        <f>+[2]称号計算!K287</f>
        <v>2.5207999999999999</v>
      </c>
      <c r="F282" s="5">
        <f>+[2]称号計算!L287</f>
        <v>0.1386</v>
      </c>
      <c r="G282" s="5">
        <f>+[2]称号計算!M287</f>
        <v>0.6</v>
      </c>
      <c r="H282" s="13">
        <f>+[2]称号計算!N287</f>
        <v>0.60850000000000004</v>
      </c>
      <c r="I282" s="27">
        <f>+[2]称号計算!O287</f>
        <v>2.3292000000000002</v>
      </c>
      <c r="J282" s="13">
        <f>+[2]称号計算!P287</f>
        <v>0.77780000000000005</v>
      </c>
      <c r="K282" s="27">
        <f>+[2]称号計算!Q287</f>
        <v>0.89839999999999998</v>
      </c>
      <c r="L282" s="5">
        <f>+[2]称号計算!R287</f>
        <v>1.573</v>
      </c>
      <c r="M282" s="13">
        <f>+[2]称号計算!S287</f>
        <v>0.42349999999999999</v>
      </c>
      <c r="N282" s="27">
        <f>+[2]称号計算!T287</f>
        <v>1.49E-2</v>
      </c>
      <c r="O282" s="5">
        <f>+[2]称号計算!U287</f>
        <v>1.49E-2</v>
      </c>
      <c r="P282" s="5">
        <f>+[2]称号計算!V287</f>
        <v>1.49E-2</v>
      </c>
      <c r="Q282" s="5">
        <f>+[2]称号計算!W287</f>
        <v>1.49E-2</v>
      </c>
      <c r="R282" s="5">
        <f>+[2]称号計算!X287</f>
        <v>3.9699999999999999E-2</v>
      </c>
      <c r="S282" s="13">
        <f>+[2]称号計算!Y287</f>
        <v>0.2974</v>
      </c>
      <c r="T282" s="19">
        <f>+[2]称号計算!Z287</f>
        <v>4.6471999999999998</v>
      </c>
      <c r="U282" s="13">
        <v>0.5</v>
      </c>
    </row>
    <row r="283" spans="1:21" ht="19.5" thickBot="1">
      <c r="A283" s="14" t="s">
        <v>1194</v>
      </c>
      <c r="B283" s="24" t="s">
        <v>1554</v>
      </c>
      <c r="C283" s="28">
        <f>+[2]称号計算!I288</f>
        <v>0.95379999999999998</v>
      </c>
      <c r="D283" s="15">
        <f>+[2]称号計算!J288</f>
        <v>1.0866</v>
      </c>
      <c r="E283" s="15">
        <f>+[2]称号計算!K288</f>
        <v>0.1454</v>
      </c>
      <c r="F283" s="15">
        <f>+[2]称号計算!L288</f>
        <v>2.7439</v>
      </c>
      <c r="G283" s="15">
        <f>+[2]称号計算!M288</f>
        <v>0.79300000000000004</v>
      </c>
      <c r="H283" s="16">
        <f>+[2]称号計算!N288</f>
        <v>0.75570000000000004</v>
      </c>
      <c r="I283" s="28">
        <f>+[2]称号計算!O288</f>
        <v>0.78480000000000005</v>
      </c>
      <c r="J283" s="16">
        <f>+[2]称号計算!P288</f>
        <v>0.68959999999999999</v>
      </c>
      <c r="K283" s="28">
        <f>+[2]称号計算!Q288</f>
        <v>0.96589999999999998</v>
      </c>
      <c r="L283" s="15">
        <f>+[2]称号計算!R288</f>
        <v>1.8877999999999999</v>
      </c>
      <c r="M283" s="16">
        <f>+[2]称号計算!S288</f>
        <v>0.58389999999999997</v>
      </c>
      <c r="N283" s="28">
        <f>+[2]称号計算!T288</f>
        <v>1.6400000000000001E-2</v>
      </c>
      <c r="O283" s="15">
        <f>+[2]称号計算!U288</f>
        <v>1.6400000000000001E-2</v>
      </c>
      <c r="P283" s="15">
        <f>+[2]称号計算!V288</f>
        <v>1.6400000000000001E-2</v>
      </c>
      <c r="Q283" s="15">
        <f>+[2]称号計算!W288</f>
        <v>1.6400000000000001E-2</v>
      </c>
      <c r="R283" s="15">
        <f>+[2]称号計算!X288</f>
        <v>4.3700000000000003E-2</v>
      </c>
      <c r="S283" s="16">
        <f>+[2]称号計算!Y288</f>
        <v>0.32800000000000001</v>
      </c>
      <c r="T283" s="20">
        <f>+[2]称号計算!Z288</f>
        <v>4.8091999999999997</v>
      </c>
      <c r="U283" s="16">
        <v>0.25</v>
      </c>
    </row>
    <row r="284" spans="1:21">
      <c r="A284" s="9" t="s">
        <v>1195</v>
      </c>
      <c r="B284" s="22" t="s">
        <v>1555</v>
      </c>
      <c r="C284" s="26">
        <f>+[2]称号計算!I289</f>
        <v>1.0769</v>
      </c>
      <c r="D284" s="10">
        <f>+[2]称号計算!J289</f>
        <v>1.2981</v>
      </c>
      <c r="E284" s="10">
        <f>+[2]称号計算!K289</f>
        <v>0.14419999999999999</v>
      </c>
      <c r="F284" s="10">
        <f>+[2]称号計算!L289</f>
        <v>2.1852999999999998</v>
      </c>
      <c r="G284" s="10">
        <f>+[2]称号計算!M289</f>
        <v>1.4488000000000001</v>
      </c>
      <c r="H284" s="11">
        <f>+[2]称号計算!N289</f>
        <v>0.53500000000000003</v>
      </c>
      <c r="I284" s="26">
        <f>+[2]称号計算!O289</f>
        <v>0.52880000000000005</v>
      </c>
      <c r="J284" s="11">
        <f>+[2]称号計算!P289</f>
        <v>0.56820000000000004</v>
      </c>
      <c r="K284" s="26">
        <f>+[2]称号計算!Q289</f>
        <v>0.35580000000000001</v>
      </c>
      <c r="L284" s="10">
        <f>+[2]称号計算!R289</f>
        <v>0.76049999999999995</v>
      </c>
      <c r="M284" s="11">
        <f>+[2]称号計算!S289</f>
        <v>0.57520000000000004</v>
      </c>
      <c r="N284" s="26">
        <f>+[2]称号計算!T289</f>
        <v>2.3900000000000001E-2</v>
      </c>
      <c r="O284" s="10">
        <f>+[2]称号計算!U289</f>
        <v>2.3900000000000001E-2</v>
      </c>
      <c r="P284" s="10">
        <f>+[2]称号計算!V289</f>
        <v>2.3900000000000001E-2</v>
      </c>
      <c r="Q284" s="10">
        <f>+[2]称号計算!W289</f>
        <v>2.3900000000000001E-2</v>
      </c>
      <c r="R284" s="10">
        <f>+[2]称号計算!X289</f>
        <v>6.3700000000000007E-2</v>
      </c>
      <c r="S284" s="11">
        <f>+[2]称号計算!Y289</f>
        <v>0.47760000000000002</v>
      </c>
      <c r="T284" s="18">
        <f>+[2]称号計算!Z289</f>
        <v>2.8693</v>
      </c>
      <c r="U284" s="11">
        <v>1</v>
      </c>
    </row>
    <row r="285" spans="1:21">
      <c r="A285" s="12" t="s">
        <v>1196</v>
      </c>
      <c r="B285" s="23" t="s">
        <v>1556</v>
      </c>
      <c r="C285" s="27">
        <f>+[2]称号計算!I290</f>
        <v>0.93940000000000001</v>
      </c>
      <c r="D285" s="5">
        <f>+[2]称号計算!J290</f>
        <v>1.0309999999999999</v>
      </c>
      <c r="E285" s="5">
        <f>+[2]称号計算!K290</f>
        <v>0.26040000000000002</v>
      </c>
      <c r="F285" s="5">
        <f>+[2]称号計算!L290</f>
        <v>2.6036000000000001</v>
      </c>
      <c r="G285" s="5">
        <f>+[2]称号計算!M290</f>
        <v>0.75239999999999996</v>
      </c>
      <c r="H285" s="13">
        <f>+[2]称号計算!N290</f>
        <v>0.88519999999999999</v>
      </c>
      <c r="I285" s="27">
        <f>+[2]称号計算!O290</f>
        <v>0.57279999999999998</v>
      </c>
      <c r="J285" s="13">
        <f>+[2]称号計算!P290</f>
        <v>0.67689999999999995</v>
      </c>
      <c r="K285" s="27">
        <f>+[2]称号計算!Q290</f>
        <v>0.4582</v>
      </c>
      <c r="L285" s="5">
        <f>+[2]称号計算!R290</f>
        <v>1.0415000000000001</v>
      </c>
      <c r="M285" s="13">
        <f>+[2]称号計算!S290</f>
        <v>0.72899999999999998</v>
      </c>
      <c r="N285" s="27">
        <f>+[2]称号計算!T290</f>
        <v>1.83E-2</v>
      </c>
      <c r="O285" s="5">
        <f>+[2]称号計算!U290</f>
        <v>1.83E-2</v>
      </c>
      <c r="P285" s="5">
        <f>+[2]称号計算!V290</f>
        <v>1.83E-2</v>
      </c>
      <c r="Q285" s="5">
        <f>+[2]称号計算!W290</f>
        <v>1.83E-2</v>
      </c>
      <c r="R285" s="5">
        <f>+[2]称号計算!X290</f>
        <v>4.8800000000000003E-2</v>
      </c>
      <c r="S285" s="13">
        <f>+[2]称号計算!Y290</f>
        <v>0.36620000000000003</v>
      </c>
      <c r="T285" s="19">
        <f>+[2]称号計算!Z290</f>
        <v>3.0956999999999999</v>
      </c>
      <c r="U285" s="13">
        <v>1</v>
      </c>
    </row>
    <row r="286" spans="1:21">
      <c r="A286" s="12" t="s">
        <v>1197</v>
      </c>
      <c r="B286" s="23" t="s">
        <v>1557</v>
      </c>
      <c r="C286" s="27">
        <f>+[2]称号計算!I291</f>
        <v>1.1838</v>
      </c>
      <c r="D286" s="5">
        <f>+[2]称号計算!J291</f>
        <v>1.1299999999999999</v>
      </c>
      <c r="E286" s="5">
        <f>+[2]称号計算!K291</f>
        <v>0.24460000000000001</v>
      </c>
      <c r="F286" s="5">
        <f>+[2]称号計算!L291</f>
        <v>2.4460000000000002</v>
      </c>
      <c r="G286" s="5">
        <f>+[2]称号計算!M291</f>
        <v>0.91479999999999995</v>
      </c>
      <c r="H286" s="13">
        <f>+[2]称号計算!N291</f>
        <v>0.91479999999999995</v>
      </c>
      <c r="I286" s="27">
        <f>+[2]称号計算!O291</f>
        <v>0.75339999999999996</v>
      </c>
      <c r="J286" s="13">
        <f>+[2]称号計算!P291</f>
        <v>0.65720000000000001</v>
      </c>
      <c r="K286" s="27">
        <f>+[2]称号計算!Q291</f>
        <v>0.51659999999999995</v>
      </c>
      <c r="L286" s="5">
        <f>+[2]称号計算!R291</f>
        <v>0.97840000000000005</v>
      </c>
      <c r="M286" s="13">
        <f>+[2]称号計算!S291</f>
        <v>0.68489999999999995</v>
      </c>
      <c r="N286" s="27">
        <f>+[2]称号計算!T291</f>
        <v>0.45029999999999998</v>
      </c>
      <c r="O286" s="5">
        <f>+[2]称号計算!U291</f>
        <v>9.01E-2</v>
      </c>
      <c r="P286" s="5">
        <f>+[2]称号計算!V291</f>
        <v>0.03</v>
      </c>
      <c r="Q286" s="5">
        <f>+[2]称号計算!W291</f>
        <v>0.03</v>
      </c>
      <c r="R286" s="5">
        <f>+[2]称号計算!X291</f>
        <v>2.2499999999999999E-2</v>
      </c>
      <c r="S286" s="13">
        <f>+[2]称号計算!Y291</f>
        <v>2.2499999999999999E-2</v>
      </c>
      <c r="T286" s="19">
        <f>+[2]称号計算!Z291</f>
        <v>3.4748000000000001</v>
      </c>
      <c r="U286" s="13">
        <v>0.9</v>
      </c>
    </row>
    <row r="287" spans="1:21">
      <c r="A287" s="12" t="s">
        <v>1198</v>
      </c>
      <c r="B287" s="23" t="s">
        <v>1558</v>
      </c>
      <c r="C287" s="27">
        <f>+[2]称号計算!I292</f>
        <v>1.1109</v>
      </c>
      <c r="D287" s="5">
        <f>+[2]称号計算!J292</f>
        <v>0.54339999999999999</v>
      </c>
      <c r="E287" s="5">
        <f>+[2]称号計算!K292</f>
        <v>2.7444000000000002</v>
      </c>
      <c r="F287" s="5">
        <f>+[2]称号計算!L292</f>
        <v>0.2195</v>
      </c>
      <c r="G287" s="5">
        <f>+[2]称号計算!M292</f>
        <v>0.85840000000000005</v>
      </c>
      <c r="H287" s="13">
        <f>+[2]称号計算!N292</f>
        <v>0.79310000000000003</v>
      </c>
      <c r="I287" s="27">
        <f>+[2]称号計算!O292</f>
        <v>0.84530000000000005</v>
      </c>
      <c r="J287" s="13">
        <f>+[2]称号計算!P292</f>
        <v>0.7611</v>
      </c>
      <c r="K287" s="27">
        <f>+[2]称号計算!Q292</f>
        <v>0.5917</v>
      </c>
      <c r="L287" s="5">
        <f>+[2]称号計算!R292</f>
        <v>1.0319</v>
      </c>
      <c r="M287" s="13">
        <f>+[2]称号計算!S292</f>
        <v>1.3985000000000001</v>
      </c>
      <c r="N287" s="27">
        <f>+[2]称号計算!T292</f>
        <v>1.8700000000000001E-2</v>
      </c>
      <c r="O287" s="5">
        <f>+[2]称号計算!U292</f>
        <v>1.8700000000000001E-2</v>
      </c>
      <c r="P287" s="5">
        <f>+[2]称号計算!V292</f>
        <v>1.8700000000000001E-2</v>
      </c>
      <c r="Q287" s="5">
        <f>+[2]称号計算!W292</f>
        <v>1.8700000000000001E-2</v>
      </c>
      <c r="R287" s="5">
        <f>+[2]称号計算!X292</f>
        <v>0.05</v>
      </c>
      <c r="S287" s="13">
        <f>+[2]称号計算!Y292</f>
        <v>0.37490000000000001</v>
      </c>
      <c r="T287" s="19">
        <f>+[2]称号計算!Z292</f>
        <v>3.6629999999999998</v>
      </c>
      <c r="U287" s="13">
        <v>0.55000000000000004</v>
      </c>
    </row>
    <row r="288" spans="1:21">
      <c r="A288" s="12" t="s">
        <v>1199</v>
      </c>
      <c r="B288" s="23" t="s">
        <v>1559</v>
      </c>
      <c r="C288" s="27">
        <f>+[2]称号計算!I293</f>
        <v>1.4362999999999999</v>
      </c>
      <c r="D288" s="5">
        <f>+[2]称号計算!J293</f>
        <v>0.67030000000000001</v>
      </c>
      <c r="E288" s="5">
        <f>+[2]称号計算!K293</f>
        <v>2.7202000000000002</v>
      </c>
      <c r="F288" s="5">
        <f>+[2]称号計算!L293</f>
        <v>0.2258</v>
      </c>
      <c r="G288" s="5">
        <f>+[2]称号計算!M293</f>
        <v>0.70289999999999997</v>
      </c>
      <c r="H288" s="13">
        <f>+[2]称号計算!N293</f>
        <v>1.9421999999999999</v>
      </c>
      <c r="I288" s="27">
        <f>+[2]称号計算!O293</f>
        <v>0.59840000000000004</v>
      </c>
      <c r="J288" s="13">
        <f>+[2]称号計算!P293</f>
        <v>0.69310000000000005</v>
      </c>
      <c r="K288" s="27">
        <f>+[2]称号計算!Q293</f>
        <v>0.58650000000000002</v>
      </c>
      <c r="L288" s="5">
        <f>+[2]称号計算!R293</f>
        <v>1.0881000000000001</v>
      </c>
      <c r="M288" s="13">
        <f>+[2]称号計算!S293</f>
        <v>0.70830000000000004</v>
      </c>
      <c r="N288" s="27">
        <f>+[2]称号計算!T293</f>
        <v>2.87E-2</v>
      </c>
      <c r="O288" s="5">
        <f>+[2]称号計算!U293</f>
        <v>2.87E-2</v>
      </c>
      <c r="P288" s="5">
        <f>+[2]称号計算!V293</f>
        <v>2.87E-2</v>
      </c>
      <c r="Q288" s="5">
        <f>+[2]称号計算!W293</f>
        <v>2.87E-2</v>
      </c>
      <c r="R288" s="5">
        <f>+[2]称号計算!X293</f>
        <v>7.6399999999999996E-2</v>
      </c>
      <c r="S288" s="13">
        <f>+[2]称号計算!Y293</f>
        <v>0.57320000000000004</v>
      </c>
      <c r="T288" s="19">
        <f>+[2]称号計算!Z293</f>
        <v>3.8222999999999998</v>
      </c>
      <c r="U288" s="13">
        <v>0.5</v>
      </c>
    </row>
    <row r="289" spans="1:21" ht="19.5" thickBot="1">
      <c r="A289" s="14" t="s">
        <v>1200</v>
      </c>
      <c r="B289" s="24" t="s">
        <v>1560</v>
      </c>
      <c r="C289" s="28">
        <f>+[2]称号計算!I294</f>
        <v>1.5430999999999999</v>
      </c>
      <c r="D289" s="15">
        <f>+[2]称号計算!J294</f>
        <v>1.2859</v>
      </c>
      <c r="E289" s="15">
        <f>+[2]称号計算!K294</f>
        <v>0.23380000000000001</v>
      </c>
      <c r="F289" s="15">
        <f>+[2]称号計算!L294</f>
        <v>2.3380999999999998</v>
      </c>
      <c r="G289" s="15">
        <f>+[2]称号計算!M294</f>
        <v>1.1923999999999999</v>
      </c>
      <c r="H289" s="16">
        <f>+[2]称号計算!N294</f>
        <v>1.1129</v>
      </c>
      <c r="I289" s="28">
        <f>+[2]称号計算!O294</f>
        <v>1.0287999999999999</v>
      </c>
      <c r="J289" s="16">
        <f>+[2]称号計算!P294</f>
        <v>0.70920000000000005</v>
      </c>
      <c r="K289" s="28">
        <f>+[2]称号計算!Q294</f>
        <v>0.49380000000000002</v>
      </c>
      <c r="L289" s="15">
        <f>+[2]称号計算!R294</f>
        <v>1.1223000000000001</v>
      </c>
      <c r="M289" s="16">
        <f>+[2]称号計算!S294</f>
        <v>0.78559999999999997</v>
      </c>
      <c r="N289" s="28">
        <f>+[2]称号計算!T294</f>
        <v>3.1300000000000001E-2</v>
      </c>
      <c r="O289" s="15">
        <f>+[2]称号計算!U294</f>
        <v>3.1300000000000001E-2</v>
      </c>
      <c r="P289" s="15">
        <f>+[2]称号計算!V294</f>
        <v>3.1300000000000001E-2</v>
      </c>
      <c r="Q289" s="15">
        <f>+[2]称号計算!W294</f>
        <v>3.1300000000000001E-2</v>
      </c>
      <c r="R289" s="15">
        <f>+[2]称号計算!X294</f>
        <v>8.3400000000000002E-2</v>
      </c>
      <c r="S289" s="16">
        <f>+[2]称号計算!Y294</f>
        <v>0.62549999999999994</v>
      </c>
      <c r="T289" s="20">
        <f>+[2]称号計算!Z294</f>
        <v>3.9485999999999999</v>
      </c>
      <c r="U289" s="16">
        <v>0.25</v>
      </c>
    </row>
    <row r="290" spans="1:21">
      <c r="A290" s="9" t="s">
        <v>1201</v>
      </c>
      <c r="B290" s="22" t="s">
        <v>1561</v>
      </c>
      <c r="C290" s="26">
        <f>+[2]称号計算!I295</f>
        <v>0.52380000000000004</v>
      </c>
      <c r="D290" s="10">
        <f>+[2]称号計算!J295</f>
        <v>1.4285000000000001</v>
      </c>
      <c r="E290" s="10">
        <f>+[2]称号計算!K295</f>
        <v>0.17319999999999999</v>
      </c>
      <c r="F290" s="10">
        <f>+[2]称号計算!L295</f>
        <v>2.1644000000000001</v>
      </c>
      <c r="G290" s="10">
        <f>+[2]称号計算!M295</f>
        <v>1.0669999999999999</v>
      </c>
      <c r="H290" s="11">
        <f>+[2]称号計算!N295</f>
        <v>1.6557999999999999</v>
      </c>
      <c r="I290" s="26">
        <f>+[2]称号計算!O295</f>
        <v>0.38090000000000002</v>
      </c>
      <c r="J290" s="11">
        <f>+[2]称号計算!P295</f>
        <v>0.51770000000000005</v>
      </c>
      <c r="K290" s="26">
        <f>+[2]称号計算!Q295</f>
        <v>0.41899999999999998</v>
      </c>
      <c r="L290" s="10">
        <f>+[2]称号計算!R295</f>
        <v>0.76190000000000002</v>
      </c>
      <c r="M290" s="11">
        <f>+[2]称号計算!S295</f>
        <v>0.76359999999999995</v>
      </c>
      <c r="N290" s="26">
        <f>+[2]称号計算!T295</f>
        <v>2.9600000000000001E-2</v>
      </c>
      <c r="O290" s="10">
        <f>+[2]称号計算!U295</f>
        <v>2.9600000000000001E-2</v>
      </c>
      <c r="P290" s="10">
        <f>+[2]称号計算!V295</f>
        <v>2.9600000000000001E-2</v>
      </c>
      <c r="Q290" s="10">
        <f>+[2]称号計算!W295</f>
        <v>2.9600000000000001E-2</v>
      </c>
      <c r="R290" s="10">
        <f>+[2]称号計算!X295</f>
        <v>7.8799999999999995E-2</v>
      </c>
      <c r="S290" s="11">
        <f>+[2]称号計算!Y295</f>
        <v>0.59130000000000005</v>
      </c>
      <c r="T290" s="18">
        <f>+[2]称号計算!Z295</f>
        <v>3.1758000000000002</v>
      </c>
      <c r="U290" s="11">
        <v>1</v>
      </c>
    </row>
    <row r="291" spans="1:21">
      <c r="A291" s="12" t="s">
        <v>1202</v>
      </c>
      <c r="B291" s="23" t="s">
        <v>1562</v>
      </c>
      <c r="C291" s="27">
        <f>+[2]称号計算!I296</f>
        <v>1.0542</v>
      </c>
      <c r="D291" s="5">
        <f>+[2]称号計算!J296</f>
        <v>1.5285</v>
      </c>
      <c r="E291" s="5">
        <f>+[2]称号計算!K296</f>
        <v>0.23960000000000001</v>
      </c>
      <c r="F291" s="5">
        <f>+[2]称号計算!L296</f>
        <v>2.3957999999999999</v>
      </c>
      <c r="G291" s="5">
        <f>+[2]称号計算!M296</f>
        <v>0.81459999999999999</v>
      </c>
      <c r="H291" s="13">
        <f>+[2]称号計算!N296</f>
        <v>0.97750000000000004</v>
      </c>
      <c r="I291" s="27">
        <f>+[2]称号計算!O296</f>
        <v>0.63249999999999995</v>
      </c>
      <c r="J291" s="13">
        <f>+[2]称号計算!P296</f>
        <v>0.58140000000000003</v>
      </c>
      <c r="K291" s="27">
        <f>+[2]称号計算!Q296</f>
        <v>0.44269999999999998</v>
      </c>
      <c r="L291" s="5">
        <f>+[2]称号計算!R296</f>
        <v>0.91039999999999999</v>
      </c>
      <c r="M291" s="13">
        <f>+[2]称号計算!S296</f>
        <v>0.77139999999999997</v>
      </c>
      <c r="N291" s="27">
        <f>+[2]称号計算!T296</f>
        <v>2.3199999999999998E-2</v>
      </c>
      <c r="O291" s="5">
        <f>+[2]称号計算!U296</f>
        <v>2.3199999999999998E-2</v>
      </c>
      <c r="P291" s="5">
        <f>+[2]称号計算!V296</f>
        <v>2.3199999999999998E-2</v>
      </c>
      <c r="Q291" s="5">
        <f>+[2]称号計算!W296</f>
        <v>2.3199999999999998E-2</v>
      </c>
      <c r="R291" s="5">
        <f>+[2]称号計算!X296</f>
        <v>0.46360000000000001</v>
      </c>
      <c r="S291" s="13">
        <f>+[2]称号計算!Y296</f>
        <v>6.1800000000000001E-2</v>
      </c>
      <c r="T291" s="19">
        <f>+[2]称号計算!Z296</f>
        <v>3.2770999999999999</v>
      </c>
      <c r="U291" s="13">
        <v>1</v>
      </c>
    </row>
    <row r="292" spans="1:21">
      <c r="A292" s="12" t="s">
        <v>1203</v>
      </c>
      <c r="B292" s="23" t="s">
        <v>1563</v>
      </c>
      <c r="C292" s="27">
        <f>+[2]称号計算!I297</f>
        <v>1.0924</v>
      </c>
      <c r="D292" s="5">
        <f>+[2]称号計算!J297</f>
        <v>1.2517</v>
      </c>
      <c r="E292" s="5">
        <f>+[2]称号計算!K297</f>
        <v>0.1603</v>
      </c>
      <c r="F292" s="5">
        <f>+[2]称号計算!L297</f>
        <v>2.5861999999999998</v>
      </c>
      <c r="G292" s="5">
        <f>+[2]称号計算!M297</f>
        <v>0.72099999999999997</v>
      </c>
      <c r="H292" s="13">
        <f>+[2]称号計算!N297</f>
        <v>0.80020000000000002</v>
      </c>
      <c r="I292" s="27">
        <f>+[2]称号計算!O297</f>
        <v>0.68279999999999996</v>
      </c>
      <c r="J292" s="13">
        <f>+[2]称号計算!P297</f>
        <v>0.71730000000000005</v>
      </c>
      <c r="K292" s="27">
        <f>+[2]称号計算!Q297</f>
        <v>0.5121</v>
      </c>
      <c r="L292" s="5">
        <f>+[2]称号計算!R297</f>
        <v>0.94140000000000001</v>
      </c>
      <c r="M292" s="13">
        <f>+[2]称号計算!S297</f>
        <v>1.3758999999999999</v>
      </c>
      <c r="N292" s="27">
        <f>+[2]称号計算!T297</f>
        <v>1.9900000000000001E-2</v>
      </c>
      <c r="O292" s="5">
        <f>+[2]称号計算!U297</f>
        <v>1.9900000000000001E-2</v>
      </c>
      <c r="P292" s="5">
        <f>+[2]称号計算!V297</f>
        <v>1.9900000000000001E-2</v>
      </c>
      <c r="Q292" s="5">
        <f>+[2]称号計算!W297</f>
        <v>1.9900000000000001E-2</v>
      </c>
      <c r="R292" s="5">
        <f>+[2]称号計算!X297</f>
        <v>5.3199999999999997E-2</v>
      </c>
      <c r="S292" s="13">
        <f>+[2]称号計算!Y297</f>
        <v>0.39900000000000002</v>
      </c>
      <c r="T292" s="19">
        <f>+[2]称号計算!Z297</f>
        <v>3.5234000000000001</v>
      </c>
      <c r="U292" s="13">
        <v>0.9</v>
      </c>
    </row>
    <row r="293" spans="1:21">
      <c r="A293" s="12" t="s">
        <v>1204</v>
      </c>
      <c r="B293" s="23" t="s">
        <v>1564</v>
      </c>
      <c r="C293" s="27">
        <f>+[2]称号計算!I298</f>
        <v>0.93430000000000002</v>
      </c>
      <c r="D293" s="5">
        <f>+[2]称号計算!J298</f>
        <v>0.3866</v>
      </c>
      <c r="E293" s="5">
        <f>+[2]称号計算!K298</f>
        <v>2.4407000000000001</v>
      </c>
      <c r="F293" s="5">
        <f>+[2]称号計算!L298</f>
        <v>0.15859999999999999</v>
      </c>
      <c r="G293" s="5">
        <f>+[2]称号計算!M298</f>
        <v>0.7137</v>
      </c>
      <c r="H293" s="13">
        <f>+[2]称号計算!N298</f>
        <v>0.63900000000000001</v>
      </c>
      <c r="I293" s="27">
        <f>+[2]称号計算!O298</f>
        <v>2.8995000000000002</v>
      </c>
      <c r="J293" s="13">
        <f>+[2]称号計算!P298</f>
        <v>0.85880000000000001</v>
      </c>
      <c r="K293" s="27">
        <f>+[2]称号計算!Q298</f>
        <v>0.59060000000000001</v>
      </c>
      <c r="L293" s="5">
        <f>+[2]称号計算!R298</f>
        <v>1.0153000000000001</v>
      </c>
      <c r="M293" s="13">
        <f>+[2]称号計算!S298</f>
        <v>0.69710000000000005</v>
      </c>
      <c r="N293" s="27">
        <f>+[2]称号計算!T298</f>
        <v>1.72E-2</v>
      </c>
      <c r="O293" s="5">
        <f>+[2]称号計算!U298</f>
        <v>1.72E-2</v>
      </c>
      <c r="P293" s="5">
        <f>+[2]称号計算!V298</f>
        <v>1.72E-2</v>
      </c>
      <c r="Q293" s="5">
        <f>+[2]称号計算!W298</f>
        <v>1.72E-2</v>
      </c>
      <c r="R293" s="5">
        <f>+[2]称号計算!X298</f>
        <v>4.5900000000000003E-2</v>
      </c>
      <c r="S293" s="13">
        <f>+[2]称号計算!Y298</f>
        <v>0.34460000000000002</v>
      </c>
      <c r="T293" s="19">
        <f>+[2]称号計算!Z298</f>
        <v>3.9984000000000002</v>
      </c>
      <c r="U293" s="13">
        <v>0.55000000000000004</v>
      </c>
    </row>
    <row r="294" spans="1:21">
      <c r="A294" s="12" t="s">
        <v>1205</v>
      </c>
      <c r="B294" s="23" t="s">
        <v>1565</v>
      </c>
      <c r="C294" s="27">
        <f>+[2]称号計算!I299</f>
        <v>1.2923</v>
      </c>
      <c r="D294" s="5">
        <f>+[2]称号計算!J299</f>
        <v>0.70230000000000004</v>
      </c>
      <c r="E294" s="5">
        <f>+[2]称号計算!K299</f>
        <v>3.1922999999999999</v>
      </c>
      <c r="F294" s="5">
        <f>+[2]称号計算!L299</f>
        <v>0.31919999999999998</v>
      </c>
      <c r="G294" s="5">
        <f>+[2]称号計算!M299</f>
        <v>1.0310999999999999</v>
      </c>
      <c r="H294" s="13">
        <f>+[2]称号計算!N299</f>
        <v>1.1396999999999999</v>
      </c>
      <c r="I294" s="27">
        <f>+[2]称号計算!O299</f>
        <v>0.70230000000000004</v>
      </c>
      <c r="J294" s="13">
        <f>+[2]称号計算!P299</f>
        <v>0.83</v>
      </c>
      <c r="K294" s="27">
        <f>+[2]称号計算!Q299</f>
        <v>0.56189999999999996</v>
      </c>
      <c r="L294" s="5">
        <f>+[2]称号計算!R299</f>
        <v>1.3408</v>
      </c>
      <c r="M294" s="13">
        <f>+[2]称号計算!S299</f>
        <v>0.71509999999999996</v>
      </c>
      <c r="N294" s="27">
        <f>+[2]称号計算!T299</f>
        <v>2.46E-2</v>
      </c>
      <c r="O294" s="5">
        <f>+[2]称号計算!U299</f>
        <v>2.46E-2</v>
      </c>
      <c r="P294" s="5">
        <f>+[2]称号計算!V299</f>
        <v>2.46E-2</v>
      </c>
      <c r="Q294" s="5">
        <f>+[2]称号計算!W299</f>
        <v>2.46E-2</v>
      </c>
      <c r="R294" s="5">
        <f>+[2]称号計算!X299</f>
        <v>0.49199999999999999</v>
      </c>
      <c r="S294" s="13">
        <f>+[2]称号計算!Y299</f>
        <v>6.5600000000000006E-2</v>
      </c>
      <c r="T294" s="19">
        <f>+[2]称号計算!Z299</f>
        <v>3.6795</v>
      </c>
      <c r="U294" s="13">
        <v>0.5</v>
      </c>
    </row>
    <row r="295" spans="1:21" ht="19.5" thickBot="1">
      <c r="A295" s="14" t="s">
        <v>1206</v>
      </c>
      <c r="B295" s="24" t="s">
        <v>1566</v>
      </c>
      <c r="C295" s="28">
        <f>+[2]称号計算!I300</f>
        <v>0.8226</v>
      </c>
      <c r="D295" s="15">
        <f>+[2]称号計算!J300</f>
        <v>1.3505</v>
      </c>
      <c r="E295" s="15">
        <f>+[2]称号計算!K300</f>
        <v>0.14510000000000001</v>
      </c>
      <c r="F295" s="15">
        <f>+[2]称号計算!L300</f>
        <v>2.7902999999999998</v>
      </c>
      <c r="G295" s="15">
        <f>+[2]称号計算!M300</f>
        <v>0.61660000000000004</v>
      </c>
      <c r="H295" s="16">
        <f>+[2]称号計算!N300</f>
        <v>0.75900000000000001</v>
      </c>
      <c r="I295" s="28">
        <f>+[2]称号計算!O300</f>
        <v>2.2099000000000002</v>
      </c>
      <c r="J295" s="16">
        <f>+[2]称号計算!P300</f>
        <v>0.89470000000000005</v>
      </c>
      <c r="K295" s="28">
        <f>+[2]称号計算!Q300</f>
        <v>0.50339999999999996</v>
      </c>
      <c r="L295" s="15">
        <f>+[2]称号計算!R300</f>
        <v>0.83709999999999996</v>
      </c>
      <c r="M295" s="16">
        <f>+[2]称号計算!S300</f>
        <v>1.3907</v>
      </c>
      <c r="N295" s="28">
        <f>+[2]称号計算!T300</f>
        <v>1.8700000000000001E-2</v>
      </c>
      <c r="O295" s="15">
        <f>+[2]称号計算!U300</f>
        <v>1.8700000000000001E-2</v>
      </c>
      <c r="P295" s="15">
        <f>+[2]称号計算!V300</f>
        <v>1.8700000000000001E-2</v>
      </c>
      <c r="Q295" s="15">
        <f>+[2]称号計算!W300</f>
        <v>1.8700000000000001E-2</v>
      </c>
      <c r="R295" s="15">
        <f>+[2]称号計算!X300</f>
        <v>0.3745</v>
      </c>
      <c r="S295" s="16">
        <f>+[2]称号計算!Y300</f>
        <v>4.99E-2</v>
      </c>
      <c r="T295" s="20">
        <f>+[2]称号計算!Z300</f>
        <v>3.867</v>
      </c>
      <c r="U295" s="16">
        <v>0.25</v>
      </c>
    </row>
    <row r="296" spans="1:21">
      <c r="A296" s="9" t="s">
        <v>1207</v>
      </c>
      <c r="B296" s="22" t="s">
        <v>1567</v>
      </c>
      <c r="C296" s="26">
        <f>+[2]称号計算!I301</f>
        <v>0.84</v>
      </c>
      <c r="D296" s="10">
        <f>+[2]称号計算!J301</f>
        <v>1.2384999999999999</v>
      </c>
      <c r="E296" s="10">
        <f>+[2]称号計算!K301</f>
        <v>0.24479999999999999</v>
      </c>
      <c r="F296" s="10">
        <f>+[2]称号計算!L301</f>
        <v>2.4476</v>
      </c>
      <c r="G296" s="10">
        <f>+[2]称号計算!M301</f>
        <v>0.62409999999999999</v>
      </c>
      <c r="H296" s="11">
        <f>+[2]称号計算!N301</f>
        <v>0.66569999999999996</v>
      </c>
      <c r="I296" s="26">
        <f>+[2]称号計算!O301</f>
        <v>1.1846000000000001</v>
      </c>
      <c r="J296" s="11">
        <f>+[2]称号計算!P301</f>
        <v>0.7</v>
      </c>
      <c r="K296" s="26">
        <f>+[2]称号計算!Q301</f>
        <v>0.47389999999999999</v>
      </c>
      <c r="L296" s="10">
        <f>+[2]称号計算!R301</f>
        <v>1.0769</v>
      </c>
      <c r="M296" s="11">
        <f>+[2]称号計算!S301</f>
        <v>0.75390000000000001</v>
      </c>
      <c r="N296" s="26">
        <f>+[2]称号計算!T301</f>
        <v>1.72E-2</v>
      </c>
      <c r="O296" s="10">
        <f>+[2]称号計算!U301</f>
        <v>1.72E-2</v>
      </c>
      <c r="P296" s="10">
        <f>+[2]称号計算!V301</f>
        <v>1.72E-2</v>
      </c>
      <c r="Q296" s="10">
        <f>+[2]称号計算!W301</f>
        <v>1.72E-2</v>
      </c>
      <c r="R296" s="10">
        <f>+[2]称号計算!X301</f>
        <v>0.34439999999999998</v>
      </c>
      <c r="S296" s="11">
        <f>+[2]称号計算!Y301</f>
        <v>4.5900000000000003E-2</v>
      </c>
      <c r="T296" s="18">
        <f>+[2]称号計算!Z301</f>
        <v>3.3028</v>
      </c>
      <c r="U296" s="11">
        <v>1</v>
      </c>
    </row>
    <row r="297" spans="1:21">
      <c r="A297" s="12" t="s">
        <v>1208</v>
      </c>
      <c r="B297" s="23" t="s">
        <v>1568</v>
      </c>
      <c r="C297" s="27">
        <f>+[2]称号計算!I302</f>
        <v>1.7644</v>
      </c>
      <c r="D297" s="5">
        <f>+[2]称号計算!J302</f>
        <v>1.3849</v>
      </c>
      <c r="E297" s="5">
        <f>+[2]称号計算!K302</f>
        <v>0.1515</v>
      </c>
      <c r="F297" s="5">
        <f>+[2]称号計算!L302</f>
        <v>2.3313999999999999</v>
      </c>
      <c r="G297" s="5">
        <f>+[2]称号計算!M302</f>
        <v>1.3</v>
      </c>
      <c r="H297" s="13">
        <f>+[2]称号計算!N302</f>
        <v>1.2286999999999999</v>
      </c>
      <c r="I297" s="27">
        <f>+[2]称号計算!O302</f>
        <v>0.35899999999999999</v>
      </c>
      <c r="J297" s="13">
        <f>+[2]称号計算!P302</f>
        <v>0.56579999999999997</v>
      </c>
      <c r="K297" s="27">
        <f>+[2]称号計算!Q302</f>
        <v>0.30769999999999997</v>
      </c>
      <c r="L297" s="5">
        <f>+[2]称号計算!R302</f>
        <v>0.5595</v>
      </c>
      <c r="M297" s="13">
        <f>+[2]称号計算!S302</f>
        <v>0.8095</v>
      </c>
      <c r="N297" s="27">
        <f>+[2]称号計算!T302</f>
        <v>3.1899999999999998E-2</v>
      </c>
      <c r="O297" s="5">
        <f>+[2]称号計算!U302</f>
        <v>3.1899999999999998E-2</v>
      </c>
      <c r="P297" s="5">
        <f>+[2]称号計算!V302</f>
        <v>3.1899999999999998E-2</v>
      </c>
      <c r="Q297" s="5">
        <f>+[2]称号計算!W302</f>
        <v>3.1899999999999998E-2</v>
      </c>
      <c r="R297" s="5">
        <f>+[2]称号計算!X302</f>
        <v>8.5000000000000006E-2</v>
      </c>
      <c r="S297" s="13">
        <f>+[2]称号計算!Y302</f>
        <v>0.6371</v>
      </c>
      <c r="T297" s="19">
        <f>+[2]称号計算!Z302</f>
        <v>3.0493999999999999</v>
      </c>
      <c r="U297" s="13">
        <v>1</v>
      </c>
    </row>
    <row r="298" spans="1:21">
      <c r="A298" s="12" t="s">
        <v>1209</v>
      </c>
      <c r="B298" s="23" t="s">
        <v>1569</v>
      </c>
      <c r="C298" s="27">
        <f>+[2]称号計算!I303</f>
        <v>1.2403</v>
      </c>
      <c r="D298" s="5">
        <f>+[2]称号計算!J303</f>
        <v>1.4883999999999999</v>
      </c>
      <c r="E298" s="5">
        <f>+[2]称号計算!K303</f>
        <v>0.1973</v>
      </c>
      <c r="F298" s="5">
        <f>+[2]称号計算!L303</f>
        <v>2.8189000000000002</v>
      </c>
      <c r="G298" s="5">
        <f>+[2]称号計算!M303</f>
        <v>0.92010000000000003</v>
      </c>
      <c r="H298" s="13">
        <f>+[2]称号計算!N303</f>
        <v>0.97760000000000002</v>
      </c>
      <c r="I298" s="27">
        <f>+[2]称号計算!O303</f>
        <v>0.55810000000000004</v>
      </c>
      <c r="J298" s="13">
        <f>+[2]称号計算!P303</f>
        <v>0.68400000000000005</v>
      </c>
      <c r="K298" s="27">
        <f>+[2]称号計算!Q303</f>
        <v>0.50849999999999995</v>
      </c>
      <c r="L298" s="5">
        <f>+[2]称号計算!R303</f>
        <v>1.0373000000000001</v>
      </c>
      <c r="M298" s="13">
        <f>+[2]称号計算!S303</f>
        <v>0.84450000000000003</v>
      </c>
      <c r="N298" s="27">
        <f>+[2]称号計算!T303</f>
        <v>3.3799999999999997E-2</v>
      </c>
      <c r="O298" s="5">
        <f>+[2]称号計算!U303</f>
        <v>3.3799999999999997E-2</v>
      </c>
      <c r="P298" s="5">
        <f>+[2]称号計算!V303</f>
        <v>3.3799999999999997E-2</v>
      </c>
      <c r="Q298" s="5">
        <f>+[2]称号計算!W303</f>
        <v>3.3799999999999997E-2</v>
      </c>
      <c r="R298" s="5">
        <f>+[2]称号計算!X303</f>
        <v>9.0200000000000002E-2</v>
      </c>
      <c r="S298" s="13">
        <f>+[2]称号計算!Y303</f>
        <v>0.67649999999999999</v>
      </c>
      <c r="T298" s="19">
        <f>+[2]称号計算!Z303</f>
        <v>3.5390999999999999</v>
      </c>
      <c r="U298" s="13">
        <v>0.9</v>
      </c>
    </row>
    <row r="299" spans="1:21">
      <c r="A299" s="12" t="s">
        <v>1210</v>
      </c>
      <c r="B299" s="23" t="s">
        <v>1570</v>
      </c>
      <c r="C299" s="27">
        <f>+[2]称号計算!I304</f>
        <v>1.6596</v>
      </c>
      <c r="D299" s="5">
        <f>+[2]称号計算!J304</f>
        <v>0.55320000000000003</v>
      </c>
      <c r="E299" s="5">
        <f>+[2]称号計算!K304</f>
        <v>2.794</v>
      </c>
      <c r="F299" s="5">
        <f>+[2]称号計算!L304</f>
        <v>0.27939999999999998</v>
      </c>
      <c r="G299" s="5">
        <f>+[2]称号計算!M304</f>
        <v>1.3299000000000001</v>
      </c>
      <c r="H299" s="13">
        <f>+[2]称号計算!N304</f>
        <v>0.94989999999999997</v>
      </c>
      <c r="I299" s="27">
        <f>+[2]称号計算!O304</f>
        <v>0.98350000000000004</v>
      </c>
      <c r="J299" s="13">
        <f>+[2]称号計算!P304</f>
        <v>0.77490000000000003</v>
      </c>
      <c r="K299" s="27">
        <f>+[2]称号計算!Q304</f>
        <v>0.66379999999999995</v>
      </c>
      <c r="L299" s="5">
        <f>+[2]称号計算!R304</f>
        <v>1.1735</v>
      </c>
      <c r="M299" s="13">
        <f>+[2]称号計算!S304</f>
        <v>0.62580000000000002</v>
      </c>
      <c r="N299" s="27">
        <f>+[2]称号計算!T304</f>
        <v>0.59409999999999996</v>
      </c>
      <c r="O299" s="5">
        <f>+[2]称号計算!U304</f>
        <v>0.1188</v>
      </c>
      <c r="P299" s="5">
        <f>+[2]称号計算!V304</f>
        <v>3.9600000000000003E-2</v>
      </c>
      <c r="Q299" s="5">
        <f>+[2]称号計算!W304</f>
        <v>3.9600000000000003E-2</v>
      </c>
      <c r="R299" s="5">
        <f>+[2]称号計算!X304</f>
        <v>2.9700000000000001E-2</v>
      </c>
      <c r="S299" s="13">
        <f>+[2]称号計算!Y304</f>
        <v>2.9700000000000001E-2</v>
      </c>
      <c r="T299" s="19">
        <f>+[2]称号計算!Z304</f>
        <v>4.1256000000000004</v>
      </c>
      <c r="U299" s="13">
        <v>0.55000000000000004</v>
      </c>
    </row>
    <row r="300" spans="1:21">
      <c r="A300" s="12" t="s">
        <v>1211</v>
      </c>
      <c r="B300" s="23" t="s">
        <v>1571</v>
      </c>
      <c r="C300" s="27">
        <f>+[2]称号計算!I305</f>
        <v>1.0462</v>
      </c>
      <c r="D300" s="5">
        <f>+[2]称号計算!J305</f>
        <v>0.4904</v>
      </c>
      <c r="E300" s="5">
        <f>+[2]称号計算!K305</f>
        <v>2.9721000000000002</v>
      </c>
      <c r="F300" s="5">
        <f>+[2]称号計算!L305</f>
        <v>0.22589999999999999</v>
      </c>
      <c r="G300" s="5">
        <f>+[2]称号計算!M305</f>
        <v>0.8286</v>
      </c>
      <c r="H300" s="13">
        <f>+[2]称号計算!N305</f>
        <v>0.76800000000000002</v>
      </c>
      <c r="I300" s="27">
        <f>+[2]称号計算!O305</f>
        <v>1.7000999999999999</v>
      </c>
      <c r="J300" s="13">
        <f>+[2]称号計算!P305</f>
        <v>0.87580000000000002</v>
      </c>
      <c r="K300" s="27">
        <f>+[2]称号計算!Q305</f>
        <v>0.78459999999999996</v>
      </c>
      <c r="L300" s="5">
        <f>+[2]称号計算!R305</f>
        <v>1.2602</v>
      </c>
      <c r="M300" s="13">
        <f>+[2]称号計算!S305</f>
        <v>1.3482000000000001</v>
      </c>
      <c r="N300" s="27">
        <f>+[2]称号計算!T305</f>
        <v>2.69E-2</v>
      </c>
      <c r="O300" s="5">
        <f>+[2]称号計算!U305</f>
        <v>2.69E-2</v>
      </c>
      <c r="P300" s="5">
        <f>+[2]称号計算!V305</f>
        <v>0.1009</v>
      </c>
      <c r="Q300" s="5">
        <f>+[2]称号計算!W305</f>
        <v>0.40339999999999998</v>
      </c>
      <c r="R300" s="5">
        <f>+[2]称号計算!X305</f>
        <v>2.0199999999999999E-2</v>
      </c>
      <c r="S300" s="13">
        <f>+[2]称号計算!Y305</f>
        <v>2.0199999999999999E-2</v>
      </c>
      <c r="T300" s="19">
        <f>+[2]称号計算!Z305</f>
        <v>4.51</v>
      </c>
      <c r="U300" s="13">
        <v>0.5</v>
      </c>
    </row>
    <row r="301" spans="1:21" ht="19.5" thickBot="1">
      <c r="A301" s="14" t="s">
        <v>1212</v>
      </c>
      <c r="B301" s="24" t="s">
        <v>1572</v>
      </c>
      <c r="C301" s="28">
        <f>+[2]称号計算!I306</f>
        <v>0.84599999999999997</v>
      </c>
      <c r="D301" s="15">
        <f>+[2]称号計算!J306</f>
        <v>1.3673999999999999</v>
      </c>
      <c r="E301" s="15">
        <f>+[2]称号計算!K306</f>
        <v>0.14749999999999999</v>
      </c>
      <c r="F301" s="15">
        <f>+[2]称号計算!L306</f>
        <v>2.6337000000000002</v>
      </c>
      <c r="G301" s="15">
        <f>+[2]称号計算!M306</f>
        <v>0.6895</v>
      </c>
      <c r="H301" s="16">
        <f>+[2]称号計算!N306</f>
        <v>0.7611</v>
      </c>
      <c r="I301" s="28">
        <f>+[2]称号計算!O306</f>
        <v>3.0129999999999999</v>
      </c>
      <c r="J301" s="16">
        <f>+[2]称号計算!P306</f>
        <v>0.89019999999999999</v>
      </c>
      <c r="K301" s="28">
        <f>+[2]称号計算!Q306</f>
        <v>0.63739999999999997</v>
      </c>
      <c r="L301" s="15">
        <f>+[2]称号計算!R306</f>
        <v>1.0007999999999999</v>
      </c>
      <c r="M301" s="16">
        <f>+[2]称号計算!S306</f>
        <v>0.82589999999999997</v>
      </c>
      <c r="N301" s="28">
        <f>+[2]称号計算!T306</f>
        <v>2.0500000000000001E-2</v>
      </c>
      <c r="O301" s="15">
        <f>+[2]称号計算!U306</f>
        <v>2.0500000000000001E-2</v>
      </c>
      <c r="P301" s="15">
        <f>+[2]称号計算!V306</f>
        <v>2.0500000000000001E-2</v>
      </c>
      <c r="Q301" s="15">
        <f>+[2]称号計算!W306</f>
        <v>2.0500000000000001E-2</v>
      </c>
      <c r="R301" s="15">
        <f>+[2]称号計算!X306</f>
        <v>5.4699999999999999E-2</v>
      </c>
      <c r="S301" s="16">
        <f>+[2]称号計算!Y306</f>
        <v>0.41</v>
      </c>
      <c r="T301" s="20">
        <f>+[2]称号計算!Z306</f>
        <v>4.5199999999999996</v>
      </c>
      <c r="U301" s="16">
        <v>0.25</v>
      </c>
    </row>
    <row r="302" spans="1:21">
      <c r="A302" s="9" t="s">
        <v>1213</v>
      </c>
      <c r="B302" s="22" t="s">
        <v>1573</v>
      </c>
      <c r="C302" s="26">
        <f>+[2]称号計算!I307</f>
        <v>0.7016</v>
      </c>
      <c r="D302" s="10">
        <f>+[2]称号計算!J307</f>
        <v>0.94359999999999999</v>
      </c>
      <c r="E302" s="10">
        <f>+[2]称号計算!K307</f>
        <v>0.13750000000000001</v>
      </c>
      <c r="F302" s="10">
        <f>+[2]称号計算!L307</f>
        <v>2.7494000000000001</v>
      </c>
      <c r="G302" s="10">
        <f>+[2]称号計算!M307</f>
        <v>0.59830000000000005</v>
      </c>
      <c r="H302" s="11">
        <f>+[2]称号計算!N307</f>
        <v>0.60760000000000003</v>
      </c>
      <c r="I302" s="26">
        <f>+[2]称号計算!O307</f>
        <v>0.96779999999999999</v>
      </c>
      <c r="J302" s="11">
        <f>+[2]称号計算!P307</f>
        <v>0.73870000000000002</v>
      </c>
      <c r="K302" s="26">
        <f>+[2]称号計算!Q307</f>
        <v>1.0162</v>
      </c>
      <c r="L302" s="10">
        <f>+[2]称号計算!R307</f>
        <v>1.4297</v>
      </c>
      <c r="M302" s="11">
        <f>+[2]称号計算!S307</f>
        <v>0.76980000000000004</v>
      </c>
      <c r="N302" s="26">
        <f>+[2]称号計算!T307</f>
        <v>1.3599999999999999E-2</v>
      </c>
      <c r="O302" s="10">
        <f>+[2]称号計算!U307</f>
        <v>1.3599999999999999E-2</v>
      </c>
      <c r="P302" s="10">
        <f>+[2]称号計算!V307</f>
        <v>1.3599999999999999E-2</v>
      </c>
      <c r="Q302" s="10">
        <f>+[2]称号計算!W307</f>
        <v>1.3599999999999999E-2</v>
      </c>
      <c r="R302" s="10">
        <f>+[2]称号計算!X307</f>
        <v>3.6400000000000002E-2</v>
      </c>
      <c r="S302" s="11">
        <f>+[2]称号計算!Y307</f>
        <v>0.27289999999999998</v>
      </c>
      <c r="T302" s="18">
        <f>+[2]称号計算!Z307</f>
        <v>4.6193</v>
      </c>
      <c r="U302" s="11">
        <v>1</v>
      </c>
    </row>
    <row r="303" spans="1:21">
      <c r="A303" s="12" t="s">
        <v>1214</v>
      </c>
      <c r="B303" s="23" t="s">
        <v>1574</v>
      </c>
      <c r="C303" s="27">
        <f>+[2]称号計算!I308</f>
        <v>1.2719</v>
      </c>
      <c r="D303" s="5">
        <f>+[2]称号計算!J308</f>
        <v>1.5330999999999999</v>
      </c>
      <c r="E303" s="5">
        <f>+[2]称号計算!K308</f>
        <v>0.17030000000000001</v>
      </c>
      <c r="F303" s="5">
        <f>+[2]称号計算!L308</f>
        <v>2.5811000000000002</v>
      </c>
      <c r="G303" s="5">
        <f>+[2]称号計算!M308</f>
        <v>1.7112000000000001</v>
      </c>
      <c r="H303" s="13">
        <f>+[2]称号計算!N308</f>
        <v>0.63180000000000003</v>
      </c>
      <c r="I303" s="27">
        <f>+[2]称号計算!O308</f>
        <v>0.62460000000000004</v>
      </c>
      <c r="J303" s="13">
        <f>+[2]称号計算!P308</f>
        <v>0.67110000000000003</v>
      </c>
      <c r="K303" s="27">
        <f>+[2]称号計算!Q308</f>
        <v>0.42020000000000002</v>
      </c>
      <c r="L303" s="5">
        <f>+[2]称号計算!R308</f>
        <v>0.8982</v>
      </c>
      <c r="M303" s="13">
        <f>+[2]称号計算!S308</f>
        <v>0.67930000000000001</v>
      </c>
      <c r="N303" s="27">
        <f>+[2]称号計算!T308</f>
        <v>2.8199999999999999E-2</v>
      </c>
      <c r="O303" s="5">
        <f>+[2]称号計算!U308</f>
        <v>2.8199999999999999E-2</v>
      </c>
      <c r="P303" s="5">
        <f>+[2]称号計算!V308</f>
        <v>2.8199999999999999E-2</v>
      </c>
      <c r="Q303" s="5">
        <f>+[2]称号計算!W308</f>
        <v>2.8199999999999999E-2</v>
      </c>
      <c r="R303" s="5">
        <f>+[2]称号計算!X308</f>
        <v>0.56410000000000005</v>
      </c>
      <c r="S303" s="13">
        <f>+[2]称号計算!Y308</f>
        <v>7.5200000000000003E-2</v>
      </c>
      <c r="T303" s="19">
        <f>+[2]称号計算!Z308</f>
        <v>3.3889999999999998</v>
      </c>
      <c r="U303" s="13">
        <v>1</v>
      </c>
    </row>
    <row r="304" spans="1:21">
      <c r="A304" s="12" t="s">
        <v>1215</v>
      </c>
      <c r="B304" s="23" t="s">
        <v>1575</v>
      </c>
      <c r="C304" s="27">
        <f>+[2]称号計算!I309</f>
        <v>1.107</v>
      </c>
      <c r="D304" s="5">
        <f>+[2]称号計算!J309</f>
        <v>1.2150000000000001</v>
      </c>
      <c r="E304" s="5">
        <f>+[2]称号計算!K309</f>
        <v>0.30680000000000002</v>
      </c>
      <c r="F304" s="5">
        <f>+[2]称号計算!L309</f>
        <v>3.0682</v>
      </c>
      <c r="G304" s="5">
        <f>+[2]称号計算!M309</f>
        <v>0.88670000000000004</v>
      </c>
      <c r="H304" s="13">
        <f>+[2]称号計算!N309</f>
        <v>1.0431999999999999</v>
      </c>
      <c r="I304" s="27">
        <f>+[2]称号計算!O309</f>
        <v>0.67500000000000004</v>
      </c>
      <c r="J304" s="13">
        <f>+[2]称号計算!P309</f>
        <v>0.79769999999999996</v>
      </c>
      <c r="K304" s="27">
        <f>+[2]称号計算!Q309</f>
        <v>0.54</v>
      </c>
      <c r="L304" s="5">
        <f>+[2]称号計算!R309</f>
        <v>1.2273000000000001</v>
      </c>
      <c r="M304" s="13">
        <f>+[2]称号計算!S309</f>
        <v>0.85909999999999997</v>
      </c>
      <c r="N304" s="27">
        <f>+[2]称号計算!T309</f>
        <v>2.8799999999999999E-2</v>
      </c>
      <c r="O304" s="5">
        <f>+[2]称号計算!U309</f>
        <v>2.8799999999999999E-2</v>
      </c>
      <c r="P304" s="5">
        <f>+[2]称号計算!V309</f>
        <v>0.43149999999999999</v>
      </c>
      <c r="Q304" s="5">
        <f>+[2]称号計算!W309</f>
        <v>0.1079</v>
      </c>
      <c r="R304" s="5">
        <f>+[2]称号計算!X309</f>
        <v>2.1600000000000001E-2</v>
      </c>
      <c r="S304" s="13">
        <f>+[2]称号計算!Y309</f>
        <v>2.1600000000000001E-2</v>
      </c>
      <c r="T304" s="19">
        <f>+[2]称号計算!Z309</f>
        <v>3.6480999999999999</v>
      </c>
      <c r="U304" s="13">
        <v>0.9</v>
      </c>
    </row>
    <row r="305" spans="1:21">
      <c r="A305" s="12" t="s">
        <v>1216</v>
      </c>
      <c r="B305" s="23" t="s">
        <v>1576</v>
      </c>
      <c r="C305" s="27">
        <f>+[2]称号計算!I310</f>
        <v>1.8146</v>
      </c>
      <c r="D305" s="5">
        <f>+[2]称号計算!J310</f>
        <v>0.50009999999999999</v>
      </c>
      <c r="E305" s="5">
        <f>+[2]称号計算!K310</f>
        <v>3.2473999999999998</v>
      </c>
      <c r="F305" s="5">
        <f>+[2]称号計算!L310</f>
        <v>0.21110000000000001</v>
      </c>
      <c r="G305" s="5">
        <f>+[2]称号計算!M310</f>
        <v>1.1593</v>
      </c>
      <c r="H305" s="13">
        <f>+[2]称号計算!N310</f>
        <v>0.97160000000000002</v>
      </c>
      <c r="I305" s="27">
        <f>+[2]称号計算!O310</f>
        <v>0.85729999999999995</v>
      </c>
      <c r="J305" s="13">
        <f>+[2]称号計算!P310</f>
        <v>1.2101999999999999</v>
      </c>
      <c r="K305" s="27">
        <f>+[2]称号計算!Q310</f>
        <v>0.47149999999999997</v>
      </c>
      <c r="L305" s="5">
        <f>+[2]称号計算!R310</f>
        <v>0.68840000000000001</v>
      </c>
      <c r="M305" s="13">
        <f>+[2]称号計算!S310</f>
        <v>1.1274999999999999</v>
      </c>
      <c r="N305" s="27">
        <f>+[2]称号計算!T310</f>
        <v>2.9399999999999999E-2</v>
      </c>
      <c r="O305" s="5">
        <f>+[2]称号計算!U310</f>
        <v>2.9399999999999999E-2</v>
      </c>
      <c r="P305" s="5">
        <f>+[2]称号計算!V310</f>
        <v>0.44130000000000003</v>
      </c>
      <c r="Q305" s="5">
        <f>+[2]称号計算!W310</f>
        <v>0.1103</v>
      </c>
      <c r="R305" s="5">
        <f>+[2]称号計算!X310</f>
        <v>2.2100000000000002E-2</v>
      </c>
      <c r="S305" s="13">
        <f>+[2]称号計算!Y310</f>
        <v>2.2100000000000002E-2</v>
      </c>
      <c r="T305" s="19">
        <f>+[2]称号計算!Z310</f>
        <v>3.5756000000000001</v>
      </c>
      <c r="U305" s="13">
        <v>0.55000000000000004</v>
      </c>
    </row>
    <row r="306" spans="1:21">
      <c r="A306" s="12" t="s">
        <v>1217</v>
      </c>
      <c r="B306" s="23" t="s">
        <v>1577</v>
      </c>
      <c r="C306" s="27">
        <f>+[2]称号計算!I311</f>
        <v>1.304</v>
      </c>
      <c r="D306" s="5">
        <f>+[2]称号計算!J311</f>
        <v>0.63780000000000003</v>
      </c>
      <c r="E306" s="5">
        <f>+[2]称号計算!K311</f>
        <v>3.2212999999999998</v>
      </c>
      <c r="F306" s="5">
        <f>+[2]称号計算!L311</f>
        <v>0.25769999999999998</v>
      </c>
      <c r="G306" s="5">
        <f>+[2]称号計算!M311</f>
        <v>1.0076000000000001</v>
      </c>
      <c r="H306" s="13">
        <f>+[2]称号計算!N311</f>
        <v>0.93089999999999995</v>
      </c>
      <c r="I306" s="27">
        <f>+[2]称号計算!O311</f>
        <v>0.99209999999999998</v>
      </c>
      <c r="J306" s="13">
        <f>+[2]称号計算!P311</f>
        <v>0.89339999999999997</v>
      </c>
      <c r="K306" s="27">
        <f>+[2]称号計算!Q311</f>
        <v>0.69450000000000001</v>
      </c>
      <c r="L306" s="5">
        <f>+[2]称号計算!R311</f>
        <v>1.2112000000000001</v>
      </c>
      <c r="M306" s="13">
        <f>+[2]称号計算!S311</f>
        <v>1.6415999999999999</v>
      </c>
      <c r="N306" s="27">
        <f>+[2]称号計算!T311</f>
        <v>2.1999999999999999E-2</v>
      </c>
      <c r="O306" s="5">
        <f>+[2]称号計算!U311</f>
        <v>2.1999999999999999E-2</v>
      </c>
      <c r="P306" s="5">
        <f>+[2]称号計算!V311</f>
        <v>2.1999999999999999E-2</v>
      </c>
      <c r="Q306" s="5">
        <f>+[2]称号計算!W311</f>
        <v>2.1999999999999999E-2</v>
      </c>
      <c r="R306" s="5">
        <f>+[2]称号計算!X311</f>
        <v>5.8700000000000002E-2</v>
      </c>
      <c r="S306" s="13">
        <f>+[2]称号計算!Y311</f>
        <v>0.44</v>
      </c>
      <c r="T306" s="19">
        <f>+[2]称号計算!Z311</f>
        <v>4.2995000000000001</v>
      </c>
      <c r="U306" s="13">
        <v>0.5</v>
      </c>
    </row>
    <row r="307" spans="1:21" ht="19.5" thickBot="1">
      <c r="A307" s="14" t="s">
        <v>1218</v>
      </c>
      <c r="B307" s="24" t="s">
        <v>1578</v>
      </c>
      <c r="C307" s="28">
        <f>+[2]称号計算!I312</f>
        <v>1.2545999999999999</v>
      </c>
      <c r="D307" s="15">
        <f>+[2]称号計算!J312</f>
        <v>1.3391999999999999</v>
      </c>
      <c r="E307" s="15">
        <f>+[2]称号計算!K312</f>
        <v>0.19220000000000001</v>
      </c>
      <c r="F307" s="15">
        <f>+[2]称号計算!L312</f>
        <v>3.2039</v>
      </c>
      <c r="G307" s="15">
        <f>+[2]称号計算!M312</f>
        <v>1.0022</v>
      </c>
      <c r="H307" s="16">
        <f>+[2]称号計算!N312</f>
        <v>0.99129999999999996</v>
      </c>
      <c r="I307" s="28">
        <f>+[2]称号計算!O312</f>
        <v>1.0572999999999999</v>
      </c>
      <c r="J307" s="16">
        <f>+[2]称号計算!P312</f>
        <v>0.83299999999999996</v>
      </c>
      <c r="K307" s="28">
        <f>+[2]称号計算!Q312</f>
        <v>0.874</v>
      </c>
      <c r="L307" s="15">
        <f>+[2]称号計算!R312</f>
        <v>1.4738</v>
      </c>
      <c r="M307" s="16">
        <f>+[2]称号計算!S312</f>
        <v>1.1033999999999999</v>
      </c>
      <c r="N307" s="28">
        <f>+[2]称号計算!T312</f>
        <v>3.4099999999999998E-2</v>
      </c>
      <c r="O307" s="15">
        <f>+[2]称号計算!U312</f>
        <v>3.4099999999999998E-2</v>
      </c>
      <c r="P307" s="15">
        <f>+[2]称号計算!V312</f>
        <v>0.51170000000000004</v>
      </c>
      <c r="Q307" s="15">
        <f>+[2]称号計算!W312</f>
        <v>0.12790000000000001</v>
      </c>
      <c r="R307" s="15">
        <f>+[2]称号計算!X312</f>
        <v>2.5600000000000001E-2</v>
      </c>
      <c r="S307" s="16">
        <f>+[2]称号計算!Y312</f>
        <v>2.5600000000000001E-2</v>
      </c>
      <c r="T307" s="20">
        <f>+[2]称号計算!Z312</f>
        <v>8.2911000000000001</v>
      </c>
      <c r="U307" s="16">
        <v>0.25</v>
      </c>
    </row>
    <row r="308" spans="1:21">
      <c r="A308" s="9" t="s">
        <v>1219</v>
      </c>
      <c r="B308" s="22" t="s">
        <v>1579</v>
      </c>
      <c r="C308" s="26">
        <f>+[2]称号計算!I313</f>
        <v>1.1466000000000001</v>
      </c>
      <c r="D308" s="10">
        <f>+[2]称号計算!J313</f>
        <v>1.893</v>
      </c>
      <c r="E308" s="10">
        <f>+[2]称号計算!K313</f>
        <v>0.1598</v>
      </c>
      <c r="F308" s="10">
        <f>+[2]称号計算!L313</f>
        <v>2.4584000000000001</v>
      </c>
      <c r="G308" s="10">
        <f>+[2]称号計算!M313</f>
        <v>0.64359999999999995</v>
      </c>
      <c r="H308" s="11">
        <f>+[2]称号計算!N313</f>
        <v>1.7135</v>
      </c>
      <c r="I308" s="26">
        <f>+[2]称号計算!O313</f>
        <v>0.48680000000000001</v>
      </c>
      <c r="J308" s="11">
        <f>+[2]称号計算!P313</f>
        <v>0.6179</v>
      </c>
      <c r="K308" s="26">
        <f>+[2]称号計算!Q313</f>
        <v>0.41110000000000002</v>
      </c>
      <c r="L308" s="10">
        <f>+[2]称号計算!R313</f>
        <v>0.82599999999999996</v>
      </c>
      <c r="M308" s="11">
        <f>+[2]称号計算!S313</f>
        <v>0.72970000000000002</v>
      </c>
      <c r="N308" s="26">
        <f>+[2]称号計算!T313</f>
        <v>4.02E-2</v>
      </c>
      <c r="O308" s="10">
        <f>+[2]称号計算!U313</f>
        <v>4.02E-2</v>
      </c>
      <c r="P308" s="10">
        <f>+[2]称号計算!V313</f>
        <v>0.60309999999999997</v>
      </c>
      <c r="Q308" s="10">
        <f>+[2]称号計算!W313</f>
        <v>0.15079999999999999</v>
      </c>
      <c r="R308" s="10">
        <f>+[2]称号計算!X313</f>
        <v>3.0200000000000001E-2</v>
      </c>
      <c r="S308" s="11">
        <f>+[2]称号計算!Y313</f>
        <v>3.0200000000000001E-2</v>
      </c>
      <c r="T308" s="18">
        <f>+[2]称号計算!Z313</f>
        <v>3.3875000000000002</v>
      </c>
      <c r="U308" s="11">
        <v>1</v>
      </c>
    </row>
    <row r="309" spans="1:21">
      <c r="A309" s="12" t="s">
        <v>1220</v>
      </c>
      <c r="B309" s="23" t="s">
        <v>1580</v>
      </c>
      <c r="C309" s="27">
        <f>+[2]称号計算!I314</f>
        <v>0.61860000000000004</v>
      </c>
      <c r="D309" s="5">
        <f>+[2]称号計算!J314</f>
        <v>1.6872</v>
      </c>
      <c r="E309" s="5">
        <f>+[2]称号計算!K314</f>
        <v>0.20449999999999999</v>
      </c>
      <c r="F309" s="5">
        <f>+[2]称号計算!L314</f>
        <v>2.5564</v>
      </c>
      <c r="G309" s="5">
        <f>+[2]称号計算!M314</f>
        <v>1.2603</v>
      </c>
      <c r="H309" s="13">
        <f>+[2]称号計算!N314</f>
        <v>1.9556</v>
      </c>
      <c r="I309" s="27">
        <f>+[2]称号計算!O314</f>
        <v>0.44990000000000002</v>
      </c>
      <c r="J309" s="13">
        <f>+[2]称号計算!P314</f>
        <v>0.61150000000000004</v>
      </c>
      <c r="K309" s="27">
        <f>+[2]称号計算!Q314</f>
        <v>0.49490000000000001</v>
      </c>
      <c r="L309" s="5">
        <f>+[2]称号計算!R314</f>
        <v>0.89980000000000004</v>
      </c>
      <c r="M309" s="13">
        <f>+[2]称号計算!S314</f>
        <v>0.90190000000000003</v>
      </c>
      <c r="N309" s="27">
        <f>+[2]称号計算!T314</f>
        <v>4.6600000000000003E-2</v>
      </c>
      <c r="O309" s="5">
        <f>+[2]称号計算!U314</f>
        <v>4.6600000000000003E-2</v>
      </c>
      <c r="P309" s="5">
        <f>+[2]称号計算!V314</f>
        <v>0.69840000000000002</v>
      </c>
      <c r="Q309" s="5">
        <f>+[2]称号計算!W314</f>
        <v>0.17460000000000001</v>
      </c>
      <c r="R309" s="5">
        <f>+[2]称号計算!X314</f>
        <v>3.49E-2</v>
      </c>
      <c r="S309" s="13">
        <f>+[2]称号計算!Y314</f>
        <v>3.49E-2</v>
      </c>
      <c r="T309" s="19">
        <f>+[2]称号計算!Z314</f>
        <v>3.7509000000000001</v>
      </c>
      <c r="U309" s="13">
        <v>1</v>
      </c>
    </row>
    <row r="310" spans="1:21">
      <c r="A310" s="12" t="s">
        <v>1221</v>
      </c>
      <c r="B310" s="23" t="s">
        <v>1581</v>
      </c>
      <c r="C310" s="27">
        <f>+[2]称号計算!I315</f>
        <v>1.2422</v>
      </c>
      <c r="D310" s="5">
        <f>+[2]称号計算!J315</f>
        <v>1.8012999999999999</v>
      </c>
      <c r="E310" s="5">
        <f>+[2]称号計算!K315</f>
        <v>0.2823</v>
      </c>
      <c r="F310" s="5">
        <f>+[2]称号計算!L315</f>
        <v>2.8233000000000001</v>
      </c>
      <c r="G310" s="5">
        <f>+[2]称号計算!M315</f>
        <v>0.95989999999999998</v>
      </c>
      <c r="H310" s="13">
        <f>+[2]称号計算!N315</f>
        <v>1.1518999999999999</v>
      </c>
      <c r="I310" s="27">
        <f>+[2]称号計算!O315</f>
        <v>0.74529999999999996</v>
      </c>
      <c r="J310" s="13">
        <f>+[2]称号計算!P315</f>
        <v>0.68510000000000004</v>
      </c>
      <c r="K310" s="27">
        <f>+[2]称号計算!Q315</f>
        <v>0.52170000000000005</v>
      </c>
      <c r="L310" s="5">
        <f>+[2]称号計算!R315</f>
        <v>1.0728</v>
      </c>
      <c r="M310" s="13">
        <f>+[2]称号計算!S315</f>
        <v>0.90910000000000002</v>
      </c>
      <c r="N310" s="27">
        <f>+[2]称号計算!T315</f>
        <v>3.6400000000000002E-2</v>
      </c>
      <c r="O310" s="5">
        <f>+[2]称号計算!U315</f>
        <v>3.6400000000000002E-2</v>
      </c>
      <c r="P310" s="5">
        <f>+[2]称号計算!V315</f>
        <v>0.54630000000000001</v>
      </c>
      <c r="Q310" s="5">
        <f>+[2]称号計算!W315</f>
        <v>0.1366</v>
      </c>
      <c r="R310" s="5">
        <f>+[2]称号計算!X315</f>
        <v>2.7300000000000001E-2</v>
      </c>
      <c r="S310" s="13">
        <f>+[2]称号計算!Y315</f>
        <v>2.7300000000000001E-2</v>
      </c>
      <c r="T310" s="19">
        <f>+[2]称号計算!Z315</f>
        <v>3.8618000000000001</v>
      </c>
      <c r="U310" s="13">
        <v>0.9</v>
      </c>
    </row>
    <row r="311" spans="1:21">
      <c r="A311" s="12" t="s">
        <v>1222</v>
      </c>
      <c r="B311" s="23" t="s">
        <v>1582</v>
      </c>
      <c r="C311" s="27">
        <f>+[2]称号計算!I316</f>
        <v>1.7299</v>
      </c>
      <c r="D311" s="5">
        <f>+[2]称号計算!J316</f>
        <v>0.76970000000000005</v>
      </c>
      <c r="E311" s="5">
        <f>+[2]称号計算!K316</f>
        <v>3.3319000000000001</v>
      </c>
      <c r="F311" s="5">
        <f>+[2]称号計算!L316</f>
        <v>0.23319999999999999</v>
      </c>
      <c r="G311" s="5">
        <f>+[2]称号計算!M316</f>
        <v>1.2914000000000001</v>
      </c>
      <c r="H311" s="13">
        <f>+[2]称号計算!N316</f>
        <v>1.2914000000000001</v>
      </c>
      <c r="I311" s="27">
        <f>+[2]称号計算!O316</f>
        <v>0.58640000000000003</v>
      </c>
      <c r="J311" s="13">
        <f>+[2]称号計算!P316</f>
        <v>0.82589999999999997</v>
      </c>
      <c r="K311" s="27">
        <f>+[2]称号計算!Q316</f>
        <v>0.63039999999999996</v>
      </c>
      <c r="L311" s="5">
        <f>+[2]称号計算!R316</f>
        <v>1.1728000000000001</v>
      </c>
      <c r="M311" s="13">
        <f>+[2]称号計算!S316</f>
        <v>0.88629999999999998</v>
      </c>
      <c r="N311" s="27">
        <f>+[2]称号計算!T316</f>
        <v>5.0999999999999997E-2</v>
      </c>
      <c r="O311" s="5">
        <f>+[2]称号計算!U316</f>
        <v>5.0999999999999997E-2</v>
      </c>
      <c r="P311" s="5">
        <f>+[2]称号計算!V316</f>
        <v>0.76500000000000001</v>
      </c>
      <c r="Q311" s="5">
        <f>+[2]称号計算!W316</f>
        <v>0.19120000000000001</v>
      </c>
      <c r="R311" s="5">
        <f>+[2]称号計算!X316</f>
        <v>3.8199999999999998E-2</v>
      </c>
      <c r="S311" s="13">
        <f>+[2]称号計算!Y316</f>
        <v>3.8199999999999998E-2</v>
      </c>
      <c r="T311" s="19">
        <f>+[2]称号計算!Z316</f>
        <v>4.0727000000000002</v>
      </c>
      <c r="U311" s="13">
        <v>0.55000000000000004</v>
      </c>
    </row>
    <row r="312" spans="1:21">
      <c r="A312" s="12" t="s">
        <v>1223</v>
      </c>
      <c r="B312" s="23" t="s">
        <v>1583</v>
      </c>
      <c r="C312" s="27">
        <f>+[2]称号計算!I317</f>
        <v>1.0966</v>
      </c>
      <c r="D312" s="5">
        <f>+[2]称号計算!J317</f>
        <v>0.45379999999999998</v>
      </c>
      <c r="E312" s="5">
        <f>+[2]称号計算!K317</f>
        <v>2.8647999999999998</v>
      </c>
      <c r="F312" s="5">
        <f>+[2]称号計算!L317</f>
        <v>0.1862</v>
      </c>
      <c r="G312" s="5">
        <f>+[2]称号計算!M317</f>
        <v>0.8377</v>
      </c>
      <c r="H312" s="13">
        <f>+[2]称号計算!N317</f>
        <v>0.75</v>
      </c>
      <c r="I312" s="27">
        <f>+[2]称号計算!O317</f>
        <v>3.4034</v>
      </c>
      <c r="J312" s="13">
        <f>+[2]称号計算!P317</f>
        <v>1.008</v>
      </c>
      <c r="K312" s="27">
        <f>+[2]称号計算!Q317</f>
        <v>0.69330000000000003</v>
      </c>
      <c r="L312" s="5">
        <f>+[2]称号計算!R317</f>
        <v>1.1918</v>
      </c>
      <c r="M312" s="13">
        <f>+[2]称号計算!S317</f>
        <v>0.81820000000000004</v>
      </c>
      <c r="N312" s="27">
        <f>+[2]称号計算!T317</f>
        <v>2.0199999999999999E-2</v>
      </c>
      <c r="O312" s="5">
        <f>+[2]称号計算!U317</f>
        <v>2.0199999999999999E-2</v>
      </c>
      <c r="P312" s="5">
        <f>+[2]称号計算!V317</f>
        <v>2.0199999999999999E-2</v>
      </c>
      <c r="Q312" s="5">
        <f>+[2]称号計算!W317</f>
        <v>2.0199999999999999E-2</v>
      </c>
      <c r="R312" s="5">
        <f>+[2]称号計算!X317</f>
        <v>0.40439999999999998</v>
      </c>
      <c r="S312" s="13">
        <f>+[2]称号計算!Y317</f>
        <v>5.3900000000000003E-2</v>
      </c>
      <c r="T312" s="19">
        <f>+[2]称号計算!Z317</f>
        <v>4.6932999999999998</v>
      </c>
      <c r="U312" s="13">
        <v>0.5</v>
      </c>
    </row>
    <row r="313" spans="1:21" ht="19.5" thickBot="1">
      <c r="A313" s="14" t="s">
        <v>1224</v>
      </c>
      <c r="B313" s="24" t="s">
        <v>1584</v>
      </c>
      <c r="C313" s="28">
        <f>+[2]称号計算!I318</f>
        <v>1.4373</v>
      </c>
      <c r="D313" s="15">
        <f>+[2]称号計算!J318</f>
        <v>1.581</v>
      </c>
      <c r="E313" s="15">
        <f>+[2]称号計算!K318</f>
        <v>0.32669999999999999</v>
      </c>
      <c r="F313" s="15">
        <f>+[2]称号計算!L318</f>
        <v>3.2665000000000002</v>
      </c>
      <c r="G313" s="15">
        <f>+[2]称号計算!M318</f>
        <v>1.0550999999999999</v>
      </c>
      <c r="H313" s="16">
        <f>+[2]称号計算!N318</f>
        <v>1.2217</v>
      </c>
      <c r="I313" s="28">
        <f>+[2]称号計算!O318</f>
        <v>1.0061</v>
      </c>
      <c r="J313" s="16">
        <f>+[2]称号計算!P318</f>
        <v>0.87760000000000005</v>
      </c>
      <c r="K313" s="28">
        <f>+[2]称号計算!Q318</f>
        <v>0.66110000000000002</v>
      </c>
      <c r="L313" s="15">
        <f>+[2]称号計算!R318</f>
        <v>1.4373</v>
      </c>
      <c r="M313" s="16">
        <f>+[2]称号計算!S318</f>
        <v>0.98780000000000001</v>
      </c>
      <c r="N313" s="28">
        <f>+[2]称号計算!T318</f>
        <v>2.4400000000000002E-2</v>
      </c>
      <c r="O313" s="15">
        <f>+[2]称号計算!U318</f>
        <v>2.4400000000000002E-2</v>
      </c>
      <c r="P313" s="15">
        <f>+[2]称号計算!V318</f>
        <v>2.4400000000000002E-2</v>
      </c>
      <c r="Q313" s="15">
        <f>+[2]称号計算!W318</f>
        <v>2.4400000000000002E-2</v>
      </c>
      <c r="R313" s="15">
        <f>+[2]称号計算!X318</f>
        <v>6.5000000000000002E-2</v>
      </c>
      <c r="S313" s="16">
        <f>+[2]称号計算!Y318</f>
        <v>0.48780000000000001</v>
      </c>
      <c r="T313" s="20">
        <f>+[2]称号計算!Z318</f>
        <v>4.5423999999999998</v>
      </c>
      <c r="U313" s="16">
        <v>0.25</v>
      </c>
    </row>
    <row r="314" spans="1:21">
      <c r="A314" s="9" t="s">
        <v>1225</v>
      </c>
      <c r="B314" s="22" t="s">
        <v>1585</v>
      </c>
      <c r="C314" s="26">
        <f>+[2]称号計算!I319</f>
        <v>1.3732</v>
      </c>
      <c r="D314" s="10">
        <f>+[2]称号計算!J319</f>
        <v>2.1579000000000002</v>
      </c>
      <c r="E314" s="10">
        <f>+[2]称号計算!K319</f>
        <v>0.18729999999999999</v>
      </c>
      <c r="F314" s="10">
        <f>+[2]称号計算!L319</f>
        <v>2.2292000000000001</v>
      </c>
      <c r="G314" s="10">
        <f>+[2]称号計算!M319</f>
        <v>0.72</v>
      </c>
      <c r="H314" s="11">
        <f>+[2]称号計算!N319</f>
        <v>1.2733000000000001</v>
      </c>
      <c r="I314" s="26">
        <f>+[2]称号計算!O319</f>
        <v>1.1279999999999999</v>
      </c>
      <c r="J314" s="11">
        <f>+[2]称号計算!P319</f>
        <v>0.75349999999999995</v>
      </c>
      <c r="K314" s="26">
        <f>+[2]称号計算!Q319</f>
        <v>0.2354</v>
      </c>
      <c r="L314" s="10">
        <f>+[2]称号計算!R319</f>
        <v>0.64200000000000002</v>
      </c>
      <c r="M314" s="11">
        <f>+[2]称号計算!S319</f>
        <v>0.83020000000000005</v>
      </c>
      <c r="N314" s="26">
        <f>+[2]称号計算!T319</f>
        <v>0.12180000000000001</v>
      </c>
      <c r="O314" s="10">
        <f>+[2]称号計算!U319</f>
        <v>0.60880000000000001</v>
      </c>
      <c r="P314" s="10">
        <f>+[2]称号計算!V319</f>
        <v>4.0599999999999997E-2</v>
      </c>
      <c r="Q314" s="10">
        <f>+[2]称号計算!W319</f>
        <v>4.0599999999999997E-2</v>
      </c>
      <c r="R314" s="10">
        <f>+[2]称号計算!X319</f>
        <v>3.04E-2</v>
      </c>
      <c r="S314" s="11">
        <f>+[2]称号計算!Y319</f>
        <v>3.04E-2</v>
      </c>
      <c r="T314" s="18">
        <f>+[2]称号計算!Z319</f>
        <v>3.0746000000000002</v>
      </c>
      <c r="U314" s="11">
        <v>1</v>
      </c>
    </row>
    <row r="315" spans="1:21">
      <c r="A315" s="12" t="s">
        <v>1226</v>
      </c>
      <c r="B315" s="23" t="s">
        <v>1586</v>
      </c>
      <c r="C315" s="27">
        <f>+[2]称号計算!I320</f>
        <v>0.99209999999999998</v>
      </c>
      <c r="D315" s="5">
        <f>+[2]称号計算!J320</f>
        <v>1.4628000000000001</v>
      </c>
      <c r="E315" s="5">
        <f>+[2]称号計算!K320</f>
        <v>0.28910000000000002</v>
      </c>
      <c r="F315" s="5">
        <f>+[2]称号計算!L320</f>
        <v>2.8908999999999998</v>
      </c>
      <c r="G315" s="5">
        <f>+[2]称号計算!M320</f>
        <v>0.73719999999999997</v>
      </c>
      <c r="H315" s="13">
        <f>+[2]称号計算!N320</f>
        <v>0.7863</v>
      </c>
      <c r="I315" s="27">
        <f>+[2]称号計算!O320</f>
        <v>1.3992</v>
      </c>
      <c r="J315" s="13">
        <f>+[2]称号計算!P320</f>
        <v>0.82679999999999998</v>
      </c>
      <c r="K315" s="27">
        <f>+[2]称号計算!Q320</f>
        <v>0.55969999999999998</v>
      </c>
      <c r="L315" s="5">
        <f>+[2]称号計算!R320</f>
        <v>1.272</v>
      </c>
      <c r="M315" s="13">
        <f>+[2]称号計算!S320</f>
        <v>0.89039999999999997</v>
      </c>
      <c r="N315" s="27">
        <f>+[2]称号計算!T320</f>
        <v>0.40679999999999999</v>
      </c>
      <c r="O315" s="5">
        <f>+[2]称号計算!U320</f>
        <v>8.14E-2</v>
      </c>
      <c r="P315" s="5">
        <f>+[2]称号計算!V320</f>
        <v>2.7099999999999999E-2</v>
      </c>
      <c r="Q315" s="5">
        <f>+[2]称号計算!W320</f>
        <v>2.7099999999999999E-2</v>
      </c>
      <c r="R315" s="5">
        <f>+[2]称号計算!X320</f>
        <v>2.0299999999999999E-2</v>
      </c>
      <c r="S315" s="13">
        <f>+[2]称号計算!Y320</f>
        <v>2.0299999999999999E-2</v>
      </c>
      <c r="T315" s="19">
        <f>+[2]称号計算!Z320</f>
        <v>3.9009</v>
      </c>
      <c r="U315" s="13">
        <v>1</v>
      </c>
    </row>
    <row r="316" spans="1:21">
      <c r="A316" s="12" t="s">
        <v>1227</v>
      </c>
      <c r="B316" s="23" t="s">
        <v>1587</v>
      </c>
      <c r="C316" s="27">
        <f>+[2]称号計算!I321</f>
        <v>2.0792999999999999</v>
      </c>
      <c r="D316" s="5">
        <f>+[2]称号計算!J321</f>
        <v>1.6319999999999999</v>
      </c>
      <c r="E316" s="5">
        <f>+[2]称号計算!K321</f>
        <v>0.17860000000000001</v>
      </c>
      <c r="F316" s="5">
        <f>+[2]称号計算!L321</f>
        <v>2.7473999999999998</v>
      </c>
      <c r="G316" s="5">
        <f>+[2]称号計算!M321</f>
        <v>1.532</v>
      </c>
      <c r="H316" s="13">
        <f>+[2]称号計算!N321</f>
        <v>1.4479</v>
      </c>
      <c r="I316" s="27">
        <f>+[2]称号計算!O321</f>
        <v>0.42309999999999998</v>
      </c>
      <c r="J316" s="13">
        <f>+[2]称号計算!P321</f>
        <v>0.66669999999999996</v>
      </c>
      <c r="K316" s="27">
        <f>+[2]称号計算!Q321</f>
        <v>0.36270000000000002</v>
      </c>
      <c r="L316" s="5">
        <f>+[2]称号計算!R321</f>
        <v>0.65939999999999999</v>
      </c>
      <c r="M316" s="13">
        <f>+[2]称号計算!S321</f>
        <v>0.95389999999999997</v>
      </c>
      <c r="N316" s="27">
        <f>+[2]称号計算!T321</f>
        <v>5.0099999999999999E-2</v>
      </c>
      <c r="O316" s="5">
        <f>+[2]称号計算!U321</f>
        <v>5.0099999999999999E-2</v>
      </c>
      <c r="P316" s="5">
        <f>+[2]称号計算!V321</f>
        <v>0.75080000000000002</v>
      </c>
      <c r="Q316" s="5">
        <f>+[2]称号計算!W321</f>
        <v>0.18770000000000001</v>
      </c>
      <c r="R316" s="5">
        <f>+[2]称号計算!X321</f>
        <v>3.7499999999999999E-2</v>
      </c>
      <c r="S316" s="13">
        <f>+[2]称号計算!Y321</f>
        <v>3.7499999999999999E-2</v>
      </c>
      <c r="T316" s="19">
        <f>+[2]称号計算!Z321</f>
        <v>3.5935000000000001</v>
      </c>
      <c r="U316" s="13">
        <v>0.9</v>
      </c>
    </row>
    <row r="317" spans="1:21">
      <c r="A317" s="12" t="s">
        <v>1228</v>
      </c>
      <c r="B317" s="23" t="s">
        <v>1588</v>
      </c>
      <c r="C317" s="27">
        <f>+[2]称号計算!I322</f>
        <v>3.0125999999999999</v>
      </c>
      <c r="D317" s="5">
        <f>+[2]称号計算!J322</f>
        <v>0.44090000000000001</v>
      </c>
      <c r="E317" s="5">
        <f>+[2]称号計算!K322</f>
        <v>3.3399000000000001</v>
      </c>
      <c r="F317" s="5">
        <f>+[2]称号計算!L322</f>
        <v>0.30059999999999998</v>
      </c>
      <c r="G317" s="5">
        <f>+[2]称号計算!M322</f>
        <v>1.7261</v>
      </c>
      <c r="H317" s="13">
        <f>+[2]称号計算!N322</f>
        <v>1.4762</v>
      </c>
      <c r="I317" s="27">
        <f>+[2]称号計算!O322</f>
        <v>0.3674</v>
      </c>
      <c r="J317" s="13">
        <f>+[2]称号計算!P322</f>
        <v>0.78149999999999997</v>
      </c>
      <c r="K317" s="27">
        <f>+[2]称号計算!Q322</f>
        <v>0.33800000000000002</v>
      </c>
      <c r="L317" s="5">
        <f>+[2]称号計算!R322</f>
        <v>0.68130000000000002</v>
      </c>
      <c r="M317" s="13">
        <f>+[2]称号計算!S322</f>
        <v>0.79490000000000005</v>
      </c>
      <c r="N317" s="27">
        <f>+[2]称号計算!T322</f>
        <v>0.63639999999999997</v>
      </c>
      <c r="O317" s="5">
        <f>+[2]称号計算!U322</f>
        <v>0.1273</v>
      </c>
      <c r="P317" s="5">
        <f>+[2]称号計算!V322</f>
        <v>4.24E-2</v>
      </c>
      <c r="Q317" s="5">
        <f>+[2]称号計算!W322</f>
        <v>4.24E-2</v>
      </c>
      <c r="R317" s="5">
        <f>+[2]称号計算!X322</f>
        <v>3.1800000000000002E-2</v>
      </c>
      <c r="S317" s="13">
        <f>+[2]称号計算!Y322</f>
        <v>3.1800000000000002E-2</v>
      </c>
      <c r="T317" s="19">
        <f>+[2]称号計算!Z322</f>
        <v>3.4990000000000001</v>
      </c>
      <c r="U317" s="13">
        <v>0.55000000000000004</v>
      </c>
    </row>
    <row r="318" spans="1:21">
      <c r="A318" s="12" t="s">
        <v>1229</v>
      </c>
      <c r="B318" s="23" t="s">
        <v>1589</v>
      </c>
      <c r="C318" s="27">
        <f>+[2]称号計算!I323</f>
        <v>1.948</v>
      </c>
      <c r="D318" s="5">
        <f>+[2]称号計算!J323</f>
        <v>0.64929999999999999</v>
      </c>
      <c r="E318" s="5">
        <f>+[2]称号計算!K323</f>
        <v>3.2795000000000001</v>
      </c>
      <c r="F318" s="5">
        <f>+[2]称号計算!L323</f>
        <v>0.32790000000000002</v>
      </c>
      <c r="G318" s="5">
        <f>+[2]称号計算!M323</f>
        <v>1.5609999999999999</v>
      </c>
      <c r="H318" s="13">
        <f>+[2]称号計算!N323</f>
        <v>1.115</v>
      </c>
      <c r="I318" s="27">
        <f>+[2]称号計算!O323</f>
        <v>1.1544000000000001</v>
      </c>
      <c r="J318" s="13">
        <f>+[2]称号計算!P323</f>
        <v>0.90949999999999998</v>
      </c>
      <c r="K318" s="27">
        <f>+[2]称号計算!Q323</f>
        <v>0.7792</v>
      </c>
      <c r="L318" s="5">
        <f>+[2]称号計算!R323</f>
        <v>1.3774</v>
      </c>
      <c r="M318" s="13">
        <f>+[2]称号計算!S323</f>
        <v>0.73460000000000003</v>
      </c>
      <c r="N318" s="27">
        <f>+[2]称号計算!T323</f>
        <v>0.13950000000000001</v>
      </c>
      <c r="O318" s="5">
        <f>+[2]称号計算!U323</f>
        <v>0.69730000000000003</v>
      </c>
      <c r="P318" s="5">
        <f>+[2]称号計算!V323</f>
        <v>4.65E-2</v>
      </c>
      <c r="Q318" s="5">
        <f>+[2]称号計算!W323</f>
        <v>4.65E-2</v>
      </c>
      <c r="R318" s="5">
        <f>+[2]称号計算!X323</f>
        <v>3.49E-2</v>
      </c>
      <c r="S318" s="13">
        <f>+[2]称号計算!Y323</f>
        <v>3.49E-2</v>
      </c>
      <c r="T318" s="19">
        <f>+[2]称号計算!Z323</f>
        <v>4.8426</v>
      </c>
      <c r="U318" s="13">
        <v>0.5</v>
      </c>
    </row>
    <row r="319" spans="1:21" ht="19.5" thickBot="1">
      <c r="A319" s="14" t="s">
        <v>1230</v>
      </c>
      <c r="B319" s="24" t="s">
        <v>1590</v>
      </c>
      <c r="C319" s="28">
        <f>+[2]称号計算!I324</f>
        <v>1.1808000000000001</v>
      </c>
      <c r="D319" s="15">
        <f>+[2]称号計算!J324</f>
        <v>1.5159</v>
      </c>
      <c r="E319" s="15">
        <f>+[2]称号計算!K324</f>
        <v>0.23569999999999999</v>
      </c>
      <c r="F319" s="15">
        <f>+[2]称号計算!L324</f>
        <v>3.6265999999999998</v>
      </c>
      <c r="G319" s="15">
        <f>+[2]称号計算!M324</f>
        <v>0.88780000000000003</v>
      </c>
      <c r="H319" s="16">
        <f>+[2]称号計算!N324</f>
        <v>1.0358000000000001</v>
      </c>
      <c r="I319" s="28">
        <f>+[2]称号計算!O324</f>
        <v>0.79790000000000005</v>
      </c>
      <c r="J319" s="16">
        <f>+[2]称号計算!P324</f>
        <v>0.88009999999999999</v>
      </c>
      <c r="K319" s="28">
        <f>+[2]称号計算!Q324</f>
        <v>1.0690999999999999</v>
      </c>
      <c r="L319" s="15">
        <f>+[2]称号計算!R324</f>
        <v>2.2484999999999999</v>
      </c>
      <c r="M319" s="16">
        <f>+[2]称号計算!S324</f>
        <v>0.93420000000000003</v>
      </c>
      <c r="N319" s="28">
        <f>+[2]称号計算!T324</f>
        <v>2.0799999999999999E-2</v>
      </c>
      <c r="O319" s="15">
        <f>+[2]称号計算!U324</f>
        <v>2.0799999999999999E-2</v>
      </c>
      <c r="P319" s="15">
        <f>+[2]称号計算!V324</f>
        <v>2.0799999999999999E-2</v>
      </c>
      <c r="Q319" s="15">
        <f>+[2]称号計算!W324</f>
        <v>2.0799999999999999E-2</v>
      </c>
      <c r="R319" s="15">
        <f>+[2]称号計算!X324</f>
        <v>0.41510000000000002</v>
      </c>
      <c r="S319" s="16">
        <f>+[2]称号計算!Y324</f>
        <v>5.5300000000000002E-2</v>
      </c>
      <c r="T319" s="20">
        <f>+[2]称号計算!Z324</f>
        <v>5.5648</v>
      </c>
      <c r="U319" s="16">
        <v>0.25</v>
      </c>
    </row>
    <row r="320" spans="1:21">
      <c r="A320" s="9" t="s">
        <v>1231</v>
      </c>
      <c r="B320" s="22" t="s">
        <v>1591</v>
      </c>
      <c r="C320" s="26">
        <f>+[2]称号計算!I325</f>
        <v>1.4539</v>
      </c>
      <c r="D320" s="10">
        <f>+[2]称号計算!J325</f>
        <v>1.2116</v>
      </c>
      <c r="E320" s="10">
        <f>+[2]称号計算!K325</f>
        <v>0.27539999999999998</v>
      </c>
      <c r="F320" s="10">
        <f>+[2]称号計算!L325</f>
        <v>2.7536</v>
      </c>
      <c r="G320" s="10">
        <f>+[2]称号計算!M325</f>
        <v>1.2171000000000001</v>
      </c>
      <c r="H320" s="11">
        <f>+[2]称号計算!N325</f>
        <v>0.79579999999999995</v>
      </c>
      <c r="I320" s="26">
        <f>+[2]称号計算!O325</f>
        <v>0.96930000000000005</v>
      </c>
      <c r="J320" s="11">
        <f>+[2]称号計算!P325</f>
        <v>0.76370000000000005</v>
      </c>
      <c r="K320" s="26">
        <f>+[2]称号計算!Q325</f>
        <v>0.67849999999999999</v>
      </c>
      <c r="L320" s="10">
        <f>+[2]称号計算!R325</f>
        <v>1.1013999999999999</v>
      </c>
      <c r="M320" s="11">
        <f>+[2]称号計算!S325</f>
        <v>0.77100000000000002</v>
      </c>
      <c r="N320" s="26">
        <f>+[2]称号計算!T325</f>
        <v>0.1017</v>
      </c>
      <c r="O320" s="10">
        <f>+[2]称号計算!U325</f>
        <v>0.50839999999999996</v>
      </c>
      <c r="P320" s="10">
        <f>+[2]称号計算!V325</f>
        <v>3.39E-2</v>
      </c>
      <c r="Q320" s="10">
        <f>+[2]称号計算!W325</f>
        <v>3.39E-2</v>
      </c>
      <c r="R320" s="10">
        <f>+[2]称号計算!X325</f>
        <v>2.5399999999999999E-2</v>
      </c>
      <c r="S320" s="11">
        <f>+[2]称号計算!Y325</f>
        <v>2.5399999999999999E-2</v>
      </c>
      <c r="T320" s="18">
        <f>+[2]称号計算!Z325</f>
        <v>4.2634999999999996</v>
      </c>
      <c r="U320" s="11">
        <v>1</v>
      </c>
    </row>
    <row r="321" spans="1:21">
      <c r="A321" s="12" t="s">
        <v>1232</v>
      </c>
      <c r="B321" s="23" t="s">
        <v>1592</v>
      </c>
      <c r="C321" s="27">
        <f>+[2]称号計算!I326</f>
        <v>0.82869999999999999</v>
      </c>
      <c r="D321" s="5">
        <f>+[2]称号計算!J326</f>
        <v>1.1145</v>
      </c>
      <c r="E321" s="5">
        <f>+[2]称号計算!K326</f>
        <v>0.16239999999999999</v>
      </c>
      <c r="F321" s="5">
        <f>+[2]称号計算!L326</f>
        <v>3.2473000000000001</v>
      </c>
      <c r="G321" s="5">
        <f>+[2]称号計算!M326</f>
        <v>0.70660000000000001</v>
      </c>
      <c r="H321" s="13">
        <f>+[2]称号計算!N326</f>
        <v>0.7177</v>
      </c>
      <c r="I321" s="27">
        <f>+[2]称号計算!O326</f>
        <v>1.143</v>
      </c>
      <c r="J321" s="13">
        <f>+[2]称号計算!P326</f>
        <v>0.87239999999999995</v>
      </c>
      <c r="K321" s="27">
        <f>+[2]称号計算!Q326</f>
        <v>1.2001999999999999</v>
      </c>
      <c r="L321" s="5">
        <f>+[2]称号計算!R326</f>
        <v>1.6886000000000001</v>
      </c>
      <c r="M321" s="13">
        <f>+[2]称号計算!S326</f>
        <v>0.90920000000000001</v>
      </c>
      <c r="N321" s="27">
        <f>+[2]称号計算!T326</f>
        <v>0.32229999999999998</v>
      </c>
      <c r="O321" s="5">
        <f>+[2]称号計算!U326</f>
        <v>6.4500000000000002E-2</v>
      </c>
      <c r="P321" s="5">
        <f>+[2]称号計算!V326</f>
        <v>2.1499999999999998E-2</v>
      </c>
      <c r="Q321" s="5">
        <f>+[2]称号計算!W326</f>
        <v>2.1499999999999998E-2</v>
      </c>
      <c r="R321" s="5">
        <f>+[2]称号計算!X326</f>
        <v>1.61E-2</v>
      </c>
      <c r="S321" s="13">
        <f>+[2]称号計算!Y326</f>
        <v>1.61E-2</v>
      </c>
      <c r="T321" s="19">
        <f>+[2]称号計算!Z326</f>
        <v>5.4558999999999997</v>
      </c>
      <c r="U321" s="13">
        <v>1</v>
      </c>
    </row>
    <row r="322" spans="1:21">
      <c r="A322" s="12" t="s">
        <v>1233</v>
      </c>
      <c r="B322" s="23" t="s">
        <v>1593</v>
      </c>
      <c r="C322" s="27">
        <f>+[2]称号計算!I327</f>
        <v>1.4988999999999999</v>
      </c>
      <c r="D322" s="5">
        <f>+[2]称号計算!J327</f>
        <v>1.8067</v>
      </c>
      <c r="E322" s="5">
        <f>+[2]称号計算!K327</f>
        <v>0.20069999999999999</v>
      </c>
      <c r="F322" s="5">
        <f>+[2]称号計算!L327</f>
        <v>3.0415999999999999</v>
      </c>
      <c r="G322" s="5">
        <f>+[2]称号計算!M327</f>
        <v>2.0165999999999999</v>
      </c>
      <c r="H322" s="13">
        <f>+[2]称号計算!N327</f>
        <v>0.74460000000000004</v>
      </c>
      <c r="I322" s="27">
        <f>+[2]称号計算!O327</f>
        <v>0.73609999999999998</v>
      </c>
      <c r="J322" s="13">
        <f>+[2]称号計算!P327</f>
        <v>0.79079999999999995</v>
      </c>
      <c r="K322" s="27">
        <f>+[2]称号計算!Q327</f>
        <v>0.49519999999999997</v>
      </c>
      <c r="L322" s="5">
        <f>+[2]称号計算!R327</f>
        <v>1.0585</v>
      </c>
      <c r="M322" s="13">
        <f>+[2]称号計算!S327</f>
        <v>0.80049999999999999</v>
      </c>
      <c r="N322" s="27">
        <f>+[2]称号計算!T327</f>
        <v>4.4299999999999999E-2</v>
      </c>
      <c r="O322" s="5">
        <f>+[2]称号計算!U327</f>
        <v>4.4299999999999999E-2</v>
      </c>
      <c r="P322" s="5">
        <f>+[2]称号計算!V327</f>
        <v>0.66479999999999995</v>
      </c>
      <c r="Q322" s="5">
        <f>+[2]称号計算!W327</f>
        <v>0.16619999999999999</v>
      </c>
      <c r="R322" s="5">
        <f>+[2]称号計算!X327</f>
        <v>3.32E-2</v>
      </c>
      <c r="S322" s="13">
        <f>+[2]称号計算!Y327</f>
        <v>3.32E-2</v>
      </c>
      <c r="T322" s="19">
        <f>+[2]称号計算!Z327</f>
        <v>3.9937</v>
      </c>
      <c r="U322" s="13">
        <v>0.9</v>
      </c>
    </row>
    <row r="323" spans="1:21">
      <c r="A323" s="12" t="s">
        <v>1234</v>
      </c>
      <c r="B323" s="23" t="s">
        <v>1594</v>
      </c>
      <c r="C323" s="27">
        <f>+[2]称号計算!I328</f>
        <v>1.7997000000000001</v>
      </c>
      <c r="D323" s="5">
        <f>+[2]称号計算!J328</f>
        <v>0.63739999999999997</v>
      </c>
      <c r="E323" s="5">
        <f>+[2]称号計算!K328</f>
        <v>3.4085000000000001</v>
      </c>
      <c r="F323" s="5">
        <f>+[2]称号計算!L328</f>
        <v>0.34079999999999999</v>
      </c>
      <c r="G323" s="5">
        <f>+[2]称号計算!M328</f>
        <v>1.5065</v>
      </c>
      <c r="H323" s="13">
        <f>+[2]称号計算!N328</f>
        <v>0.98499999999999999</v>
      </c>
      <c r="I323" s="27">
        <f>+[2]称号計算!O328</f>
        <v>1.1998</v>
      </c>
      <c r="J323" s="13">
        <f>+[2]称号計算!P328</f>
        <v>0.94530000000000003</v>
      </c>
      <c r="K323" s="27">
        <f>+[2]称号計算!Q328</f>
        <v>0.83979999999999999</v>
      </c>
      <c r="L323" s="5">
        <f>+[2]称号計算!R328</f>
        <v>1.3633999999999999</v>
      </c>
      <c r="M323" s="13">
        <f>+[2]称号計算!S328</f>
        <v>0.76349999999999996</v>
      </c>
      <c r="N323" s="27">
        <f>+[2]称号計算!T328</f>
        <v>0.62880000000000003</v>
      </c>
      <c r="O323" s="5">
        <f>+[2]称号計算!U328</f>
        <v>0.1258</v>
      </c>
      <c r="P323" s="5">
        <f>+[2]称号計算!V328</f>
        <v>4.19E-2</v>
      </c>
      <c r="Q323" s="5">
        <f>+[2]称号計算!W328</f>
        <v>4.19E-2</v>
      </c>
      <c r="R323" s="5">
        <f>+[2]称号計算!X328</f>
        <v>3.1399999999999997E-2</v>
      </c>
      <c r="S323" s="13">
        <f>+[2]称号計算!Y328</f>
        <v>3.1399999999999997E-2</v>
      </c>
      <c r="T323" s="19">
        <f>+[2]称号計算!Z328</f>
        <v>4.9029999999999996</v>
      </c>
      <c r="U323" s="13">
        <v>0.55000000000000004</v>
      </c>
    </row>
    <row r="324" spans="1:21">
      <c r="A324" s="12" t="s">
        <v>1235</v>
      </c>
      <c r="B324" s="23" t="s">
        <v>1595</v>
      </c>
      <c r="C324" s="27">
        <f>+[2]称号計算!I329</f>
        <v>2.13</v>
      </c>
      <c r="D324" s="5">
        <f>+[2]称号計算!J329</f>
        <v>0.58699999999999997</v>
      </c>
      <c r="E324" s="5">
        <f>+[2]称号計算!K329</f>
        <v>3.8117000000000001</v>
      </c>
      <c r="F324" s="5">
        <f>+[2]称号計算!L329</f>
        <v>0.24779999999999999</v>
      </c>
      <c r="G324" s="5">
        <f>+[2]称号計算!M329</f>
        <v>1.3608</v>
      </c>
      <c r="H324" s="13">
        <f>+[2]称号計算!N329</f>
        <v>1.1405000000000001</v>
      </c>
      <c r="I324" s="27">
        <f>+[2]称号計算!O329</f>
        <v>1.0063</v>
      </c>
      <c r="J324" s="13">
        <f>+[2]称号計算!P329</f>
        <v>1.4205000000000001</v>
      </c>
      <c r="K324" s="27">
        <f>+[2]称号計算!Q329</f>
        <v>0.55349999999999999</v>
      </c>
      <c r="L324" s="5">
        <f>+[2]称号計算!R329</f>
        <v>0.80810000000000004</v>
      </c>
      <c r="M324" s="13">
        <f>+[2]称号計算!S329</f>
        <v>1.3233999999999999</v>
      </c>
      <c r="N324" s="27">
        <f>+[2]称号計算!T329</f>
        <v>0.1036</v>
      </c>
      <c r="O324" s="5">
        <f>+[2]称号計算!U329</f>
        <v>0.51800000000000002</v>
      </c>
      <c r="P324" s="5">
        <f>+[2]称号計算!V329</f>
        <v>3.4500000000000003E-2</v>
      </c>
      <c r="Q324" s="5">
        <f>+[2]称号計算!W329</f>
        <v>3.4500000000000003E-2</v>
      </c>
      <c r="R324" s="5">
        <f>+[2]称号計算!X329</f>
        <v>2.5899999999999999E-2</v>
      </c>
      <c r="S324" s="13">
        <f>+[2]称号計算!Y329</f>
        <v>2.5899999999999999E-2</v>
      </c>
      <c r="T324" s="19">
        <f>+[2]称号計算!Z329</f>
        <v>4.1969000000000003</v>
      </c>
      <c r="U324" s="13">
        <v>0.5</v>
      </c>
    </row>
    <row r="325" spans="1:21" ht="19.5" thickBot="1">
      <c r="A325" s="14" t="s">
        <v>1236</v>
      </c>
      <c r="B325" s="24" t="s">
        <v>1596</v>
      </c>
      <c r="C325" s="28">
        <f>+[2]称号計算!I330</f>
        <v>1.9041999999999999</v>
      </c>
      <c r="D325" s="15">
        <f>+[2]称号計算!J330</f>
        <v>1.4133</v>
      </c>
      <c r="E325" s="15">
        <f>+[2]称号計算!K330</f>
        <v>0.28739999999999999</v>
      </c>
      <c r="F325" s="15">
        <f>+[2]称号計算!L330</f>
        <v>3.3809999999999998</v>
      </c>
      <c r="G325" s="15">
        <f>+[2]称号計算!M330</f>
        <v>1.4139999999999999</v>
      </c>
      <c r="H325" s="16">
        <f>+[2]称号計算!N330</f>
        <v>1.2875000000000001</v>
      </c>
      <c r="I325" s="28">
        <f>+[2]称号計算!O330</f>
        <v>1.0414000000000001</v>
      </c>
      <c r="J325" s="16">
        <f>+[2]称号計算!P330</f>
        <v>0.87909999999999999</v>
      </c>
      <c r="K325" s="28">
        <f>+[2]称号計算!Q330</f>
        <v>0.83309999999999995</v>
      </c>
      <c r="L325" s="15">
        <f>+[2]称号計算!R330</f>
        <v>1.9610000000000001</v>
      </c>
      <c r="M325" s="16">
        <f>+[2]称号計算!S330</f>
        <v>0.58689999999999998</v>
      </c>
      <c r="N325" s="28">
        <f>+[2]称号計算!T330</f>
        <v>3.3599999999999998E-2</v>
      </c>
      <c r="O325" s="15">
        <f>+[2]称号計算!U330</f>
        <v>3.3599999999999998E-2</v>
      </c>
      <c r="P325" s="15">
        <f>+[2]称号計算!V330</f>
        <v>3.3599999999999998E-2</v>
      </c>
      <c r="Q325" s="15">
        <f>+[2]称号計算!W330</f>
        <v>3.3599999999999998E-2</v>
      </c>
      <c r="R325" s="15">
        <f>+[2]称号計算!X330</f>
        <v>0.67149999999999999</v>
      </c>
      <c r="S325" s="16">
        <f>+[2]称号計算!Y330</f>
        <v>8.9499999999999996E-2</v>
      </c>
      <c r="T325" s="20">
        <f>+[2]称号計算!Z330</f>
        <v>5.3293999999999997</v>
      </c>
      <c r="U325" s="16">
        <v>0.25</v>
      </c>
    </row>
    <row r="326" spans="1:21">
      <c r="A326" s="9" t="s">
        <v>1237</v>
      </c>
      <c r="B326" s="22" t="s">
        <v>1597</v>
      </c>
      <c r="C326" s="26">
        <f>+[2]称号計算!I331</f>
        <v>1.1960999999999999</v>
      </c>
      <c r="D326" s="10">
        <f>+[2]称号計算!J331</f>
        <v>2.1031</v>
      </c>
      <c r="E326" s="10">
        <f>+[2]称号計算!K331</f>
        <v>0.224</v>
      </c>
      <c r="F326" s="10">
        <f>+[2]称号計算!L331</f>
        <v>2.9872999999999998</v>
      </c>
      <c r="G326" s="10">
        <f>+[2]称号計算!M331</f>
        <v>0.89380000000000004</v>
      </c>
      <c r="H326" s="11">
        <f>+[2]称号計算!N331</f>
        <v>0.96489999999999998</v>
      </c>
      <c r="I326" s="26">
        <f>+[2]称号計算!O331</f>
        <v>0.52580000000000005</v>
      </c>
      <c r="J326" s="11">
        <f>+[2]称号計算!P331</f>
        <v>1.1392</v>
      </c>
      <c r="K326" s="26">
        <f>+[2]称号計算!Q331</f>
        <v>0.43380000000000002</v>
      </c>
      <c r="L326" s="10">
        <f>+[2]称号計算!R331</f>
        <v>0.76480000000000004</v>
      </c>
      <c r="M326" s="11">
        <f>+[2]称号計算!S331</f>
        <v>1.238</v>
      </c>
      <c r="N326" s="26">
        <f>+[2]称号計算!T331</f>
        <v>8.9800000000000005E-2</v>
      </c>
      <c r="O326" s="10">
        <f>+[2]称号計算!U331</f>
        <v>0.44890000000000002</v>
      </c>
      <c r="P326" s="10">
        <f>+[2]称号計算!V331</f>
        <v>2.9899999999999999E-2</v>
      </c>
      <c r="Q326" s="10">
        <f>+[2]称号計算!W331</f>
        <v>2.9899999999999999E-2</v>
      </c>
      <c r="R326" s="10">
        <f>+[2]称号計算!X331</f>
        <v>2.24E-2</v>
      </c>
      <c r="S326" s="11">
        <f>+[2]称号計算!Y331</f>
        <v>2.24E-2</v>
      </c>
      <c r="T326" s="18">
        <f>+[2]称号計算!Z331</f>
        <v>3.6373000000000002</v>
      </c>
      <c r="U326" s="11">
        <v>1</v>
      </c>
    </row>
    <row r="327" spans="1:21">
      <c r="A327" s="12" t="s">
        <v>1238</v>
      </c>
      <c r="B327" s="23" t="s">
        <v>1598</v>
      </c>
      <c r="C327" s="27">
        <f>+[2]称号計算!I332</f>
        <v>1.3543000000000001</v>
      </c>
      <c r="D327" s="5">
        <f>+[2]称号計算!J332</f>
        <v>2.2357999999999998</v>
      </c>
      <c r="E327" s="5">
        <f>+[2]称号計算!K332</f>
        <v>0.18870000000000001</v>
      </c>
      <c r="F327" s="5">
        <f>+[2]称号計算!L332</f>
        <v>2.9037000000000002</v>
      </c>
      <c r="G327" s="5">
        <f>+[2]称号計算!M332</f>
        <v>0.76019999999999999</v>
      </c>
      <c r="H327" s="13">
        <f>+[2]称号計算!N332</f>
        <v>2.0238999999999998</v>
      </c>
      <c r="I327" s="27">
        <f>+[2]称号計算!O332</f>
        <v>0.57489999999999997</v>
      </c>
      <c r="J327" s="13">
        <f>+[2]称号計算!P332</f>
        <v>0.7298</v>
      </c>
      <c r="K327" s="27">
        <f>+[2]称号計算!Q332</f>
        <v>0.48549999999999999</v>
      </c>
      <c r="L327" s="5">
        <f>+[2]称号計算!R332</f>
        <v>0.97560000000000002</v>
      </c>
      <c r="M327" s="13">
        <f>+[2]称号計算!S332</f>
        <v>0.86180000000000001</v>
      </c>
      <c r="N327" s="27">
        <f>+[2]称号計算!T332</f>
        <v>0.71230000000000004</v>
      </c>
      <c r="O327" s="5">
        <f>+[2]称号計算!U332</f>
        <v>0.14249999999999999</v>
      </c>
      <c r="P327" s="5">
        <f>+[2]称号計算!V332</f>
        <v>4.7500000000000001E-2</v>
      </c>
      <c r="Q327" s="5">
        <f>+[2]称号計算!W332</f>
        <v>4.7500000000000001E-2</v>
      </c>
      <c r="R327" s="5">
        <f>+[2]称号計算!X332</f>
        <v>3.56E-2</v>
      </c>
      <c r="S327" s="13">
        <f>+[2]称号計算!Y332</f>
        <v>3.56E-2</v>
      </c>
      <c r="T327" s="19">
        <f>+[2]称号計算!Z332</f>
        <v>4.0010000000000003</v>
      </c>
      <c r="U327" s="13">
        <v>1</v>
      </c>
    </row>
    <row r="328" spans="1:21">
      <c r="A328" s="12" t="s">
        <v>1239</v>
      </c>
      <c r="B328" s="23" t="s">
        <v>1599</v>
      </c>
      <c r="C328" s="27">
        <f>+[2]称号計算!I333</f>
        <v>0.72899999999999998</v>
      </c>
      <c r="D328" s="5">
        <f>+[2]称号計算!J333</f>
        <v>1.9883</v>
      </c>
      <c r="E328" s="5">
        <f>+[2]称号計算!K333</f>
        <v>0.24099999999999999</v>
      </c>
      <c r="F328" s="5">
        <f>+[2]称号計算!L333</f>
        <v>3.0125000000000002</v>
      </c>
      <c r="G328" s="5">
        <f>+[2]称号計算!M333</f>
        <v>1.4852000000000001</v>
      </c>
      <c r="H328" s="13">
        <f>+[2]称号計算!N333</f>
        <v>2.3046000000000002</v>
      </c>
      <c r="I328" s="27">
        <f>+[2]称号計算!O333</f>
        <v>0.5302</v>
      </c>
      <c r="J328" s="13">
        <f>+[2]称号計算!P333</f>
        <v>0.72060000000000002</v>
      </c>
      <c r="K328" s="27">
        <f>+[2]称号計算!Q333</f>
        <v>0.58320000000000005</v>
      </c>
      <c r="L328" s="5">
        <f>+[2]称号計算!R333</f>
        <v>1.0604</v>
      </c>
      <c r="M328" s="13">
        <f>+[2]称号計算!S333</f>
        <v>1.0628</v>
      </c>
      <c r="N328" s="27">
        <f>+[2]称号計算!T333</f>
        <v>5.4899999999999997E-2</v>
      </c>
      <c r="O328" s="5">
        <f>+[2]称号計算!U333</f>
        <v>5.4899999999999997E-2</v>
      </c>
      <c r="P328" s="5">
        <f>+[2]称号計算!V333</f>
        <v>0.82310000000000005</v>
      </c>
      <c r="Q328" s="5">
        <f>+[2]称号計算!W333</f>
        <v>0.20580000000000001</v>
      </c>
      <c r="R328" s="5">
        <f>+[2]称号計算!X333</f>
        <v>4.1200000000000001E-2</v>
      </c>
      <c r="S328" s="13">
        <f>+[2]称号計算!Y333</f>
        <v>4.1200000000000001E-2</v>
      </c>
      <c r="T328" s="19">
        <f>+[2]称号計算!Z333</f>
        <v>4.4202000000000004</v>
      </c>
      <c r="U328" s="13">
        <v>0.9</v>
      </c>
    </row>
    <row r="329" spans="1:21">
      <c r="A329" s="12" t="s">
        <v>1240</v>
      </c>
      <c r="B329" s="23" t="s">
        <v>1600</v>
      </c>
      <c r="C329" s="27">
        <f>+[2]称号計算!I334</f>
        <v>0.99729999999999996</v>
      </c>
      <c r="D329" s="5">
        <f>+[2]称号計算!J334</f>
        <v>0.36820000000000003</v>
      </c>
      <c r="E329" s="5">
        <f>+[2]称号計算!K334</f>
        <v>3.4872000000000001</v>
      </c>
      <c r="F329" s="5">
        <f>+[2]称号計算!L334</f>
        <v>0.22670000000000001</v>
      </c>
      <c r="G329" s="5">
        <f>+[2]称号計算!M334</f>
        <v>0.73509999999999998</v>
      </c>
      <c r="H329" s="13">
        <f>+[2]称号計算!N334</f>
        <v>0.80620000000000003</v>
      </c>
      <c r="I329" s="27">
        <f>+[2]称号計算!O334</f>
        <v>2.7618</v>
      </c>
      <c r="J329" s="13">
        <f>+[2]称号計算!P334</f>
        <v>1.2693000000000001</v>
      </c>
      <c r="K329" s="27">
        <f>+[2]称号計算!Q334</f>
        <v>0.96660000000000001</v>
      </c>
      <c r="L329" s="5">
        <f>+[2]称号計算!R334</f>
        <v>1.8831</v>
      </c>
      <c r="M329" s="13">
        <f>+[2]称号計算!S334</f>
        <v>0.8397</v>
      </c>
      <c r="N329" s="27">
        <f>+[2]称号計算!T334</f>
        <v>0.3901</v>
      </c>
      <c r="O329" s="5">
        <f>+[2]称号計算!U334</f>
        <v>7.8E-2</v>
      </c>
      <c r="P329" s="5">
        <f>+[2]称号計算!V334</f>
        <v>2.5999999999999999E-2</v>
      </c>
      <c r="Q329" s="5">
        <f>+[2]称号計算!W334</f>
        <v>2.5999999999999999E-2</v>
      </c>
      <c r="R329" s="5">
        <f>+[2]称号計算!X334</f>
        <v>1.95E-2</v>
      </c>
      <c r="S329" s="13">
        <f>+[2]称号計算!Y334</f>
        <v>1.95E-2</v>
      </c>
      <c r="T329" s="19">
        <f>+[2]称号計算!Z334</f>
        <v>5.3780000000000001</v>
      </c>
      <c r="U329" s="13">
        <v>0.55000000000000004</v>
      </c>
    </row>
    <row r="330" spans="1:21">
      <c r="A330" s="12" t="s">
        <v>1241</v>
      </c>
      <c r="B330" s="23" t="s">
        <v>1601</v>
      </c>
      <c r="C330" s="27">
        <f>+[2]称号計算!I335</f>
        <v>2.0305</v>
      </c>
      <c r="D330" s="5">
        <f>+[2]称号計算!J335</f>
        <v>0.90339999999999998</v>
      </c>
      <c r="E330" s="5">
        <f>+[2]称号計算!K335</f>
        <v>3.9108999999999998</v>
      </c>
      <c r="F330" s="5">
        <f>+[2]称号計算!L335</f>
        <v>0.27379999999999999</v>
      </c>
      <c r="G330" s="5">
        <f>+[2]称号計算!M335</f>
        <v>1.5159</v>
      </c>
      <c r="H330" s="13">
        <f>+[2]称号計算!N335</f>
        <v>1.5159</v>
      </c>
      <c r="I330" s="27">
        <f>+[2]称号計算!O335</f>
        <v>0.68830000000000002</v>
      </c>
      <c r="J330" s="13">
        <f>+[2]称号計算!P335</f>
        <v>0.96940000000000004</v>
      </c>
      <c r="K330" s="27">
        <f>+[2]称号計算!Q335</f>
        <v>0.7399</v>
      </c>
      <c r="L330" s="5">
        <f>+[2]称号計算!R335</f>
        <v>1.3766</v>
      </c>
      <c r="M330" s="13">
        <f>+[2]称号計算!S335</f>
        <v>1.0403</v>
      </c>
      <c r="N330" s="27">
        <f>+[2]称号計算!T335</f>
        <v>0.17960000000000001</v>
      </c>
      <c r="O330" s="5">
        <f>+[2]称号計算!U335</f>
        <v>0.89790000000000003</v>
      </c>
      <c r="P330" s="5">
        <f>+[2]称号計算!V335</f>
        <v>5.9900000000000002E-2</v>
      </c>
      <c r="Q330" s="5">
        <f>+[2]称号計算!W335</f>
        <v>5.9900000000000002E-2</v>
      </c>
      <c r="R330" s="5">
        <f>+[2]称号計算!X335</f>
        <v>4.4900000000000002E-2</v>
      </c>
      <c r="S330" s="13">
        <f>+[2]称号計算!Y335</f>
        <v>4.4900000000000002E-2</v>
      </c>
      <c r="T330" s="19">
        <f>+[2]称号計算!Z335</f>
        <v>4.7804000000000002</v>
      </c>
      <c r="U330" s="13">
        <v>0.5</v>
      </c>
    </row>
    <row r="331" spans="1:21" ht="19.5" thickBot="1">
      <c r="A331" s="14" t="s">
        <v>1242</v>
      </c>
      <c r="B331" s="24" t="s">
        <v>1602</v>
      </c>
      <c r="C331" s="28">
        <f>+[2]称号計算!I336</f>
        <v>1.468</v>
      </c>
      <c r="D331" s="15">
        <f>+[2]称号計算!J336</f>
        <v>3.7768000000000002</v>
      </c>
      <c r="E331" s="15">
        <f>+[2]称号計算!K336</f>
        <v>0.22670000000000001</v>
      </c>
      <c r="F331" s="15">
        <f>+[2]称号計算!L336</f>
        <v>3.2391000000000001</v>
      </c>
      <c r="G331" s="15">
        <f>+[2]称号計算!M336</f>
        <v>1.0572999999999999</v>
      </c>
      <c r="H331" s="16">
        <f>+[2]称号計算!N336</f>
        <v>1.2995000000000001</v>
      </c>
      <c r="I331" s="28">
        <f>+[2]称号計算!O336</f>
        <v>0.9264</v>
      </c>
      <c r="J331" s="16">
        <f>+[2]称号計算!P336</f>
        <v>0.81410000000000005</v>
      </c>
      <c r="K331" s="28">
        <f>+[2]称号計算!Q336</f>
        <v>0.59860000000000002</v>
      </c>
      <c r="L331" s="15">
        <f>+[2]称号計算!R336</f>
        <v>1.1660999999999999</v>
      </c>
      <c r="M331" s="16">
        <f>+[2]称号計算!S336</f>
        <v>1.0158</v>
      </c>
      <c r="N331" s="28">
        <f>+[2]称号計算!T336</f>
        <v>3.3700000000000001E-2</v>
      </c>
      <c r="O331" s="15">
        <f>+[2]称号計算!U336</f>
        <v>3.3700000000000001E-2</v>
      </c>
      <c r="P331" s="15">
        <f>+[2]称号計算!V336</f>
        <v>3.3700000000000001E-2</v>
      </c>
      <c r="Q331" s="15">
        <f>+[2]称号計算!W336</f>
        <v>3.3700000000000001E-2</v>
      </c>
      <c r="R331" s="15">
        <f>+[2]称号計算!X336</f>
        <v>0.6734</v>
      </c>
      <c r="S331" s="16">
        <f>+[2]称号計算!Y336</f>
        <v>8.9800000000000005E-2</v>
      </c>
      <c r="T331" s="20">
        <f>+[2]称号計算!Z336</f>
        <v>4.9363000000000001</v>
      </c>
      <c r="U331" s="16">
        <v>0.25</v>
      </c>
    </row>
    <row r="332" spans="1:21">
      <c r="A332" s="9" t="s">
        <v>1243</v>
      </c>
      <c r="B332" s="22" t="s">
        <v>1603</v>
      </c>
      <c r="C332" s="26">
        <f>+[2]称号計算!I337</f>
        <v>1.0568</v>
      </c>
      <c r="D332" s="10">
        <f>+[2]称号計算!J337</f>
        <v>1.7398</v>
      </c>
      <c r="E332" s="10">
        <f>+[2]称号計算!K337</f>
        <v>0.1757</v>
      </c>
      <c r="F332" s="10">
        <f>+[2]称号計算!L337</f>
        <v>2.9289999999999998</v>
      </c>
      <c r="G332" s="10">
        <f>+[2]称号計算!M337</f>
        <v>0.80659999999999998</v>
      </c>
      <c r="H332" s="11">
        <f>+[2]称号計算!N337</f>
        <v>0.86639999999999995</v>
      </c>
      <c r="I332" s="26">
        <f>+[2]称号計算!O337</f>
        <v>1.5465</v>
      </c>
      <c r="J332" s="11">
        <f>+[2]称号計算!P337</f>
        <v>1.2946</v>
      </c>
      <c r="K332" s="26">
        <f>+[2]称号計算!Q337</f>
        <v>0.59279999999999999</v>
      </c>
      <c r="L332" s="10">
        <f>+[2]称号計算!R337</f>
        <v>0.79669999999999996</v>
      </c>
      <c r="M332" s="11">
        <f>+[2]称号計算!S337</f>
        <v>1.1646000000000001</v>
      </c>
      <c r="N332" s="26">
        <f>+[2]称号計算!T337</f>
        <v>0.40460000000000002</v>
      </c>
      <c r="O332" s="10">
        <f>+[2]称号計算!U337</f>
        <v>8.09E-2</v>
      </c>
      <c r="P332" s="10">
        <f>+[2]称号計算!V337</f>
        <v>2.7E-2</v>
      </c>
      <c r="Q332" s="10">
        <f>+[2]称号計算!W337</f>
        <v>2.7E-2</v>
      </c>
      <c r="R332" s="10">
        <f>+[2]称号計算!X337</f>
        <v>2.0199999999999999E-2</v>
      </c>
      <c r="S332" s="11">
        <f>+[2]称号計算!Y337</f>
        <v>2.0199999999999999E-2</v>
      </c>
      <c r="T332" s="18">
        <f>+[2]称号計算!Z337</f>
        <v>4.2511000000000001</v>
      </c>
      <c r="U332" s="11">
        <v>0.55000000000000004</v>
      </c>
    </row>
    <row r="333" spans="1:21">
      <c r="A333" s="12" t="s">
        <v>1244</v>
      </c>
      <c r="B333" s="23" t="s">
        <v>1604</v>
      </c>
      <c r="C333" s="27">
        <f>+[2]称号計算!I338</f>
        <v>1.6218999999999999</v>
      </c>
      <c r="D333" s="5">
        <f>+[2]称号計算!J338</f>
        <v>2.5487000000000002</v>
      </c>
      <c r="E333" s="5">
        <f>+[2]称号計算!K338</f>
        <v>0.22120000000000001</v>
      </c>
      <c r="F333" s="5">
        <f>+[2]称号計算!L338</f>
        <v>2.6328999999999998</v>
      </c>
      <c r="G333" s="5">
        <f>+[2]称号計算!M338</f>
        <v>0.85040000000000004</v>
      </c>
      <c r="H333" s="13">
        <f>+[2]称号計算!N338</f>
        <v>1.5039</v>
      </c>
      <c r="I333" s="27">
        <f>+[2]称号計算!O338</f>
        <v>1.3323</v>
      </c>
      <c r="J333" s="13">
        <f>+[2]称号計算!P338</f>
        <v>0.88990000000000002</v>
      </c>
      <c r="K333" s="27">
        <f>+[2]称号計算!Q338</f>
        <v>0.27800000000000002</v>
      </c>
      <c r="L333" s="5">
        <f>+[2]称号計算!R338</f>
        <v>0.75829999999999997</v>
      </c>
      <c r="M333" s="13">
        <f>+[2]称号計算!S338</f>
        <v>0.98050000000000004</v>
      </c>
      <c r="N333" s="27">
        <f>+[2]称号計算!T338</f>
        <v>0.14380000000000001</v>
      </c>
      <c r="O333" s="5">
        <f>+[2]称号計算!U338</f>
        <v>0.71899999999999997</v>
      </c>
      <c r="P333" s="5">
        <f>+[2]称号計算!V338</f>
        <v>4.7899999999999998E-2</v>
      </c>
      <c r="Q333" s="5">
        <f>+[2]称号計算!W338</f>
        <v>4.7899999999999998E-2</v>
      </c>
      <c r="R333" s="5">
        <f>+[2]称号計算!X338</f>
        <v>3.5999999999999997E-2</v>
      </c>
      <c r="S333" s="13">
        <f>+[2]称号計算!Y338</f>
        <v>3.5999999999999997E-2</v>
      </c>
      <c r="T333" s="19">
        <f>+[2]称号計算!Z338</f>
        <v>3.6315</v>
      </c>
      <c r="U333" s="13">
        <v>0.5</v>
      </c>
    </row>
    <row r="334" spans="1:21">
      <c r="A334" s="12" t="s">
        <v>1245</v>
      </c>
      <c r="B334" s="23" t="s">
        <v>1605</v>
      </c>
      <c r="C334" s="27">
        <f>+[2]称号計算!I339</f>
        <v>1.1692</v>
      </c>
      <c r="D334" s="5">
        <f>+[2]称号計算!J339</f>
        <v>1.7238</v>
      </c>
      <c r="E334" s="5">
        <f>+[2]称号計算!K339</f>
        <v>0.3407</v>
      </c>
      <c r="F334" s="5">
        <f>+[2]称号計算!L339</f>
        <v>3.4066999999999998</v>
      </c>
      <c r="G334" s="5">
        <f>+[2]称号計算!M339</f>
        <v>0.86870000000000003</v>
      </c>
      <c r="H334" s="13">
        <f>+[2]称号計算!N339</f>
        <v>0.92659999999999998</v>
      </c>
      <c r="I334" s="27">
        <f>+[2]称号計算!O339</f>
        <v>1.6488</v>
      </c>
      <c r="J334" s="13">
        <f>+[2]称号計算!P339</f>
        <v>0.97430000000000005</v>
      </c>
      <c r="K334" s="27">
        <f>+[2]称号計算!Q339</f>
        <v>0.65949999999999998</v>
      </c>
      <c r="L334" s="5">
        <f>+[2]称号計算!R339</f>
        <v>1.4988999999999999</v>
      </c>
      <c r="M334" s="13">
        <f>+[2]称号計算!S339</f>
        <v>1.0492999999999999</v>
      </c>
      <c r="N334" s="27">
        <f>+[2]称号計算!T339</f>
        <v>2.4E-2</v>
      </c>
      <c r="O334" s="5">
        <f>+[2]称号計算!U339</f>
        <v>2.4E-2</v>
      </c>
      <c r="P334" s="5">
        <f>+[2]称号計算!V339</f>
        <v>2.4E-2</v>
      </c>
      <c r="Q334" s="5">
        <f>+[2]称号計算!W339</f>
        <v>2.4E-2</v>
      </c>
      <c r="R334" s="5">
        <f>+[2]称号計算!X339</f>
        <v>0.47939999999999999</v>
      </c>
      <c r="S334" s="13">
        <f>+[2]称号計算!Y339</f>
        <v>6.3899999999999998E-2</v>
      </c>
      <c r="T334" s="19">
        <f>+[2]称号計算!Z339</f>
        <v>4.5970000000000004</v>
      </c>
      <c r="U334" s="13">
        <v>0.25</v>
      </c>
    </row>
    <row r="335" spans="1:21">
      <c r="A335" s="12" t="s">
        <v>1246</v>
      </c>
      <c r="B335" s="23" t="s">
        <v>1606</v>
      </c>
      <c r="C335" s="27">
        <f>+[2]称号計算!I340</f>
        <v>2.2886000000000002</v>
      </c>
      <c r="D335" s="5">
        <f>+[2]称号計算!J340</f>
        <v>0.77839999999999998</v>
      </c>
      <c r="E335" s="5">
        <f>+[2]称号計算!K340</f>
        <v>3.5384000000000002</v>
      </c>
      <c r="F335" s="5">
        <f>+[2]称号計算!L340</f>
        <v>0.26889999999999997</v>
      </c>
      <c r="G335" s="5">
        <f>+[2]称号計算!M340</f>
        <v>1.1068</v>
      </c>
      <c r="H335" s="13">
        <f>+[2]称号計算!N340</f>
        <v>2.6467000000000001</v>
      </c>
      <c r="I335" s="27">
        <f>+[2]称号計算!O340</f>
        <v>0.77839999999999998</v>
      </c>
      <c r="J335" s="13">
        <f>+[2]称号計算!P340</f>
        <v>0.92</v>
      </c>
      <c r="K335" s="27">
        <f>+[2]称号計算!Q340</f>
        <v>0.63829999999999998</v>
      </c>
      <c r="L335" s="5">
        <f>+[2]称号計算!R340</f>
        <v>1.1181000000000001</v>
      </c>
      <c r="M335" s="13">
        <f>+[2]称号計算!S340</f>
        <v>0.83220000000000005</v>
      </c>
      <c r="N335" s="27">
        <f>+[2]称号計算!T340</f>
        <v>0.1527</v>
      </c>
      <c r="O335" s="5">
        <f>+[2]称号計算!U340</f>
        <v>0.76359999999999995</v>
      </c>
      <c r="P335" s="5">
        <f>+[2]称号計算!V340</f>
        <v>5.0900000000000001E-2</v>
      </c>
      <c r="Q335" s="5">
        <f>+[2]称号計算!W340</f>
        <v>5.0900000000000001E-2</v>
      </c>
      <c r="R335" s="5">
        <f>+[2]称号計算!X340</f>
        <v>3.8199999999999998E-2</v>
      </c>
      <c r="S335" s="13">
        <f>+[2]称号計算!Y340</f>
        <v>3.8199999999999998E-2</v>
      </c>
      <c r="T335" s="19">
        <f>+[2]称号計算!Z340</f>
        <v>4.6816000000000004</v>
      </c>
      <c r="U335" s="13">
        <v>1</v>
      </c>
    </row>
    <row r="336" spans="1:21">
      <c r="A336" s="12" t="s">
        <v>1247</v>
      </c>
      <c r="B336" s="23" t="s">
        <v>1607</v>
      </c>
      <c r="C336" s="27">
        <f>+[2]称号計算!I341</f>
        <v>3.5360999999999998</v>
      </c>
      <c r="D336" s="5">
        <f>+[2]称号計算!J341</f>
        <v>0.51749999999999996</v>
      </c>
      <c r="E336" s="5">
        <f>+[2]称号計算!K341</f>
        <v>3.9203000000000001</v>
      </c>
      <c r="F336" s="5">
        <f>+[2]称号計算!L341</f>
        <v>0.3528</v>
      </c>
      <c r="G336" s="5">
        <f>+[2]称号計算!M341</f>
        <v>2.0259999999999998</v>
      </c>
      <c r="H336" s="13">
        <f>+[2]称号計算!N341</f>
        <v>1.7327999999999999</v>
      </c>
      <c r="I336" s="27">
        <f>+[2]称号計算!O341</f>
        <v>0.43120000000000003</v>
      </c>
      <c r="J336" s="13">
        <f>+[2]称号計算!P341</f>
        <v>0.9173</v>
      </c>
      <c r="K336" s="27">
        <f>+[2]称号計算!Q341</f>
        <v>0.3967</v>
      </c>
      <c r="L336" s="5">
        <f>+[2]称号計算!R341</f>
        <v>0.79969999999999997</v>
      </c>
      <c r="M336" s="13">
        <f>+[2]称号計算!S341</f>
        <v>0.93300000000000005</v>
      </c>
      <c r="N336" s="27">
        <f>+[2]称号計算!T341</f>
        <v>0.747</v>
      </c>
      <c r="O336" s="5">
        <f>+[2]称号計算!U341</f>
        <v>0.14940000000000001</v>
      </c>
      <c r="P336" s="5">
        <f>+[2]称号計算!V341</f>
        <v>4.9799999999999997E-2</v>
      </c>
      <c r="Q336" s="5">
        <f>+[2]称号計算!W341</f>
        <v>4.9799999999999997E-2</v>
      </c>
      <c r="R336" s="5">
        <f>+[2]称号計算!X341</f>
        <v>3.7400000000000003E-2</v>
      </c>
      <c r="S336" s="13">
        <f>+[2]称号計算!Y341</f>
        <v>3.7400000000000003E-2</v>
      </c>
      <c r="T336" s="19">
        <f>+[2]称号計算!Z341</f>
        <v>4.1070000000000002</v>
      </c>
      <c r="U336" s="13">
        <v>1</v>
      </c>
    </row>
    <row r="337" spans="1:21" ht="19.5" thickBot="1">
      <c r="A337" s="14" t="s">
        <v>1248</v>
      </c>
      <c r="B337" s="24" t="s">
        <v>1608</v>
      </c>
      <c r="C337" s="28">
        <f>+[2]称号計算!I342</f>
        <v>1.6486000000000001</v>
      </c>
      <c r="D337" s="15">
        <f>+[2]称号計算!J342</f>
        <v>1.7919</v>
      </c>
      <c r="E337" s="15">
        <f>+[2]称号計算!K342</f>
        <v>0.4073</v>
      </c>
      <c r="F337" s="15">
        <f>+[2]称号計算!L342</f>
        <v>4.0724999999999998</v>
      </c>
      <c r="G337" s="15">
        <f>+[2]称号計算!M342</f>
        <v>1.3153999999999999</v>
      </c>
      <c r="H337" s="16">
        <f>+[2]称号計算!N342</f>
        <v>1.4539</v>
      </c>
      <c r="I337" s="28">
        <f>+[2]称号計算!O342</f>
        <v>0.89600000000000002</v>
      </c>
      <c r="J337" s="16">
        <f>+[2]称号計算!P342</f>
        <v>1.0589</v>
      </c>
      <c r="K337" s="28">
        <f>+[2]称号計算!Q342</f>
        <v>0.71679999999999999</v>
      </c>
      <c r="L337" s="15">
        <f>+[2]称号計算!R342</f>
        <v>1.7104999999999999</v>
      </c>
      <c r="M337" s="16">
        <f>+[2]称号計算!S342</f>
        <v>1.1403000000000001</v>
      </c>
      <c r="N337" s="28">
        <f>+[2]称号計算!T342</f>
        <v>4.3200000000000002E-2</v>
      </c>
      <c r="O337" s="15">
        <f>+[2]称号計算!U342</f>
        <v>4.3200000000000002E-2</v>
      </c>
      <c r="P337" s="15">
        <f>+[2]称号計算!V342</f>
        <v>0.64849999999999997</v>
      </c>
      <c r="Q337" s="15">
        <f>+[2]称号計算!W342</f>
        <v>0.16209999999999999</v>
      </c>
      <c r="R337" s="15">
        <f>+[2]称号計算!X342</f>
        <v>3.2399999999999998E-2</v>
      </c>
      <c r="S337" s="16">
        <f>+[2]称号計算!Y342</f>
        <v>3.2399999999999998E-2</v>
      </c>
      <c r="T337" s="20">
        <f>+[2]称号計算!Z342</f>
        <v>5.0437000000000003</v>
      </c>
      <c r="U337" s="16">
        <v>0.9</v>
      </c>
    </row>
    <row r="338" spans="1:21">
      <c r="A338" s="9" t="s">
        <v>1249</v>
      </c>
      <c r="B338" s="22" t="s">
        <v>1609</v>
      </c>
      <c r="C338" s="26">
        <f>+[2]称号計算!I343</f>
        <v>1.1294999999999999</v>
      </c>
      <c r="D338" s="10">
        <f>+[2]称号計算!J343</f>
        <v>1.2867</v>
      </c>
      <c r="E338" s="10">
        <f>+[2]称号計算!K343</f>
        <v>0.17219999999999999</v>
      </c>
      <c r="F338" s="10">
        <f>+[2]称号計算!L343</f>
        <v>3.2492999999999999</v>
      </c>
      <c r="G338" s="10">
        <f>+[2]称号計算!M343</f>
        <v>0.93910000000000005</v>
      </c>
      <c r="H338" s="11">
        <f>+[2]称号計算!N343</f>
        <v>0.89490000000000003</v>
      </c>
      <c r="I338" s="26">
        <f>+[2]称号計算!O343</f>
        <v>0.92930000000000001</v>
      </c>
      <c r="J338" s="11">
        <f>+[2]称号計算!P343</f>
        <v>0.81669999999999998</v>
      </c>
      <c r="K338" s="26">
        <f>+[2]称号計算!Q343</f>
        <v>1.1437999999999999</v>
      </c>
      <c r="L338" s="10">
        <f>+[2]称号計算!R343</f>
        <v>2.2355</v>
      </c>
      <c r="M338" s="11">
        <f>+[2]称号計算!S343</f>
        <v>0.6915</v>
      </c>
      <c r="N338" s="26">
        <f>+[2]称号計算!T343</f>
        <v>0.38850000000000001</v>
      </c>
      <c r="O338" s="10">
        <f>+[2]称号計算!U343</f>
        <v>7.7700000000000005E-2</v>
      </c>
      <c r="P338" s="10">
        <f>+[2]称号計算!V343</f>
        <v>2.5899999999999999E-2</v>
      </c>
      <c r="Q338" s="10">
        <f>+[2]称号計算!W343</f>
        <v>2.5899999999999999E-2</v>
      </c>
      <c r="R338" s="10">
        <f>+[2]称号計算!X343</f>
        <v>1.9400000000000001E-2</v>
      </c>
      <c r="S338" s="11">
        <f>+[2]称号計算!Y343</f>
        <v>1.9400000000000001E-2</v>
      </c>
      <c r="T338" s="18">
        <f>+[2]称号計算!Z343</f>
        <v>5.6951000000000001</v>
      </c>
      <c r="U338" s="11">
        <v>0.55000000000000004</v>
      </c>
    </row>
    <row r="339" spans="1:21">
      <c r="A339" s="12" t="s">
        <v>1250</v>
      </c>
      <c r="B339" s="23" t="s">
        <v>1610</v>
      </c>
      <c r="C339" s="27">
        <f>+[2]称号計算!I344</f>
        <v>1.7172000000000001</v>
      </c>
      <c r="D339" s="5">
        <f>+[2]称号計算!J344</f>
        <v>1.431</v>
      </c>
      <c r="E339" s="5">
        <f>+[2]称号計算!K344</f>
        <v>0.32519999999999999</v>
      </c>
      <c r="F339" s="5">
        <f>+[2]称号計算!L344</f>
        <v>3.2523</v>
      </c>
      <c r="G339" s="5">
        <f>+[2]称号計算!M344</f>
        <v>1.4375</v>
      </c>
      <c r="H339" s="13">
        <f>+[2]称号計算!N344</f>
        <v>0.93989999999999996</v>
      </c>
      <c r="I339" s="27">
        <f>+[2]称号計算!O344</f>
        <v>1.1448</v>
      </c>
      <c r="J339" s="13">
        <f>+[2]称号計算!P344</f>
        <v>0.90200000000000002</v>
      </c>
      <c r="K339" s="27">
        <f>+[2]称号計算!Q344</f>
        <v>0.8014</v>
      </c>
      <c r="L339" s="5">
        <f>+[2]称号計算!R344</f>
        <v>1.3008999999999999</v>
      </c>
      <c r="M339" s="13">
        <f>+[2]称号計算!S344</f>
        <v>0.91059999999999997</v>
      </c>
      <c r="N339" s="27">
        <f>+[2]称号計算!T344</f>
        <v>0.1201</v>
      </c>
      <c r="O339" s="5">
        <f>+[2]称号計算!U344</f>
        <v>0.60050000000000003</v>
      </c>
      <c r="P339" s="5">
        <f>+[2]称号計算!V344</f>
        <v>0.04</v>
      </c>
      <c r="Q339" s="5">
        <f>+[2]称号計算!W344</f>
        <v>0.04</v>
      </c>
      <c r="R339" s="5">
        <f>+[2]称号計算!X344</f>
        <v>0.03</v>
      </c>
      <c r="S339" s="13">
        <f>+[2]称号計算!Y344</f>
        <v>0.03</v>
      </c>
      <c r="T339" s="19">
        <f>+[2]称号計算!Z344</f>
        <v>5.0355999999999996</v>
      </c>
      <c r="U339" s="13">
        <v>0.5</v>
      </c>
    </row>
    <row r="340" spans="1:21">
      <c r="A340" s="12" t="s">
        <v>1251</v>
      </c>
      <c r="B340" s="23" t="s">
        <v>1611</v>
      </c>
      <c r="C340" s="27">
        <f>+[2]称号計算!I345</f>
        <v>0.97660000000000002</v>
      </c>
      <c r="D340" s="5">
        <f>+[2]称号計算!J345</f>
        <v>1.3132999999999999</v>
      </c>
      <c r="E340" s="5">
        <f>+[2]称号計算!K345</f>
        <v>0.1913</v>
      </c>
      <c r="F340" s="5">
        <f>+[2]称号計算!L345</f>
        <v>3.8267000000000002</v>
      </c>
      <c r="G340" s="5">
        <f>+[2]称号計算!M345</f>
        <v>0.8327</v>
      </c>
      <c r="H340" s="13">
        <f>+[2]称号計算!N345</f>
        <v>0.84570000000000001</v>
      </c>
      <c r="I340" s="27">
        <f>+[2]称号計算!O345</f>
        <v>1.347</v>
      </c>
      <c r="J340" s="13">
        <f>+[2]称号計算!P345</f>
        <v>1.0281</v>
      </c>
      <c r="K340" s="27">
        <f>+[2]称号計算!Q345</f>
        <v>1.4144000000000001</v>
      </c>
      <c r="L340" s="5">
        <f>+[2]称号計算!R345</f>
        <v>1.9899</v>
      </c>
      <c r="M340" s="13">
        <f>+[2]称号計算!S345</f>
        <v>1.0714999999999999</v>
      </c>
      <c r="N340" s="27">
        <f>+[2]称号計算!T345</f>
        <v>1.9E-2</v>
      </c>
      <c r="O340" s="5">
        <f>+[2]称号計算!U345</f>
        <v>1.9E-2</v>
      </c>
      <c r="P340" s="5">
        <f>+[2]称号計算!V345</f>
        <v>1.9E-2</v>
      </c>
      <c r="Q340" s="5">
        <f>+[2]称号計算!W345</f>
        <v>1.9E-2</v>
      </c>
      <c r="R340" s="5">
        <f>+[2]称号計算!X345</f>
        <v>0.37980000000000003</v>
      </c>
      <c r="S340" s="13">
        <f>+[2]称号計算!Y345</f>
        <v>5.0599999999999999E-2</v>
      </c>
      <c r="T340" s="19">
        <f>+[2]称号計算!Z345</f>
        <v>6.4294000000000002</v>
      </c>
      <c r="U340" s="13">
        <v>0.25</v>
      </c>
    </row>
    <row r="341" spans="1:21">
      <c r="A341" s="12" t="s">
        <v>1252</v>
      </c>
      <c r="B341" s="23" t="s">
        <v>1612</v>
      </c>
      <c r="C341" s="27">
        <f>+[2]称号計算!I346</f>
        <v>1.3042</v>
      </c>
      <c r="D341" s="5">
        <f>+[2]称号計算!J346</f>
        <v>0.7016</v>
      </c>
      <c r="E341" s="5">
        <f>+[2]称号計算!K346</f>
        <v>3.7521</v>
      </c>
      <c r="F341" s="5">
        <f>+[2]称号計算!L346</f>
        <v>0.2626</v>
      </c>
      <c r="G341" s="5">
        <f>+[2]称号計算!M346</f>
        <v>1.0078</v>
      </c>
      <c r="H341" s="13">
        <f>+[2]称号計算!N346</f>
        <v>0.93130000000000002</v>
      </c>
      <c r="I341" s="27">
        <f>+[2]称号計算!O346</f>
        <v>1.6509</v>
      </c>
      <c r="J341" s="13">
        <f>+[2]称号計算!P346</f>
        <v>1.2032</v>
      </c>
      <c r="K341" s="27">
        <f>+[2]称号計算!Q346</f>
        <v>1.3208</v>
      </c>
      <c r="L341" s="5">
        <f>+[2]称号計算!R346</f>
        <v>2.1162000000000001</v>
      </c>
      <c r="M341" s="13">
        <f>+[2]称号計算!S346</f>
        <v>1.2606999999999999</v>
      </c>
      <c r="N341" s="27">
        <f>+[2]称号計算!T346</f>
        <v>9.6799999999999997E-2</v>
      </c>
      <c r="O341" s="5">
        <f>+[2]称号計算!U346</f>
        <v>0.48399999999999999</v>
      </c>
      <c r="P341" s="5">
        <f>+[2]称号計算!V346</f>
        <v>3.2300000000000002E-2</v>
      </c>
      <c r="Q341" s="5">
        <f>+[2]称号計算!W346</f>
        <v>3.2300000000000002E-2</v>
      </c>
      <c r="R341" s="5">
        <f>+[2]称号計算!X346</f>
        <v>2.4199999999999999E-2</v>
      </c>
      <c r="S341" s="13">
        <f>+[2]称号計算!Y346</f>
        <v>2.4199999999999999E-2</v>
      </c>
      <c r="T341" s="19">
        <f>+[2]称号計算!Z346</f>
        <v>6.5492999999999997</v>
      </c>
      <c r="U341" s="13">
        <v>1</v>
      </c>
    </row>
    <row r="342" spans="1:21">
      <c r="A342" s="12" t="s">
        <v>1253</v>
      </c>
      <c r="B342" s="23" t="s">
        <v>1613</v>
      </c>
      <c r="C342" s="27">
        <f>+[2]称号計算!I347</f>
        <v>2.1124000000000001</v>
      </c>
      <c r="D342" s="5">
        <f>+[2]称号計算!J347</f>
        <v>0.74809999999999999</v>
      </c>
      <c r="E342" s="5">
        <f>+[2]称号計算!K347</f>
        <v>4.0007999999999999</v>
      </c>
      <c r="F342" s="5">
        <f>+[2]称号計算!L347</f>
        <v>0.40010000000000001</v>
      </c>
      <c r="G342" s="5">
        <f>+[2]称号計算!M347</f>
        <v>1.7683</v>
      </c>
      <c r="H342" s="13">
        <f>+[2]称号計算!N347</f>
        <v>1.1561999999999999</v>
      </c>
      <c r="I342" s="27">
        <f>+[2]称号計算!O347</f>
        <v>1.4083000000000001</v>
      </c>
      <c r="J342" s="13">
        <f>+[2]称号計算!P347</f>
        <v>1.1094999999999999</v>
      </c>
      <c r="K342" s="27">
        <f>+[2]称号計算!Q347</f>
        <v>0.98580000000000001</v>
      </c>
      <c r="L342" s="5">
        <f>+[2]称号計算!R347</f>
        <v>1.6003000000000001</v>
      </c>
      <c r="M342" s="13">
        <f>+[2]称号計算!S347</f>
        <v>0.8962</v>
      </c>
      <c r="N342" s="27">
        <f>+[2]称号計算!T347</f>
        <v>0.73809999999999998</v>
      </c>
      <c r="O342" s="5">
        <f>+[2]称号計算!U347</f>
        <v>0.14760000000000001</v>
      </c>
      <c r="P342" s="5">
        <f>+[2]称号計算!V347</f>
        <v>4.9200000000000001E-2</v>
      </c>
      <c r="Q342" s="5">
        <f>+[2]称号計算!W347</f>
        <v>4.9200000000000001E-2</v>
      </c>
      <c r="R342" s="5">
        <f>+[2]称号計算!X347</f>
        <v>3.6900000000000002E-2</v>
      </c>
      <c r="S342" s="13">
        <f>+[2]称号計算!Y347</f>
        <v>3.6900000000000002E-2</v>
      </c>
      <c r="T342" s="19">
        <f>+[2]称号計算!Z347</f>
        <v>5.7549999999999999</v>
      </c>
      <c r="U342" s="13">
        <v>1</v>
      </c>
    </row>
    <row r="343" spans="1:21" ht="19.5" thickBot="1">
      <c r="A343" s="14" t="s">
        <v>1254</v>
      </c>
      <c r="B343" s="24" t="s">
        <v>1614</v>
      </c>
      <c r="C343" s="28">
        <f>+[2]称号計算!I348</f>
        <v>1.9148000000000001</v>
      </c>
      <c r="D343" s="15">
        <f>+[2]称号計算!J348</f>
        <v>1.8277000000000001</v>
      </c>
      <c r="E343" s="15">
        <f>+[2]称号計算!K348</f>
        <v>0.39560000000000001</v>
      </c>
      <c r="F343" s="15">
        <f>+[2]称号計算!L348</f>
        <v>3.9561000000000002</v>
      </c>
      <c r="G343" s="15">
        <f>+[2]称号計算!M348</f>
        <v>1.4796</v>
      </c>
      <c r="H343" s="16">
        <f>+[2]称号計算!N348</f>
        <v>1.4796</v>
      </c>
      <c r="I343" s="28">
        <f>+[2]称号計算!O348</f>
        <v>1.2184999999999999</v>
      </c>
      <c r="J343" s="16">
        <f>+[2]称号計算!P348</f>
        <v>1.0629</v>
      </c>
      <c r="K343" s="28">
        <f>+[2]称号計算!Q348</f>
        <v>0.83550000000000002</v>
      </c>
      <c r="L343" s="15">
        <f>+[2]称号計算!R348</f>
        <v>1.5824</v>
      </c>
      <c r="M343" s="16">
        <f>+[2]称号計算!S348</f>
        <v>1.1076999999999999</v>
      </c>
      <c r="N343" s="28">
        <f>+[2]称号計算!T348</f>
        <v>4.8599999999999997E-2</v>
      </c>
      <c r="O343" s="15">
        <f>+[2]称号計算!U348</f>
        <v>4.8599999999999997E-2</v>
      </c>
      <c r="P343" s="15">
        <f>+[2]称号計算!V348</f>
        <v>0.72840000000000005</v>
      </c>
      <c r="Q343" s="15">
        <f>+[2]称号計算!W348</f>
        <v>0.18210000000000001</v>
      </c>
      <c r="R343" s="15">
        <f>+[2]称号計算!X348</f>
        <v>3.6400000000000002E-2</v>
      </c>
      <c r="S343" s="16">
        <f>+[2]称号計算!Y348</f>
        <v>3.6400000000000002E-2</v>
      </c>
      <c r="T343" s="20">
        <f>+[2]称号計算!Z348</f>
        <v>5.6200999999999999</v>
      </c>
      <c r="U343" s="16">
        <v>0.9</v>
      </c>
    </row>
    <row r="344" spans="1:21">
      <c r="A344" s="9" t="s">
        <v>1255</v>
      </c>
      <c r="B344" s="22" t="s">
        <v>1615</v>
      </c>
      <c r="C344" s="26">
        <f>+[2]称号計算!I349</f>
        <v>1.8273999999999999</v>
      </c>
      <c r="D344" s="10">
        <f>+[2]称号計算!J349</f>
        <v>1.5227999999999999</v>
      </c>
      <c r="E344" s="10">
        <f>+[2]称号計算!K349</f>
        <v>0.27689999999999998</v>
      </c>
      <c r="F344" s="10">
        <f>+[2]称号計算!L349</f>
        <v>2.7686999999999999</v>
      </c>
      <c r="G344" s="10">
        <f>+[2]称号計算!M349</f>
        <v>1.4120999999999999</v>
      </c>
      <c r="H344" s="11">
        <f>+[2]称号計算!N349</f>
        <v>1.3179000000000001</v>
      </c>
      <c r="I344" s="26">
        <f>+[2]称号計算!O349</f>
        <v>1.2181999999999999</v>
      </c>
      <c r="J344" s="11">
        <f>+[2]称号計算!P349</f>
        <v>0.83979999999999999</v>
      </c>
      <c r="K344" s="26">
        <f>+[2]称号計算!Q349</f>
        <v>0.58479999999999999</v>
      </c>
      <c r="L344" s="10">
        <f>+[2]称号計算!R349</f>
        <v>1.329</v>
      </c>
      <c r="M344" s="11">
        <f>+[2]称号計算!S349</f>
        <v>0.93030000000000002</v>
      </c>
      <c r="N344" s="26">
        <f>+[2]称号計算!T349</f>
        <v>0.74070000000000003</v>
      </c>
      <c r="O344" s="10">
        <f>+[2]称号計算!U349</f>
        <v>0.14810000000000001</v>
      </c>
      <c r="P344" s="10">
        <f>+[2]称号計算!V349</f>
        <v>4.9399999999999999E-2</v>
      </c>
      <c r="Q344" s="10">
        <f>+[2]称号計算!W349</f>
        <v>4.9399999999999999E-2</v>
      </c>
      <c r="R344" s="10">
        <f>+[2]称号計算!X349</f>
        <v>3.6999999999999998E-2</v>
      </c>
      <c r="S344" s="11">
        <f>+[2]称号計算!Y349</f>
        <v>3.6999999999999998E-2</v>
      </c>
      <c r="T344" s="18">
        <f>+[2]称号計算!Z349</f>
        <v>4.6760000000000002</v>
      </c>
      <c r="U344" s="11">
        <v>0.55000000000000004</v>
      </c>
    </row>
    <row r="345" spans="1:21">
      <c r="A345" s="12" t="s">
        <v>1256</v>
      </c>
      <c r="B345" s="23" t="s">
        <v>1616</v>
      </c>
      <c r="C345" s="27">
        <f>+[2]称号計算!I350</f>
        <v>1.4128000000000001</v>
      </c>
      <c r="D345" s="5">
        <f>+[2]称号計算!J350</f>
        <v>2.484</v>
      </c>
      <c r="E345" s="5">
        <f>+[2]称号計算!K350</f>
        <v>0.2646</v>
      </c>
      <c r="F345" s="5">
        <f>+[2]称号計算!L350</f>
        <v>3.5284</v>
      </c>
      <c r="G345" s="5">
        <f>+[2]称号計算!M350</f>
        <v>1.0557000000000001</v>
      </c>
      <c r="H345" s="13">
        <f>+[2]称号計算!N350</f>
        <v>1.1396999999999999</v>
      </c>
      <c r="I345" s="27">
        <f>+[2]称号計算!O350</f>
        <v>0.621</v>
      </c>
      <c r="J345" s="13">
        <f>+[2]称号計算!P350</f>
        <v>1.3454999999999999</v>
      </c>
      <c r="K345" s="27">
        <f>+[2]称号計算!Q350</f>
        <v>0.51229999999999998</v>
      </c>
      <c r="L345" s="5">
        <f>+[2]称号計算!R350</f>
        <v>0.90329999999999999</v>
      </c>
      <c r="M345" s="13">
        <f>+[2]称号計算!S350</f>
        <v>1.4621999999999999</v>
      </c>
      <c r="N345" s="27">
        <f>+[2]称号計算!T350</f>
        <v>0.1061</v>
      </c>
      <c r="O345" s="5">
        <f>+[2]称号計算!U350</f>
        <v>0.53029999999999999</v>
      </c>
      <c r="P345" s="5">
        <f>+[2]称号計算!V350</f>
        <v>3.5400000000000001E-2</v>
      </c>
      <c r="Q345" s="5">
        <f>+[2]称号計算!W350</f>
        <v>3.5400000000000001E-2</v>
      </c>
      <c r="R345" s="5">
        <f>+[2]称号計算!X350</f>
        <v>2.6499999999999999E-2</v>
      </c>
      <c r="S345" s="13">
        <f>+[2]称号計算!Y350</f>
        <v>2.6499999999999999E-2</v>
      </c>
      <c r="T345" s="19">
        <f>+[2]称号計算!Z350</f>
        <v>4.2960000000000003</v>
      </c>
      <c r="U345" s="13">
        <v>0.5</v>
      </c>
    </row>
    <row r="346" spans="1:21">
      <c r="A346" s="12" t="s">
        <v>1257</v>
      </c>
      <c r="B346" s="23" t="s">
        <v>1617</v>
      </c>
      <c r="C346" s="27">
        <f>+[2]称号計算!I351</f>
        <v>1.5959000000000001</v>
      </c>
      <c r="D346" s="5">
        <f>+[2]称号計算!J351</f>
        <v>2.6347999999999998</v>
      </c>
      <c r="E346" s="5">
        <f>+[2]称号計算!K351</f>
        <v>0.22239999999999999</v>
      </c>
      <c r="F346" s="5">
        <f>+[2]称号計算!L351</f>
        <v>3.4218000000000002</v>
      </c>
      <c r="G346" s="5">
        <f>+[2]称号計算!M351</f>
        <v>0.89580000000000004</v>
      </c>
      <c r="H346" s="13">
        <f>+[2]称号計算!N351</f>
        <v>2.3849999999999998</v>
      </c>
      <c r="I346" s="27">
        <f>+[2]称号計算!O351</f>
        <v>0.67749999999999999</v>
      </c>
      <c r="J346" s="13">
        <f>+[2]称号計算!P351</f>
        <v>0.86</v>
      </c>
      <c r="K346" s="27">
        <f>+[2]称号計算!Q351</f>
        <v>0.57210000000000005</v>
      </c>
      <c r="L346" s="5">
        <f>+[2]称号計算!R351</f>
        <v>1.1496999999999999</v>
      </c>
      <c r="M346" s="13">
        <f>+[2]称号計算!S351</f>
        <v>1.0156000000000001</v>
      </c>
      <c r="N346" s="27">
        <f>+[2]称号計算!T351</f>
        <v>4.2000000000000003E-2</v>
      </c>
      <c r="O346" s="5">
        <f>+[2]称号計算!U351</f>
        <v>4.2000000000000003E-2</v>
      </c>
      <c r="P346" s="5">
        <f>+[2]称号計算!V351</f>
        <v>4.2000000000000003E-2</v>
      </c>
      <c r="Q346" s="5">
        <f>+[2]称号計算!W351</f>
        <v>4.2000000000000003E-2</v>
      </c>
      <c r="R346" s="5">
        <f>+[2]称号計算!X351</f>
        <v>0.83940000000000003</v>
      </c>
      <c r="S346" s="13">
        <f>+[2]称号計算!Y351</f>
        <v>0.1119</v>
      </c>
      <c r="T346" s="19">
        <f>+[2]称号計算!Z351</f>
        <v>4.7149000000000001</v>
      </c>
      <c r="U346" s="13">
        <v>0.25</v>
      </c>
    </row>
    <row r="347" spans="1:21">
      <c r="A347" s="12" t="s">
        <v>1258</v>
      </c>
      <c r="B347" s="23" t="s">
        <v>1618</v>
      </c>
      <c r="C347" s="27">
        <f>+[2]称号計算!I352</f>
        <v>1.3924000000000001</v>
      </c>
      <c r="D347" s="5">
        <f>+[2]称号計算!J352</f>
        <v>0.56789999999999996</v>
      </c>
      <c r="E347" s="5">
        <f>+[2]称号計算!K352</f>
        <v>4.1638000000000002</v>
      </c>
      <c r="F347" s="5">
        <f>+[2]称号計算!L352</f>
        <v>0.25819999999999999</v>
      </c>
      <c r="G347" s="5">
        <f>+[2]称号計算!M352</f>
        <v>1.0759000000000001</v>
      </c>
      <c r="H347" s="13">
        <f>+[2]称号計算!N352</f>
        <v>0.99099999999999999</v>
      </c>
      <c r="I347" s="27">
        <f>+[2]称号計算!O352</f>
        <v>1.7403999999999999</v>
      </c>
      <c r="J347" s="13">
        <f>+[2]称号計算!P352</f>
        <v>1.7321</v>
      </c>
      <c r="K347" s="27">
        <f>+[2]称号計算!Q352</f>
        <v>1.2275</v>
      </c>
      <c r="L347" s="5">
        <f>+[2]称号計算!R352</f>
        <v>1.4322999999999999</v>
      </c>
      <c r="M347" s="13">
        <f>+[2]称号計算!S352</f>
        <v>1.5506</v>
      </c>
      <c r="N347" s="27">
        <f>+[2]称号計算!T352</f>
        <v>9.2899999999999996E-2</v>
      </c>
      <c r="O347" s="5">
        <f>+[2]称号計算!U352</f>
        <v>0.46460000000000001</v>
      </c>
      <c r="P347" s="5">
        <f>+[2]称号計算!V352</f>
        <v>3.1E-2</v>
      </c>
      <c r="Q347" s="5">
        <f>+[2]称号計算!W352</f>
        <v>3.1E-2</v>
      </c>
      <c r="R347" s="5">
        <f>+[2]称号計算!X352</f>
        <v>2.3199999999999998E-2</v>
      </c>
      <c r="S347" s="13">
        <f>+[2]称号計算!Y352</f>
        <v>2.3199999999999998E-2</v>
      </c>
      <c r="T347" s="19">
        <f>+[2]称号計算!Z352</f>
        <v>6.2287999999999997</v>
      </c>
      <c r="U347" s="13">
        <v>1</v>
      </c>
    </row>
    <row r="348" spans="1:21">
      <c r="A348" s="12" t="s">
        <v>1259</v>
      </c>
      <c r="B348" s="23" t="s">
        <v>1619</v>
      </c>
      <c r="C348" s="27">
        <f>+[2]称号計算!I353</f>
        <v>1.1706000000000001</v>
      </c>
      <c r="D348" s="5">
        <f>+[2]称号計算!J353</f>
        <v>0.43219999999999997</v>
      </c>
      <c r="E348" s="5">
        <f>+[2]称号計算!K353</f>
        <v>4.0930999999999997</v>
      </c>
      <c r="F348" s="5">
        <f>+[2]称号計算!L353</f>
        <v>0.2661</v>
      </c>
      <c r="G348" s="5">
        <f>+[2]称号計算!M353</f>
        <v>0.86280000000000001</v>
      </c>
      <c r="H348" s="13">
        <f>+[2]称号計算!N353</f>
        <v>0.94630000000000003</v>
      </c>
      <c r="I348" s="27">
        <f>+[2]称号計算!O353</f>
        <v>3.2418</v>
      </c>
      <c r="J348" s="13">
        <f>+[2]称号計算!P353</f>
        <v>1.4899</v>
      </c>
      <c r="K348" s="27">
        <f>+[2]称号計算!Q353</f>
        <v>1.1346000000000001</v>
      </c>
      <c r="L348" s="5">
        <f>+[2]称号計算!R353</f>
        <v>2.2103000000000002</v>
      </c>
      <c r="M348" s="13">
        <f>+[2]称号計算!S353</f>
        <v>0.98560000000000003</v>
      </c>
      <c r="N348" s="27">
        <f>+[2]称号計算!T353</f>
        <v>0.45789999999999997</v>
      </c>
      <c r="O348" s="5">
        <f>+[2]称号計算!U353</f>
        <v>9.1600000000000001E-2</v>
      </c>
      <c r="P348" s="5">
        <f>+[2]称号計算!V353</f>
        <v>3.0499999999999999E-2</v>
      </c>
      <c r="Q348" s="5">
        <f>+[2]称号計算!W353</f>
        <v>3.0499999999999999E-2</v>
      </c>
      <c r="R348" s="5">
        <f>+[2]称号計算!X353</f>
        <v>2.29E-2</v>
      </c>
      <c r="S348" s="13">
        <f>+[2]称号計算!Y353</f>
        <v>2.29E-2</v>
      </c>
      <c r="T348" s="19">
        <f>+[2]称号計算!Z353</f>
        <v>6.3125</v>
      </c>
      <c r="U348" s="13">
        <v>1</v>
      </c>
    </row>
    <row r="349" spans="1:21" ht="19.5" thickBot="1">
      <c r="A349" s="14" t="s">
        <v>1260</v>
      </c>
      <c r="B349" s="24" t="s">
        <v>1620</v>
      </c>
      <c r="C349" s="28">
        <f>+[2]称号計算!I354</f>
        <v>1.7668999999999999</v>
      </c>
      <c r="D349" s="15">
        <f>+[2]称号計算!J354</f>
        <v>2.0246</v>
      </c>
      <c r="E349" s="15">
        <f>+[2]称号計算!K354</f>
        <v>0.25929999999999997</v>
      </c>
      <c r="F349" s="15">
        <f>+[2]称号計算!L354</f>
        <v>4.1829999999999998</v>
      </c>
      <c r="G349" s="15">
        <f>+[2]称号計算!M354</f>
        <v>1.1661999999999999</v>
      </c>
      <c r="H349" s="16">
        <f>+[2]称号計算!N354</f>
        <v>1.2942</v>
      </c>
      <c r="I349" s="28">
        <f>+[2]称号計算!O354</f>
        <v>1.1043000000000001</v>
      </c>
      <c r="J349" s="16">
        <f>+[2]称号計算!P354</f>
        <v>1.1600999999999999</v>
      </c>
      <c r="K349" s="28">
        <f>+[2]称号計算!Q354</f>
        <v>0.82820000000000005</v>
      </c>
      <c r="L349" s="15">
        <f>+[2]称号計算!R354</f>
        <v>1.5226</v>
      </c>
      <c r="M349" s="16">
        <f>+[2]称号計算!S354</f>
        <v>2.2254</v>
      </c>
      <c r="N349" s="28">
        <f>+[2]称号計算!T354</f>
        <v>4.2999999999999997E-2</v>
      </c>
      <c r="O349" s="15">
        <f>+[2]称号計算!U354</f>
        <v>4.2999999999999997E-2</v>
      </c>
      <c r="P349" s="15">
        <f>+[2]称号計算!V354</f>
        <v>0.64529999999999998</v>
      </c>
      <c r="Q349" s="15">
        <f>+[2]称号計算!W354</f>
        <v>0.1613</v>
      </c>
      <c r="R349" s="15">
        <f>+[2]称号計算!X354</f>
        <v>3.2300000000000002E-2</v>
      </c>
      <c r="S349" s="16">
        <f>+[2]称号計算!Y354</f>
        <v>3.2300000000000002E-2</v>
      </c>
      <c r="T349" s="20">
        <f>+[2]称号計算!Z354</f>
        <v>5.6988000000000003</v>
      </c>
      <c r="U349" s="16">
        <v>0.9</v>
      </c>
    </row>
    <row r="350" spans="1:21">
      <c r="A350" s="9" t="s">
        <v>1261</v>
      </c>
      <c r="B350" s="22" t="s">
        <v>1621</v>
      </c>
      <c r="C350" s="26">
        <f>+[2]称号計算!I355</f>
        <v>0.97409999999999997</v>
      </c>
      <c r="D350" s="10">
        <f>+[2]称号計算!J355</f>
        <v>1.5992</v>
      </c>
      <c r="E350" s="10">
        <f>+[2]称号計算!K355</f>
        <v>0.17180000000000001</v>
      </c>
      <c r="F350" s="10">
        <f>+[2]称号計算!L355</f>
        <v>3.3041999999999998</v>
      </c>
      <c r="G350" s="10">
        <f>+[2]称号計算!M355</f>
        <v>0.73019999999999996</v>
      </c>
      <c r="H350" s="11">
        <f>+[2]称号計算!N355</f>
        <v>0.89870000000000005</v>
      </c>
      <c r="I350" s="26">
        <f>+[2]称号計算!O355</f>
        <v>2.6168999999999998</v>
      </c>
      <c r="J350" s="11">
        <f>+[2]称号計算!P355</f>
        <v>1.0596000000000001</v>
      </c>
      <c r="K350" s="26">
        <f>+[2]称号計算!Q355</f>
        <v>0.59609999999999996</v>
      </c>
      <c r="L350" s="10">
        <f>+[2]称号計算!R355</f>
        <v>0.99129999999999996</v>
      </c>
      <c r="M350" s="11">
        <f>+[2]称号計算!S355</f>
        <v>1.6468</v>
      </c>
      <c r="N350" s="26">
        <f>+[2]称号計算!T355</f>
        <v>0.44350000000000001</v>
      </c>
      <c r="O350" s="10">
        <f>+[2]称号計算!U355</f>
        <v>8.8700000000000001E-2</v>
      </c>
      <c r="P350" s="10">
        <f>+[2]称号計算!V355</f>
        <v>2.9600000000000001E-2</v>
      </c>
      <c r="Q350" s="10">
        <f>+[2]称号計算!W355</f>
        <v>2.9600000000000001E-2</v>
      </c>
      <c r="R350" s="10">
        <f>+[2]称号計算!X355</f>
        <v>2.2200000000000001E-2</v>
      </c>
      <c r="S350" s="11">
        <f>+[2]称号計算!Y355</f>
        <v>2.2200000000000001E-2</v>
      </c>
      <c r="T350" s="18">
        <f>+[2]称号計算!Z355</f>
        <v>4.5792999999999999</v>
      </c>
      <c r="U350" s="11">
        <v>0.55000000000000004</v>
      </c>
    </row>
    <row r="351" spans="1:21">
      <c r="A351" s="12" t="s">
        <v>1262</v>
      </c>
      <c r="B351" s="23" t="s">
        <v>1622</v>
      </c>
      <c r="C351" s="27">
        <f>+[2]称号計算!I356</f>
        <v>1.2482</v>
      </c>
      <c r="D351" s="5">
        <f>+[2]称号計算!J356</f>
        <v>2.0548999999999999</v>
      </c>
      <c r="E351" s="5">
        <f>+[2]称号計算!K356</f>
        <v>0.20760000000000001</v>
      </c>
      <c r="F351" s="5">
        <f>+[2]称号計算!L356</f>
        <v>3.4594</v>
      </c>
      <c r="G351" s="5">
        <f>+[2]称号計算!M356</f>
        <v>0.95269999999999999</v>
      </c>
      <c r="H351" s="13">
        <f>+[2]称号計算!N356</f>
        <v>1.0233000000000001</v>
      </c>
      <c r="I351" s="27">
        <f>+[2]称号計算!O356</f>
        <v>1.8266</v>
      </c>
      <c r="J351" s="13">
        <f>+[2]称号計算!P356</f>
        <v>1.5290999999999999</v>
      </c>
      <c r="K351" s="27">
        <f>+[2]称号計算!Q356</f>
        <v>0.70020000000000004</v>
      </c>
      <c r="L351" s="5">
        <f>+[2]称号計算!R356</f>
        <v>0.94099999999999995</v>
      </c>
      <c r="M351" s="13">
        <f>+[2]称号計算!S356</f>
        <v>1.3754999999999999</v>
      </c>
      <c r="N351" s="27">
        <f>+[2]称号計算!T356</f>
        <v>9.5600000000000004E-2</v>
      </c>
      <c r="O351" s="5">
        <f>+[2]称号計算!U356</f>
        <v>0.47789999999999999</v>
      </c>
      <c r="P351" s="5">
        <f>+[2]称号計算!V356</f>
        <v>3.1899999999999998E-2</v>
      </c>
      <c r="Q351" s="5">
        <f>+[2]称号計算!W356</f>
        <v>3.1899999999999998E-2</v>
      </c>
      <c r="R351" s="5">
        <f>+[2]称号計算!X356</f>
        <v>2.3900000000000001E-2</v>
      </c>
      <c r="S351" s="13">
        <f>+[2]称号計算!Y356</f>
        <v>2.3900000000000001E-2</v>
      </c>
      <c r="T351" s="19">
        <f>+[2]称号計算!Z356</f>
        <v>5.0209999999999999</v>
      </c>
      <c r="U351" s="13">
        <v>0.5</v>
      </c>
    </row>
    <row r="352" spans="1:21">
      <c r="A352" s="12" t="s">
        <v>1263</v>
      </c>
      <c r="B352" s="23" t="s">
        <v>1623</v>
      </c>
      <c r="C352" s="27">
        <f>+[2]称号計算!I357</f>
        <v>1.9113</v>
      </c>
      <c r="D352" s="5">
        <f>+[2]称号計算!J357</f>
        <v>3.0034000000000001</v>
      </c>
      <c r="E352" s="5">
        <f>+[2]称号計算!K357</f>
        <v>0.2606</v>
      </c>
      <c r="F352" s="5">
        <f>+[2]称号計算!L357</f>
        <v>3.1027</v>
      </c>
      <c r="G352" s="5">
        <f>+[2]称号計算!M357</f>
        <v>1.0022</v>
      </c>
      <c r="H352" s="13">
        <f>+[2]称号計算!N357</f>
        <v>1.7723</v>
      </c>
      <c r="I352" s="27">
        <f>+[2]称号計算!O357</f>
        <v>1.57</v>
      </c>
      <c r="J352" s="13">
        <f>+[2]称号計算!P357</f>
        <v>1.0487</v>
      </c>
      <c r="K352" s="27">
        <f>+[2]称号計算!Q357</f>
        <v>0.3276</v>
      </c>
      <c r="L352" s="5">
        <f>+[2]称号計算!R357</f>
        <v>0.89359999999999995</v>
      </c>
      <c r="M352" s="13">
        <f>+[2]称号計算!S357</f>
        <v>1.1555</v>
      </c>
      <c r="N352" s="27">
        <f>+[2]称号計算!T357</f>
        <v>4.24E-2</v>
      </c>
      <c r="O352" s="5">
        <f>+[2]称号計算!U357</f>
        <v>4.24E-2</v>
      </c>
      <c r="P352" s="5">
        <f>+[2]称号計算!V357</f>
        <v>4.24E-2</v>
      </c>
      <c r="Q352" s="5">
        <f>+[2]称号計算!W357</f>
        <v>4.24E-2</v>
      </c>
      <c r="R352" s="5">
        <f>+[2]称号計算!X357</f>
        <v>0.84730000000000005</v>
      </c>
      <c r="S352" s="13">
        <f>+[2]称号計算!Y357</f>
        <v>0.113</v>
      </c>
      <c r="T352" s="19">
        <f>+[2]称号計算!Z357</f>
        <v>4.2793999999999999</v>
      </c>
      <c r="U352" s="13">
        <v>0.25</v>
      </c>
    </row>
    <row r="353" spans="1:21">
      <c r="A353" s="12" t="s">
        <v>1264</v>
      </c>
      <c r="B353" s="23" t="s">
        <v>1624</v>
      </c>
      <c r="C353" s="27">
        <f>+[2]称号計算!I358</f>
        <v>2.8403999999999998</v>
      </c>
      <c r="D353" s="5">
        <f>+[2]称号計算!J358</f>
        <v>0.75449999999999995</v>
      </c>
      <c r="E353" s="5">
        <f>+[2]称号計算!K358</f>
        <v>4.0347</v>
      </c>
      <c r="F353" s="5">
        <f>+[2]称号計算!L358</f>
        <v>0.40350000000000003</v>
      </c>
      <c r="G353" s="5">
        <f>+[2]称号計算!M358</f>
        <v>2.1263000000000001</v>
      </c>
      <c r="H353" s="13">
        <f>+[2]称号計算!N358</f>
        <v>1.9205000000000001</v>
      </c>
      <c r="I353" s="27">
        <f>+[2]称号計算!O358</f>
        <v>0.71009999999999995</v>
      </c>
      <c r="J353" s="13">
        <f>+[2]称号計算!P358</f>
        <v>0.97909999999999997</v>
      </c>
      <c r="K353" s="27">
        <f>+[2]称号計算!Q358</f>
        <v>0.78110000000000002</v>
      </c>
      <c r="L353" s="5">
        <f>+[2]称号計算!R358</f>
        <v>1.3233999999999999</v>
      </c>
      <c r="M353" s="13">
        <f>+[2]称号計算!S358</f>
        <v>0.90380000000000005</v>
      </c>
      <c r="N353" s="27">
        <f>+[2]称号計算!T358</f>
        <v>0.18790000000000001</v>
      </c>
      <c r="O353" s="5">
        <f>+[2]称号計算!U358</f>
        <v>0.9395</v>
      </c>
      <c r="P353" s="5">
        <f>+[2]称号計算!V358</f>
        <v>6.2600000000000003E-2</v>
      </c>
      <c r="Q353" s="5">
        <f>+[2]称号計算!W358</f>
        <v>6.2600000000000003E-2</v>
      </c>
      <c r="R353" s="5">
        <f>+[2]称号計算!X358</f>
        <v>4.7E-2</v>
      </c>
      <c r="S353" s="13">
        <f>+[2]称号計算!Y358</f>
        <v>4.7E-2</v>
      </c>
      <c r="T353" s="19">
        <f>+[2]称号計算!Z358</f>
        <v>5.4059999999999997</v>
      </c>
      <c r="U353" s="13">
        <v>1</v>
      </c>
    </row>
    <row r="354" spans="1:21">
      <c r="A354" s="12" t="s">
        <v>1265</v>
      </c>
      <c r="B354" s="23" t="s">
        <v>1625</v>
      </c>
      <c r="C354" s="27">
        <f>+[2]称号計算!I359</f>
        <v>2.6863000000000001</v>
      </c>
      <c r="D354" s="5">
        <f>+[2]称号計算!J359</f>
        <v>0.91369999999999996</v>
      </c>
      <c r="E354" s="5">
        <f>+[2]称号計算!K359</f>
        <v>4.1532</v>
      </c>
      <c r="F354" s="5">
        <f>+[2]称号計算!L359</f>
        <v>0.31559999999999999</v>
      </c>
      <c r="G354" s="5">
        <f>+[2]称号計算!M359</f>
        <v>1.2990999999999999</v>
      </c>
      <c r="H354" s="13">
        <f>+[2]称号計算!N359</f>
        <v>3.1065999999999998</v>
      </c>
      <c r="I354" s="27">
        <f>+[2]称号計算!O359</f>
        <v>0.91369999999999996</v>
      </c>
      <c r="J354" s="13">
        <f>+[2]称号計算!P359</f>
        <v>1.0798000000000001</v>
      </c>
      <c r="K354" s="27">
        <f>+[2]称号計算!Q359</f>
        <v>0.74919999999999998</v>
      </c>
      <c r="L354" s="5">
        <f>+[2]称号計算!R359</f>
        <v>1.3124</v>
      </c>
      <c r="M354" s="13">
        <f>+[2]称号計算!S359</f>
        <v>0.9768</v>
      </c>
      <c r="N354" s="27">
        <f>+[2]称号計算!T359</f>
        <v>0.89629999999999999</v>
      </c>
      <c r="O354" s="5">
        <f>+[2]称号計算!U359</f>
        <v>0.17929999999999999</v>
      </c>
      <c r="P354" s="5">
        <f>+[2]称号計算!V359</f>
        <v>5.9799999999999999E-2</v>
      </c>
      <c r="Q354" s="5">
        <f>+[2]称号計算!W359</f>
        <v>5.9799999999999999E-2</v>
      </c>
      <c r="R354" s="5">
        <f>+[2]称号計算!X359</f>
        <v>4.48E-2</v>
      </c>
      <c r="S354" s="13">
        <f>+[2]称号計算!Y359</f>
        <v>4.48E-2</v>
      </c>
      <c r="T354" s="19">
        <f>+[2]称号計算!Z359</f>
        <v>5.4951999999999996</v>
      </c>
      <c r="U354" s="13">
        <v>1</v>
      </c>
    </row>
    <row r="355" spans="1:21" ht="19.5" thickBot="1">
      <c r="A355" s="14" t="s">
        <v>1266</v>
      </c>
      <c r="B355" s="24" t="s">
        <v>1626</v>
      </c>
      <c r="C355" s="28">
        <f>+[2]称号計算!I360</f>
        <v>2.0061</v>
      </c>
      <c r="D355" s="15">
        <f>+[2]称号計算!J360</f>
        <v>2.4073000000000002</v>
      </c>
      <c r="E355" s="15">
        <f>+[2]称号計算!K360</f>
        <v>0.31909999999999999</v>
      </c>
      <c r="F355" s="15">
        <f>+[2]称号計算!L360</f>
        <v>4.5591999999999997</v>
      </c>
      <c r="G355" s="15">
        <f>+[2]称号計算!M360</f>
        <v>1.4881</v>
      </c>
      <c r="H355" s="16">
        <f>+[2]称号計算!N360</f>
        <v>1.5810999999999999</v>
      </c>
      <c r="I355" s="28">
        <f>+[2]称号計算!O360</f>
        <v>0.90269999999999995</v>
      </c>
      <c r="J355" s="16">
        <f>+[2]称号計算!P360</f>
        <v>1.1064000000000001</v>
      </c>
      <c r="K355" s="28">
        <f>+[2]称号計算!Q360</f>
        <v>0.82250000000000001</v>
      </c>
      <c r="L355" s="15">
        <f>+[2]称号計算!R360</f>
        <v>1.6778</v>
      </c>
      <c r="M355" s="16">
        <f>+[2]称号計算!S360</f>
        <v>1.3658999999999999</v>
      </c>
      <c r="N355" s="28">
        <f>+[2]称号計算!T360</f>
        <v>7.2900000000000006E-2</v>
      </c>
      <c r="O355" s="15">
        <f>+[2]称号計算!U360</f>
        <v>7.2900000000000006E-2</v>
      </c>
      <c r="P355" s="15">
        <f>+[2]称号計算!V360</f>
        <v>1.0942000000000001</v>
      </c>
      <c r="Q355" s="15">
        <f>+[2]称号計算!W360</f>
        <v>0.27350000000000002</v>
      </c>
      <c r="R355" s="15">
        <f>+[2]称号計算!X360</f>
        <v>5.4699999999999999E-2</v>
      </c>
      <c r="S355" s="16">
        <f>+[2]称号計算!Y360</f>
        <v>5.4699999999999999E-2</v>
      </c>
      <c r="T355" s="20">
        <f>+[2]称号計算!Z360</f>
        <v>5.7241</v>
      </c>
      <c r="U355" s="16">
        <v>0.9</v>
      </c>
    </row>
    <row r="356" spans="1:21">
      <c r="A356" s="9" t="s">
        <v>1267</v>
      </c>
      <c r="B356" s="22" t="s">
        <v>1627</v>
      </c>
      <c r="C356" s="26">
        <f>+[2]称号計算!I361</f>
        <v>1.0018</v>
      </c>
      <c r="D356" s="10">
        <f>+[2]称号計算!J361</f>
        <v>1.6193</v>
      </c>
      <c r="E356" s="10">
        <f>+[2]称号計算!K361</f>
        <v>0.17469999999999999</v>
      </c>
      <c r="F356" s="10">
        <f>+[2]称号計算!L361</f>
        <v>3.1187999999999998</v>
      </c>
      <c r="G356" s="10">
        <f>+[2]称号計算!M361</f>
        <v>0.8165</v>
      </c>
      <c r="H356" s="11">
        <f>+[2]称号計算!N361</f>
        <v>0.90129999999999999</v>
      </c>
      <c r="I356" s="26">
        <f>+[2]称号計算!O361</f>
        <v>3.5680000000000001</v>
      </c>
      <c r="J356" s="11">
        <f>+[2]称号計算!P361</f>
        <v>1.0542</v>
      </c>
      <c r="K356" s="26">
        <f>+[2]称号計算!Q361</f>
        <v>0.75480000000000003</v>
      </c>
      <c r="L356" s="10">
        <f>+[2]称号計算!R361</f>
        <v>1.1852</v>
      </c>
      <c r="M356" s="11">
        <f>+[2]称号計算!S361</f>
        <v>0.97809999999999997</v>
      </c>
      <c r="N356" s="26">
        <f>+[2]称号計算!T361</f>
        <v>0.48549999999999999</v>
      </c>
      <c r="O356" s="10">
        <f>+[2]称号計算!U361</f>
        <v>9.7100000000000006E-2</v>
      </c>
      <c r="P356" s="10">
        <f>+[2]称号計算!V361</f>
        <v>3.2399999999999998E-2</v>
      </c>
      <c r="Q356" s="10">
        <f>+[2]称号計算!W361</f>
        <v>3.2399999999999998E-2</v>
      </c>
      <c r="R356" s="10">
        <f>+[2]称号計算!X361</f>
        <v>2.4299999999999999E-2</v>
      </c>
      <c r="S356" s="11">
        <f>+[2]称号計算!Y361</f>
        <v>2.4299999999999999E-2</v>
      </c>
      <c r="T356" s="18">
        <f>+[2]称号計算!Z361</f>
        <v>5.3525</v>
      </c>
      <c r="U356" s="11">
        <v>0.55000000000000004</v>
      </c>
    </row>
    <row r="357" spans="1:21">
      <c r="A357" s="12" t="s">
        <v>1268</v>
      </c>
      <c r="B357" s="23" t="s">
        <v>1628</v>
      </c>
      <c r="C357" s="27">
        <f>+[2]称号計算!I362</f>
        <v>1.3340000000000001</v>
      </c>
      <c r="D357" s="5">
        <f>+[2]称号計算!J362</f>
        <v>1.5198</v>
      </c>
      <c r="E357" s="5">
        <f>+[2]称号計算!K362</f>
        <v>0.2034</v>
      </c>
      <c r="F357" s="5">
        <f>+[2]称号計算!L362</f>
        <v>3.8378000000000001</v>
      </c>
      <c r="G357" s="5">
        <f>+[2]称号計算!M362</f>
        <v>1.1091</v>
      </c>
      <c r="H357" s="13">
        <f>+[2]称号計算!N362</f>
        <v>1.0569</v>
      </c>
      <c r="I357" s="27">
        <f>+[2]称号計算!O362</f>
        <v>1.0975999999999999</v>
      </c>
      <c r="J357" s="13">
        <f>+[2]称号計算!P362</f>
        <v>0.96460000000000001</v>
      </c>
      <c r="K357" s="27">
        <f>+[2]称号計算!Q362</f>
        <v>1.3509</v>
      </c>
      <c r="L357" s="5">
        <f>+[2]称号計算!R362</f>
        <v>2.6404000000000001</v>
      </c>
      <c r="M357" s="13">
        <f>+[2]称号計算!S362</f>
        <v>0.81669999999999998</v>
      </c>
      <c r="N357" s="27">
        <f>+[2]称号計算!T362</f>
        <v>9.1800000000000007E-2</v>
      </c>
      <c r="O357" s="5">
        <f>+[2]称号計算!U362</f>
        <v>0.45879999999999999</v>
      </c>
      <c r="P357" s="5">
        <f>+[2]称号計算!V362</f>
        <v>3.0599999999999999E-2</v>
      </c>
      <c r="Q357" s="5">
        <f>+[2]称号計算!W362</f>
        <v>3.0599999999999999E-2</v>
      </c>
      <c r="R357" s="5">
        <f>+[2]称号計算!X362</f>
        <v>2.29E-2</v>
      </c>
      <c r="S357" s="13">
        <f>+[2]称号計算!Y362</f>
        <v>2.29E-2</v>
      </c>
      <c r="T357" s="19">
        <f>+[2]称号計算!Z362</f>
        <v>6.7264999999999997</v>
      </c>
      <c r="U357" s="13">
        <v>0.5</v>
      </c>
    </row>
    <row r="358" spans="1:21">
      <c r="A358" s="12" t="s">
        <v>1269</v>
      </c>
      <c r="B358" s="23" t="s">
        <v>1629</v>
      </c>
      <c r="C358" s="27">
        <f>+[2]称号計算!I363</f>
        <v>2.0236000000000001</v>
      </c>
      <c r="D358" s="5">
        <f>+[2]称号計算!J363</f>
        <v>1.6862999999999999</v>
      </c>
      <c r="E358" s="5">
        <f>+[2]称号計算!K363</f>
        <v>0.38329999999999997</v>
      </c>
      <c r="F358" s="5">
        <f>+[2]称号計算!L363</f>
        <v>3.8325999999999998</v>
      </c>
      <c r="G358" s="5">
        <f>+[2]称号計算!M363</f>
        <v>1.694</v>
      </c>
      <c r="H358" s="13">
        <f>+[2]称号計算!N363</f>
        <v>1.1075999999999999</v>
      </c>
      <c r="I358" s="27">
        <f>+[2]称号計算!O363</f>
        <v>1.3491</v>
      </c>
      <c r="J358" s="13">
        <f>+[2]称号計算!P363</f>
        <v>1.0629</v>
      </c>
      <c r="K358" s="27">
        <f>+[2]称号計算!Q363</f>
        <v>0.94430000000000003</v>
      </c>
      <c r="L358" s="5">
        <f>+[2]称号計算!R363</f>
        <v>1.5329999999999999</v>
      </c>
      <c r="M358" s="13">
        <f>+[2]称号計算!S363</f>
        <v>1.0730999999999999</v>
      </c>
      <c r="N358" s="27">
        <f>+[2]称号計算!T363</f>
        <v>3.5400000000000001E-2</v>
      </c>
      <c r="O358" s="5">
        <f>+[2]称号計算!U363</f>
        <v>3.5400000000000001E-2</v>
      </c>
      <c r="P358" s="5">
        <f>+[2]称号計算!V363</f>
        <v>3.5400000000000001E-2</v>
      </c>
      <c r="Q358" s="5">
        <f>+[2]称号計算!W363</f>
        <v>3.5400000000000001E-2</v>
      </c>
      <c r="R358" s="5">
        <f>+[2]称号計算!X363</f>
        <v>0.70760000000000001</v>
      </c>
      <c r="S358" s="13">
        <f>+[2]称号計算!Y363</f>
        <v>9.4399999999999998E-2</v>
      </c>
      <c r="T358" s="19">
        <f>+[2]称号計算!Z363</f>
        <v>5.9340999999999999</v>
      </c>
      <c r="U358" s="13">
        <v>0.25</v>
      </c>
    </row>
    <row r="359" spans="1:21">
      <c r="A359" s="12" t="s">
        <v>1270</v>
      </c>
      <c r="B359" s="23" t="s">
        <v>1630</v>
      </c>
      <c r="C359" s="27">
        <f>+[2]称号計算!I364</f>
        <v>3.4222000000000001</v>
      </c>
      <c r="D359" s="5">
        <f>+[2]称号計算!J364</f>
        <v>0.67689999999999995</v>
      </c>
      <c r="E359" s="5">
        <f>+[2]称号計算!K364</f>
        <v>4.2733999999999996</v>
      </c>
      <c r="F359" s="5">
        <f>+[2]称号計算!L364</f>
        <v>0.35899999999999999</v>
      </c>
      <c r="G359" s="5">
        <f>+[2]称号計算!M364</f>
        <v>3.1238999999999999</v>
      </c>
      <c r="H359" s="13">
        <f>+[2]称号計算!N364</f>
        <v>1.5401</v>
      </c>
      <c r="I359" s="27">
        <f>+[2]称号計算!O364</f>
        <v>0.56410000000000005</v>
      </c>
      <c r="J359" s="13">
        <f>+[2]称号計算!P364</f>
        <v>1</v>
      </c>
      <c r="K359" s="27">
        <f>+[2]称号計算!Q364</f>
        <v>0.56410000000000005</v>
      </c>
      <c r="L359" s="5">
        <f>+[2]称号計算!R364</f>
        <v>1.1111</v>
      </c>
      <c r="M359" s="13">
        <f>+[2]称号計算!S364</f>
        <v>0.81369999999999998</v>
      </c>
      <c r="N359" s="27">
        <f>+[2]称号計算!T364</f>
        <v>0.19539999999999999</v>
      </c>
      <c r="O359" s="5">
        <f>+[2]称号計算!U364</f>
        <v>0.97709999999999997</v>
      </c>
      <c r="P359" s="5">
        <f>+[2]称号計算!V364</f>
        <v>6.5100000000000005E-2</v>
      </c>
      <c r="Q359" s="5">
        <f>+[2]称号計算!W364</f>
        <v>6.5100000000000005E-2</v>
      </c>
      <c r="R359" s="5">
        <f>+[2]称号計算!X364</f>
        <v>4.8899999999999999E-2</v>
      </c>
      <c r="S359" s="13">
        <f>+[2]称号計算!Y364</f>
        <v>4.8899999999999999E-2</v>
      </c>
      <c r="T359" s="19">
        <f>+[2]称号計算!Z364</f>
        <v>4.9436999999999998</v>
      </c>
      <c r="U359" s="13">
        <v>1</v>
      </c>
    </row>
    <row r="360" spans="1:21">
      <c r="A360" s="12" t="s">
        <v>1271</v>
      </c>
      <c r="B360" s="23" t="s">
        <v>1631</v>
      </c>
      <c r="C360" s="27">
        <f>+[2]称号計算!I365</f>
        <v>1.5308999999999999</v>
      </c>
      <c r="D360" s="5">
        <f>+[2]称号計算!J365</f>
        <v>0.8236</v>
      </c>
      <c r="E360" s="5">
        <f>+[2]称号計算!K365</f>
        <v>4.4040999999999997</v>
      </c>
      <c r="F360" s="5">
        <f>+[2]称号計算!L365</f>
        <v>0.30830000000000002</v>
      </c>
      <c r="G360" s="5">
        <f>+[2]称号計算!M365</f>
        <v>1.1830000000000001</v>
      </c>
      <c r="H360" s="13">
        <f>+[2]称号計算!N365</f>
        <v>1.0931</v>
      </c>
      <c r="I360" s="27">
        <f>+[2]称号計算!O365</f>
        <v>1.9378</v>
      </c>
      <c r="J360" s="13">
        <f>+[2]称号計算!P365</f>
        <v>1.4123000000000001</v>
      </c>
      <c r="K360" s="27">
        <f>+[2]称号計算!Q365</f>
        <v>1.5503</v>
      </c>
      <c r="L360" s="5">
        <f>+[2]称号計算!R365</f>
        <v>2.4839000000000002</v>
      </c>
      <c r="M360" s="13">
        <f>+[2]称号計算!S365</f>
        <v>1.4798</v>
      </c>
      <c r="N360" s="27">
        <f>+[2]称号計算!T365</f>
        <v>0.56810000000000005</v>
      </c>
      <c r="O360" s="5">
        <f>+[2]称号計算!U365</f>
        <v>0.11360000000000001</v>
      </c>
      <c r="P360" s="5">
        <f>+[2]称号計算!V365</f>
        <v>3.7900000000000003E-2</v>
      </c>
      <c r="Q360" s="5">
        <f>+[2]称号計算!W365</f>
        <v>3.7900000000000003E-2</v>
      </c>
      <c r="R360" s="5">
        <f>+[2]称号計算!X365</f>
        <v>2.8400000000000002E-2</v>
      </c>
      <c r="S360" s="13">
        <f>+[2]称号計算!Y365</f>
        <v>2.8400000000000002E-2</v>
      </c>
      <c r="T360" s="19">
        <f>+[2]称号計算!Z365</f>
        <v>7.6874000000000002</v>
      </c>
      <c r="U360" s="13">
        <v>1</v>
      </c>
    </row>
    <row r="361" spans="1:21" ht="19.5" thickBot="1">
      <c r="A361" s="14" t="s">
        <v>1272</v>
      </c>
      <c r="B361" s="24" t="s">
        <v>1632</v>
      </c>
      <c r="C361" s="28">
        <f>+[2]称号計算!I366</f>
        <v>1.7905</v>
      </c>
      <c r="D361" s="15">
        <f>+[2]称号計算!J366</f>
        <v>1.9651000000000001</v>
      </c>
      <c r="E361" s="15">
        <f>+[2]称号計算!K366</f>
        <v>0.49619999999999997</v>
      </c>
      <c r="F361" s="15">
        <f>+[2]称号計算!L366</f>
        <v>4.9625000000000004</v>
      </c>
      <c r="G361" s="15">
        <f>+[2]称号計算!M366</f>
        <v>1.4341999999999999</v>
      </c>
      <c r="H361" s="16">
        <f>+[2]称号計算!N366</f>
        <v>1.6872</v>
      </c>
      <c r="I361" s="28">
        <f>+[2]称号計算!O366</f>
        <v>1.0916999999999999</v>
      </c>
      <c r="J361" s="16">
        <f>+[2]称号計算!P366</f>
        <v>1.2902</v>
      </c>
      <c r="K361" s="28">
        <f>+[2]称号計算!Q366</f>
        <v>0.87339999999999995</v>
      </c>
      <c r="L361" s="15">
        <f>+[2]称号計算!R366</f>
        <v>1.9850000000000001</v>
      </c>
      <c r="M361" s="16">
        <f>+[2]称号計算!S366</f>
        <v>1.3895</v>
      </c>
      <c r="N361" s="28">
        <f>+[2]称号計算!T366</f>
        <v>4.65E-2</v>
      </c>
      <c r="O361" s="15">
        <f>+[2]称号計算!U366</f>
        <v>4.65E-2</v>
      </c>
      <c r="P361" s="15">
        <f>+[2]称号計算!V366</f>
        <v>0.69789999999999996</v>
      </c>
      <c r="Q361" s="15">
        <f>+[2]称号計算!W366</f>
        <v>0.17449999999999999</v>
      </c>
      <c r="R361" s="15">
        <f>+[2]称号計算!X366</f>
        <v>3.49E-2</v>
      </c>
      <c r="S361" s="16">
        <f>+[2]称号計算!Y366</f>
        <v>3.49E-2</v>
      </c>
      <c r="T361" s="20">
        <f>+[2]称号計算!Z366</f>
        <v>5.9004000000000003</v>
      </c>
      <c r="U361" s="16">
        <v>0.9</v>
      </c>
    </row>
    <row r="362" spans="1:21">
      <c r="A362" s="9" t="s">
        <v>1273</v>
      </c>
      <c r="B362" s="22" t="s">
        <v>1633</v>
      </c>
      <c r="C362" s="26">
        <f>+[2]称号計算!I367</f>
        <v>1.9928999999999999</v>
      </c>
      <c r="D362" s="10">
        <f>+[2]称号計算!J367</f>
        <v>0.93</v>
      </c>
      <c r="E362" s="10">
        <f>+[2]称号計算!K367</f>
        <v>3.7744</v>
      </c>
      <c r="F362" s="10">
        <f>+[2]称号計算!L367</f>
        <v>0.31330000000000002</v>
      </c>
      <c r="G362" s="10">
        <f>+[2]称号計算!M367</f>
        <v>0.97529999999999994</v>
      </c>
      <c r="H362" s="11">
        <f>+[2]称号計算!N367</f>
        <v>2.6949999999999998</v>
      </c>
      <c r="I362" s="26">
        <f>+[2]称号計算!O367</f>
        <v>0.83040000000000003</v>
      </c>
      <c r="J362" s="11">
        <f>+[2]称号計算!P367</f>
        <v>0.9617</v>
      </c>
      <c r="K362" s="26">
        <f>+[2]称号計算!Q367</f>
        <v>0.81379999999999997</v>
      </c>
      <c r="L362" s="10">
        <f>+[2]称号計算!R367</f>
        <v>1.5098</v>
      </c>
      <c r="M362" s="11">
        <f>+[2]称号計算!S367</f>
        <v>0.9829</v>
      </c>
      <c r="N362" s="26">
        <f>+[2]称号計算!T367</f>
        <v>0.79530000000000001</v>
      </c>
      <c r="O362" s="10">
        <f>+[2]称号計算!U367</f>
        <v>0.15909999999999999</v>
      </c>
      <c r="P362" s="10">
        <f>+[2]称号計算!V367</f>
        <v>5.2999999999999999E-2</v>
      </c>
      <c r="Q362" s="10">
        <f>+[2]称号計算!W367</f>
        <v>5.2999999999999999E-2</v>
      </c>
      <c r="R362" s="10">
        <f>+[2]称号計算!X367</f>
        <v>3.9800000000000002E-2</v>
      </c>
      <c r="S362" s="11">
        <f>+[2]称号計算!Y367</f>
        <v>3.9800000000000002E-2</v>
      </c>
      <c r="T362" s="18">
        <f>+[2]称号計算!Z367</f>
        <v>5.3036000000000003</v>
      </c>
      <c r="U362" s="11">
        <v>0.55000000000000004</v>
      </c>
    </row>
    <row r="363" spans="1:21">
      <c r="A363" s="12" t="s">
        <v>1274</v>
      </c>
      <c r="B363" s="23" t="s">
        <v>1634</v>
      </c>
      <c r="C363" s="27">
        <f>+[2]称号計算!I368</f>
        <v>1.6163000000000001</v>
      </c>
      <c r="D363" s="5">
        <f>+[2]称号計算!J368</f>
        <v>0.71840000000000004</v>
      </c>
      <c r="E363" s="5">
        <f>+[2]称号計算!K368</f>
        <v>4.0815999999999999</v>
      </c>
      <c r="F363" s="5">
        <f>+[2]称号計算!L368</f>
        <v>0.40820000000000001</v>
      </c>
      <c r="G363" s="5">
        <f>+[2]称号計算!M368</f>
        <v>1.2490000000000001</v>
      </c>
      <c r="H363" s="13">
        <f>+[2]称号計算!N368</f>
        <v>1.2490000000000001</v>
      </c>
      <c r="I363" s="27">
        <f>+[2]称号計算!O368</f>
        <v>1.9755</v>
      </c>
      <c r="J363" s="13">
        <f>+[2]称号計算!P368</f>
        <v>1.2381</v>
      </c>
      <c r="K363" s="27">
        <f>+[2]称号計算!Q368</f>
        <v>1.0774999999999999</v>
      </c>
      <c r="L363" s="5">
        <f>+[2]称号計算!R368</f>
        <v>1.9265000000000001</v>
      </c>
      <c r="M363" s="13">
        <f>+[2]称号計算!S368</f>
        <v>1.0286</v>
      </c>
      <c r="N363" s="27">
        <f>+[2]称号計算!T368</f>
        <v>0.1166</v>
      </c>
      <c r="O363" s="5">
        <f>+[2]称号計算!U368</f>
        <v>0.58320000000000005</v>
      </c>
      <c r="P363" s="5">
        <f>+[2]称号計算!V368</f>
        <v>3.8899999999999997E-2</v>
      </c>
      <c r="Q363" s="5">
        <f>+[2]称号計算!W368</f>
        <v>3.8899999999999997E-2</v>
      </c>
      <c r="R363" s="5">
        <f>+[2]称号計算!X368</f>
        <v>2.92E-2</v>
      </c>
      <c r="S363" s="13">
        <f>+[2]称号計算!Y368</f>
        <v>2.92E-2</v>
      </c>
      <c r="T363" s="19">
        <f>+[2]称号計算!Z368</f>
        <v>6.0750999999999999</v>
      </c>
      <c r="U363" s="13">
        <v>0.5</v>
      </c>
    </row>
    <row r="364" spans="1:21">
      <c r="A364" s="12" t="s">
        <v>1275</v>
      </c>
      <c r="B364" s="23" t="s">
        <v>1635</v>
      </c>
      <c r="C364" s="27">
        <f>+[2]称号計算!I369</f>
        <v>1.3333999999999999</v>
      </c>
      <c r="D364" s="5">
        <f>+[2]称号計算!J369</f>
        <v>0.8095</v>
      </c>
      <c r="E364" s="5">
        <f>+[2]称号計算!K369</f>
        <v>4.3291000000000004</v>
      </c>
      <c r="F364" s="5">
        <f>+[2]称号計算!L369</f>
        <v>0.32469999999999999</v>
      </c>
      <c r="G364" s="5">
        <f>+[2]称号計算!M369</f>
        <v>1.1186</v>
      </c>
      <c r="H364" s="13">
        <f>+[2]称号計算!N369</f>
        <v>1.1480999999999999</v>
      </c>
      <c r="I364" s="27">
        <f>+[2]称号計算!O369</f>
        <v>2.0952999999999999</v>
      </c>
      <c r="J364" s="13">
        <f>+[2]称号計算!P369</f>
        <v>1.1856</v>
      </c>
      <c r="K364" s="27">
        <f>+[2]称号計算!Q369</f>
        <v>1.6953</v>
      </c>
      <c r="L364" s="5">
        <f>+[2]称号計算!R369</f>
        <v>2.2511000000000001</v>
      </c>
      <c r="M364" s="13">
        <f>+[2]称号計算!S369</f>
        <v>1.0667</v>
      </c>
      <c r="N364" s="27">
        <f>+[2]称号計算!T369</f>
        <v>2.64E-2</v>
      </c>
      <c r="O364" s="5">
        <f>+[2]称号計算!U369</f>
        <v>2.64E-2</v>
      </c>
      <c r="P364" s="5">
        <f>+[2]称号計算!V369</f>
        <v>2.64E-2</v>
      </c>
      <c r="Q364" s="5">
        <f>+[2]称号計算!W369</f>
        <v>2.64E-2</v>
      </c>
      <c r="R364" s="5">
        <f>+[2]称号計算!X369</f>
        <v>0.52769999999999995</v>
      </c>
      <c r="S364" s="13">
        <f>+[2]称号計算!Y369</f>
        <v>7.0400000000000004E-2</v>
      </c>
      <c r="T364" s="19">
        <f>+[2]称号計算!Z369</f>
        <v>7.7625999999999999</v>
      </c>
      <c r="U364" s="13">
        <v>0.25</v>
      </c>
    </row>
    <row r="365" spans="1:21">
      <c r="A365" s="12" t="s">
        <v>1276</v>
      </c>
      <c r="B365" s="23" t="s">
        <v>1636</v>
      </c>
      <c r="C365" s="27">
        <f>+[2]称号計算!I370</f>
        <v>1.8768</v>
      </c>
      <c r="D365" s="5">
        <f>+[2]称号計算!J370</f>
        <v>3.0985</v>
      </c>
      <c r="E365" s="5">
        <f>+[2]称号計算!K370</f>
        <v>0.2616</v>
      </c>
      <c r="F365" s="5">
        <f>+[2]称号計算!L370</f>
        <v>4.024</v>
      </c>
      <c r="G365" s="5">
        <f>+[2]称号計算!M370</f>
        <v>1.0535000000000001</v>
      </c>
      <c r="H365" s="13">
        <f>+[2]称号計算!N370</f>
        <v>2.8047</v>
      </c>
      <c r="I365" s="27">
        <f>+[2]称号計算!O370</f>
        <v>0.79679999999999995</v>
      </c>
      <c r="J365" s="13">
        <f>+[2]称号計算!P370</f>
        <v>1.0114000000000001</v>
      </c>
      <c r="K365" s="27">
        <f>+[2]称号計算!Q370</f>
        <v>0.67279999999999995</v>
      </c>
      <c r="L365" s="5">
        <f>+[2]称号計算!R370</f>
        <v>1.3521000000000001</v>
      </c>
      <c r="M365" s="13">
        <f>+[2]称号計算!S370</f>
        <v>1.1942999999999999</v>
      </c>
      <c r="N365" s="27">
        <f>+[2]称号計算!T370</f>
        <v>0.19739999999999999</v>
      </c>
      <c r="O365" s="5">
        <f>+[2]称号計算!U370</f>
        <v>0.98719999999999997</v>
      </c>
      <c r="P365" s="5">
        <f>+[2]称号計算!V370</f>
        <v>6.5799999999999997E-2</v>
      </c>
      <c r="Q365" s="5">
        <f>+[2]称号計算!W370</f>
        <v>6.5799999999999997E-2</v>
      </c>
      <c r="R365" s="5">
        <f>+[2]称号計算!X370</f>
        <v>4.9399999999999999E-2</v>
      </c>
      <c r="S365" s="13">
        <f>+[2]称号計算!Y370</f>
        <v>4.9399999999999999E-2</v>
      </c>
      <c r="T365" s="19">
        <f>+[2]称号計算!Z370</f>
        <v>5.5446999999999997</v>
      </c>
      <c r="U365" s="13">
        <v>1</v>
      </c>
    </row>
    <row r="366" spans="1:21">
      <c r="A366" s="12" t="s">
        <v>1277</v>
      </c>
      <c r="B366" s="23" t="s">
        <v>1637</v>
      </c>
      <c r="C366" s="27">
        <f>+[2]称号計算!I371</f>
        <v>1.6343000000000001</v>
      </c>
      <c r="D366" s="5">
        <f>+[2]称号計算!J371</f>
        <v>0.66659999999999997</v>
      </c>
      <c r="E366" s="5">
        <f>+[2]称号計算!K371</f>
        <v>4.8872999999999998</v>
      </c>
      <c r="F366" s="5">
        <f>+[2]称号計算!L371</f>
        <v>0.30299999999999999</v>
      </c>
      <c r="G366" s="5">
        <f>+[2]称号計算!M371</f>
        <v>1.2628999999999999</v>
      </c>
      <c r="H366" s="13">
        <f>+[2]称号計算!N371</f>
        <v>1.1632</v>
      </c>
      <c r="I366" s="27">
        <f>+[2]称号計算!O371</f>
        <v>2.0428999999999999</v>
      </c>
      <c r="J366" s="13">
        <f>+[2]称号計算!P371</f>
        <v>2.0331000000000001</v>
      </c>
      <c r="K366" s="27">
        <f>+[2]称号計算!Q371</f>
        <v>1.4408000000000001</v>
      </c>
      <c r="L366" s="5">
        <f>+[2]称号計算!R371</f>
        <v>1.6812</v>
      </c>
      <c r="M366" s="13">
        <f>+[2]称号計算!S371</f>
        <v>1.82</v>
      </c>
      <c r="N366" s="27">
        <f>+[2]称号計算!T371</f>
        <v>0.54530000000000001</v>
      </c>
      <c r="O366" s="5">
        <f>+[2]称号計算!U371</f>
        <v>0.1091</v>
      </c>
      <c r="P366" s="5">
        <f>+[2]称号計算!V371</f>
        <v>3.6400000000000002E-2</v>
      </c>
      <c r="Q366" s="5">
        <f>+[2]称号計算!W371</f>
        <v>3.6400000000000002E-2</v>
      </c>
      <c r="R366" s="5">
        <f>+[2]称号計算!X371</f>
        <v>2.7300000000000001E-2</v>
      </c>
      <c r="S366" s="13">
        <f>+[2]称号計算!Y371</f>
        <v>2.7300000000000001E-2</v>
      </c>
      <c r="T366" s="19">
        <f>+[2]称号計算!Z371</f>
        <v>7.3110999999999997</v>
      </c>
      <c r="U366" s="13">
        <v>1</v>
      </c>
    </row>
    <row r="367" spans="1:21" ht="19.5" thickBot="1">
      <c r="A367" s="14" t="s">
        <v>1278</v>
      </c>
      <c r="B367" s="24" t="s">
        <v>1638</v>
      </c>
      <c r="C367" s="28">
        <f>+[2]称号計算!I372</f>
        <v>2.0091999999999999</v>
      </c>
      <c r="D367" s="15">
        <f>+[2]称号計算!J372</f>
        <v>2.9133</v>
      </c>
      <c r="E367" s="15">
        <f>+[2]称号計算!K372</f>
        <v>0.45660000000000001</v>
      </c>
      <c r="F367" s="15">
        <f>+[2]称号計算!L372</f>
        <v>4.5663999999999998</v>
      </c>
      <c r="G367" s="15">
        <f>+[2]称号計算!M372</f>
        <v>1.5526</v>
      </c>
      <c r="H367" s="16">
        <f>+[2]称号計算!N372</f>
        <v>1.8631</v>
      </c>
      <c r="I367" s="28">
        <f>+[2]称号計算!O372</f>
        <v>1.2055</v>
      </c>
      <c r="J367" s="16">
        <f>+[2]称号計算!P372</f>
        <v>1.1081000000000001</v>
      </c>
      <c r="K367" s="28">
        <f>+[2]称号計算!Q372</f>
        <v>0.84389999999999998</v>
      </c>
      <c r="L367" s="15">
        <f>+[2]称号計算!R372</f>
        <v>1.7352000000000001</v>
      </c>
      <c r="M367" s="16">
        <f>+[2]称号計算!S372</f>
        <v>1.4703999999999999</v>
      </c>
      <c r="N367" s="28">
        <f>+[2]称号計算!T372</f>
        <v>5.8900000000000001E-2</v>
      </c>
      <c r="O367" s="15">
        <f>+[2]称号計算!U372</f>
        <v>5.8900000000000001E-2</v>
      </c>
      <c r="P367" s="15">
        <f>+[2]称号計算!V372</f>
        <v>0.88360000000000005</v>
      </c>
      <c r="Q367" s="15">
        <f>+[2]称号計算!W372</f>
        <v>0.22090000000000001</v>
      </c>
      <c r="R367" s="15">
        <f>+[2]称号計算!X372</f>
        <v>4.4200000000000003E-2</v>
      </c>
      <c r="S367" s="16">
        <f>+[2]称号計算!Y372</f>
        <v>4.4200000000000003E-2</v>
      </c>
      <c r="T367" s="20">
        <f>+[2]称号計算!Z372</f>
        <v>6.2460000000000004</v>
      </c>
      <c r="U367" s="16">
        <v>0.9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42CD-91E6-4819-8ABA-870827BE1763}">
  <dimension ref="A1:V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1" sqref="O21"/>
    </sheetView>
  </sheetViews>
  <sheetFormatPr defaultColWidth="7" defaultRowHeight="18.75"/>
  <cols>
    <col min="1" max="1" width="7" style="4"/>
    <col min="2" max="16384" width="7" style="3"/>
  </cols>
  <sheetData>
    <row r="1" spans="1:22" ht="19.5" thickBot="1">
      <c r="A1" s="41" t="s">
        <v>6</v>
      </c>
      <c r="B1" s="42" t="s">
        <v>7</v>
      </c>
      <c r="C1" s="43" t="s">
        <v>115</v>
      </c>
      <c r="D1" s="44" t="s">
        <v>145</v>
      </c>
      <c r="E1" s="44" t="s">
        <v>16</v>
      </c>
      <c r="F1" s="44" t="s">
        <v>17</v>
      </c>
      <c r="G1" s="44" t="s">
        <v>18</v>
      </c>
      <c r="H1" s="44" t="s">
        <v>19</v>
      </c>
      <c r="I1" s="44" t="s">
        <v>20</v>
      </c>
      <c r="J1" s="44" t="s">
        <v>21</v>
      </c>
      <c r="K1" s="44" t="s">
        <v>22</v>
      </c>
      <c r="L1" s="44" t="s">
        <v>23</v>
      </c>
      <c r="M1" s="44" t="s">
        <v>24</v>
      </c>
      <c r="N1" s="44" t="s">
        <v>25</v>
      </c>
      <c r="O1" s="44" t="s">
        <v>26</v>
      </c>
      <c r="P1" s="44" t="s">
        <v>27</v>
      </c>
      <c r="Q1" s="44" t="s">
        <v>28</v>
      </c>
      <c r="R1" s="44" t="s">
        <v>29</v>
      </c>
      <c r="S1" s="44" t="s">
        <v>85</v>
      </c>
      <c r="T1" s="44" t="s">
        <v>30</v>
      </c>
      <c r="U1" s="44" t="s">
        <v>31</v>
      </c>
      <c r="V1" s="42" t="s">
        <v>35</v>
      </c>
    </row>
    <row r="2" spans="1:22">
      <c r="A2" s="9" t="s">
        <v>137</v>
      </c>
      <c r="B2" s="10" t="s">
        <v>138</v>
      </c>
      <c r="C2" s="10" t="s">
        <v>139</v>
      </c>
      <c r="D2" s="10" t="s">
        <v>140</v>
      </c>
      <c r="E2" s="10">
        <v>0</v>
      </c>
      <c r="F2" s="10">
        <v>0</v>
      </c>
      <c r="G2" s="10">
        <v>0.1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1">
        <v>0</v>
      </c>
    </row>
    <row r="3" spans="1:22">
      <c r="A3" s="12" t="s">
        <v>141</v>
      </c>
      <c r="B3" s="5" t="s">
        <v>142</v>
      </c>
      <c r="C3" s="5" t="s">
        <v>143</v>
      </c>
      <c r="D3" s="5" t="s">
        <v>144</v>
      </c>
      <c r="E3" s="5">
        <v>0.05</v>
      </c>
      <c r="F3" s="5">
        <v>0.05</v>
      </c>
      <c r="G3" s="5">
        <v>0</v>
      </c>
      <c r="H3" s="5">
        <v>0</v>
      </c>
      <c r="I3" s="5">
        <v>0.05</v>
      </c>
      <c r="J3" s="5">
        <v>0.05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13">
        <v>0</v>
      </c>
    </row>
    <row r="4" spans="1:22">
      <c r="A4" s="12" t="s">
        <v>163</v>
      </c>
      <c r="B4" s="5" t="s">
        <v>166</v>
      </c>
      <c r="C4" s="5" t="s">
        <v>146</v>
      </c>
      <c r="D4" s="5" t="s">
        <v>172</v>
      </c>
      <c r="E4" s="5">
        <v>0</v>
      </c>
      <c r="F4" s="5">
        <v>0</v>
      </c>
      <c r="G4" s="5">
        <v>4.0000000000000001E-3</v>
      </c>
      <c r="H4" s="5">
        <v>0</v>
      </c>
      <c r="I4" s="5">
        <v>0</v>
      </c>
      <c r="J4" s="5">
        <v>0</v>
      </c>
      <c r="K4" s="5">
        <v>4.0000000000000002E-4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13">
        <v>0</v>
      </c>
    </row>
    <row r="5" spans="1:22">
      <c r="A5" s="12" t="s">
        <v>164</v>
      </c>
      <c r="B5" s="5" t="s">
        <v>167</v>
      </c>
      <c r="C5" s="5" t="s">
        <v>143</v>
      </c>
      <c r="D5" s="5" t="s">
        <v>171</v>
      </c>
      <c r="E5" s="5">
        <v>3.0000000000000001E-3</v>
      </c>
      <c r="F5" s="5">
        <v>0</v>
      </c>
      <c r="G5" s="5">
        <v>0</v>
      </c>
      <c r="H5" s="5">
        <v>0</v>
      </c>
      <c r="I5" s="5">
        <v>2E-3</v>
      </c>
      <c r="J5" s="5">
        <v>2E-3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13">
        <v>0</v>
      </c>
    </row>
    <row r="6" spans="1:22" ht="19.5" thickBot="1">
      <c r="A6" s="14" t="s">
        <v>165</v>
      </c>
      <c r="B6" s="15" t="s">
        <v>168</v>
      </c>
      <c r="C6" s="15" t="s">
        <v>169</v>
      </c>
      <c r="D6" s="15" t="s">
        <v>170</v>
      </c>
      <c r="E6" s="15">
        <v>0</v>
      </c>
      <c r="F6" s="15">
        <v>2E-3</v>
      </c>
      <c r="G6" s="15">
        <v>0</v>
      </c>
      <c r="H6" s="15">
        <v>4.0000000000000001E-3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6">
        <v>0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6CCD5D-15D7-4356-B688-EDA78259E2A6}">
          <x14:formula1>
            <xm:f>入力規制リスト!$E$1:$E$3</xm:f>
          </x14:formula1>
          <xm:sqref>C2:C6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32A8-C17D-4BCB-9FB1-72E8D4F5E58D}">
  <dimension ref="A1:DX204"/>
  <sheetViews>
    <sheetView showGridLines="0" tabSelected="1" workbookViewId="0">
      <pane xSplit="2" ySplit="1" topLeftCell="DS2" activePane="bottomRight" state="frozen"/>
      <selection pane="topRight"/>
      <selection pane="bottomLeft"/>
      <selection pane="bottomRight" activeCell="DU13" sqref="DU13"/>
    </sheetView>
  </sheetViews>
  <sheetFormatPr defaultRowHeight="18.75"/>
  <cols>
    <col min="1" max="1" width="22" style="71" customWidth="1"/>
    <col min="2" max="2" width="24" style="71" customWidth="1"/>
    <col min="3" max="3" width="48" style="71" customWidth="1"/>
    <col min="4" max="4" width="14" style="71" customWidth="1"/>
    <col min="5" max="5" width="16" style="71" customWidth="1"/>
    <col min="6" max="6" width="14" style="71" customWidth="1"/>
    <col min="7" max="7" width="17" style="71" customWidth="1"/>
    <col min="8" max="8" width="15" style="71" customWidth="1"/>
    <col min="9" max="9" width="18" style="71" customWidth="1"/>
    <col min="10" max="10" width="12" style="71" customWidth="1"/>
    <col min="11" max="11" width="20" style="71" customWidth="1"/>
    <col min="12" max="12" width="16" style="71" customWidth="1"/>
    <col min="13" max="13" width="19" style="71" customWidth="1"/>
    <col min="14" max="14" width="12" style="71" customWidth="1"/>
    <col min="15" max="15" width="14" style="71" customWidth="1"/>
    <col min="16" max="16" width="18" style="71" customWidth="1"/>
    <col min="17" max="17" width="14" style="71" customWidth="1"/>
    <col min="18" max="18" width="22" style="71" customWidth="1"/>
    <col min="19" max="20" width="14" style="71" customWidth="1"/>
    <col min="21" max="22" width="16" style="71" customWidth="1"/>
    <col min="23" max="23" width="17" style="71" customWidth="1"/>
    <col min="24" max="24" width="12" style="71" customWidth="1"/>
    <col min="25" max="26" width="42" style="71" customWidth="1"/>
    <col min="27" max="27" width="16" style="71" customWidth="1"/>
    <col min="28" max="29" width="19" style="71" customWidth="1"/>
    <col min="30" max="31" width="14" style="71" customWidth="1"/>
    <col min="32" max="33" width="16" style="71" customWidth="1"/>
    <col min="34" max="35" width="17" style="71" customWidth="1"/>
    <col min="36" max="36" width="14" style="71" customWidth="1"/>
    <col min="37" max="37" width="16" style="71" customWidth="1"/>
    <col min="38" max="39" width="19" style="71" customWidth="1"/>
    <col min="40" max="41" width="14" style="71" customWidth="1"/>
    <col min="42" max="43" width="16" style="71" customWidth="1"/>
    <col min="44" max="45" width="17" style="71" customWidth="1"/>
    <col min="46" max="46" width="14" style="71" customWidth="1"/>
    <col min="47" max="47" width="16" style="71" customWidth="1"/>
    <col min="48" max="49" width="19" style="71" customWidth="1"/>
    <col min="50" max="51" width="14" style="71" customWidth="1"/>
    <col min="52" max="53" width="16" style="71" customWidth="1"/>
    <col min="54" max="55" width="17" style="71" customWidth="1"/>
    <col min="56" max="56" width="14" style="71" customWidth="1"/>
    <col min="57" max="57" width="19" style="71" customWidth="1"/>
    <col min="58" max="58" width="20" style="71" customWidth="1"/>
    <col min="59" max="59" width="14" style="71" customWidth="1"/>
    <col min="60" max="60" width="46" style="71" customWidth="1"/>
    <col min="61" max="112" width="23" style="71" customWidth="1"/>
    <col min="113" max="123" width="22" style="71" customWidth="1"/>
    <col min="124" max="16384" width="9" style="71"/>
  </cols>
  <sheetData>
    <row r="1" spans="1:128" ht="42" customHeight="1">
      <c r="A1" s="74" t="s">
        <v>6</v>
      </c>
      <c r="B1" s="75" t="s">
        <v>7</v>
      </c>
      <c r="C1" s="75" t="s">
        <v>145</v>
      </c>
      <c r="D1" s="75" t="s">
        <v>1651</v>
      </c>
      <c r="E1" s="75" t="s">
        <v>1652</v>
      </c>
      <c r="F1" s="75" t="s">
        <v>1758</v>
      </c>
      <c r="G1" s="75" t="s">
        <v>1653</v>
      </c>
      <c r="H1" s="75" t="s">
        <v>1654</v>
      </c>
      <c r="I1" s="75" t="s">
        <v>1655</v>
      </c>
      <c r="J1" s="75" t="s">
        <v>1656</v>
      </c>
      <c r="K1" s="75" t="s">
        <v>1657</v>
      </c>
      <c r="L1" s="75" t="s">
        <v>1658</v>
      </c>
      <c r="M1" s="75" t="s">
        <v>1659</v>
      </c>
      <c r="N1" s="75" t="s">
        <v>1660</v>
      </c>
      <c r="O1" s="75" t="s">
        <v>1661</v>
      </c>
      <c r="P1" s="75" t="s">
        <v>14</v>
      </c>
      <c r="Q1" s="75" t="s">
        <v>1662</v>
      </c>
      <c r="R1" s="75" t="s">
        <v>1663</v>
      </c>
      <c r="S1" s="75" t="s">
        <v>1664</v>
      </c>
      <c r="T1" s="75" t="s">
        <v>1665</v>
      </c>
      <c r="U1" s="75" t="s">
        <v>1666</v>
      </c>
      <c r="V1" s="75" t="s">
        <v>1667</v>
      </c>
      <c r="W1" s="75" t="s">
        <v>1668</v>
      </c>
      <c r="X1" s="75" t="s">
        <v>1669</v>
      </c>
      <c r="Y1" s="75" t="s">
        <v>1670</v>
      </c>
      <c r="Z1" s="75" t="s">
        <v>1671</v>
      </c>
      <c r="AA1" s="76" t="s">
        <v>1672</v>
      </c>
      <c r="AB1" s="76" t="s">
        <v>1673</v>
      </c>
      <c r="AC1" s="76" t="s">
        <v>1674</v>
      </c>
      <c r="AD1" s="76" t="s">
        <v>1675</v>
      </c>
      <c r="AE1" s="76" t="s">
        <v>1676</v>
      </c>
      <c r="AF1" s="76" t="s">
        <v>1677</v>
      </c>
      <c r="AG1" s="76" t="s">
        <v>1678</v>
      </c>
      <c r="AH1" s="76" t="s">
        <v>1679</v>
      </c>
      <c r="AI1" s="76" t="s">
        <v>1680</v>
      </c>
      <c r="AJ1" s="76" t="s">
        <v>1681</v>
      </c>
      <c r="AK1" s="77" t="s">
        <v>1682</v>
      </c>
      <c r="AL1" s="77" t="s">
        <v>1683</v>
      </c>
      <c r="AM1" s="77" t="s">
        <v>1684</v>
      </c>
      <c r="AN1" s="77" t="s">
        <v>1685</v>
      </c>
      <c r="AO1" s="77" t="s">
        <v>1686</v>
      </c>
      <c r="AP1" s="77" t="s">
        <v>1687</v>
      </c>
      <c r="AQ1" s="77" t="s">
        <v>1688</v>
      </c>
      <c r="AR1" s="77" t="s">
        <v>1689</v>
      </c>
      <c r="AS1" s="77" t="s">
        <v>1690</v>
      </c>
      <c r="AT1" s="77" t="s">
        <v>1691</v>
      </c>
      <c r="AU1" s="78" t="s">
        <v>1692</v>
      </c>
      <c r="AV1" s="78" t="s">
        <v>1693</v>
      </c>
      <c r="AW1" s="78" t="s">
        <v>1694</v>
      </c>
      <c r="AX1" s="78" t="s">
        <v>1695</v>
      </c>
      <c r="AY1" s="78" t="s">
        <v>1696</v>
      </c>
      <c r="AZ1" s="78" t="s">
        <v>1697</v>
      </c>
      <c r="BA1" s="78" t="s">
        <v>1698</v>
      </c>
      <c r="BB1" s="78" t="s">
        <v>1699</v>
      </c>
      <c r="BC1" s="78" t="s">
        <v>1700</v>
      </c>
      <c r="BD1" s="78" t="s">
        <v>1701</v>
      </c>
      <c r="BE1" s="79" t="s">
        <v>1702</v>
      </c>
      <c r="BF1" s="79" t="s">
        <v>1703</v>
      </c>
      <c r="BG1" s="79" t="s">
        <v>1704</v>
      </c>
      <c r="BH1" s="80" t="s">
        <v>1759</v>
      </c>
      <c r="BI1" s="80" t="s">
        <v>1760</v>
      </c>
      <c r="BJ1" s="80" t="s">
        <v>1761</v>
      </c>
      <c r="BK1" s="80" t="s">
        <v>1762</v>
      </c>
      <c r="BL1" s="80" t="s">
        <v>1763</v>
      </c>
      <c r="BM1" s="80" t="s">
        <v>1764</v>
      </c>
      <c r="BN1" s="80" t="s">
        <v>1765</v>
      </c>
      <c r="BO1" s="80" t="s">
        <v>1766</v>
      </c>
      <c r="BP1" s="80" t="s">
        <v>1767</v>
      </c>
      <c r="BQ1" s="80" t="s">
        <v>1768</v>
      </c>
      <c r="BR1" s="80" t="s">
        <v>1769</v>
      </c>
      <c r="BS1" s="80" t="s">
        <v>1770</v>
      </c>
      <c r="BT1" s="80" t="s">
        <v>1771</v>
      </c>
      <c r="BU1" s="80" t="s">
        <v>1772</v>
      </c>
      <c r="BV1" s="80" t="s">
        <v>1773</v>
      </c>
      <c r="BW1" s="80" t="s">
        <v>1774</v>
      </c>
      <c r="BX1" s="80" t="s">
        <v>1775</v>
      </c>
      <c r="BY1" s="80" t="s">
        <v>1776</v>
      </c>
      <c r="BZ1" s="80" t="s">
        <v>1777</v>
      </c>
      <c r="CA1" s="80" t="s">
        <v>1778</v>
      </c>
      <c r="CB1" s="80" t="s">
        <v>1779</v>
      </c>
      <c r="CC1" s="80" t="s">
        <v>1780</v>
      </c>
      <c r="CD1" s="80" t="s">
        <v>1781</v>
      </c>
      <c r="CE1" s="80" t="s">
        <v>1782</v>
      </c>
      <c r="CF1" s="80" t="s">
        <v>1783</v>
      </c>
      <c r="CG1" s="80" t="s">
        <v>1784</v>
      </c>
      <c r="CH1" s="80" t="s">
        <v>1785</v>
      </c>
      <c r="CI1" s="80" t="s">
        <v>1786</v>
      </c>
      <c r="CJ1" s="80" t="s">
        <v>1787</v>
      </c>
      <c r="CK1" s="80" t="s">
        <v>1788</v>
      </c>
      <c r="CL1" s="80" t="s">
        <v>1789</v>
      </c>
      <c r="CM1" s="80" t="s">
        <v>1790</v>
      </c>
      <c r="CN1" s="80" t="s">
        <v>1791</v>
      </c>
      <c r="CO1" s="80" t="s">
        <v>1792</v>
      </c>
      <c r="CP1" s="80" t="s">
        <v>1793</v>
      </c>
      <c r="CQ1" s="80" t="s">
        <v>1794</v>
      </c>
      <c r="CR1" s="80" t="s">
        <v>1795</v>
      </c>
      <c r="CS1" s="80" t="s">
        <v>1796</v>
      </c>
      <c r="CT1" s="80" t="s">
        <v>1797</v>
      </c>
      <c r="CU1" s="80" t="s">
        <v>1798</v>
      </c>
      <c r="CV1" s="80" t="s">
        <v>1799</v>
      </c>
      <c r="CW1" s="80" t="s">
        <v>1800</v>
      </c>
      <c r="CX1" s="80" t="s">
        <v>1801</v>
      </c>
      <c r="CY1" s="80" t="s">
        <v>1802</v>
      </c>
      <c r="CZ1" s="80" t="s">
        <v>1803</v>
      </c>
      <c r="DA1" s="80" t="s">
        <v>1804</v>
      </c>
      <c r="DB1" s="80" t="s">
        <v>1805</v>
      </c>
      <c r="DC1" s="80" t="s">
        <v>1806</v>
      </c>
      <c r="DD1" s="80" t="s">
        <v>1807</v>
      </c>
      <c r="DE1" s="80" t="s">
        <v>1820</v>
      </c>
      <c r="DF1" s="80" t="s">
        <v>1821</v>
      </c>
      <c r="DG1" s="80" t="s">
        <v>1822</v>
      </c>
      <c r="DH1" s="80" t="s">
        <v>1823</v>
      </c>
      <c r="DI1" s="81" t="s">
        <v>1826</v>
      </c>
      <c r="DJ1" s="81" t="s">
        <v>1827</v>
      </c>
      <c r="DK1" s="81" t="s">
        <v>1828</v>
      </c>
      <c r="DL1" s="81" t="s">
        <v>1829</v>
      </c>
      <c r="DM1" s="81" t="s">
        <v>1830</v>
      </c>
      <c r="DN1" s="81" t="s">
        <v>1831</v>
      </c>
      <c r="DO1" s="81" t="s">
        <v>1832</v>
      </c>
      <c r="DP1" s="81" t="s">
        <v>1833</v>
      </c>
      <c r="DQ1" s="81" t="s">
        <v>1834</v>
      </c>
      <c r="DR1" s="81" t="s">
        <v>1835</v>
      </c>
      <c r="DS1" s="82" t="s">
        <v>1836</v>
      </c>
      <c r="DT1" s="112" t="s">
        <v>1933</v>
      </c>
      <c r="DU1" s="112" t="s">
        <v>1934</v>
      </c>
      <c r="DV1" s="112" t="s">
        <v>1935</v>
      </c>
      <c r="DW1" s="112" t="s">
        <v>1936</v>
      </c>
      <c r="DX1" s="112" t="s">
        <v>1937</v>
      </c>
    </row>
    <row r="2" spans="1:128" ht="24.95" customHeight="1">
      <c r="A2" s="83" t="s">
        <v>1808</v>
      </c>
      <c r="B2" s="84" t="s">
        <v>1705</v>
      </c>
      <c r="C2" s="85" t="s">
        <v>1706</v>
      </c>
      <c r="D2" s="86">
        <v>1</v>
      </c>
      <c r="E2" s="86">
        <v>1</v>
      </c>
      <c r="F2" s="86">
        <v>10</v>
      </c>
      <c r="G2" s="87">
        <v>5</v>
      </c>
      <c r="H2" s="87">
        <v>0</v>
      </c>
      <c r="I2" s="87">
        <v>0.2</v>
      </c>
      <c r="J2" s="87">
        <v>6</v>
      </c>
      <c r="K2" s="84" t="s">
        <v>1707</v>
      </c>
      <c r="L2" s="84" t="s">
        <v>1708</v>
      </c>
      <c r="M2" s="84" t="s">
        <v>1709</v>
      </c>
      <c r="N2" s="87">
        <v>2</v>
      </c>
      <c r="O2" s="86">
        <v>0</v>
      </c>
      <c r="P2" s="84" t="s">
        <v>1710</v>
      </c>
      <c r="Q2" s="84" t="s">
        <v>1711</v>
      </c>
      <c r="R2" s="84" t="s">
        <v>1712</v>
      </c>
      <c r="S2" s="87">
        <v>0</v>
      </c>
      <c r="T2" s="86">
        <v>1</v>
      </c>
      <c r="U2" s="84" t="s">
        <v>1713</v>
      </c>
      <c r="V2" s="88">
        <v>8</v>
      </c>
      <c r="W2" s="88">
        <v>3</v>
      </c>
      <c r="X2" s="88" t="s">
        <v>1711</v>
      </c>
      <c r="Y2" s="84"/>
      <c r="Z2" s="84"/>
      <c r="AA2" s="84" t="s">
        <v>1714</v>
      </c>
      <c r="AB2" s="84" t="s">
        <v>1714</v>
      </c>
      <c r="AC2" s="84" t="s">
        <v>1714</v>
      </c>
      <c r="AD2" s="87">
        <v>0</v>
      </c>
      <c r="AE2" s="87">
        <v>0</v>
      </c>
      <c r="AF2" s="87">
        <v>0</v>
      </c>
      <c r="AG2" s="84" t="s">
        <v>1714</v>
      </c>
      <c r="AH2" s="87">
        <v>0</v>
      </c>
      <c r="AI2" s="84" t="s">
        <v>1715</v>
      </c>
      <c r="AJ2" s="87">
        <v>1</v>
      </c>
      <c r="AK2" s="84" t="s">
        <v>1714</v>
      </c>
      <c r="AL2" s="84" t="s">
        <v>1714</v>
      </c>
      <c r="AM2" s="84" t="s">
        <v>1714</v>
      </c>
      <c r="AN2" s="87">
        <v>0</v>
      </c>
      <c r="AO2" s="87">
        <v>0</v>
      </c>
      <c r="AP2" s="87">
        <v>0</v>
      </c>
      <c r="AQ2" s="84" t="s">
        <v>1714</v>
      </c>
      <c r="AR2" s="87">
        <v>0</v>
      </c>
      <c r="AS2" s="84" t="s">
        <v>1715</v>
      </c>
      <c r="AT2" s="87">
        <v>1</v>
      </c>
      <c r="AU2" s="84" t="s">
        <v>1714</v>
      </c>
      <c r="AV2" s="84" t="s">
        <v>1714</v>
      </c>
      <c r="AW2" s="84" t="s">
        <v>1714</v>
      </c>
      <c r="AX2" s="87">
        <v>0</v>
      </c>
      <c r="AY2" s="87">
        <v>0</v>
      </c>
      <c r="AZ2" s="87">
        <v>0</v>
      </c>
      <c r="BA2" s="84" t="s">
        <v>1714</v>
      </c>
      <c r="BB2" s="87">
        <v>0</v>
      </c>
      <c r="BC2" s="84" t="s">
        <v>1715</v>
      </c>
      <c r="BD2" s="87">
        <v>1</v>
      </c>
      <c r="BE2" s="89">
        <v>8</v>
      </c>
      <c r="BF2" s="89">
        <v>3</v>
      </c>
      <c r="BG2" s="90" t="s">
        <v>1711</v>
      </c>
      <c r="BH2" s="91"/>
      <c r="BI2" s="91" t="s">
        <v>1721</v>
      </c>
      <c r="BJ2" s="91" t="s">
        <v>1721</v>
      </c>
      <c r="BK2" s="92">
        <v>360</v>
      </c>
      <c r="BL2" s="91" t="s">
        <v>1721</v>
      </c>
      <c r="BM2" s="92">
        <v>0.3</v>
      </c>
      <c r="BN2" s="92">
        <v>2</v>
      </c>
      <c r="BO2" s="91" t="s">
        <v>1721</v>
      </c>
      <c r="BP2" s="92">
        <v>3</v>
      </c>
      <c r="BQ2" s="92">
        <v>50</v>
      </c>
      <c r="BR2" s="92">
        <v>0.3</v>
      </c>
      <c r="BS2" s="91" t="s">
        <v>1824</v>
      </c>
      <c r="BT2" s="92">
        <v>8</v>
      </c>
      <c r="BU2" s="92">
        <v>0.8</v>
      </c>
      <c r="BV2" s="92">
        <v>2</v>
      </c>
      <c r="BW2" s="92">
        <v>0.8</v>
      </c>
      <c r="BX2" s="92">
        <v>12</v>
      </c>
      <c r="BY2" s="92">
        <v>0.8</v>
      </c>
      <c r="BZ2" s="92">
        <v>1.5</v>
      </c>
      <c r="CA2" s="92">
        <v>720</v>
      </c>
      <c r="CB2" s="92">
        <v>0.6</v>
      </c>
      <c r="CC2" s="92">
        <v>540</v>
      </c>
      <c r="CD2" s="92">
        <v>1.8</v>
      </c>
      <c r="CE2" s="92">
        <v>4</v>
      </c>
      <c r="CF2" s="92">
        <v>4</v>
      </c>
      <c r="CG2" s="91" t="s">
        <v>1711</v>
      </c>
      <c r="CH2" s="91" t="s">
        <v>1721</v>
      </c>
      <c r="CI2" s="91" t="s">
        <v>1721</v>
      </c>
      <c r="CJ2" s="92">
        <v>0.5</v>
      </c>
      <c r="CK2" s="92">
        <v>1.5</v>
      </c>
      <c r="CL2" s="92">
        <v>2.5</v>
      </c>
      <c r="CM2" s="92">
        <v>2.5</v>
      </c>
      <c r="CN2" s="91" t="s">
        <v>1721</v>
      </c>
      <c r="CO2" s="92">
        <v>1</v>
      </c>
      <c r="CP2" s="91" t="s">
        <v>1669</v>
      </c>
      <c r="CQ2" s="92">
        <v>10</v>
      </c>
      <c r="CR2" s="91" t="s">
        <v>1721</v>
      </c>
      <c r="CS2" s="92">
        <v>4</v>
      </c>
      <c r="CT2" s="92">
        <v>8</v>
      </c>
      <c r="CU2" s="92">
        <v>0.85</v>
      </c>
      <c r="CV2" s="91" t="s">
        <v>1721</v>
      </c>
      <c r="CW2" s="92">
        <v>2</v>
      </c>
      <c r="CX2" s="92">
        <v>50</v>
      </c>
      <c r="CY2" s="92">
        <v>0.5</v>
      </c>
      <c r="CZ2" s="92">
        <v>1</v>
      </c>
      <c r="DA2" s="91" t="s">
        <v>1721</v>
      </c>
      <c r="DB2" s="91" t="s">
        <v>1711</v>
      </c>
      <c r="DC2" s="92">
        <v>2</v>
      </c>
      <c r="DD2" s="92">
        <v>0.4</v>
      </c>
      <c r="DE2" s="91">
        <v>0.3</v>
      </c>
      <c r="DF2" s="93" t="s">
        <v>1938</v>
      </c>
      <c r="DG2" s="91">
        <v>60</v>
      </c>
      <c r="DH2" s="91">
        <v>0</v>
      </c>
      <c r="DI2" s="94" t="s">
        <v>1837</v>
      </c>
      <c r="DJ2" s="94" t="s">
        <v>1838</v>
      </c>
      <c r="DK2" s="94" t="s">
        <v>1839</v>
      </c>
      <c r="DL2" s="94" t="s">
        <v>1840</v>
      </c>
      <c r="DM2" s="94">
        <v>1</v>
      </c>
      <c r="DN2" s="94"/>
      <c r="DO2" s="94"/>
      <c r="DP2" s="94"/>
      <c r="DQ2" s="94"/>
      <c r="DR2" s="94"/>
      <c r="DS2" s="95"/>
      <c r="DT2" s="110" t="s">
        <v>1939</v>
      </c>
      <c r="DU2" s="110" t="s">
        <v>1956</v>
      </c>
      <c r="DV2" s="110">
        <v>0.35</v>
      </c>
      <c r="DW2" s="110">
        <v>0.1</v>
      </c>
      <c r="DX2" s="110"/>
    </row>
    <row r="3" spans="1:128" ht="24.95" customHeight="1">
      <c r="A3" s="83" t="s">
        <v>1809</v>
      </c>
      <c r="B3" s="84" t="s">
        <v>1716</v>
      </c>
      <c r="C3" s="85" t="s">
        <v>1717</v>
      </c>
      <c r="D3" s="86">
        <v>1</v>
      </c>
      <c r="E3" s="86">
        <v>1</v>
      </c>
      <c r="F3" s="86">
        <v>15</v>
      </c>
      <c r="G3" s="87">
        <v>8</v>
      </c>
      <c r="H3" s="87">
        <v>0</v>
      </c>
      <c r="I3" s="87">
        <v>0.2</v>
      </c>
      <c r="J3" s="87">
        <v>5</v>
      </c>
      <c r="K3" s="84" t="s">
        <v>1718</v>
      </c>
      <c r="L3" s="84" t="s">
        <v>1719</v>
      </c>
      <c r="M3" s="84" t="s">
        <v>1709</v>
      </c>
      <c r="N3" s="87">
        <v>1.5</v>
      </c>
      <c r="O3" s="86">
        <v>200</v>
      </c>
      <c r="P3" s="84" t="s">
        <v>1720</v>
      </c>
      <c r="Q3" s="84" t="s">
        <v>1721</v>
      </c>
      <c r="R3" s="84" t="s">
        <v>1712</v>
      </c>
      <c r="S3" s="87">
        <v>0</v>
      </c>
      <c r="T3" s="86">
        <v>1</v>
      </c>
      <c r="U3" s="84" t="s">
        <v>1713</v>
      </c>
      <c r="V3" s="88">
        <v>1</v>
      </c>
      <c r="W3" s="88">
        <v>0.8</v>
      </c>
      <c r="X3" s="88" t="s">
        <v>1721</v>
      </c>
      <c r="Y3" s="84"/>
      <c r="Z3" s="84"/>
      <c r="AA3" s="84" t="s">
        <v>1714</v>
      </c>
      <c r="AB3" s="84" t="s">
        <v>1714</v>
      </c>
      <c r="AC3" s="84" t="s">
        <v>1714</v>
      </c>
      <c r="AD3" s="87">
        <v>0</v>
      </c>
      <c r="AE3" s="87">
        <v>0</v>
      </c>
      <c r="AF3" s="87">
        <v>0</v>
      </c>
      <c r="AG3" s="84" t="s">
        <v>1714</v>
      </c>
      <c r="AH3" s="87">
        <v>0</v>
      </c>
      <c r="AI3" s="84" t="s">
        <v>1715</v>
      </c>
      <c r="AJ3" s="87">
        <v>1</v>
      </c>
      <c r="AK3" s="84" t="s">
        <v>1714</v>
      </c>
      <c r="AL3" s="84" t="s">
        <v>1714</v>
      </c>
      <c r="AM3" s="84" t="s">
        <v>1714</v>
      </c>
      <c r="AN3" s="87">
        <v>0</v>
      </c>
      <c r="AO3" s="87">
        <v>0</v>
      </c>
      <c r="AP3" s="87">
        <v>0</v>
      </c>
      <c r="AQ3" s="84" t="s">
        <v>1714</v>
      </c>
      <c r="AR3" s="87">
        <v>0</v>
      </c>
      <c r="AS3" s="84" t="s">
        <v>1715</v>
      </c>
      <c r="AT3" s="87">
        <v>1</v>
      </c>
      <c r="AU3" s="84" t="s">
        <v>1714</v>
      </c>
      <c r="AV3" s="84" t="s">
        <v>1714</v>
      </c>
      <c r="AW3" s="84" t="s">
        <v>1714</v>
      </c>
      <c r="AX3" s="87">
        <v>0</v>
      </c>
      <c r="AY3" s="87">
        <v>0</v>
      </c>
      <c r="AZ3" s="87">
        <v>0</v>
      </c>
      <c r="BA3" s="84" t="s">
        <v>1714</v>
      </c>
      <c r="BB3" s="87">
        <v>0</v>
      </c>
      <c r="BC3" s="84" t="s">
        <v>1715</v>
      </c>
      <c r="BD3" s="87">
        <v>1</v>
      </c>
      <c r="BE3" s="89">
        <v>1</v>
      </c>
      <c r="BF3" s="89">
        <v>0.8</v>
      </c>
      <c r="BG3" s="90" t="s">
        <v>1721</v>
      </c>
      <c r="BH3" s="91"/>
      <c r="BI3" s="91" t="s">
        <v>1721</v>
      </c>
      <c r="BJ3" s="91" t="s">
        <v>1721</v>
      </c>
      <c r="BK3" s="92">
        <v>360</v>
      </c>
      <c r="BL3" s="91" t="s">
        <v>1721</v>
      </c>
      <c r="BM3" s="92">
        <v>0.3</v>
      </c>
      <c r="BN3" s="92">
        <v>2</v>
      </c>
      <c r="BO3" s="91" t="s">
        <v>1721</v>
      </c>
      <c r="BP3" s="92">
        <v>3</v>
      </c>
      <c r="BQ3" s="92">
        <v>50</v>
      </c>
      <c r="BR3" s="92">
        <v>0.3</v>
      </c>
      <c r="BS3" s="91" t="s">
        <v>1841</v>
      </c>
      <c r="BT3" s="92">
        <v>8</v>
      </c>
      <c r="BU3" s="92">
        <v>0.8</v>
      </c>
      <c r="BV3" s="92">
        <v>2</v>
      </c>
      <c r="BW3" s="92">
        <v>0.8</v>
      </c>
      <c r="BX3" s="92">
        <v>12</v>
      </c>
      <c r="BY3" s="92">
        <v>0.8</v>
      </c>
      <c r="BZ3" s="92">
        <v>1.5</v>
      </c>
      <c r="CA3" s="92">
        <v>720</v>
      </c>
      <c r="CB3" s="92">
        <v>0.6</v>
      </c>
      <c r="CC3" s="92">
        <v>540</v>
      </c>
      <c r="CD3" s="92">
        <v>1.8</v>
      </c>
      <c r="CE3" s="92">
        <v>4</v>
      </c>
      <c r="CF3" s="92">
        <v>4</v>
      </c>
      <c r="CG3" s="91" t="s">
        <v>1711</v>
      </c>
      <c r="CH3" s="91" t="s">
        <v>1721</v>
      </c>
      <c r="CI3" s="91" t="s">
        <v>1721</v>
      </c>
      <c r="CJ3" s="92">
        <v>0.5</v>
      </c>
      <c r="CK3" s="92">
        <v>1.5</v>
      </c>
      <c r="CL3" s="92">
        <v>2.5</v>
      </c>
      <c r="CM3" s="92">
        <v>2.5</v>
      </c>
      <c r="CN3" s="91" t="s">
        <v>1721</v>
      </c>
      <c r="CO3" s="92">
        <v>1</v>
      </c>
      <c r="CP3" s="91" t="s">
        <v>1669</v>
      </c>
      <c r="CQ3" s="92">
        <v>10</v>
      </c>
      <c r="CR3" s="91" t="s">
        <v>1721</v>
      </c>
      <c r="CS3" s="92">
        <v>4</v>
      </c>
      <c r="CT3" s="92">
        <v>8</v>
      </c>
      <c r="CU3" s="92">
        <v>0.85</v>
      </c>
      <c r="CV3" s="91" t="s">
        <v>1721</v>
      </c>
      <c r="CW3" s="92">
        <v>2</v>
      </c>
      <c r="CX3" s="92">
        <v>50</v>
      </c>
      <c r="CY3" s="92">
        <v>0.5</v>
      </c>
      <c r="CZ3" s="92">
        <v>1</v>
      </c>
      <c r="DA3" s="91" t="s">
        <v>1721</v>
      </c>
      <c r="DB3" s="91" t="s">
        <v>1711</v>
      </c>
      <c r="DC3" s="92">
        <v>2</v>
      </c>
      <c r="DD3" s="92">
        <v>0.4</v>
      </c>
      <c r="DE3" s="91">
        <v>0.3</v>
      </c>
      <c r="DF3" s="93" t="s">
        <v>1940</v>
      </c>
      <c r="DG3" s="91">
        <v>60</v>
      </c>
      <c r="DH3" s="91">
        <v>0</v>
      </c>
      <c r="DI3" s="94" t="s">
        <v>1837</v>
      </c>
      <c r="DJ3" s="94" t="s">
        <v>1657</v>
      </c>
      <c r="DK3" s="94" t="s">
        <v>1657</v>
      </c>
      <c r="DL3" s="94" t="s">
        <v>1842</v>
      </c>
      <c r="DM3" s="94">
        <v>1</v>
      </c>
      <c r="DN3" s="94"/>
      <c r="DO3" s="94"/>
      <c r="DP3" s="94"/>
      <c r="DQ3" s="94"/>
      <c r="DR3" s="94"/>
      <c r="DS3" s="95"/>
      <c r="DT3" s="108" t="s">
        <v>1957</v>
      </c>
      <c r="DU3" s="108" t="s">
        <v>1956</v>
      </c>
      <c r="DV3" s="108">
        <v>0.35</v>
      </c>
      <c r="DW3" s="108">
        <v>0.1</v>
      </c>
      <c r="DX3" s="108"/>
    </row>
    <row r="4" spans="1:128" ht="24.95" customHeight="1">
      <c r="A4" s="83" t="s">
        <v>1810</v>
      </c>
      <c r="B4" s="84" t="s">
        <v>1723</v>
      </c>
      <c r="C4" s="85" t="s">
        <v>1724</v>
      </c>
      <c r="D4" s="86">
        <v>5</v>
      </c>
      <c r="E4" s="86">
        <v>2</v>
      </c>
      <c r="F4" s="86">
        <v>20</v>
      </c>
      <c r="G4" s="87">
        <v>10</v>
      </c>
      <c r="H4" s="87">
        <v>0.3</v>
      </c>
      <c r="I4" s="87">
        <v>0.2</v>
      </c>
      <c r="J4" s="87">
        <v>0</v>
      </c>
      <c r="K4" s="84" t="s">
        <v>1725</v>
      </c>
      <c r="L4" s="84" t="s">
        <v>1708</v>
      </c>
      <c r="M4" s="84" t="s">
        <v>1726</v>
      </c>
      <c r="N4" s="87">
        <v>1.5</v>
      </c>
      <c r="O4" s="86">
        <v>0</v>
      </c>
      <c r="P4" s="84" t="s">
        <v>1720</v>
      </c>
      <c r="Q4" s="84" t="s">
        <v>1711</v>
      </c>
      <c r="R4" s="84" t="s">
        <v>1727</v>
      </c>
      <c r="S4" s="87">
        <v>3</v>
      </c>
      <c r="T4" s="86">
        <v>0</v>
      </c>
      <c r="U4" s="84" t="s">
        <v>1713</v>
      </c>
      <c r="V4" s="88">
        <v>1</v>
      </c>
      <c r="W4" s="88">
        <v>0.45</v>
      </c>
      <c r="X4" s="88" t="s">
        <v>1721</v>
      </c>
      <c r="Y4" s="84"/>
      <c r="Z4" s="84"/>
      <c r="AA4" s="84" t="s">
        <v>1714</v>
      </c>
      <c r="AB4" s="84" t="s">
        <v>1714</v>
      </c>
      <c r="AC4" s="84" t="s">
        <v>1714</v>
      </c>
      <c r="AD4" s="87">
        <v>0</v>
      </c>
      <c r="AE4" s="87">
        <v>0</v>
      </c>
      <c r="AF4" s="87">
        <v>0</v>
      </c>
      <c r="AG4" s="84" t="s">
        <v>1714</v>
      </c>
      <c r="AH4" s="87">
        <v>0</v>
      </c>
      <c r="AI4" s="84" t="s">
        <v>1715</v>
      </c>
      <c r="AJ4" s="87">
        <v>1</v>
      </c>
      <c r="AK4" s="84" t="s">
        <v>1714</v>
      </c>
      <c r="AL4" s="84" t="s">
        <v>1714</v>
      </c>
      <c r="AM4" s="84" t="s">
        <v>1714</v>
      </c>
      <c r="AN4" s="87">
        <v>0</v>
      </c>
      <c r="AO4" s="87">
        <v>0</v>
      </c>
      <c r="AP4" s="87">
        <v>0</v>
      </c>
      <c r="AQ4" s="84" t="s">
        <v>1714</v>
      </c>
      <c r="AR4" s="87">
        <v>0</v>
      </c>
      <c r="AS4" s="84" t="s">
        <v>1715</v>
      </c>
      <c r="AT4" s="87">
        <v>1</v>
      </c>
      <c r="AU4" s="84" t="s">
        <v>1714</v>
      </c>
      <c r="AV4" s="84" t="s">
        <v>1714</v>
      </c>
      <c r="AW4" s="84" t="s">
        <v>1714</v>
      </c>
      <c r="AX4" s="87">
        <v>0</v>
      </c>
      <c r="AY4" s="87">
        <v>0</v>
      </c>
      <c r="AZ4" s="87">
        <v>0</v>
      </c>
      <c r="BA4" s="84" t="s">
        <v>1714</v>
      </c>
      <c r="BB4" s="87">
        <v>0</v>
      </c>
      <c r="BC4" s="84" t="s">
        <v>1715</v>
      </c>
      <c r="BD4" s="87">
        <v>1</v>
      </c>
      <c r="BE4" s="89">
        <v>1</v>
      </c>
      <c r="BF4" s="89">
        <v>0.45</v>
      </c>
      <c r="BG4" s="90" t="s">
        <v>1721</v>
      </c>
      <c r="BH4" s="91"/>
      <c r="BI4" s="91" t="s">
        <v>1711</v>
      </c>
      <c r="BJ4" s="91" t="s">
        <v>1721</v>
      </c>
      <c r="BK4" s="92">
        <v>360</v>
      </c>
      <c r="BL4" s="91" t="s">
        <v>1721</v>
      </c>
      <c r="BM4" s="92">
        <v>0.3</v>
      </c>
      <c r="BN4" s="92">
        <v>2</v>
      </c>
      <c r="BO4" s="91" t="s">
        <v>1721</v>
      </c>
      <c r="BP4" s="92">
        <v>3</v>
      </c>
      <c r="BQ4" s="92">
        <v>50</v>
      </c>
      <c r="BR4" s="92">
        <v>0.3</v>
      </c>
      <c r="BS4" s="91" t="s">
        <v>1941</v>
      </c>
      <c r="BT4" s="92">
        <v>8</v>
      </c>
      <c r="BU4" s="92">
        <v>0.8</v>
      </c>
      <c r="BV4" s="92">
        <v>2</v>
      </c>
      <c r="BW4" s="92">
        <v>0.8</v>
      </c>
      <c r="BX4" s="92">
        <v>12</v>
      </c>
      <c r="BY4" s="92">
        <v>0.8</v>
      </c>
      <c r="BZ4" s="92">
        <v>1.5</v>
      </c>
      <c r="CA4" s="92">
        <v>720</v>
      </c>
      <c r="CB4" s="92">
        <v>0.6</v>
      </c>
      <c r="CC4" s="92">
        <v>540</v>
      </c>
      <c r="CD4" s="92">
        <v>1.8</v>
      </c>
      <c r="CE4" s="92">
        <v>4</v>
      </c>
      <c r="CF4" s="92">
        <v>4</v>
      </c>
      <c r="CG4" s="91" t="s">
        <v>1711</v>
      </c>
      <c r="CH4" s="91" t="s">
        <v>1721</v>
      </c>
      <c r="CI4" s="91" t="s">
        <v>1721</v>
      </c>
      <c r="CJ4" s="92">
        <v>0.5</v>
      </c>
      <c r="CK4" s="92">
        <v>1.5</v>
      </c>
      <c r="CL4" s="92">
        <v>2.5</v>
      </c>
      <c r="CM4" s="92">
        <v>2.5</v>
      </c>
      <c r="CN4" s="91" t="s">
        <v>1721</v>
      </c>
      <c r="CO4" s="92">
        <v>1</v>
      </c>
      <c r="CP4" s="91" t="s">
        <v>1669</v>
      </c>
      <c r="CQ4" s="92">
        <v>10</v>
      </c>
      <c r="CR4" s="91" t="s">
        <v>1721</v>
      </c>
      <c r="CS4" s="92">
        <v>4</v>
      </c>
      <c r="CT4" s="92">
        <v>8</v>
      </c>
      <c r="CU4" s="92">
        <v>0.85</v>
      </c>
      <c r="CV4" s="91" t="s">
        <v>1721</v>
      </c>
      <c r="CW4" s="92">
        <v>2</v>
      </c>
      <c r="CX4" s="92">
        <v>50</v>
      </c>
      <c r="CY4" s="92">
        <v>0.5</v>
      </c>
      <c r="CZ4" s="92">
        <v>1</v>
      </c>
      <c r="DA4" s="91" t="s">
        <v>1721</v>
      </c>
      <c r="DB4" s="91" t="s">
        <v>1721</v>
      </c>
      <c r="DC4" s="92">
        <v>2</v>
      </c>
      <c r="DD4" s="92">
        <v>0.4</v>
      </c>
      <c r="DE4" s="91">
        <v>0.3</v>
      </c>
      <c r="DF4" s="93" t="s">
        <v>1942</v>
      </c>
      <c r="DG4" s="91">
        <v>60</v>
      </c>
      <c r="DH4" s="91">
        <v>0</v>
      </c>
      <c r="DI4" s="94" t="s">
        <v>1837</v>
      </c>
      <c r="DJ4" s="94" t="s">
        <v>1838</v>
      </c>
      <c r="DK4" s="94" t="s">
        <v>1839</v>
      </c>
      <c r="DL4" s="94" t="s">
        <v>1842</v>
      </c>
      <c r="DM4" s="94">
        <v>1</v>
      </c>
      <c r="DN4" s="94"/>
      <c r="DO4" s="94"/>
      <c r="DP4" s="94"/>
      <c r="DQ4" s="94"/>
      <c r="DR4" s="94"/>
      <c r="DS4" s="95"/>
      <c r="DT4" s="108" t="s">
        <v>1723</v>
      </c>
      <c r="DU4" s="108" t="s">
        <v>1956</v>
      </c>
      <c r="DV4" s="108">
        <v>0.35</v>
      </c>
      <c r="DW4" s="108">
        <v>0.1</v>
      </c>
      <c r="DX4" s="108"/>
    </row>
    <row r="5" spans="1:128" ht="24.95" customHeight="1">
      <c r="A5" s="83" t="s">
        <v>1811</v>
      </c>
      <c r="B5" s="84" t="s">
        <v>1728</v>
      </c>
      <c r="C5" s="85" t="s">
        <v>1729</v>
      </c>
      <c r="D5" s="86">
        <v>1</v>
      </c>
      <c r="E5" s="86">
        <v>1</v>
      </c>
      <c r="F5" s="86">
        <v>10</v>
      </c>
      <c r="G5" s="87">
        <v>5</v>
      </c>
      <c r="H5" s="87">
        <v>0</v>
      </c>
      <c r="I5" s="87">
        <v>0.2</v>
      </c>
      <c r="J5" s="87">
        <v>6</v>
      </c>
      <c r="K5" s="84" t="s">
        <v>1718</v>
      </c>
      <c r="L5" s="84" t="s">
        <v>1714</v>
      </c>
      <c r="M5" s="84" t="s">
        <v>1714</v>
      </c>
      <c r="N5" s="87">
        <v>0</v>
      </c>
      <c r="O5" s="86">
        <v>0</v>
      </c>
      <c r="P5" s="84" t="s">
        <v>1720</v>
      </c>
      <c r="Q5" s="84" t="s">
        <v>1721</v>
      </c>
      <c r="R5" s="84" t="s">
        <v>1712</v>
      </c>
      <c r="S5" s="87">
        <v>0</v>
      </c>
      <c r="T5" s="86">
        <v>1</v>
      </c>
      <c r="U5" s="84" t="s">
        <v>1713</v>
      </c>
      <c r="V5" s="88">
        <v>1</v>
      </c>
      <c r="W5" s="88">
        <v>0.8</v>
      </c>
      <c r="X5" s="88" t="s">
        <v>1721</v>
      </c>
      <c r="Y5" s="84"/>
      <c r="Z5" s="84"/>
      <c r="AA5" s="84" t="s">
        <v>1730</v>
      </c>
      <c r="AB5" s="84" t="s">
        <v>1726</v>
      </c>
      <c r="AC5" s="84" t="s">
        <v>1731</v>
      </c>
      <c r="AD5" s="87">
        <v>20</v>
      </c>
      <c r="AE5" s="87">
        <v>10</v>
      </c>
      <c r="AF5" s="87">
        <v>100</v>
      </c>
      <c r="AG5" s="84" t="s">
        <v>1714</v>
      </c>
      <c r="AH5" s="87">
        <v>0</v>
      </c>
      <c r="AI5" s="84" t="s">
        <v>1715</v>
      </c>
      <c r="AJ5" s="87">
        <v>1</v>
      </c>
      <c r="AK5" s="84" t="s">
        <v>1714</v>
      </c>
      <c r="AL5" s="84" t="s">
        <v>1714</v>
      </c>
      <c r="AM5" s="84" t="s">
        <v>1714</v>
      </c>
      <c r="AN5" s="87">
        <v>0</v>
      </c>
      <c r="AO5" s="87">
        <v>0</v>
      </c>
      <c r="AP5" s="87">
        <v>0</v>
      </c>
      <c r="AQ5" s="84" t="s">
        <v>1714</v>
      </c>
      <c r="AR5" s="87">
        <v>0</v>
      </c>
      <c r="AS5" s="84" t="s">
        <v>1715</v>
      </c>
      <c r="AT5" s="87">
        <v>1</v>
      </c>
      <c r="AU5" s="84" t="s">
        <v>1714</v>
      </c>
      <c r="AV5" s="84" t="s">
        <v>1714</v>
      </c>
      <c r="AW5" s="84" t="s">
        <v>1714</v>
      </c>
      <c r="AX5" s="87">
        <v>0</v>
      </c>
      <c r="AY5" s="87">
        <v>0</v>
      </c>
      <c r="AZ5" s="87">
        <v>0</v>
      </c>
      <c r="BA5" s="84" t="s">
        <v>1714</v>
      </c>
      <c r="BB5" s="87">
        <v>0</v>
      </c>
      <c r="BC5" s="84" t="s">
        <v>1715</v>
      </c>
      <c r="BD5" s="87">
        <v>1</v>
      </c>
      <c r="BE5" s="89">
        <v>1</v>
      </c>
      <c r="BF5" s="89">
        <v>0.8</v>
      </c>
      <c r="BG5" s="90" t="s">
        <v>1721</v>
      </c>
      <c r="BH5" s="91"/>
      <c r="BI5" s="91" t="s">
        <v>1721</v>
      </c>
      <c r="BJ5" s="91" t="s">
        <v>1721</v>
      </c>
      <c r="BK5" s="92">
        <v>360</v>
      </c>
      <c r="BL5" s="91" t="s">
        <v>1721</v>
      </c>
      <c r="BM5" s="92">
        <v>0.3</v>
      </c>
      <c r="BN5" s="92">
        <v>2</v>
      </c>
      <c r="BO5" s="91" t="s">
        <v>1721</v>
      </c>
      <c r="BP5" s="92">
        <v>3</v>
      </c>
      <c r="BQ5" s="92">
        <v>50</v>
      </c>
      <c r="BR5" s="92">
        <v>0.3</v>
      </c>
      <c r="BS5" s="91" t="s">
        <v>1841</v>
      </c>
      <c r="BT5" s="92">
        <v>8</v>
      </c>
      <c r="BU5" s="92">
        <v>0.8</v>
      </c>
      <c r="BV5" s="92">
        <v>2</v>
      </c>
      <c r="BW5" s="92">
        <v>0.8</v>
      </c>
      <c r="BX5" s="92">
        <v>12</v>
      </c>
      <c r="BY5" s="92">
        <v>0.8</v>
      </c>
      <c r="BZ5" s="92">
        <v>1.5</v>
      </c>
      <c r="CA5" s="92">
        <v>720</v>
      </c>
      <c r="CB5" s="92">
        <v>0.6</v>
      </c>
      <c r="CC5" s="92">
        <v>540</v>
      </c>
      <c r="CD5" s="92">
        <v>1.8</v>
      </c>
      <c r="CE5" s="92">
        <v>4</v>
      </c>
      <c r="CF5" s="92">
        <v>4</v>
      </c>
      <c r="CG5" s="91" t="s">
        <v>1711</v>
      </c>
      <c r="CH5" s="91" t="s">
        <v>1721</v>
      </c>
      <c r="CI5" s="91" t="s">
        <v>1721</v>
      </c>
      <c r="CJ5" s="92">
        <v>0.5</v>
      </c>
      <c r="CK5" s="92">
        <v>1.5</v>
      </c>
      <c r="CL5" s="92">
        <v>2.5</v>
      </c>
      <c r="CM5" s="92">
        <v>2.5</v>
      </c>
      <c r="CN5" s="91" t="s">
        <v>1721</v>
      </c>
      <c r="CO5" s="92">
        <v>1</v>
      </c>
      <c r="CP5" s="91" t="s">
        <v>1669</v>
      </c>
      <c r="CQ5" s="92">
        <v>10</v>
      </c>
      <c r="CR5" s="91" t="s">
        <v>1721</v>
      </c>
      <c r="CS5" s="92">
        <v>4</v>
      </c>
      <c r="CT5" s="92">
        <v>8</v>
      </c>
      <c r="CU5" s="92">
        <v>0.85</v>
      </c>
      <c r="CV5" s="91" t="s">
        <v>1721</v>
      </c>
      <c r="CW5" s="92">
        <v>2</v>
      </c>
      <c r="CX5" s="92">
        <v>50</v>
      </c>
      <c r="CY5" s="92">
        <v>0.5</v>
      </c>
      <c r="CZ5" s="92">
        <v>1</v>
      </c>
      <c r="DA5" s="91" t="s">
        <v>1721</v>
      </c>
      <c r="DB5" s="91" t="s">
        <v>1711</v>
      </c>
      <c r="DC5" s="92">
        <v>2</v>
      </c>
      <c r="DD5" s="92">
        <v>0.4</v>
      </c>
      <c r="DE5" s="91">
        <v>0.3</v>
      </c>
      <c r="DF5" s="93" t="s">
        <v>1943</v>
      </c>
      <c r="DG5" s="91">
        <v>60</v>
      </c>
      <c r="DH5" s="91">
        <v>0</v>
      </c>
      <c r="DI5" s="94" t="s">
        <v>1837</v>
      </c>
      <c r="DJ5" s="94" t="s">
        <v>1657</v>
      </c>
      <c r="DK5" s="94" t="s">
        <v>1657</v>
      </c>
      <c r="DL5" s="94" t="s">
        <v>1842</v>
      </c>
      <c r="DM5" s="94">
        <v>1</v>
      </c>
      <c r="DN5" s="94"/>
      <c r="DO5" s="94"/>
      <c r="DP5" s="94"/>
      <c r="DQ5" s="94"/>
      <c r="DR5" s="94"/>
      <c r="DS5" s="95"/>
      <c r="DT5" s="108" t="s">
        <v>1958</v>
      </c>
      <c r="DU5" s="108" t="s">
        <v>1956</v>
      </c>
      <c r="DV5" s="108">
        <v>0.35</v>
      </c>
      <c r="DW5" s="108">
        <v>0.1</v>
      </c>
      <c r="DX5" s="108"/>
    </row>
    <row r="6" spans="1:128" ht="24.95" customHeight="1">
      <c r="A6" s="83" t="s">
        <v>1812</v>
      </c>
      <c r="B6" s="84" t="s">
        <v>1732</v>
      </c>
      <c r="C6" s="85" t="s">
        <v>1733</v>
      </c>
      <c r="D6" s="86">
        <v>1</v>
      </c>
      <c r="E6" s="86">
        <v>1</v>
      </c>
      <c r="F6" s="86">
        <v>10</v>
      </c>
      <c r="G6" s="87">
        <v>5</v>
      </c>
      <c r="H6" s="87">
        <v>0</v>
      </c>
      <c r="I6" s="87">
        <v>0.2</v>
      </c>
      <c r="J6" s="87">
        <v>6</v>
      </c>
      <c r="K6" s="84" t="s">
        <v>1718</v>
      </c>
      <c r="L6" s="84" t="s">
        <v>1714</v>
      </c>
      <c r="M6" s="84" t="s">
        <v>1714</v>
      </c>
      <c r="N6" s="87">
        <v>0</v>
      </c>
      <c r="O6" s="86">
        <v>0</v>
      </c>
      <c r="P6" s="84" t="s">
        <v>1720</v>
      </c>
      <c r="Q6" s="84" t="s">
        <v>1721</v>
      </c>
      <c r="R6" s="84" t="s">
        <v>1712</v>
      </c>
      <c r="S6" s="87">
        <v>0</v>
      </c>
      <c r="T6" s="86">
        <v>1</v>
      </c>
      <c r="U6" s="84" t="s">
        <v>1713</v>
      </c>
      <c r="V6" s="88">
        <v>1</v>
      </c>
      <c r="W6" s="88">
        <v>0.8</v>
      </c>
      <c r="X6" s="88" t="s">
        <v>1721</v>
      </c>
      <c r="Y6" s="84"/>
      <c r="Z6" s="84"/>
      <c r="AA6" s="84" t="s">
        <v>1730</v>
      </c>
      <c r="AB6" s="84" t="s">
        <v>24</v>
      </c>
      <c r="AC6" s="84" t="s">
        <v>1731</v>
      </c>
      <c r="AD6" s="87">
        <v>30</v>
      </c>
      <c r="AE6" s="87">
        <v>10</v>
      </c>
      <c r="AF6" s="87">
        <v>100</v>
      </c>
      <c r="AG6" s="84" t="s">
        <v>1714</v>
      </c>
      <c r="AH6" s="87">
        <v>0</v>
      </c>
      <c r="AI6" s="84" t="s">
        <v>1715</v>
      </c>
      <c r="AJ6" s="87">
        <v>1</v>
      </c>
      <c r="AK6" s="84" t="s">
        <v>1714</v>
      </c>
      <c r="AL6" s="84" t="s">
        <v>1714</v>
      </c>
      <c r="AM6" s="84" t="s">
        <v>1714</v>
      </c>
      <c r="AN6" s="87">
        <v>0</v>
      </c>
      <c r="AO6" s="87">
        <v>0</v>
      </c>
      <c r="AP6" s="87">
        <v>0</v>
      </c>
      <c r="AQ6" s="84" t="s">
        <v>1714</v>
      </c>
      <c r="AR6" s="87">
        <v>0</v>
      </c>
      <c r="AS6" s="84" t="s">
        <v>1715</v>
      </c>
      <c r="AT6" s="87">
        <v>1</v>
      </c>
      <c r="AU6" s="84" t="s">
        <v>1714</v>
      </c>
      <c r="AV6" s="84" t="s">
        <v>1714</v>
      </c>
      <c r="AW6" s="84" t="s">
        <v>1714</v>
      </c>
      <c r="AX6" s="87">
        <v>0</v>
      </c>
      <c r="AY6" s="87">
        <v>0</v>
      </c>
      <c r="AZ6" s="87">
        <v>0</v>
      </c>
      <c r="BA6" s="84" t="s">
        <v>1714</v>
      </c>
      <c r="BB6" s="87">
        <v>0</v>
      </c>
      <c r="BC6" s="84" t="s">
        <v>1715</v>
      </c>
      <c r="BD6" s="87">
        <v>1</v>
      </c>
      <c r="BE6" s="89">
        <v>1</v>
      </c>
      <c r="BF6" s="89">
        <v>0.8</v>
      </c>
      <c r="BG6" s="90" t="s">
        <v>1721</v>
      </c>
      <c r="BH6" s="91"/>
      <c r="BI6" s="91" t="s">
        <v>1721</v>
      </c>
      <c r="BJ6" s="91" t="s">
        <v>1721</v>
      </c>
      <c r="BK6" s="92">
        <v>360</v>
      </c>
      <c r="BL6" s="91" t="s">
        <v>1721</v>
      </c>
      <c r="BM6" s="92">
        <v>0.3</v>
      </c>
      <c r="BN6" s="92">
        <v>2</v>
      </c>
      <c r="BO6" s="91" t="s">
        <v>1721</v>
      </c>
      <c r="BP6" s="92">
        <v>3</v>
      </c>
      <c r="BQ6" s="92">
        <v>50</v>
      </c>
      <c r="BR6" s="92">
        <v>0.3</v>
      </c>
      <c r="BS6" s="91" t="s">
        <v>1841</v>
      </c>
      <c r="BT6" s="92">
        <v>8</v>
      </c>
      <c r="BU6" s="92">
        <v>0.8</v>
      </c>
      <c r="BV6" s="92">
        <v>2</v>
      </c>
      <c r="BW6" s="92">
        <v>0.8</v>
      </c>
      <c r="BX6" s="92">
        <v>12</v>
      </c>
      <c r="BY6" s="92">
        <v>0.8</v>
      </c>
      <c r="BZ6" s="92">
        <v>1.5</v>
      </c>
      <c r="CA6" s="92">
        <v>720</v>
      </c>
      <c r="CB6" s="92">
        <v>0.6</v>
      </c>
      <c r="CC6" s="92">
        <v>540</v>
      </c>
      <c r="CD6" s="92">
        <v>1.8</v>
      </c>
      <c r="CE6" s="92">
        <v>4</v>
      </c>
      <c r="CF6" s="92">
        <v>4</v>
      </c>
      <c r="CG6" s="91" t="s">
        <v>1711</v>
      </c>
      <c r="CH6" s="91" t="s">
        <v>1721</v>
      </c>
      <c r="CI6" s="91" t="s">
        <v>1721</v>
      </c>
      <c r="CJ6" s="92">
        <v>0.5</v>
      </c>
      <c r="CK6" s="92">
        <v>1.5</v>
      </c>
      <c r="CL6" s="92">
        <v>2.5</v>
      </c>
      <c r="CM6" s="92">
        <v>2.5</v>
      </c>
      <c r="CN6" s="91" t="s">
        <v>1721</v>
      </c>
      <c r="CO6" s="92">
        <v>1</v>
      </c>
      <c r="CP6" s="91" t="s">
        <v>1669</v>
      </c>
      <c r="CQ6" s="92">
        <v>10</v>
      </c>
      <c r="CR6" s="91" t="s">
        <v>1721</v>
      </c>
      <c r="CS6" s="92">
        <v>4</v>
      </c>
      <c r="CT6" s="92">
        <v>8</v>
      </c>
      <c r="CU6" s="92">
        <v>0.85</v>
      </c>
      <c r="CV6" s="91" t="s">
        <v>1721</v>
      </c>
      <c r="CW6" s="92">
        <v>2</v>
      </c>
      <c r="CX6" s="92">
        <v>50</v>
      </c>
      <c r="CY6" s="92">
        <v>0.5</v>
      </c>
      <c r="CZ6" s="92">
        <v>1</v>
      </c>
      <c r="DA6" s="91" t="s">
        <v>1721</v>
      </c>
      <c r="DB6" s="91" t="s">
        <v>1711</v>
      </c>
      <c r="DC6" s="92">
        <v>2</v>
      </c>
      <c r="DD6" s="92">
        <v>0.4</v>
      </c>
      <c r="DE6" s="91">
        <v>0.3</v>
      </c>
      <c r="DF6" s="93" t="s">
        <v>1944</v>
      </c>
      <c r="DG6" s="91">
        <v>60</v>
      </c>
      <c r="DH6" s="91">
        <v>0</v>
      </c>
      <c r="DI6" s="94" t="s">
        <v>1837</v>
      </c>
      <c r="DJ6" s="94" t="s">
        <v>1657</v>
      </c>
      <c r="DK6" s="94" t="s">
        <v>1657</v>
      </c>
      <c r="DL6" s="94" t="s">
        <v>1842</v>
      </c>
      <c r="DM6" s="94">
        <v>1</v>
      </c>
      <c r="DN6" s="94"/>
      <c r="DO6" s="94"/>
      <c r="DP6" s="94"/>
      <c r="DQ6" s="94"/>
      <c r="DR6" s="94"/>
      <c r="DS6" s="95"/>
      <c r="DT6" s="108" t="s">
        <v>1959</v>
      </c>
      <c r="DU6" s="108" t="s">
        <v>1956</v>
      </c>
      <c r="DV6" s="108">
        <v>0.35</v>
      </c>
      <c r="DW6" s="108">
        <v>0.1</v>
      </c>
      <c r="DX6" s="108"/>
    </row>
    <row r="7" spans="1:128" ht="24.95" customHeight="1">
      <c r="A7" s="83" t="s">
        <v>1813</v>
      </c>
      <c r="B7" s="84" t="s">
        <v>1734</v>
      </c>
      <c r="C7" s="85" t="s">
        <v>1735</v>
      </c>
      <c r="D7" s="86">
        <v>1</v>
      </c>
      <c r="E7" s="86">
        <v>1</v>
      </c>
      <c r="F7" s="86">
        <v>10</v>
      </c>
      <c r="G7" s="87">
        <v>5</v>
      </c>
      <c r="H7" s="87">
        <v>0</v>
      </c>
      <c r="I7" s="87">
        <v>0.2</v>
      </c>
      <c r="J7" s="87">
        <v>6</v>
      </c>
      <c r="K7" s="84" t="s">
        <v>1707</v>
      </c>
      <c r="L7" s="84" t="s">
        <v>1708</v>
      </c>
      <c r="M7" s="84" t="s">
        <v>1709</v>
      </c>
      <c r="N7" s="87">
        <v>2</v>
      </c>
      <c r="O7" s="86">
        <v>0</v>
      </c>
      <c r="P7" s="84" t="s">
        <v>1720</v>
      </c>
      <c r="Q7" s="84" t="s">
        <v>1711</v>
      </c>
      <c r="R7" s="84" t="s">
        <v>1712</v>
      </c>
      <c r="S7" s="87">
        <v>0</v>
      </c>
      <c r="T7" s="86">
        <v>1</v>
      </c>
      <c r="U7" s="84" t="s">
        <v>1713</v>
      </c>
      <c r="V7" s="88">
        <v>8</v>
      </c>
      <c r="W7" s="88">
        <v>3</v>
      </c>
      <c r="X7" s="88" t="s">
        <v>1711</v>
      </c>
      <c r="Y7" s="84"/>
      <c r="Z7" s="84"/>
      <c r="AA7" s="84" t="s">
        <v>1736</v>
      </c>
      <c r="AB7" s="84" t="s">
        <v>1737</v>
      </c>
      <c r="AC7" s="84" t="s">
        <v>1731</v>
      </c>
      <c r="AD7" s="87">
        <v>20</v>
      </c>
      <c r="AE7" s="87">
        <v>8</v>
      </c>
      <c r="AF7" s="87">
        <v>100</v>
      </c>
      <c r="AG7" s="84" t="s">
        <v>1714</v>
      </c>
      <c r="AH7" s="87">
        <v>0</v>
      </c>
      <c r="AI7" s="84" t="s">
        <v>1715</v>
      </c>
      <c r="AJ7" s="87">
        <v>1</v>
      </c>
      <c r="AK7" s="84" t="s">
        <v>1714</v>
      </c>
      <c r="AL7" s="84" t="s">
        <v>1714</v>
      </c>
      <c r="AM7" s="84" t="s">
        <v>1714</v>
      </c>
      <c r="AN7" s="87">
        <v>0</v>
      </c>
      <c r="AO7" s="87">
        <v>0</v>
      </c>
      <c r="AP7" s="87">
        <v>0</v>
      </c>
      <c r="AQ7" s="84" t="s">
        <v>1714</v>
      </c>
      <c r="AR7" s="87">
        <v>0</v>
      </c>
      <c r="AS7" s="84" t="s">
        <v>1715</v>
      </c>
      <c r="AT7" s="87">
        <v>1</v>
      </c>
      <c r="AU7" s="84" t="s">
        <v>1714</v>
      </c>
      <c r="AV7" s="84" t="s">
        <v>1714</v>
      </c>
      <c r="AW7" s="84" t="s">
        <v>1714</v>
      </c>
      <c r="AX7" s="87">
        <v>0</v>
      </c>
      <c r="AY7" s="87">
        <v>0</v>
      </c>
      <c r="AZ7" s="87">
        <v>0</v>
      </c>
      <c r="BA7" s="84" t="s">
        <v>1714</v>
      </c>
      <c r="BB7" s="87">
        <v>0</v>
      </c>
      <c r="BC7" s="84" t="s">
        <v>1715</v>
      </c>
      <c r="BD7" s="87">
        <v>1</v>
      </c>
      <c r="BE7" s="89">
        <v>8</v>
      </c>
      <c r="BF7" s="89">
        <v>3</v>
      </c>
      <c r="BG7" s="90" t="s">
        <v>1711</v>
      </c>
      <c r="BH7" s="91"/>
      <c r="BI7" s="91" t="s">
        <v>1721</v>
      </c>
      <c r="BJ7" s="91" t="s">
        <v>1721</v>
      </c>
      <c r="BK7" s="92">
        <v>360</v>
      </c>
      <c r="BL7" s="91" t="s">
        <v>1721</v>
      </c>
      <c r="BM7" s="92">
        <v>0.3</v>
      </c>
      <c r="BN7" s="92">
        <v>2</v>
      </c>
      <c r="BO7" s="91" t="s">
        <v>1721</v>
      </c>
      <c r="BP7" s="92">
        <v>3</v>
      </c>
      <c r="BQ7" s="92">
        <v>50</v>
      </c>
      <c r="BR7" s="92">
        <v>0.3</v>
      </c>
      <c r="BS7" s="91" t="s">
        <v>1824</v>
      </c>
      <c r="BT7" s="92">
        <v>8</v>
      </c>
      <c r="BU7" s="92">
        <v>0.8</v>
      </c>
      <c r="BV7" s="92">
        <v>2</v>
      </c>
      <c r="BW7" s="92">
        <v>0.8</v>
      </c>
      <c r="BX7" s="92">
        <v>12</v>
      </c>
      <c r="BY7" s="92">
        <v>0.8</v>
      </c>
      <c r="BZ7" s="92">
        <v>1.5</v>
      </c>
      <c r="CA7" s="92">
        <v>720</v>
      </c>
      <c r="CB7" s="92">
        <v>0.6</v>
      </c>
      <c r="CC7" s="92">
        <v>540</v>
      </c>
      <c r="CD7" s="92">
        <v>1.8</v>
      </c>
      <c r="CE7" s="92">
        <v>4</v>
      </c>
      <c r="CF7" s="92">
        <v>4</v>
      </c>
      <c r="CG7" s="91" t="s">
        <v>1711</v>
      </c>
      <c r="CH7" s="91" t="s">
        <v>1721</v>
      </c>
      <c r="CI7" s="91" t="s">
        <v>1721</v>
      </c>
      <c r="CJ7" s="92">
        <v>0.5</v>
      </c>
      <c r="CK7" s="92">
        <v>1.5</v>
      </c>
      <c r="CL7" s="92">
        <v>2.5</v>
      </c>
      <c r="CM7" s="92">
        <v>2.5</v>
      </c>
      <c r="CN7" s="91" t="s">
        <v>1721</v>
      </c>
      <c r="CO7" s="92">
        <v>1</v>
      </c>
      <c r="CP7" s="91" t="s">
        <v>1669</v>
      </c>
      <c r="CQ7" s="92">
        <v>10</v>
      </c>
      <c r="CR7" s="91" t="s">
        <v>1721</v>
      </c>
      <c r="CS7" s="92">
        <v>4</v>
      </c>
      <c r="CT7" s="92">
        <v>8</v>
      </c>
      <c r="CU7" s="92">
        <v>0.85</v>
      </c>
      <c r="CV7" s="91" t="s">
        <v>1721</v>
      </c>
      <c r="CW7" s="92">
        <v>2</v>
      </c>
      <c r="CX7" s="92">
        <v>50</v>
      </c>
      <c r="CY7" s="92">
        <v>0.5</v>
      </c>
      <c r="CZ7" s="92">
        <v>1</v>
      </c>
      <c r="DA7" s="91" t="s">
        <v>1721</v>
      </c>
      <c r="DB7" s="91" t="s">
        <v>1711</v>
      </c>
      <c r="DC7" s="92">
        <v>2</v>
      </c>
      <c r="DD7" s="92">
        <v>0.4</v>
      </c>
      <c r="DE7" s="91">
        <v>0.3</v>
      </c>
      <c r="DF7" s="93" t="s">
        <v>1945</v>
      </c>
      <c r="DG7" s="91">
        <v>60</v>
      </c>
      <c r="DH7" s="91">
        <v>0</v>
      </c>
      <c r="DI7" s="94" t="s">
        <v>1837</v>
      </c>
      <c r="DJ7" s="94" t="s">
        <v>1838</v>
      </c>
      <c r="DK7" s="94" t="s">
        <v>1839</v>
      </c>
      <c r="DL7" s="94" t="s">
        <v>1840</v>
      </c>
      <c r="DM7" s="94">
        <v>1</v>
      </c>
      <c r="DN7" s="94"/>
      <c r="DO7" s="94"/>
      <c r="DP7" s="94"/>
      <c r="DQ7" s="94"/>
      <c r="DR7" s="94"/>
      <c r="DS7" s="95"/>
      <c r="DT7" s="108" t="s">
        <v>1939</v>
      </c>
      <c r="DU7" s="108" t="s">
        <v>1956</v>
      </c>
      <c r="DV7" s="108">
        <v>0.35</v>
      </c>
      <c r="DW7" s="108">
        <v>0.1</v>
      </c>
      <c r="DX7" s="108"/>
    </row>
    <row r="8" spans="1:128" ht="24.95" customHeight="1">
      <c r="A8" s="83" t="s">
        <v>1814</v>
      </c>
      <c r="B8" s="84" t="s">
        <v>1738</v>
      </c>
      <c r="C8" s="85" t="s">
        <v>1739</v>
      </c>
      <c r="D8" s="86">
        <v>1</v>
      </c>
      <c r="E8" s="86">
        <v>1</v>
      </c>
      <c r="F8" s="86">
        <v>10</v>
      </c>
      <c r="G8" s="87">
        <v>5</v>
      </c>
      <c r="H8" s="87">
        <v>0</v>
      </c>
      <c r="I8" s="87">
        <v>0.2</v>
      </c>
      <c r="J8" s="87">
        <v>0</v>
      </c>
      <c r="K8" s="84" t="s">
        <v>1725</v>
      </c>
      <c r="L8" s="84" t="s">
        <v>1714</v>
      </c>
      <c r="M8" s="84" t="s">
        <v>1714</v>
      </c>
      <c r="N8" s="87">
        <v>0</v>
      </c>
      <c r="O8" s="86">
        <v>0</v>
      </c>
      <c r="P8" s="84" t="s">
        <v>1720</v>
      </c>
      <c r="Q8" s="84" t="s">
        <v>1721</v>
      </c>
      <c r="R8" s="84" t="s">
        <v>1727</v>
      </c>
      <c r="S8" s="87">
        <v>3</v>
      </c>
      <c r="T8" s="86">
        <v>0</v>
      </c>
      <c r="U8" s="84" t="s">
        <v>1713</v>
      </c>
      <c r="V8" s="88">
        <v>1</v>
      </c>
      <c r="W8" s="88">
        <v>5</v>
      </c>
      <c r="X8" s="88" t="s">
        <v>1721</v>
      </c>
      <c r="Y8" s="84"/>
      <c r="Z8" s="84"/>
      <c r="AA8" s="84" t="s">
        <v>1736</v>
      </c>
      <c r="AB8" s="84" t="s">
        <v>24</v>
      </c>
      <c r="AC8" s="84" t="s">
        <v>1731</v>
      </c>
      <c r="AD8" s="87">
        <v>30</v>
      </c>
      <c r="AE8" s="87">
        <v>8</v>
      </c>
      <c r="AF8" s="87">
        <v>100</v>
      </c>
      <c r="AG8" s="84" t="s">
        <v>1714</v>
      </c>
      <c r="AH8" s="87">
        <v>0</v>
      </c>
      <c r="AI8" s="84" t="s">
        <v>1715</v>
      </c>
      <c r="AJ8" s="87">
        <v>1</v>
      </c>
      <c r="AK8" s="84" t="s">
        <v>1714</v>
      </c>
      <c r="AL8" s="84" t="s">
        <v>1714</v>
      </c>
      <c r="AM8" s="84" t="s">
        <v>1714</v>
      </c>
      <c r="AN8" s="87">
        <v>0</v>
      </c>
      <c r="AO8" s="87">
        <v>0</v>
      </c>
      <c r="AP8" s="87">
        <v>0</v>
      </c>
      <c r="AQ8" s="84" t="s">
        <v>1714</v>
      </c>
      <c r="AR8" s="87">
        <v>0</v>
      </c>
      <c r="AS8" s="84" t="s">
        <v>1715</v>
      </c>
      <c r="AT8" s="87">
        <v>1</v>
      </c>
      <c r="AU8" s="84" t="s">
        <v>1714</v>
      </c>
      <c r="AV8" s="84" t="s">
        <v>1714</v>
      </c>
      <c r="AW8" s="84" t="s">
        <v>1714</v>
      </c>
      <c r="AX8" s="87">
        <v>0</v>
      </c>
      <c r="AY8" s="87">
        <v>0</v>
      </c>
      <c r="AZ8" s="87">
        <v>0</v>
      </c>
      <c r="BA8" s="84" t="s">
        <v>1714</v>
      </c>
      <c r="BB8" s="87">
        <v>0</v>
      </c>
      <c r="BC8" s="84" t="s">
        <v>1715</v>
      </c>
      <c r="BD8" s="87">
        <v>1</v>
      </c>
      <c r="BE8" s="89">
        <v>1</v>
      </c>
      <c r="BF8" s="89">
        <v>5</v>
      </c>
      <c r="BG8" s="90" t="s">
        <v>1721</v>
      </c>
      <c r="BH8" s="91"/>
      <c r="BI8" s="91" t="s">
        <v>1711</v>
      </c>
      <c r="BJ8" s="91" t="s">
        <v>1721</v>
      </c>
      <c r="BK8" s="92">
        <v>360</v>
      </c>
      <c r="BL8" s="91" t="s">
        <v>1721</v>
      </c>
      <c r="BM8" s="92">
        <v>0.3</v>
      </c>
      <c r="BN8" s="92">
        <v>2</v>
      </c>
      <c r="BO8" s="91" t="s">
        <v>1721</v>
      </c>
      <c r="BP8" s="92">
        <v>3</v>
      </c>
      <c r="BQ8" s="92">
        <v>50</v>
      </c>
      <c r="BR8" s="92">
        <v>0.3</v>
      </c>
      <c r="BS8" s="91" t="s">
        <v>1841</v>
      </c>
      <c r="BT8" s="92">
        <v>8</v>
      </c>
      <c r="BU8" s="92">
        <v>0.8</v>
      </c>
      <c r="BV8" s="92">
        <v>2</v>
      </c>
      <c r="BW8" s="92">
        <v>0.8</v>
      </c>
      <c r="BX8" s="92">
        <v>12</v>
      </c>
      <c r="BY8" s="92">
        <v>0.8</v>
      </c>
      <c r="BZ8" s="92">
        <v>1.5</v>
      </c>
      <c r="CA8" s="92">
        <v>720</v>
      </c>
      <c r="CB8" s="92">
        <v>0.6</v>
      </c>
      <c r="CC8" s="92">
        <v>540</v>
      </c>
      <c r="CD8" s="92">
        <v>1.8</v>
      </c>
      <c r="CE8" s="92">
        <v>4</v>
      </c>
      <c r="CF8" s="92">
        <v>4</v>
      </c>
      <c r="CG8" s="91" t="s">
        <v>1711</v>
      </c>
      <c r="CH8" s="91" t="s">
        <v>1721</v>
      </c>
      <c r="CI8" s="91" t="s">
        <v>1721</v>
      </c>
      <c r="CJ8" s="92">
        <v>0.5</v>
      </c>
      <c r="CK8" s="92">
        <v>1.5</v>
      </c>
      <c r="CL8" s="92">
        <v>2.5</v>
      </c>
      <c r="CM8" s="92">
        <v>2.5</v>
      </c>
      <c r="CN8" s="91" t="s">
        <v>1721</v>
      </c>
      <c r="CO8" s="92">
        <v>1</v>
      </c>
      <c r="CP8" s="91" t="s">
        <v>1669</v>
      </c>
      <c r="CQ8" s="92">
        <v>10</v>
      </c>
      <c r="CR8" s="91" t="s">
        <v>1721</v>
      </c>
      <c r="CS8" s="92">
        <v>4</v>
      </c>
      <c r="CT8" s="92">
        <v>8</v>
      </c>
      <c r="CU8" s="92">
        <v>0.85</v>
      </c>
      <c r="CV8" s="91" t="s">
        <v>1721</v>
      </c>
      <c r="CW8" s="92">
        <v>2</v>
      </c>
      <c r="CX8" s="92">
        <v>50</v>
      </c>
      <c r="CY8" s="92">
        <v>0.5</v>
      </c>
      <c r="CZ8" s="92">
        <v>1</v>
      </c>
      <c r="DA8" s="91" t="s">
        <v>1721</v>
      </c>
      <c r="DB8" s="91" t="s">
        <v>1721</v>
      </c>
      <c r="DC8" s="92">
        <v>2</v>
      </c>
      <c r="DD8" s="92">
        <v>0.4</v>
      </c>
      <c r="DE8" s="91">
        <v>0.3</v>
      </c>
      <c r="DF8" s="93" t="s">
        <v>1946</v>
      </c>
      <c r="DG8" s="91">
        <v>60</v>
      </c>
      <c r="DH8" s="91">
        <v>0</v>
      </c>
      <c r="DI8" s="94" t="s">
        <v>1837</v>
      </c>
      <c r="DJ8" s="94" t="s">
        <v>1838</v>
      </c>
      <c r="DK8" s="94" t="s">
        <v>1839</v>
      </c>
      <c r="DL8" s="94" t="s">
        <v>1920</v>
      </c>
      <c r="DM8" s="94">
        <v>1</v>
      </c>
      <c r="DN8" s="94"/>
      <c r="DO8" s="94"/>
      <c r="DP8" s="94"/>
      <c r="DQ8" s="94"/>
      <c r="DR8" s="94"/>
      <c r="DS8" s="95"/>
      <c r="DT8" s="108" t="s">
        <v>1947</v>
      </c>
      <c r="DU8" s="108" t="s">
        <v>1956</v>
      </c>
      <c r="DV8" s="108">
        <v>0.35</v>
      </c>
      <c r="DW8" s="108">
        <v>0.1</v>
      </c>
      <c r="DX8" s="108"/>
    </row>
    <row r="9" spans="1:128" ht="24.95" customHeight="1">
      <c r="A9" s="83" t="s">
        <v>1815</v>
      </c>
      <c r="B9" s="84" t="s">
        <v>1740</v>
      </c>
      <c r="C9" s="85" t="s">
        <v>1741</v>
      </c>
      <c r="D9" s="86">
        <v>1</v>
      </c>
      <c r="E9" s="86">
        <v>1</v>
      </c>
      <c r="F9" s="86">
        <v>10</v>
      </c>
      <c r="G9" s="87">
        <v>5</v>
      </c>
      <c r="H9" s="87">
        <v>0</v>
      </c>
      <c r="I9" s="87">
        <v>0.2</v>
      </c>
      <c r="J9" s="87">
        <v>6</v>
      </c>
      <c r="K9" s="84" t="s">
        <v>1707</v>
      </c>
      <c r="L9" s="84" t="s">
        <v>1708</v>
      </c>
      <c r="M9" s="84" t="s">
        <v>1709</v>
      </c>
      <c r="N9" s="87">
        <v>2</v>
      </c>
      <c r="O9" s="86">
        <v>0</v>
      </c>
      <c r="P9" s="84" t="s">
        <v>1720</v>
      </c>
      <c r="Q9" s="84" t="s">
        <v>1711</v>
      </c>
      <c r="R9" s="84" t="s">
        <v>1712</v>
      </c>
      <c r="S9" s="87">
        <v>0</v>
      </c>
      <c r="T9" s="86">
        <v>1</v>
      </c>
      <c r="U9" s="84" t="s">
        <v>1713</v>
      </c>
      <c r="V9" s="88">
        <v>8</v>
      </c>
      <c r="W9" s="88">
        <v>3</v>
      </c>
      <c r="X9" s="88" t="s">
        <v>1711</v>
      </c>
      <c r="Y9" s="84"/>
      <c r="Z9" s="84"/>
      <c r="AA9" s="84" t="s">
        <v>1742</v>
      </c>
      <c r="AB9" s="84" t="s">
        <v>1714</v>
      </c>
      <c r="AC9" s="84" t="s">
        <v>1743</v>
      </c>
      <c r="AD9" s="87">
        <v>1</v>
      </c>
      <c r="AE9" s="87">
        <v>10</v>
      </c>
      <c r="AF9" s="87">
        <v>80</v>
      </c>
      <c r="AG9" s="84" t="s">
        <v>1744</v>
      </c>
      <c r="AH9" s="87">
        <v>2</v>
      </c>
      <c r="AI9" s="84" t="s">
        <v>1715</v>
      </c>
      <c r="AJ9" s="87">
        <v>1</v>
      </c>
      <c r="AK9" s="84" t="s">
        <v>1714</v>
      </c>
      <c r="AL9" s="84" t="s">
        <v>1714</v>
      </c>
      <c r="AM9" s="84" t="s">
        <v>1714</v>
      </c>
      <c r="AN9" s="87">
        <v>0</v>
      </c>
      <c r="AO9" s="87">
        <v>0</v>
      </c>
      <c r="AP9" s="87">
        <v>0</v>
      </c>
      <c r="AQ9" s="84" t="s">
        <v>1714</v>
      </c>
      <c r="AR9" s="87">
        <v>0</v>
      </c>
      <c r="AS9" s="84" t="s">
        <v>1715</v>
      </c>
      <c r="AT9" s="87">
        <v>1</v>
      </c>
      <c r="AU9" s="84" t="s">
        <v>1714</v>
      </c>
      <c r="AV9" s="84" t="s">
        <v>1714</v>
      </c>
      <c r="AW9" s="84" t="s">
        <v>1714</v>
      </c>
      <c r="AX9" s="87">
        <v>0</v>
      </c>
      <c r="AY9" s="87">
        <v>0</v>
      </c>
      <c r="AZ9" s="87">
        <v>0</v>
      </c>
      <c r="BA9" s="84" t="s">
        <v>1714</v>
      </c>
      <c r="BB9" s="87">
        <v>0</v>
      </c>
      <c r="BC9" s="84" t="s">
        <v>1715</v>
      </c>
      <c r="BD9" s="87">
        <v>1</v>
      </c>
      <c r="BE9" s="89">
        <v>8</v>
      </c>
      <c r="BF9" s="89">
        <v>3</v>
      </c>
      <c r="BG9" s="90" t="s">
        <v>1711</v>
      </c>
      <c r="BH9" s="91"/>
      <c r="BI9" s="91" t="s">
        <v>1721</v>
      </c>
      <c r="BJ9" s="91" t="s">
        <v>1721</v>
      </c>
      <c r="BK9" s="92">
        <v>360</v>
      </c>
      <c r="BL9" s="91" t="s">
        <v>1721</v>
      </c>
      <c r="BM9" s="92">
        <v>0.3</v>
      </c>
      <c r="BN9" s="92">
        <v>2</v>
      </c>
      <c r="BO9" s="91" t="s">
        <v>1721</v>
      </c>
      <c r="BP9" s="92">
        <v>3</v>
      </c>
      <c r="BQ9" s="92">
        <v>50</v>
      </c>
      <c r="BR9" s="92">
        <v>0.3</v>
      </c>
      <c r="BS9" s="91" t="s">
        <v>1824</v>
      </c>
      <c r="BT9" s="92">
        <v>8</v>
      </c>
      <c r="BU9" s="92">
        <v>0.8</v>
      </c>
      <c r="BV9" s="92">
        <v>2</v>
      </c>
      <c r="BW9" s="92">
        <v>0.8</v>
      </c>
      <c r="BX9" s="92">
        <v>12</v>
      </c>
      <c r="BY9" s="92">
        <v>0.8</v>
      </c>
      <c r="BZ9" s="92">
        <v>1.5</v>
      </c>
      <c r="CA9" s="92">
        <v>720</v>
      </c>
      <c r="CB9" s="92">
        <v>0.6</v>
      </c>
      <c r="CC9" s="92">
        <v>540</v>
      </c>
      <c r="CD9" s="92">
        <v>1.8</v>
      </c>
      <c r="CE9" s="92">
        <v>4</v>
      </c>
      <c r="CF9" s="92">
        <v>4</v>
      </c>
      <c r="CG9" s="91" t="s">
        <v>1711</v>
      </c>
      <c r="CH9" s="91" t="s">
        <v>1721</v>
      </c>
      <c r="CI9" s="91" t="s">
        <v>1721</v>
      </c>
      <c r="CJ9" s="92">
        <v>0.5</v>
      </c>
      <c r="CK9" s="92">
        <v>1.5</v>
      </c>
      <c r="CL9" s="92">
        <v>2.5</v>
      </c>
      <c r="CM9" s="92">
        <v>2.5</v>
      </c>
      <c r="CN9" s="91" t="s">
        <v>1721</v>
      </c>
      <c r="CO9" s="92">
        <v>1</v>
      </c>
      <c r="CP9" s="91" t="s">
        <v>1669</v>
      </c>
      <c r="CQ9" s="92">
        <v>10</v>
      </c>
      <c r="CR9" s="91" t="s">
        <v>1721</v>
      </c>
      <c r="CS9" s="92">
        <v>4</v>
      </c>
      <c r="CT9" s="92">
        <v>8</v>
      </c>
      <c r="CU9" s="92">
        <v>0.85</v>
      </c>
      <c r="CV9" s="91" t="s">
        <v>1721</v>
      </c>
      <c r="CW9" s="92">
        <v>2</v>
      </c>
      <c r="CX9" s="92">
        <v>50</v>
      </c>
      <c r="CY9" s="92">
        <v>0.5</v>
      </c>
      <c r="CZ9" s="92">
        <v>1</v>
      </c>
      <c r="DA9" s="91" t="s">
        <v>1721</v>
      </c>
      <c r="DB9" s="91" t="s">
        <v>1711</v>
      </c>
      <c r="DC9" s="92">
        <v>2</v>
      </c>
      <c r="DD9" s="92">
        <v>0.4</v>
      </c>
      <c r="DE9" s="91">
        <v>0.3</v>
      </c>
      <c r="DF9" s="93" t="s">
        <v>1948</v>
      </c>
      <c r="DG9" s="91">
        <v>60</v>
      </c>
      <c r="DH9" s="91">
        <v>0</v>
      </c>
      <c r="DI9" s="94" t="s">
        <v>1837</v>
      </c>
      <c r="DJ9" s="94" t="s">
        <v>1838</v>
      </c>
      <c r="DK9" s="94" t="s">
        <v>1839</v>
      </c>
      <c r="DL9" s="94" t="s">
        <v>1840</v>
      </c>
      <c r="DM9" s="94">
        <v>1</v>
      </c>
      <c r="DN9" s="94"/>
      <c r="DO9" s="94"/>
      <c r="DP9" s="94"/>
      <c r="DQ9" s="94"/>
      <c r="DR9" s="94"/>
      <c r="DS9" s="95"/>
      <c r="DT9" s="108" t="s">
        <v>1939</v>
      </c>
      <c r="DU9" s="108" t="s">
        <v>1956</v>
      </c>
      <c r="DV9" s="108">
        <v>0.35</v>
      </c>
      <c r="DW9" s="108">
        <v>0.1</v>
      </c>
      <c r="DX9" s="108"/>
    </row>
    <row r="10" spans="1:128" ht="24.95" customHeight="1">
      <c r="A10" s="83" t="s">
        <v>1816</v>
      </c>
      <c r="B10" s="84" t="s">
        <v>1745</v>
      </c>
      <c r="C10" s="85" t="s">
        <v>1746</v>
      </c>
      <c r="D10" s="86">
        <v>1</v>
      </c>
      <c r="E10" s="86">
        <v>1</v>
      </c>
      <c r="F10" s="86">
        <v>10</v>
      </c>
      <c r="G10" s="87">
        <v>5</v>
      </c>
      <c r="H10" s="87">
        <v>0</v>
      </c>
      <c r="I10" s="87">
        <v>0.2</v>
      </c>
      <c r="J10" s="87">
        <v>6</v>
      </c>
      <c r="K10" s="84" t="s">
        <v>1707</v>
      </c>
      <c r="L10" s="84" t="s">
        <v>1708</v>
      </c>
      <c r="M10" s="84" t="s">
        <v>1709</v>
      </c>
      <c r="N10" s="87">
        <v>2</v>
      </c>
      <c r="O10" s="86">
        <v>0</v>
      </c>
      <c r="P10" s="84" t="s">
        <v>1710</v>
      </c>
      <c r="Q10" s="84" t="s">
        <v>1711</v>
      </c>
      <c r="R10" s="84" t="s">
        <v>1712</v>
      </c>
      <c r="S10" s="87">
        <v>0</v>
      </c>
      <c r="T10" s="86">
        <v>1</v>
      </c>
      <c r="U10" s="84" t="s">
        <v>1713</v>
      </c>
      <c r="V10" s="88">
        <v>8</v>
      </c>
      <c r="W10" s="88">
        <v>3</v>
      </c>
      <c r="X10" s="88" t="s">
        <v>1711</v>
      </c>
      <c r="Y10" s="84"/>
      <c r="Z10" s="84"/>
      <c r="AA10" s="84" t="s">
        <v>1742</v>
      </c>
      <c r="AB10" s="84" t="s">
        <v>1714</v>
      </c>
      <c r="AC10" s="84" t="s">
        <v>1747</v>
      </c>
      <c r="AD10" s="87">
        <v>50</v>
      </c>
      <c r="AE10" s="87">
        <v>5</v>
      </c>
      <c r="AF10" s="87">
        <v>100</v>
      </c>
      <c r="AG10" s="84" t="s">
        <v>1748</v>
      </c>
      <c r="AH10" s="87">
        <v>1</v>
      </c>
      <c r="AI10" s="84" t="s">
        <v>1715</v>
      </c>
      <c r="AJ10" s="87">
        <v>1</v>
      </c>
      <c r="AK10" s="84" t="s">
        <v>1714</v>
      </c>
      <c r="AL10" s="84" t="s">
        <v>1714</v>
      </c>
      <c r="AM10" s="84" t="s">
        <v>1714</v>
      </c>
      <c r="AN10" s="87">
        <v>0</v>
      </c>
      <c r="AO10" s="87">
        <v>0</v>
      </c>
      <c r="AP10" s="87">
        <v>0</v>
      </c>
      <c r="AQ10" s="84" t="s">
        <v>1714</v>
      </c>
      <c r="AR10" s="87">
        <v>0</v>
      </c>
      <c r="AS10" s="84" t="s">
        <v>1715</v>
      </c>
      <c r="AT10" s="87">
        <v>1</v>
      </c>
      <c r="AU10" s="84" t="s">
        <v>1714</v>
      </c>
      <c r="AV10" s="84" t="s">
        <v>1714</v>
      </c>
      <c r="AW10" s="84" t="s">
        <v>1714</v>
      </c>
      <c r="AX10" s="87">
        <v>0</v>
      </c>
      <c r="AY10" s="87">
        <v>0</v>
      </c>
      <c r="AZ10" s="87">
        <v>0</v>
      </c>
      <c r="BA10" s="84" t="s">
        <v>1714</v>
      </c>
      <c r="BB10" s="87">
        <v>0</v>
      </c>
      <c r="BC10" s="84" t="s">
        <v>1715</v>
      </c>
      <c r="BD10" s="87">
        <v>1</v>
      </c>
      <c r="BE10" s="89">
        <v>8</v>
      </c>
      <c r="BF10" s="89">
        <v>3</v>
      </c>
      <c r="BG10" s="90" t="s">
        <v>1711</v>
      </c>
      <c r="BH10" s="91"/>
      <c r="BI10" s="91" t="s">
        <v>1721</v>
      </c>
      <c r="BJ10" s="91" t="s">
        <v>1721</v>
      </c>
      <c r="BK10" s="92">
        <v>360</v>
      </c>
      <c r="BL10" s="91" t="s">
        <v>1721</v>
      </c>
      <c r="BM10" s="92">
        <v>0.3</v>
      </c>
      <c r="BN10" s="92">
        <v>2</v>
      </c>
      <c r="BO10" s="91" t="s">
        <v>1721</v>
      </c>
      <c r="BP10" s="92">
        <v>3</v>
      </c>
      <c r="BQ10" s="92">
        <v>50</v>
      </c>
      <c r="BR10" s="92">
        <v>0.3</v>
      </c>
      <c r="BS10" s="91" t="s">
        <v>1824</v>
      </c>
      <c r="BT10" s="92">
        <v>8</v>
      </c>
      <c r="BU10" s="92">
        <v>0.8</v>
      </c>
      <c r="BV10" s="92">
        <v>2</v>
      </c>
      <c r="BW10" s="92">
        <v>0.8</v>
      </c>
      <c r="BX10" s="92">
        <v>12</v>
      </c>
      <c r="BY10" s="92">
        <v>0.8</v>
      </c>
      <c r="BZ10" s="92">
        <v>1.5</v>
      </c>
      <c r="CA10" s="92">
        <v>720</v>
      </c>
      <c r="CB10" s="92">
        <v>0.6</v>
      </c>
      <c r="CC10" s="92">
        <v>540</v>
      </c>
      <c r="CD10" s="92">
        <v>1.8</v>
      </c>
      <c r="CE10" s="92">
        <v>4</v>
      </c>
      <c r="CF10" s="92">
        <v>4</v>
      </c>
      <c r="CG10" s="91" t="s">
        <v>1711</v>
      </c>
      <c r="CH10" s="91" t="s">
        <v>1721</v>
      </c>
      <c r="CI10" s="91" t="s">
        <v>1721</v>
      </c>
      <c r="CJ10" s="92">
        <v>0.5</v>
      </c>
      <c r="CK10" s="92">
        <v>1.5</v>
      </c>
      <c r="CL10" s="92">
        <v>2.5</v>
      </c>
      <c r="CM10" s="92">
        <v>2.5</v>
      </c>
      <c r="CN10" s="91" t="s">
        <v>1721</v>
      </c>
      <c r="CO10" s="92">
        <v>1</v>
      </c>
      <c r="CP10" s="91" t="s">
        <v>1669</v>
      </c>
      <c r="CQ10" s="92">
        <v>10</v>
      </c>
      <c r="CR10" s="91" t="s">
        <v>1721</v>
      </c>
      <c r="CS10" s="92">
        <v>4</v>
      </c>
      <c r="CT10" s="92">
        <v>8</v>
      </c>
      <c r="CU10" s="92">
        <v>0.85</v>
      </c>
      <c r="CV10" s="91" t="s">
        <v>1721</v>
      </c>
      <c r="CW10" s="92">
        <v>2</v>
      </c>
      <c r="CX10" s="92">
        <v>50</v>
      </c>
      <c r="CY10" s="92">
        <v>0.5</v>
      </c>
      <c r="CZ10" s="92">
        <v>1</v>
      </c>
      <c r="DA10" s="91" t="s">
        <v>1721</v>
      </c>
      <c r="DB10" s="91" t="s">
        <v>1711</v>
      </c>
      <c r="DC10" s="92">
        <v>2</v>
      </c>
      <c r="DD10" s="92">
        <v>0.4</v>
      </c>
      <c r="DE10" s="91">
        <v>0.3</v>
      </c>
      <c r="DF10" s="93" t="s">
        <v>1949</v>
      </c>
      <c r="DG10" s="91">
        <v>60</v>
      </c>
      <c r="DH10" s="91">
        <v>0</v>
      </c>
      <c r="DI10" s="94" t="s">
        <v>1837</v>
      </c>
      <c r="DJ10" s="94" t="s">
        <v>1838</v>
      </c>
      <c r="DK10" s="94" t="s">
        <v>1839</v>
      </c>
      <c r="DL10" s="94" t="s">
        <v>1840</v>
      </c>
      <c r="DM10" s="94">
        <v>1</v>
      </c>
      <c r="DN10" s="94"/>
      <c r="DO10" s="94"/>
      <c r="DP10" s="94"/>
      <c r="DQ10" s="94"/>
      <c r="DR10" s="94"/>
      <c r="DS10" s="95"/>
      <c r="DT10" s="108" t="s">
        <v>1939</v>
      </c>
      <c r="DU10" s="108" t="s">
        <v>1956</v>
      </c>
      <c r="DV10" s="108">
        <v>0.35</v>
      </c>
      <c r="DW10" s="108">
        <v>0.1</v>
      </c>
      <c r="DX10" s="108"/>
    </row>
    <row r="11" spans="1:128" ht="24.95" customHeight="1">
      <c r="A11" s="83" t="s">
        <v>1817</v>
      </c>
      <c r="B11" s="84" t="s">
        <v>1749</v>
      </c>
      <c r="C11" s="85" t="s">
        <v>1750</v>
      </c>
      <c r="D11" s="86">
        <v>1</v>
      </c>
      <c r="E11" s="86">
        <v>1</v>
      </c>
      <c r="F11" s="86">
        <v>10</v>
      </c>
      <c r="G11" s="87">
        <v>5</v>
      </c>
      <c r="H11" s="87">
        <v>0</v>
      </c>
      <c r="I11" s="87">
        <v>0.2</v>
      </c>
      <c r="J11" s="87">
        <v>6</v>
      </c>
      <c r="K11" s="84" t="s">
        <v>1707</v>
      </c>
      <c r="L11" s="84" t="s">
        <v>1708</v>
      </c>
      <c r="M11" s="84" t="s">
        <v>1709</v>
      </c>
      <c r="N11" s="87">
        <v>2</v>
      </c>
      <c r="O11" s="86">
        <v>0</v>
      </c>
      <c r="P11" s="84" t="s">
        <v>1751</v>
      </c>
      <c r="Q11" s="84" t="s">
        <v>1711</v>
      </c>
      <c r="R11" s="84" t="s">
        <v>1712</v>
      </c>
      <c r="S11" s="87">
        <v>0</v>
      </c>
      <c r="T11" s="86">
        <v>1</v>
      </c>
      <c r="U11" s="84" t="s">
        <v>1713</v>
      </c>
      <c r="V11" s="88">
        <v>8</v>
      </c>
      <c r="W11" s="88">
        <v>3</v>
      </c>
      <c r="X11" s="88" t="s">
        <v>1711</v>
      </c>
      <c r="Y11" s="84"/>
      <c r="Z11" s="84"/>
      <c r="AA11" s="84" t="s">
        <v>1742</v>
      </c>
      <c r="AB11" s="84" t="s">
        <v>1714</v>
      </c>
      <c r="AC11" s="84" t="s">
        <v>1714</v>
      </c>
      <c r="AD11" s="87">
        <v>0</v>
      </c>
      <c r="AE11" s="87">
        <v>3</v>
      </c>
      <c r="AF11" s="87">
        <v>50</v>
      </c>
      <c r="AG11" s="84" t="s">
        <v>1752</v>
      </c>
      <c r="AH11" s="87">
        <v>0</v>
      </c>
      <c r="AI11" s="84" t="s">
        <v>1715</v>
      </c>
      <c r="AJ11" s="87">
        <v>1</v>
      </c>
      <c r="AK11" s="84" t="s">
        <v>1714</v>
      </c>
      <c r="AL11" s="84" t="s">
        <v>1714</v>
      </c>
      <c r="AM11" s="84" t="s">
        <v>1714</v>
      </c>
      <c r="AN11" s="87">
        <v>0</v>
      </c>
      <c r="AO11" s="87">
        <v>0</v>
      </c>
      <c r="AP11" s="87">
        <v>0</v>
      </c>
      <c r="AQ11" s="84" t="s">
        <v>1714</v>
      </c>
      <c r="AR11" s="87">
        <v>0</v>
      </c>
      <c r="AS11" s="84" t="s">
        <v>1715</v>
      </c>
      <c r="AT11" s="87">
        <v>1</v>
      </c>
      <c r="AU11" s="84" t="s">
        <v>1714</v>
      </c>
      <c r="AV11" s="84" t="s">
        <v>1714</v>
      </c>
      <c r="AW11" s="84" t="s">
        <v>1714</v>
      </c>
      <c r="AX11" s="87">
        <v>0</v>
      </c>
      <c r="AY11" s="87">
        <v>0</v>
      </c>
      <c r="AZ11" s="87">
        <v>0</v>
      </c>
      <c r="BA11" s="84" t="s">
        <v>1714</v>
      </c>
      <c r="BB11" s="87">
        <v>0</v>
      </c>
      <c r="BC11" s="84" t="s">
        <v>1715</v>
      </c>
      <c r="BD11" s="87">
        <v>1</v>
      </c>
      <c r="BE11" s="89">
        <v>8</v>
      </c>
      <c r="BF11" s="89">
        <v>3</v>
      </c>
      <c r="BG11" s="90" t="s">
        <v>1711</v>
      </c>
      <c r="BH11" s="91"/>
      <c r="BI11" s="91" t="s">
        <v>1721</v>
      </c>
      <c r="BJ11" s="91" t="s">
        <v>1721</v>
      </c>
      <c r="BK11" s="92">
        <v>360</v>
      </c>
      <c r="BL11" s="91" t="s">
        <v>1721</v>
      </c>
      <c r="BM11" s="92">
        <v>0.3</v>
      </c>
      <c r="BN11" s="92">
        <v>2</v>
      </c>
      <c r="BO11" s="91" t="s">
        <v>1721</v>
      </c>
      <c r="BP11" s="92">
        <v>3</v>
      </c>
      <c r="BQ11" s="92">
        <v>50</v>
      </c>
      <c r="BR11" s="92">
        <v>0.3</v>
      </c>
      <c r="BS11" s="91" t="s">
        <v>1824</v>
      </c>
      <c r="BT11" s="92">
        <v>8</v>
      </c>
      <c r="BU11" s="92">
        <v>0.8</v>
      </c>
      <c r="BV11" s="92">
        <v>2</v>
      </c>
      <c r="BW11" s="92">
        <v>0.8</v>
      </c>
      <c r="BX11" s="92">
        <v>12</v>
      </c>
      <c r="BY11" s="92">
        <v>0.8</v>
      </c>
      <c r="BZ11" s="92">
        <v>1.5</v>
      </c>
      <c r="CA11" s="92">
        <v>720</v>
      </c>
      <c r="CB11" s="92">
        <v>0.6</v>
      </c>
      <c r="CC11" s="92">
        <v>540</v>
      </c>
      <c r="CD11" s="92">
        <v>1.8</v>
      </c>
      <c r="CE11" s="92">
        <v>4</v>
      </c>
      <c r="CF11" s="92">
        <v>4</v>
      </c>
      <c r="CG11" s="91" t="s">
        <v>1711</v>
      </c>
      <c r="CH11" s="91" t="s">
        <v>1721</v>
      </c>
      <c r="CI11" s="91" t="s">
        <v>1721</v>
      </c>
      <c r="CJ11" s="92">
        <v>0.5</v>
      </c>
      <c r="CK11" s="92">
        <v>1.5</v>
      </c>
      <c r="CL11" s="92">
        <v>2.5</v>
      </c>
      <c r="CM11" s="92">
        <v>2.5</v>
      </c>
      <c r="CN11" s="91" t="s">
        <v>1721</v>
      </c>
      <c r="CO11" s="92">
        <v>1</v>
      </c>
      <c r="CP11" s="91" t="s">
        <v>1669</v>
      </c>
      <c r="CQ11" s="92">
        <v>10</v>
      </c>
      <c r="CR11" s="91" t="s">
        <v>1721</v>
      </c>
      <c r="CS11" s="92">
        <v>4</v>
      </c>
      <c r="CT11" s="92">
        <v>8</v>
      </c>
      <c r="CU11" s="92">
        <v>0.85</v>
      </c>
      <c r="CV11" s="91" t="s">
        <v>1721</v>
      </c>
      <c r="CW11" s="92">
        <v>2</v>
      </c>
      <c r="CX11" s="92">
        <v>50</v>
      </c>
      <c r="CY11" s="92">
        <v>0.5</v>
      </c>
      <c r="CZ11" s="92">
        <v>1</v>
      </c>
      <c r="DA11" s="91" t="s">
        <v>1721</v>
      </c>
      <c r="DB11" s="91" t="s">
        <v>1711</v>
      </c>
      <c r="DC11" s="92">
        <v>2</v>
      </c>
      <c r="DD11" s="92">
        <v>0.4</v>
      </c>
      <c r="DE11" s="91">
        <v>0.3</v>
      </c>
      <c r="DF11" s="93" t="s">
        <v>1950</v>
      </c>
      <c r="DG11" s="91">
        <v>60</v>
      </c>
      <c r="DH11" s="91">
        <v>0</v>
      </c>
      <c r="DI11" s="94" t="s">
        <v>1837</v>
      </c>
      <c r="DJ11" s="94" t="s">
        <v>1838</v>
      </c>
      <c r="DK11" s="94" t="s">
        <v>1839</v>
      </c>
      <c r="DL11" s="94" t="s">
        <v>1840</v>
      </c>
      <c r="DM11" s="94">
        <v>1</v>
      </c>
      <c r="DN11" s="94"/>
      <c r="DO11" s="94"/>
      <c r="DP11" s="94"/>
      <c r="DQ11" s="94"/>
      <c r="DR11" s="94"/>
      <c r="DS11" s="95"/>
      <c r="DT11" s="108" t="s">
        <v>1939</v>
      </c>
      <c r="DU11" s="108" t="s">
        <v>1956</v>
      </c>
      <c r="DV11" s="108">
        <v>0.35</v>
      </c>
      <c r="DW11" s="108">
        <v>0.1</v>
      </c>
      <c r="DX11" s="108"/>
    </row>
    <row r="12" spans="1:128" ht="24.95" customHeight="1">
      <c r="A12" s="83" t="s">
        <v>1818</v>
      </c>
      <c r="B12" s="84" t="s">
        <v>1753</v>
      </c>
      <c r="C12" s="85" t="s">
        <v>1754</v>
      </c>
      <c r="D12" s="86">
        <v>1</v>
      </c>
      <c r="E12" s="86">
        <v>1</v>
      </c>
      <c r="F12" s="86">
        <v>10</v>
      </c>
      <c r="G12" s="87">
        <v>5</v>
      </c>
      <c r="H12" s="87">
        <v>0</v>
      </c>
      <c r="I12" s="87">
        <v>0.2</v>
      </c>
      <c r="J12" s="87">
        <v>6</v>
      </c>
      <c r="K12" s="84" t="s">
        <v>1707</v>
      </c>
      <c r="L12" s="84" t="s">
        <v>1714</v>
      </c>
      <c r="M12" s="84" t="s">
        <v>1714</v>
      </c>
      <c r="N12" s="87">
        <v>0</v>
      </c>
      <c r="O12" s="86">
        <v>0</v>
      </c>
      <c r="P12" s="84" t="s">
        <v>1720</v>
      </c>
      <c r="Q12" s="84" t="s">
        <v>1721</v>
      </c>
      <c r="R12" s="84" t="s">
        <v>1712</v>
      </c>
      <c r="S12" s="87">
        <v>0</v>
      </c>
      <c r="T12" s="86">
        <v>1</v>
      </c>
      <c r="U12" s="84" t="s">
        <v>1713</v>
      </c>
      <c r="V12" s="88">
        <v>1</v>
      </c>
      <c r="W12" s="88">
        <v>0.8</v>
      </c>
      <c r="X12" s="88" t="s">
        <v>1721</v>
      </c>
      <c r="Y12" s="84"/>
      <c r="Z12" s="84"/>
      <c r="AA12" s="84" t="s">
        <v>1742</v>
      </c>
      <c r="AB12" s="84" t="s">
        <v>1714</v>
      </c>
      <c r="AC12" s="84" t="s">
        <v>1714</v>
      </c>
      <c r="AD12" s="87">
        <v>0</v>
      </c>
      <c r="AE12" s="87">
        <v>5</v>
      </c>
      <c r="AF12" s="87">
        <v>70</v>
      </c>
      <c r="AG12" s="84" t="s">
        <v>1755</v>
      </c>
      <c r="AH12" s="87">
        <v>0</v>
      </c>
      <c r="AI12" s="84" t="s">
        <v>1715</v>
      </c>
      <c r="AJ12" s="87">
        <v>1</v>
      </c>
      <c r="AK12" s="84" t="s">
        <v>1714</v>
      </c>
      <c r="AL12" s="84" t="s">
        <v>1714</v>
      </c>
      <c r="AM12" s="84" t="s">
        <v>1714</v>
      </c>
      <c r="AN12" s="87">
        <v>0</v>
      </c>
      <c r="AO12" s="87">
        <v>0</v>
      </c>
      <c r="AP12" s="87">
        <v>0</v>
      </c>
      <c r="AQ12" s="84" t="s">
        <v>1714</v>
      </c>
      <c r="AR12" s="87">
        <v>0</v>
      </c>
      <c r="AS12" s="84" t="s">
        <v>1715</v>
      </c>
      <c r="AT12" s="87">
        <v>1</v>
      </c>
      <c r="AU12" s="84" t="s">
        <v>1714</v>
      </c>
      <c r="AV12" s="84" t="s">
        <v>1714</v>
      </c>
      <c r="AW12" s="84" t="s">
        <v>1714</v>
      </c>
      <c r="AX12" s="87">
        <v>0</v>
      </c>
      <c r="AY12" s="87">
        <v>0</v>
      </c>
      <c r="AZ12" s="87">
        <v>0</v>
      </c>
      <c r="BA12" s="84" t="s">
        <v>1714</v>
      </c>
      <c r="BB12" s="87">
        <v>0</v>
      </c>
      <c r="BC12" s="84" t="s">
        <v>1715</v>
      </c>
      <c r="BD12" s="87">
        <v>1</v>
      </c>
      <c r="BE12" s="89">
        <v>1</v>
      </c>
      <c r="BF12" s="89">
        <v>0.8</v>
      </c>
      <c r="BG12" s="90" t="s">
        <v>1721</v>
      </c>
      <c r="BH12" s="91"/>
      <c r="BI12" s="91" t="s">
        <v>1711</v>
      </c>
      <c r="BJ12" s="91" t="s">
        <v>1721</v>
      </c>
      <c r="BK12" s="92">
        <v>360</v>
      </c>
      <c r="BL12" s="91" t="s">
        <v>1721</v>
      </c>
      <c r="BM12" s="92">
        <v>0.3</v>
      </c>
      <c r="BN12" s="92">
        <v>2</v>
      </c>
      <c r="BO12" s="91" t="s">
        <v>1721</v>
      </c>
      <c r="BP12" s="92">
        <v>3</v>
      </c>
      <c r="BQ12" s="92">
        <v>50</v>
      </c>
      <c r="BR12" s="92">
        <v>0.3</v>
      </c>
      <c r="BS12" s="91" t="s">
        <v>1841</v>
      </c>
      <c r="BT12" s="92">
        <v>8</v>
      </c>
      <c r="BU12" s="92">
        <v>0.8</v>
      </c>
      <c r="BV12" s="92">
        <v>2</v>
      </c>
      <c r="BW12" s="92">
        <v>0.8</v>
      </c>
      <c r="BX12" s="92">
        <v>12</v>
      </c>
      <c r="BY12" s="92">
        <v>0.8</v>
      </c>
      <c r="BZ12" s="92">
        <v>1.5</v>
      </c>
      <c r="CA12" s="92">
        <v>720</v>
      </c>
      <c r="CB12" s="92">
        <v>0.6</v>
      </c>
      <c r="CC12" s="92">
        <v>540</v>
      </c>
      <c r="CD12" s="92">
        <v>1.8</v>
      </c>
      <c r="CE12" s="92">
        <v>4</v>
      </c>
      <c r="CF12" s="92">
        <v>4</v>
      </c>
      <c r="CG12" s="91" t="s">
        <v>1711</v>
      </c>
      <c r="CH12" s="91" t="s">
        <v>1721</v>
      </c>
      <c r="CI12" s="91" t="s">
        <v>1721</v>
      </c>
      <c r="CJ12" s="92">
        <v>0.5</v>
      </c>
      <c r="CK12" s="92">
        <v>1.5</v>
      </c>
      <c r="CL12" s="92">
        <v>2.5</v>
      </c>
      <c r="CM12" s="92">
        <v>2.5</v>
      </c>
      <c r="CN12" s="91" t="s">
        <v>1721</v>
      </c>
      <c r="CO12" s="92">
        <v>1</v>
      </c>
      <c r="CP12" s="91" t="s">
        <v>1669</v>
      </c>
      <c r="CQ12" s="92">
        <v>10</v>
      </c>
      <c r="CR12" s="91" t="s">
        <v>1721</v>
      </c>
      <c r="CS12" s="92">
        <v>4</v>
      </c>
      <c r="CT12" s="92">
        <v>8</v>
      </c>
      <c r="CU12" s="92">
        <v>0.85</v>
      </c>
      <c r="CV12" s="91" t="s">
        <v>1721</v>
      </c>
      <c r="CW12" s="92">
        <v>2</v>
      </c>
      <c r="CX12" s="92">
        <v>50</v>
      </c>
      <c r="CY12" s="92">
        <v>0.5</v>
      </c>
      <c r="CZ12" s="92">
        <v>1</v>
      </c>
      <c r="DA12" s="91" t="s">
        <v>1721</v>
      </c>
      <c r="DB12" s="91" t="s">
        <v>1721</v>
      </c>
      <c r="DC12" s="92">
        <v>2</v>
      </c>
      <c r="DD12" s="92">
        <v>0.4</v>
      </c>
      <c r="DE12" s="91">
        <v>0.3</v>
      </c>
      <c r="DF12" s="93" t="s">
        <v>1951</v>
      </c>
      <c r="DG12" s="91">
        <v>60</v>
      </c>
      <c r="DH12" s="91">
        <v>0</v>
      </c>
      <c r="DI12" s="94" t="s">
        <v>1837</v>
      </c>
      <c r="DJ12" s="94" t="s">
        <v>1657</v>
      </c>
      <c r="DK12" s="94" t="s">
        <v>1657</v>
      </c>
      <c r="DL12" s="94" t="s">
        <v>1842</v>
      </c>
      <c r="DM12" s="94">
        <v>1</v>
      </c>
      <c r="DN12" s="94"/>
      <c r="DO12" s="94"/>
      <c r="DP12" s="94"/>
      <c r="DQ12" s="94"/>
      <c r="DR12" s="94"/>
      <c r="DS12" s="95"/>
      <c r="DT12" s="108" t="s">
        <v>1947</v>
      </c>
      <c r="DU12" s="108" t="s">
        <v>1956</v>
      </c>
      <c r="DV12" s="108">
        <v>0.35</v>
      </c>
      <c r="DW12" s="108">
        <v>0.1</v>
      </c>
      <c r="DX12" s="108"/>
    </row>
    <row r="13" spans="1:128" ht="24.95" customHeight="1">
      <c r="A13" s="83" t="s">
        <v>1819</v>
      </c>
      <c r="B13" s="84" t="s">
        <v>1756</v>
      </c>
      <c r="C13" s="85" t="s">
        <v>1757</v>
      </c>
      <c r="D13" s="86">
        <v>1</v>
      </c>
      <c r="E13" s="86">
        <v>1</v>
      </c>
      <c r="F13" s="86">
        <v>10</v>
      </c>
      <c r="G13" s="87">
        <v>5</v>
      </c>
      <c r="H13" s="87">
        <v>0</v>
      </c>
      <c r="I13" s="87">
        <v>0.2</v>
      </c>
      <c r="J13" s="87">
        <v>6</v>
      </c>
      <c r="K13" s="84" t="s">
        <v>1707</v>
      </c>
      <c r="L13" s="84" t="s">
        <v>1708</v>
      </c>
      <c r="M13" s="84" t="s">
        <v>1709</v>
      </c>
      <c r="N13" s="87">
        <v>2</v>
      </c>
      <c r="O13" s="86">
        <v>0</v>
      </c>
      <c r="P13" s="84" t="s">
        <v>1720</v>
      </c>
      <c r="Q13" s="84" t="s">
        <v>1711</v>
      </c>
      <c r="R13" s="84" t="s">
        <v>1712</v>
      </c>
      <c r="S13" s="87">
        <v>0</v>
      </c>
      <c r="T13" s="86">
        <v>1</v>
      </c>
      <c r="U13" s="84" t="s">
        <v>1713</v>
      </c>
      <c r="V13" s="88">
        <v>8</v>
      </c>
      <c r="W13" s="88">
        <v>3</v>
      </c>
      <c r="X13" s="88" t="s">
        <v>1711</v>
      </c>
      <c r="Y13" s="84"/>
      <c r="Z13" s="84"/>
      <c r="AA13" s="84" t="s">
        <v>1736</v>
      </c>
      <c r="AB13" s="84" t="s">
        <v>1737</v>
      </c>
      <c r="AC13" s="84" t="s">
        <v>1731</v>
      </c>
      <c r="AD13" s="87">
        <v>20</v>
      </c>
      <c r="AE13" s="87">
        <v>10</v>
      </c>
      <c r="AF13" s="87">
        <v>100</v>
      </c>
      <c r="AG13" s="84" t="s">
        <v>1714</v>
      </c>
      <c r="AH13" s="87">
        <v>0</v>
      </c>
      <c r="AI13" s="84" t="s">
        <v>1715</v>
      </c>
      <c r="AJ13" s="87">
        <v>1</v>
      </c>
      <c r="AK13" s="84" t="s">
        <v>1742</v>
      </c>
      <c r="AL13" s="84" t="s">
        <v>1714</v>
      </c>
      <c r="AM13" s="84" t="s">
        <v>1743</v>
      </c>
      <c r="AN13" s="87">
        <v>1</v>
      </c>
      <c r="AO13" s="87">
        <v>10</v>
      </c>
      <c r="AP13" s="87">
        <v>80</v>
      </c>
      <c r="AQ13" s="84" t="s">
        <v>1744</v>
      </c>
      <c r="AR13" s="87">
        <v>2</v>
      </c>
      <c r="AS13" s="84" t="s">
        <v>1715</v>
      </c>
      <c r="AT13" s="87">
        <v>1</v>
      </c>
      <c r="AU13" s="84" t="s">
        <v>1714</v>
      </c>
      <c r="AV13" s="84" t="s">
        <v>1714</v>
      </c>
      <c r="AW13" s="84" t="s">
        <v>1714</v>
      </c>
      <c r="AX13" s="87">
        <v>0</v>
      </c>
      <c r="AY13" s="87">
        <v>0</v>
      </c>
      <c r="AZ13" s="87">
        <v>0</v>
      </c>
      <c r="BA13" s="84" t="s">
        <v>1714</v>
      </c>
      <c r="BB13" s="87">
        <v>0</v>
      </c>
      <c r="BC13" s="84" t="s">
        <v>1715</v>
      </c>
      <c r="BD13" s="87">
        <v>1</v>
      </c>
      <c r="BE13" s="89">
        <v>8</v>
      </c>
      <c r="BF13" s="89">
        <v>3</v>
      </c>
      <c r="BG13" s="90" t="s">
        <v>1711</v>
      </c>
      <c r="BH13" s="91"/>
      <c r="BI13" s="91" t="s">
        <v>1721</v>
      </c>
      <c r="BJ13" s="91" t="s">
        <v>1721</v>
      </c>
      <c r="BK13" s="92">
        <v>360</v>
      </c>
      <c r="BL13" s="91" t="s">
        <v>1721</v>
      </c>
      <c r="BM13" s="92">
        <v>0.3</v>
      </c>
      <c r="BN13" s="92">
        <v>2</v>
      </c>
      <c r="BO13" s="91" t="s">
        <v>1721</v>
      </c>
      <c r="BP13" s="92">
        <v>3</v>
      </c>
      <c r="BQ13" s="92">
        <v>50</v>
      </c>
      <c r="BR13" s="92">
        <v>0.3</v>
      </c>
      <c r="BS13" s="91" t="s">
        <v>1824</v>
      </c>
      <c r="BT13" s="92">
        <v>8</v>
      </c>
      <c r="BU13" s="92">
        <v>0.8</v>
      </c>
      <c r="BV13" s="92">
        <v>2</v>
      </c>
      <c r="BW13" s="92">
        <v>0.8</v>
      </c>
      <c r="BX13" s="92">
        <v>12</v>
      </c>
      <c r="BY13" s="92">
        <v>0.8</v>
      </c>
      <c r="BZ13" s="92">
        <v>1.5</v>
      </c>
      <c r="CA13" s="92">
        <v>720</v>
      </c>
      <c r="CB13" s="92">
        <v>0.6</v>
      </c>
      <c r="CC13" s="92">
        <v>540</v>
      </c>
      <c r="CD13" s="92">
        <v>1.8</v>
      </c>
      <c r="CE13" s="92">
        <v>4</v>
      </c>
      <c r="CF13" s="92">
        <v>4</v>
      </c>
      <c r="CG13" s="91" t="s">
        <v>1711</v>
      </c>
      <c r="CH13" s="91" t="s">
        <v>1721</v>
      </c>
      <c r="CI13" s="91" t="s">
        <v>1721</v>
      </c>
      <c r="CJ13" s="92">
        <v>0.5</v>
      </c>
      <c r="CK13" s="92">
        <v>1.5</v>
      </c>
      <c r="CL13" s="92">
        <v>2.5</v>
      </c>
      <c r="CM13" s="92">
        <v>2.5</v>
      </c>
      <c r="CN13" s="91" t="s">
        <v>1721</v>
      </c>
      <c r="CO13" s="92">
        <v>1</v>
      </c>
      <c r="CP13" s="91" t="s">
        <v>1669</v>
      </c>
      <c r="CQ13" s="92">
        <v>10</v>
      </c>
      <c r="CR13" s="91" t="s">
        <v>1721</v>
      </c>
      <c r="CS13" s="92">
        <v>4</v>
      </c>
      <c r="CT13" s="92">
        <v>8</v>
      </c>
      <c r="CU13" s="92">
        <v>0.85</v>
      </c>
      <c r="CV13" s="91" t="s">
        <v>1721</v>
      </c>
      <c r="CW13" s="92">
        <v>2</v>
      </c>
      <c r="CX13" s="92">
        <v>50</v>
      </c>
      <c r="CY13" s="92">
        <v>0.5</v>
      </c>
      <c r="CZ13" s="92">
        <v>1</v>
      </c>
      <c r="DA13" s="91" t="s">
        <v>1721</v>
      </c>
      <c r="DB13" s="91" t="s">
        <v>1711</v>
      </c>
      <c r="DC13" s="92">
        <v>2</v>
      </c>
      <c r="DD13" s="92">
        <v>0.4</v>
      </c>
      <c r="DE13" s="91">
        <v>0.3</v>
      </c>
      <c r="DF13" s="93" t="s">
        <v>1952</v>
      </c>
      <c r="DG13" s="91">
        <v>60</v>
      </c>
      <c r="DH13" s="91">
        <v>0</v>
      </c>
      <c r="DI13" s="94" t="s">
        <v>1837</v>
      </c>
      <c r="DJ13" s="94" t="s">
        <v>1838</v>
      </c>
      <c r="DK13" s="94" t="s">
        <v>1839</v>
      </c>
      <c r="DL13" s="94" t="s">
        <v>1840</v>
      </c>
      <c r="DM13" s="94">
        <v>1</v>
      </c>
      <c r="DN13" s="94"/>
      <c r="DO13" s="94"/>
      <c r="DP13" s="94"/>
      <c r="DQ13" s="94"/>
      <c r="DR13" s="94"/>
      <c r="DS13" s="95"/>
      <c r="DT13" s="108" t="s">
        <v>1939</v>
      </c>
      <c r="DU13" s="108" t="s">
        <v>1956</v>
      </c>
      <c r="DV13" s="108">
        <v>0.35</v>
      </c>
      <c r="DW13" s="108">
        <v>0.1</v>
      </c>
      <c r="DX13" s="108"/>
    </row>
    <row r="14" spans="1:128" ht="24.95" customHeight="1">
      <c r="A14" s="96" t="s">
        <v>1843</v>
      </c>
      <c r="B14" s="97" t="s">
        <v>1844</v>
      </c>
      <c r="C14" s="97" t="s">
        <v>1845</v>
      </c>
      <c r="D14" s="98">
        <v>1</v>
      </c>
      <c r="E14" s="98">
        <v>1</v>
      </c>
      <c r="F14" s="98">
        <v>0</v>
      </c>
      <c r="G14" s="99">
        <v>0</v>
      </c>
      <c r="H14" s="99">
        <v>0</v>
      </c>
      <c r="I14" s="99">
        <v>0</v>
      </c>
      <c r="J14" s="99">
        <v>0</v>
      </c>
      <c r="K14" s="97" t="s">
        <v>1846</v>
      </c>
      <c r="L14" s="97" t="s">
        <v>1714</v>
      </c>
      <c r="M14" s="97" t="s">
        <v>1714</v>
      </c>
      <c r="N14" s="99">
        <v>0</v>
      </c>
      <c r="O14" s="98">
        <v>0</v>
      </c>
      <c r="P14" s="97" t="s">
        <v>1720</v>
      </c>
      <c r="Q14" s="97" t="s">
        <v>1721</v>
      </c>
      <c r="R14" s="97" t="s">
        <v>1846</v>
      </c>
      <c r="S14" s="99">
        <v>0</v>
      </c>
      <c r="T14" s="98">
        <v>1</v>
      </c>
      <c r="U14" s="97" t="s">
        <v>1722</v>
      </c>
      <c r="V14" s="100">
        <v>0</v>
      </c>
      <c r="W14" s="100">
        <v>0</v>
      </c>
      <c r="X14" s="100" t="s">
        <v>1721</v>
      </c>
      <c r="Y14" s="97"/>
      <c r="Z14" s="97"/>
      <c r="AA14" s="97"/>
      <c r="AB14" s="97"/>
      <c r="AC14" s="97"/>
      <c r="AD14" s="99"/>
      <c r="AE14" s="99"/>
      <c r="AF14" s="99"/>
      <c r="AG14" s="97"/>
      <c r="AH14" s="99"/>
      <c r="AI14" s="97"/>
      <c r="AJ14" s="99"/>
      <c r="AK14" s="97"/>
      <c r="AL14" s="97"/>
      <c r="AM14" s="97"/>
      <c r="AN14" s="99"/>
      <c r="AO14" s="99"/>
      <c r="AP14" s="99"/>
      <c r="AQ14" s="97"/>
      <c r="AR14" s="99"/>
      <c r="AS14" s="97"/>
      <c r="AT14" s="99"/>
      <c r="AU14" s="97"/>
      <c r="AV14" s="97"/>
      <c r="AW14" s="97"/>
      <c r="AX14" s="99"/>
      <c r="AY14" s="99"/>
      <c r="AZ14" s="99"/>
      <c r="BA14" s="97"/>
      <c r="BB14" s="99"/>
      <c r="BC14" s="97"/>
      <c r="BD14" s="99"/>
      <c r="BE14" s="99"/>
      <c r="BF14" s="99"/>
      <c r="BG14" s="97"/>
      <c r="BH14" s="97"/>
      <c r="BI14" s="97"/>
      <c r="BJ14" s="97"/>
      <c r="BK14" s="99"/>
      <c r="BL14" s="97"/>
      <c r="BM14" s="99"/>
      <c r="BN14" s="99"/>
      <c r="BO14" s="97"/>
      <c r="BP14" s="99"/>
      <c r="BQ14" s="99"/>
      <c r="BR14" s="99"/>
      <c r="BS14" s="97"/>
      <c r="BT14" s="99"/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99"/>
      <c r="CF14" s="99"/>
      <c r="CG14" s="97"/>
      <c r="CH14" s="97"/>
      <c r="CI14" s="97"/>
      <c r="CJ14" s="99"/>
      <c r="CK14" s="99"/>
      <c r="CL14" s="99"/>
      <c r="CM14" s="99"/>
      <c r="CN14" s="97"/>
      <c r="CO14" s="99"/>
      <c r="CP14" s="97"/>
      <c r="CQ14" s="99"/>
      <c r="CR14" s="97"/>
      <c r="CS14" s="99"/>
      <c r="CT14" s="99"/>
      <c r="CU14" s="99"/>
      <c r="CV14" s="97"/>
      <c r="CW14" s="99"/>
      <c r="CX14" s="99"/>
      <c r="CY14" s="99"/>
      <c r="CZ14" s="99"/>
      <c r="DA14" s="97"/>
      <c r="DB14" s="97"/>
      <c r="DC14" s="99"/>
      <c r="DD14" s="99"/>
      <c r="DE14" s="97"/>
      <c r="DF14" s="97"/>
      <c r="DG14" s="97"/>
      <c r="DH14" s="97"/>
      <c r="DI14" s="94" t="s">
        <v>1847</v>
      </c>
      <c r="DJ14" s="94" t="s">
        <v>1838</v>
      </c>
      <c r="DK14" s="94" t="s">
        <v>1839</v>
      </c>
      <c r="DL14" s="94" t="s">
        <v>1840</v>
      </c>
      <c r="DM14" s="94">
        <v>1</v>
      </c>
      <c r="DN14" s="94" t="s">
        <v>1848</v>
      </c>
      <c r="DO14" s="94">
        <v>10</v>
      </c>
      <c r="DP14" s="94" t="s">
        <v>1714</v>
      </c>
      <c r="DQ14" s="94">
        <v>0</v>
      </c>
      <c r="DR14" s="94" t="s">
        <v>1714</v>
      </c>
      <c r="DS14" s="95">
        <v>0</v>
      </c>
      <c r="DT14" s="108"/>
      <c r="DU14" s="108"/>
      <c r="DV14" s="108"/>
      <c r="DW14" s="108"/>
      <c r="DX14" s="108"/>
    </row>
    <row r="15" spans="1:128" ht="24.95" customHeight="1">
      <c r="A15" s="96" t="s">
        <v>1849</v>
      </c>
      <c r="B15" s="97" t="s">
        <v>1850</v>
      </c>
      <c r="C15" s="97" t="s">
        <v>1845</v>
      </c>
      <c r="D15" s="98">
        <v>1</v>
      </c>
      <c r="E15" s="98">
        <v>1</v>
      </c>
      <c r="F15" s="98">
        <v>0</v>
      </c>
      <c r="G15" s="99">
        <v>0</v>
      </c>
      <c r="H15" s="99">
        <v>0</v>
      </c>
      <c r="I15" s="99">
        <v>0</v>
      </c>
      <c r="J15" s="99">
        <v>0</v>
      </c>
      <c r="K15" s="97" t="s">
        <v>1846</v>
      </c>
      <c r="L15" s="97" t="s">
        <v>1714</v>
      </c>
      <c r="M15" s="97" t="s">
        <v>1714</v>
      </c>
      <c r="N15" s="99">
        <v>0</v>
      </c>
      <c r="O15" s="98">
        <v>0</v>
      </c>
      <c r="P15" s="97" t="s">
        <v>1720</v>
      </c>
      <c r="Q15" s="97" t="s">
        <v>1721</v>
      </c>
      <c r="R15" s="97" t="s">
        <v>1846</v>
      </c>
      <c r="S15" s="99">
        <v>0</v>
      </c>
      <c r="T15" s="98">
        <v>1</v>
      </c>
      <c r="U15" s="97" t="s">
        <v>1722</v>
      </c>
      <c r="V15" s="100">
        <v>0</v>
      </c>
      <c r="W15" s="100">
        <v>0</v>
      </c>
      <c r="X15" s="100" t="s">
        <v>1721</v>
      </c>
      <c r="Y15" s="97"/>
      <c r="Z15" s="97"/>
      <c r="AA15" s="97"/>
      <c r="AB15" s="97"/>
      <c r="AC15" s="97"/>
      <c r="AD15" s="99"/>
      <c r="AE15" s="99"/>
      <c r="AF15" s="99"/>
      <c r="AG15" s="97"/>
      <c r="AH15" s="99"/>
      <c r="AI15" s="97"/>
      <c r="AJ15" s="99"/>
      <c r="AK15" s="97"/>
      <c r="AL15" s="97"/>
      <c r="AM15" s="97"/>
      <c r="AN15" s="99"/>
      <c r="AO15" s="99"/>
      <c r="AP15" s="99"/>
      <c r="AQ15" s="97"/>
      <c r="AR15" s="99"/>
      <c r="AS15" s="97"/>
      <c r="AT15" s="99"/>
      <c r="AU15" s="97"/>
      <c r="AV15" s="97"/>
      <c r="AW15" s="97"/>
      <c r="AX15" s="99"/>
      <c r="AY15" s="99"/>
      <c r="AZ15" s="99"/>
      <c r="BA15" s="97"/>
      <c r="BB15" s="99"/>
      <c r="BC15" s="97"/>
      <c r="BD15" s="99"/>
      <c r="BE15" s="99"/>
      <c r="BF15" s="99"/>
      <c r="BG15" s="97"/>
      <c r="BH15" s="97"/>
      <c r="BI15" s="97"/>
      <c r="BJ15" s="97"/>
      <c r="BK15" s="99"/>
      <c r="BL15" s="97"/>
      <c r="BM15" s="99"/>
      <c r="BN15" s="99"/>
      <c r="BO15" s="97"/>
      <c r="BP15" s="99"/>
      <c r="BQ15" s="99"/>
      <c r="BR15" s="99"/>
      <c r="BS15" s="97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7"/>
      <c r="CH15" s="97"/>
      <c r="CI15" s="97"/>
      <c r="CJ15" s="99"/>
      <c r="CK15" s="99"/>
      <c r="CL15" s="99"/>
      <c r="CM15" s="99"/>
      <c r="CN15" s="97"/>
      <c r="CO15" s="99"/>
      <c r="CP15" s="97"/>
      <c r="CQ15" s="99"/>
      <c r="CR15" s="97"/>
      <c r="CS15" s="99"/>
      <c r="CT15" s="99"/>
      <c r="CU15" s="99"/>
      <c r="CV15" s="97"/>
      <c r="CW15" s="99"/>
      <c r="CX15" s="99"/>
      <c r="CY15" s="99"/>
      <c r="CZ15" s="99"/>
      <c r="DA15" s="97"/>
      <c r="DB15" s="97"/>
      <c r="DC15" s="99"/>
      <c r="DD15" s="99"/>
      <c r="DE15" s="97"/>
      <c r="DF15" s="97"/>
      <c r="DG15" s="97"/>
      <c r="DH15" s="97"/>
      <c r="DI15" s="94" t="s">
        <v>1847</v>
      </c>
      <c r="DJ15" s="94" t="s">
        <v>1838</v>
      </c>
      <c r="DK15" s="94" t="s">
        <v>1839</v>
      </c>
      <c r="DL15" s="94" t="s">
        <v>1840</v>
      </c>
      <c r="DM15" s="94">
        <v>1</v>
      </c>
      <c r="DN15" s="94" t="s">
        <v>1851</v>
      </c>
      <c r="DO15" s="94">
        <v>10</v>
      </c>
      <c r="DP15" s="94" t="s">
        <v>1714</v>
      </c>
      <c r="DQ15" s="94">
        <v>0</v>
      </c>
      <c r="DR15" s="94" t="s">
        <v>1714</v>
      </c>
      <c r="DS15" s="95">
        <v>0</v>
      </c>
      <c r="DT15" s="108"/>
      <c r="DU15" s="108"/>
      <c r="DV15" s="108"/>
      <c r="DW15" s="108"/>
      <c r="DX15" s="108"/>
    </row>
    <row r="16" spans="1:128" ht="24.95" customHeight="1">
      <c r="A16" s="96" t="s">
        <v>1852</v>
      </c>
      <c r="B16" s="97" t="s">
        <v>1853</v>
      </c>
      <c r="C16" s="97" t="s">
        <v>1845</v>
      </c>
      <c r="D16" s="98">
        <v>1</v>
      </c>
      <c r="E16" s="98">
        <v>1</v>
      </c>
      <c r="F16" s="98">
        <v>0</v>
      </c>
      <c r="G16" s="99">
        <v>0</v>
      </c>
      <c r="H16" s="99">
        <v>0</v>
      </c>
      <c r="I16" s="99">
        <v>0</v>
      </c>
      <c r="J16" s="99">
        <v>0</v>
      </c>
      <c r="K16" s="97" t="s">
        <v>1846</v>
      </c>
      <c r="L16" s="97" t="s">
        <v>1714</v>
      </c>
      <c r="M16" s="97" t="s">
        <v>1714</v>
      </c>
      <c r="N16" s="99">
        <v>0</v>
      </c>
      <c r="O16" s="98">
        <v>0</v>
      </c>
      <c r="P16" s="97" t="s">
        <v>1720</v>
      </c>
      <c r="Q16" s="97" t="s">
        <v>1721</v>
      </c>
      <c r="R16" s="97" t="s">
        <v>1846</v>
      </c>
      <c r="S16" s="99">
        <v>0</v>
      </c>
      <c r="T16" s="98">
        <v>1</v>
      </c>
      <c r="U16" s="97" t="s">
        <v>1722</v>
      </c>
      <c r="V16" s="100">
        <v>0</v>
      </c>
      <c r="W16" s="100">
        <v>0</v>
      </c>
      <c r="X16" s="100" t="s">
        <v>1721</v>
      </c>
      <c r="Y16" s="97"/>
      <c r="Z16" s="97"/>
      <c r="AA16" s="97"/>
      <c r="AB16" s="97"/>
      <c r="AC16" s="97"/>
      <c r="AD16" s="99"/>
      <c r="AE16" s="99"/>
      <c r="AF16" s="99"/>
      <c r="AG16" s="97"/>
      <c r="AH16" s="99"/>
      <c r="AI16" s="97"/>
      <c r="AJ16" s="99"/>
      <c r="AK16" s="97"/>
      <c r="AL16" s="97"/>
      <c r="AM16" s="97"/>
      <c r="AN16" s="99"/>
      <c r="AO16" s="99"/>
      <c r="AP16" s="99"/>
      <c r="AQ16" s="97"/>
      <c r="AR16" s="99"/>
      <c r="AS16" s="97"/>
      <c r="AT16" s="99"/>
      <c r="AU16" s="97"/>
      <c r="AV16" s="97"/>
      <c r="AW16" s="97"/>
      <c r="AX16" s="99"/>
      <c r="AY16" s="99"/>
      <c r="AZ16" s="99"/>
      <c r="BA16" s="97"/>
      <c r="BB16" s="99"/>
      <c r="BC16" s="97"/>
      <c r="BD16" s="99"/>
      <c r="BE16" s="99"/>
      <c r="BF16" s="99"/>
      <c r="BG16" s="97"/>
      <c r="BH16" s="97"/>
      <c r="BI16" s="97"/>
      <c r="BJ16" s="97"/>
      <c r="BK16" s="99"/>
      <c r="BL16" s="97"/>
      <c r="BM16" s="99"/>
      <c r="BN16" s="99"/>
      <c r="BO16" s="97"/>
      <c r="BP16" s="99"/>
      <c r="BQ16" s="99"/>
      <c r="BR16" s="99"/>
      <c r="BS16" s="97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7"/>
      <c r="CH16" s="97"/>
      <c r="CI16" s="97"/>
      <c r="CJ16" s="99"/>
      <c r="CK16" s="99"/>
      <c r="CL16" s="99"/>
      <c r="CM16" s="99"/>
      <c r="CN16" s="97"/>
      <c r="CO16" s="99"/>
      <c r="CP16" s="97"/>
      <c r="CQ16" s="99"/>
      <c r="CR16" s="97"/>
      <c r="CS16" s="99"/>
      <c r="CT16" s="99"/>
      <c r="CU16" s="99"/>
      <c r="CV16" s="97"/>
      <c r="CW16" s="99"/>
      <c r="CX16" s="99"/>
      <c r="CY16" s="99"/>
      <c r="CZ16" s="99"/>
      <c r="DA16" s="97"/>
      <c r="DB16" s="97"/>
      <c r="DC16" s="99"/>
      <c r="DD16" s="99"/>
      <c r="DE16" s="97"/>
      <c r="DF16" s="97"/>
      <c r="DG16" s="97"/>
      <c r="DH16" s="97"/>
      <c r="DI16" s="94" t="s">
        <v>1847</v>
      </c>
      <c r="DJ16" s="94" t="s">
        <v>1838</v>
      </c>
      <c r="DK16" s="94" t="s">
        <v>1839</v>
      </c>
      <c r="DL16" s="94" t="s">
        <v>1840</v>
      </c>
      <c r="DM16" s="94">
        <v>1</v>
      </c>
      <c r="DN16" s="94" t="s">
        <v>1726</v>
      </c>
      <c r="DO16" s="94">
        <v>10</v>
      </c>
      <c r="DP16" s="94" t="s">
        <v>1714</v>
      </c>
      <c r="DQ16" s="94">
        <v>0</v>
      </c>
      <c r="DR16" s="94" t="s">
        <v>1714</v>
      </c>
      <c r="DS16" s="95">
        <v>0</v>
      </c>
      <c r="DT16" s="108"/>
      <c r="DU16" s="108"/>
      <c r="DV16" s="108"/>
      <c r="DW16" s="108"/>
      <c r="DX16" s="108"/>
    </row>
    <row r="17" spans="1:128" ht="24.95" customHeight="1">
      <c r="A17" s="96" t="s">
        <v>1854</v>
      </c>
      <c r="B17" s="97" t="s">
        <v>1855</v>
      </c>
      <c r="C17" s="97" t="s">
        <v>1845</v>
      </c>
      <c r="D17" s="98">
        <v>1</v>
      </c>
      <c r="E17" s="98">
        <v>1</v>
      </c>
      <c r="F17" s="98">
        <v>0</v>
      </c>
      <c r="G17" s="99">
        <v>0</v>
      </c>
      <c r="H17" s="99">
        <v>0</v>
      </c>
      <c r="I17" s="99">
        <v>0</v>
      </c>
      <c r="J17" s="99">
        <v>0</v>
      </c>
      <c r="K17" s="97" t="s">
        <v>1846</v>
      </c>
      <c r="L17" s="97" t="s">
        <v>1714</v>
      </c>
      <c r="M17" s="97" t="s">
        <v>1714</v>
      </c>
      <c r="N17" s="99">
        <v>0</v>
      </c>
      <c r="O17" s="98">
        <v>0</v>
      </c>
      <c r="P17" s="97" t="s">
        <v>1720</v>
      </c>
      <c r="Q17" s="97" t="s">
        <v>1721</v>
      </c>
      <c r="R17" s="97" t="s">
        <v>1846</v>
      </c>
      <c r="S17" s="99">
        <v>0</v>
      </c>
      <c r="T17" s="98">
        <v>1</v>
      </c>
      <c r="U17" s="97" t="s">
        <v>1722</v>
      </c>
      <c r="V17" s="100">
        <v>0</v>
      </c>
      <c r="W17" s="100">
        <v>0</v>
      </c>
      <c r="X17" s="100" t="s">
        <v>1721</v>
      </c>
      <c r="Y17" s="97"/>
      <c r="Z17" s="97"/>
      <c r="AA17" s="97"/>
      <c r="AB17" s="97"/>
      <c r="AC17" s="97"/>
      <c r="AD17" s="99"/>
      <c r="AE17" s="99"/>
      <c r="AF17" s="99"/>
      <c r="AG17" s="97"/>
      <c r="AH17" s="99"/>
      <c r="AI17" s="97"/>
      <c r="AJ17" s="99"/>
      <c r="AK17" s="97"/>
      <c r="AL17" s="97"/>
      <c r="AM17" s="97"/>
      <c r="AN17" s="99"/>
      <c r="AO17" s="99"/>
      <c r="AP17" s="99"/>
      <c r="AQ17" s="97"/>
      <c r="AR17" s="99"/>
      <c r="AS17" s="97"/>
      <c r="AT17" s="99"/>
      <c r="AU17" s="97"/>
      <c r="AV17" s="97"/>
      <c r="AW17" s="97"/>
      <c r="AX17" s="99"/>
      <c r="AY17" s="99"/>
      <c r="AZ17" s="99"/>
      <c r="BA17" s="97"/>
      <c r="BB17" s="99"/>
      <c r="BC17" s="97"/>
      <c r="BD17" s="99"/>
      <c r="BE17" s="99"/>
      <c r="BF17" s="99"/>
      <c r="BG17" s="97"/>
      <c r="BH17" s="97"/>
      <c r="BI17" s="97"/>
      <c r="BJ17" s="97"/>
      <c r="BK17" s="99"/>
      <c r="BL17" s="97"/>
      <c r="BM17" s="99"/>
      <c r="BN17" s="99"/>
      <c r="BO17" s="97"/>
      <c r="BP17" s="99"/>
      <c r="BQ17" s="99"/>
      <c r="BR17" s="99"/>
      <c r="BS17" s="97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7"/>
      <c r="CH17" s="97"/>
      <c r="CI17" s="97"/>
      <c r="CJ17" s="99"/>
      <c r="CK17" s="99"/>
      <c r="CL17" s="99"/>
      <c r="CM17" s="99"/>
      <c r="CN17" s="97"/>
      <c r="CO17" s="99"/>
      <c r="CP17" s="97"/>
      <c r="CQ17" s="99"/>
      <c r="CR17" s="97"/>
      <c r="CS17" s="99"/>
      <c r="CT17" s="99"/>
      <c r="CU17" s="99"/>
      <c r="CV17" s="97"/>
      <c r="CW17" s="99"/>
      <c r="CX17" s="99"/>
      <c r="CY17" s="99"/>
      <c r="CZ17" s="99"/>
      <c r="DA17" s="97"/>
      <c r="DB17" s="97"/>
      <c r="DC17" s="99"/>
      <c r="DD17" s="99"/>
      <c r="DE17" s="97"/>
      <c r="DF17" s="97"/>
      <c r="DG17" s="97"/>
      <c r="DH17" s="97"/>
      <c r="DI17" s="94" t="s">
        <v>1847</v>
      </c>
      <c r="DJ17" s="94" t="s">
        <v>1838</v>
      </c>
      <c r="DK17" s="94" t="s">
        <v>1839</v>
      </c>
      <c r="DL17" s="94" t="s">
        <v>1840</v>
      </c>
      <c r="DM17" s="94">
        <v>1</v>
      </c>
      <c r="DN17" s="94" t="s">
        <v>1709</v>
      </c>
      <c r="DO17" s="94">
        <v>10</v>
      </c>
      <c r="DP17" s="94" t="s">
        <v>1714</v>
      </c>
      <c r="DQ17" s="94">
        <v>0</v>
      </c>
      <c r="DR17" s="94" t="s">
        <v>1714</v>
      </c>
      <c r="DS17" s="95">
        <v>0</v>
      </c>
      <c r="DT17" s="108"/>
      <c r="DU17" s="108"/>
      <c r="DV17" s="108"/>
      <c r="DW17" s="108"/>
      <c r="DX17" s="108"/>
    </row>
    <row r="18" spans="1:128" ht="24.95" customHeight="1">
      <c r="A18" s="96" t="s">
        <v>1856</v>
      </c>
      <c r="B18" s="97" t="s">
        <v>1857</v>
      </c>
      <c r="C18" s="97" t="s">
        <v>1845</v>
      </c>
      <c r="D18" s="98">
        <v>1</v>
      </c>
      <c r="E18" s="98">
        <v>1</v>
      </c>
      <c r="F18" s="98">
        <v>0</v>
      </c>
      <c r="G18" s="99">
        <v>0</v>
      </c>
      <c r="H18" s="99">
        <v>0</v>
      </c>
      <c r="I18" s="99">
        <v>0</v>
      </c>
      <c r="J18" s="99">
        <v>0</v>
      </c>
      <c r="K18" s="97" t="s">
        <v>1846</v>
      </c>
      <c r="L18" s="97" t="s">
        <v>1714</v>
      </c>
      <c r="M18" s="97" t="s">
        <v>1714</v>
      </c>
      <c r="N18" s="99">
        <v>0</v>
      </c>
      <c r="O18" s="98">
        <v>0</v>
      </c>
      <c r="P18" s="97" t="s">
        <v>1720</v>
      </c>
      <c r="Q18" s="97" t="s">
        <v>1721</v>
      </c>
      <c r="R18" s="97" t="s">
        <v>1846</v>
      </c>
      <c r="S18" s="99">
        <v>0</v>
      </c>
      <c r="T18" s="98">
        <v>1</v>
      </c>
      <c r="U18" s="97" t="s">
        <v>1722</v>
      </c>
      <c r="V18" s="100">
        <v>0</v>
      </c>
      <c r="W18" s="100">
        <v>0</v>
      </c>
      <c r="X18" s="100" t="s">
        <v>1721</v>
      </c>
      <c r="Y18" s="97"/>
      <c r="Z18" s="97"/>
      <c r="AA18" s="97"/>
      <c r="AB18" s="97"/>
      <c r="AC18" s="97"/>
      <c r="AD18" s="99"/>
      <c r="AE18" s="99"/>
      <c r="AF18" s="99"/>
      <c r="AG18" s="97"/>
      <c r="AH18" s="99"/>
      <c r="AI18" s="97"/>
      <c r="AJ18" s="99"/>
      <c r="AK18" s="97"/>
      <c r="AL18" s="97"/>
      <c r="AM18" s="97"/>
      <c r="AN18" s="99"/>
      <c r="AO18" s="99"/>
      <c r="AP18" s="99"/>
      <c r="AQ18" s="97"/>
      <c r="AR18" s="99"/>
      <c r="AS18" s="97"/>
      <c r="AT18" s="99"/>
      <c r="AU18" s="97"/>
      <c r="AV18" s="97"/>
      <c r="AW18" s="97"/>
      <c r="AX18" s="99"/>
      <c r="AY18" s="99"/>
      <c r="AZ18" s="99"/>
      <c r="BA18" s="97"/>
      <c r="BB18" s="99"/>
      <c r="BC18" s="97"/>
      <c r="BD18" s="99"/>
      <c r="BE18" s="99"/>
      <c r="BF18" s="99"/>
      <c r="BG18" s="97"/>
      <c r="BH18" s="97"/>
      <c r="BI18" s="97"/>
      <c r="BJ18" s="97"/>
      <c r="BK18" s="99"/>
      <c r="BL18" s="97"/>
      <c r="BM18" s="99"/>
      <c r="BN18" s="99"/>
      <c r="BO18" s="97"/>
      <c r="BP18" s="99"/>
      <c r="BQ18" s="99"/>
      <c r="BR18" s="99"/>
      <c r="BS18" s="97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7"/>
      <c r="CH18" s="97"/>
      <c r="CI18" s="97"/>
      <c r="CJ18" s="99"/>
      <c r="CK18" s="99"/>
      <c r="CL18" s="99"/>
      <c r="CM18" s="99"/>
      <c r="CN18" s="97"/>
      <c r="CO18" s="99"/>
      <c r="CP18" s="97"/>
      <c r="CQ18" s="99"/>
      <c r="CR18" s="97"/>
      <c r="CS18" s="99"/>
      <c r="CT18" s="99"/>
      <c r="CU18" s="99"/>
      <c r="CV18" s="97"/>
      <c r="CW18" s="99"/>
      <c r="CX18" s="99"/>
      <c r="CY18" s="99"/>
      <c r="CZ18" s="99"/>
      <c r="DA18" s="97"/>
      <c r="DB18" s="97"/>
      <c r="DC18" s="99"/>
      <c r="DD18" s="99"/>
      <c r="DE18" s="97"/>
      <c r="DF18" s="97"/>
      <c r="DG18" s="97"/>
      <c r="DH18" s="97"/>
      <c r="DI18" s="94" t="s">
        <v>1847</v>
      </c>
      <c r="DJ18" s="94" t="s">
        <v>1838</v>
      </c>
      <c r="DK18" s="94" t="s">
        <v>1839</v>
      </c>
      <c r="DL18" s="94" t="s">
        <v>1840</v>
      </c>
      <c r="DM18" s="94">
        <v>1</v>
      </c>
      <c r="DN18" s="94" t="s">
        <v>1737</v>
      </c>
      <c r="DO18" s="94">
        <v>10</v>
      </c>
      <c r="DP18" s="94" t="s">
        <v>1714</v>
      </c>
      <c r="DQ18" s="94">
        <v>0</v>
      </c>
      <c r="DR18" s="94" t="s">
        <v>1714</v>
      </c>
      <c r="DS18" s="95">
        <v>0</v>
      </c>
      <c r="DT18" s="108"/>
      <c r="DU18" s="108"/>
      <c r="DV18" s="108"/>
      <c r="DW18" s="108"/>
      <c r="DX18" s="108"/>
    </row>
    <row r="19" spans="1:128" ht="24.95" customHeight="1">
      <c r="A19" s="96" t="s">
        <v>1858</v>
      </c>
      <c r="B19" s="97" t="s">
        <v>1859</v>
      </c>
      <c r="C19" s="97" t="s">
        <v>1845</v>
      </c>
      <c r="D19" s="98">
        <v>1</v>
      </c>
      <c r="E19" s="98">
        <v>1</v>
      </c>
      <c r="F19" s="98">
        <v>0</v>
      </c>
      <c r="G19" s="99">
        <v>0</v>
      </c>
      <c r="H19" s="99">
        <v>0</v>
      </c>
      <c r="I19" s="99">
        <v>0</v>
      </c>
      <c r="J19" s="99">
        <v>0</v>
      </c>
      <c r="K19" s="97" t="s">
        <v>1846</v>
      </c>
      <c r="L19" s="97" t="s">
        <v>1714</v>
      </c>
      <c r="M19" s="97" t="s">
        <v>1714</v>
      </c>
      <c r="N19" s="99">
        <v>0</v>
      </c>
      <c r="O19" s="98">
        <v>0</v>
      </c>
      <c r="P19" s="97" t="s">
        <v>1720</v>
      </c>
      <c r="Q19" s="97" t="s">
        <v>1721</v>
      </c>
      <c r="R19" s="97" t="s">
        <v>1846</v>
      </c>
      <c r="S19" s="99">
        <v>0</v>
      </c>
      <c r="T19" s="98">
        <v>1</v>
      </c>
      <c r="U19" s="97" t="s">
        <v>1722</v>
      </c>
      <c r="V19" s="100">
        <v>0</v>
      </c>
      <c r="W19" s="100">
        <v>0</v>
      </c>
      <c r="X19" s="100" t="s">
        <v>1721</v>
      </c>
      <c r="Y19" s="97"/>
      <c r="Z19" s="97"/>
      <c r="AA19" s="97"/>
      <c r="AB19" s="97"/>
      <c r="AC19" s="97"/>
      <c r="AD19" s="99"/>
      <c r="AE19" s="99"/>
      <c r="AF19" s="99"/>
      <c r="AG19" s="97"/>
      <c r="AH19" s="99"/>
      <c r="AI19" s="97"/>
      <c r="AJ19" s="99"/>
      <c r="AK19" s="97"/>
      <c r="AL19" s="97"/>
      <c r="AM19" s="97"/>
      <c r="AN19" s="99"/>
      <c r="AO19" s="99"/>
      <c r="AP19" s="99"/>
      <c r="AQ19" s="97"/>
      <c r="AR19" s="99"/>
      <c r="AS19" s="97"/>
      <c r="AT19" s="99"/>
      <c r="AU19" s="97"/>
      <c r="AV19" s="97"/>
      <c r="AW19" s="97"/>
      <c r="AX19" s="99"/>
      <c r="AY19" s="99"/>
      <c r="AZ19" s="99"/>
      <c r="BA19" s="97"/>
      <c r="BB19" s="99"/>
      <c r="BC19" s="97"/>
      <c r="BD19" s="99"/>
      <c r="BE19" s="99"/>
      <c r="BF19" s="99"/>
      <c r="BG19" s="97"/>
      <c r="BH19" s="97"/>
      <c r="BI19" s="97"/>
      <c r="BJ19" s="97"/>
      <c r="BK19" s="99"/>
      <c r="BL19" s="97"/>
      <c r="BM19" s="99"/>
      <c r="BN19" s="99"/>
      <c r="BO19" s="97"/>
      <c r="BP19" s="99"/>
      <c r="BQ19" s="99"/>
      <c r="BR19" s="99"/>
      <c r="BS19" s="97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7"/>
      <c r="CH19" s="97"/>
      <c r="CI19" s="97"/>
      <c r="CJ19" s="99"/>
      <c r="CK19" s="99"/>
      <c r="CL19" s="99"/>
      <c r="CM19" s="99"/>
      <c r="CN19" s="97"/>
      <c r="CO19" s="99"/>
      <c r="CP19" s="97"/>
      <c r="CQ19" s="99"/>
      <c r="CR19" s="97"/>
      <c r="CS19" s="99"/>
      <c r="CT19" s="99"/>
      <c r="CU19" s="99"/>
      <c r="CV19" s="97"/>
      <c r="CW19" s="99"/>
      <c r="CX19" s="99"/>
      <c r="CY19" s="99"/>
      <c r="CZ19" s="99"/>
      <c r="DA19" s="97"/>
      <c r="DB19" s="97"/>
      <c r="DC19" s="99"/>
      <c r="DD19" s="99"/>
      <c r="DE19" s="97"/>
      <c r="DF19" s="97"/>
      <c r="DG19" s="97"/>
      <c r="DH19" s="97"/>
      <c r="DI19" s="94" t="s">
        <v>1847</v>
      </c>
      <c r="DJ19" s="94" t="s">
        <v>1838</v>
      </c>
      <c r="DK19" s="94" t="s">
        <v>1839</v>
      </c>
      <c r="DL19" s="94" t="s">
        <v>1840</v>
      </c>
      <c r="DM19" s="94">
        <v>1</v>
      </c>
      <c r="DN19" s="94" t="s">
        <v>1860</v>
      </c>
      <c r="DO19" s="94">
        <v>10</v>
      </c>
      <c r="DP19" s="94" t="s">
        <v>1714</v>
      </c>
      <c r="DQ19" s="94">
        <v>0</v>
      </c>
      <c r="DR19" s="94" t="s">
        <v>1714</v>
      </c>
      <c r="DS19" s="95">
        <v>0</v>
      </c>
      <c r="DT19" s="108"/>
      <c r="DU19" s="108"/>
      <c r="DV19" s="108"/>
      <c r="DW19" s="108"/>
      <c r="DX19" s="108"/>
    </row>
    <row r="20" spans="1:128" ht="24.95" customHeight="1">
      <c r="A20" s="96" t="s">
        <v>1861</v>
      </c>
      <c r="B20" s="97" t="s">
        <v>1862</v>
      </c>
      <c r="C20" s="97" t="s">
        <v>1845</v>
      </c>
      <c r="D20" s="98">
        <v>1</v>
      </c>
      <c r="E20" s="98">
        <v>1</v>
      </c>
      <c r="F20" s="98">
        <v>0</v>
      </c>
      <c r="G20" s="99">
        <v>0</v>
      </c>
      <c r="H20" s="99">
        <v>0</v>
      </c>
      <c r="I20" s="99">
        <v>0</v>
      </c>
      <c r="J20" s="99">
        <v>0</v>
      </c>
      <c r="K20" s="97" t="s">
        <v>1846</v>
      </c>
      <c r="L20" s="97" t="s">
        <v>1714</v>
      </c>
      <c r="M20" s="97" t="s">
        <v>1714</v>
      </c>
      <c r="N20" s="99">
        <v>0</v>
      </c>
      <c r="O20" s="98">
        <v>0</v>
      </c>
      <c r="P20" s="97" t="s">
        <v>1720</v>
      </c>
      <c r="Q20" s="97" t="s">
        <v>1721</v>
      </c>
      <c r="R20" s="97" t="s">
        <v>1846</v>
      </c>
      <c r="S20" s="99">
        <v>0</v>
      </c>
      <c r="T20" s="98">
        <v>1</v>
      </c>
      <c r="U20" s="97" t="s">
        <v>1722</v>
      </c>
      <c r="V20" s="100">
        <v>0</v>
      </c>
      <c r="W20" s="100">
        <v>0</v>
      </c>
      <c r="X20" s="100" t="s">
        <v>1721</v>
      </c>
      <c r="Y20" s="97"/>
      <c r="Z20" s="97"/>
      <c r="AA20" s="97"/>
      <c r="AB20" s="97"/>
      <c r="AC20" s="97"/>
      <c r="AD20" s="99"/>
      <c r="AE20" s="99"/>
      <c r="AF20" s="99"/>
      <c r="AG20" s="97"/>
      <c r="AH20" s="99"/>
      <c r="AI20" s="97"/>
      <c r="AJ20" s="99"/>
      <c r="AK20" s="97"/>
      <c r="AL20" s="97"/>
      <c r="AM20" s="97"/>
      <c r="AN20" s="99"/>
      <c r="AO20" s="99"/>
      <c r="AP20" s="99"/>
      <c r="AQ20" s="97"/>
      <c r="AR20" s="99"/>
      <c r="AS20" s="97"/>
      <c r="AT20" s="99"/>
      <c r="AU20" s="97"/>
      <c r="AV20" s="97"/>
      <c r="AW20" s="97"/>
      <c r="AX20" s="99"/>
      <c r="AY20" s="99"/>
      <c r="AZ20" s="99"/>
      <c r="BA20" s="97"/>
      <c r="BB20" s="99"/>
      <c r="BC20" s="97"/>
      <c r="BD20" s="99"/>
      <c r="BE20" s="99"/>
      <c r="BF20" s="99"/>
      <c r="BG20" s="97"/>
      <c r="BH20" s="97"/>
      <c r="BI20" s="97"/>
      <c r="BJ20" s="97"/>
      <c r="BK20" s="99"/>
      <c r="BL20" s="97"/>
      <c r="BM20" s="99"/>
      <c r="BN20" s="99"/>
      <c r="BO20" s="97"/>
      <c r="BP20" s="99"/>
      <c r="BQ20" s="99"/>
      <c r="BR20" s="99"/>
      <c r="BS20" s="97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7"/>
      <c r="CH20" s="97"/>
      <c r="CI20" s="97"/>
      <c r="CJ20" s="99"/>
      <c r="CK20" s="99"/>
      <c r="CL20" s="99"/>
      <c r="CM20" s="99"/>
      <c r="CN20" s="97"/>
      <c r="CO20" s="99"/>
      <c r="CP20" s="97"/>
      <c r="CQ20" s="99"/>
      <c r="CR20" s="97"/>
      <c r="CS20" s="99"/>
      <c r="CT20" s="99"/>
      <c r="CU20" s="99"/>
      <c r="CV20" s="97"/>
      <c r="CW20" s="99"/>
      <c r="CX20" s="99"/>
      <c r="CY20" s="99"/>
      <c r="CZ20" s="99"/>
      <c r="DA20" s="97"/>
      <c r="DB20" s="97"/>
      <c r="DC20" s="99"/>
      <c r="DD20" s="99"/>
      <c r="DE20" s="97"/>
      <c r="DF20" s="97"/>
      <c r="DG20" s="97"/>
      <c r="DH20" s="97"/>
      <c r="DI20" s="94" t="s">
        <v>1847</v>
      </c>
      <c r="DJ20" s="94" t="s">
        <v>1838</v>
      </c>
      <c r="DK20" s="94" t="s">
        <v>1839</v>
      </c>
      <c r="DL20" s="94" t="s">
        <v>1840</v>
      </c>
      <c r="DM20" s="94">
        <v>1</v>
      </c>
      <c r="DN20" s="94" t="s">
        <v>24</v>
      </c>
      <c r="DO20" s="94">
        <v>10</v>
      </c>
      <c r="DP20" s="94" t="s">
        <v>1714</v>
      </c>
      <c r="DQ20" s="94">
        <v>0</v>
      </c>
      <c r="DR20" s="94" t="s">
        <v>1714</v>
      </c>
      <c r="DS20" s="95">
        <v>0</v>
      </c>
      <c r="DT20" s="108"/>
      <c r="DU20" s="108"/>
      <c r="DV20" s="108"/>
      <c r="DW20" s="108"/>
      <c r="DX20" s="108"/>
    </row>
    <row r="21" spans="1:128" ht="24.95" customHeight="1">
      <c r="A21" s="96" t="s">
        <v>1863</v>
      </c>
      <c r="B21" s="97" t="s">
        <v>1864</v>
      </c>
      <c r="C21" s="97" t="s">
        <v>1845</v>
      </c>
      <c r="D21" s="98">
        <v>1</v>
      </c>
      <c r="E21" s="98">
        <v>1</v>
      </c>
      <c r="F21" s="98">
        <v>0</v>
      </c>
      <c r="G21" s="99">
        <v>0</v>
      </c>
      <c r="H21" s="99">
        <v>0</v>
      </c>
      <c r="I21" s="99">
        <v>0</v>
      </c>
      <c r="J21" s="99">
        <v>0</v>
      </c>
      <c r="K21" s="97" t="s">
        <v>1846</v>
      </c>
      <c r="L21" s="97" t="s">
        <v>1714</v>
      </c>
      <c r="M21" s="97" t="s">
        <v>1714</v>
      </c>
      <c r="N21" s="99">
        <v>0</v>
      </c>
      <c r="O21" s="98">
        <v>0</v>
      </c>
      <c r="P21" s="97" t="s">
        <v>1720</v>
      </c>
      <c r="Q21" s="97" t="s">
        <v>1721</v>
      </c>
      <c r="R21" s="97" t="s">
        <v>1846</v>
      </c>
      <c r="S21" s="99">
        <v>0</v>
      </c>
      <c r="T21" s="98">
        <v>1</v>
      </c>
      <c r="U21" s="97" t="s">
        <v>1722</v>
      </c>
      <c r="V21" s="100">
        <v>0</v>
      </c>
      <c r="W21" s="100">
        <v>0</v>
      </c>
      <c r="X21" s="100" t="s">
        <v>1721</v>
      </c>
      <c r="Y21" s="97"/>
      <c r="Z21" s="97"/>
      <c r="AA21" s="97"/>
      <c r="AB21" s="97"/>
      <c r="AC21" s="97"/>
      <c r="AD21" s="99"/>
      <c r="AE21" s="99"/>
      <c r="AF21" s="99"/>
      <c r="AG21" s="97"/>
      <c r="AH21" s="99"/>
      <c r="AI21" s="97"/>
      <c r="AJ21" s="99"/>
      <c r="AK21" s="97"/>
      <c r="AL21" s="97"/>
      <c r="AM21" s="97"/>
      <c r="AN21" s="99"/>
      <c r="AO21" s="99"/>
      <c r="AP21" s="99"/>
      <c r="AQ21" s="97"/>
      <c r="AR21" s="99"/>
      <c r="AS21" s="97"/>
      <c r="AT21" s="99"/>
      <c r="AU21" s="97"/>
      <c r="AV21" s="97"/>
      <c r="AW21" s="97"/>
      <c r="AX21" s="99"/>
      <c r="AY21" s="99"/>
      <c r="AZ21" s="99"/>
      <c r="BA21" s="97"/>
      <c r="BB21" s="99"/>
      <c r="BC21" s="97"/>
      <c r="BD21" s="99"/>
      <c r="BE21" s="99"/>
      <c r="BF21" s="99"/>
      <c r="BG21" s="97"/>
      <c r="BH21" s="97"/>
      <c r="BI21" s="97"/>
      <c r="BJ21" s="97"/>
      <c r="BK21" s="99"/>
      <c r="BL21" s="97"/>
      <c r="BM21" s="99"/>
      <c r="BN21" s="99"/>
      <c r="BO21" s="97"/>
      <c r="BP21" s="99"/>
      <c r="BQ21" s="99"/>
      <c r="BR21" s="99"/>
      <c r="BS21" s="97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7"/>
      <c r="CH21" s="97"/>
      <c r="CI21" s="97"/>
      <c r="CJ21" s="99"/>
      <c r="CK21" s="99"/>
      <c r="CL21" s="99"/>
      <c r="CM21" s="99"/>
      <c r="CN21" s="97"/>
      <c r="CO21" s="99"/>
      <c r="CP21" s="97"/>
      <c r="CQ21" s="99"/>
      <c r="CR21" s="97"/>
      <c r="CS21" s="99"/>
      <c r="CT21" s="99"/>
      <c r="CU21" s="99"/>
      <c r="CV21" s="97"/>
      <c r="CW21" s="99"/>
      <c r="CX21" s="99"/>
      <c r="CY21" s="99"/>
      <c r="CZ21" s="99"/>
      <c r="DA21" s="97"/>
      <c r="DB21" s="97"/>
      <c r="DC21" s="99"/>
      <c r="DD21" s="99"/>
      <c r="DE21" s="97"/>
      <c r="DF21" s="97"/>
      <c r="DG21" s="97"/>
      <c r="DH21" s="97"/>
      <c r="DI21" s="94" t="s">
        <v>1847</v>
      </c>
      <c r="DJ21" s="94" t="s">
        <v>1838</v>
      </c>
      <c r="DK21" s="94" t="s">
        <v>1839</v>
      </c>
      <c r="DL21" s="94" t="s">
        <v>1840</v>
      </c>
      <c r="DM21" s="94">
        <v>1</v>
      </c>
      <c r="DN21" s="94" t="s">
        <v>25</v>
      </c>
      <c r="DO21" s="94">
        <v>10</v>
      </c>
      <c r="DP21" s="94" t="s">
        <v>1714</v>
      </c>
      <c r="DQ21" s="94">
        <v>0</v>
      </c>
      <c r="DR21" s="94" t="s">
        <v>1714</v>
      </c>
      <c r="DS21" s="95">
        <v>0</v>
      </c>
      <c r="DT21" s="108"/>
      <c r="DU21" s="108"/>
      <c r="DV21" s="108"/>
      <c r="DW21" s="108"/>
      <c r="DX21" s="108"/>
    </row>
    <row r="22" spans="1:128" ht="24.95" customHeight="1">
      <c r="A22" s="96" t="s">
        <v>1865</v>
      </c>
      <c r="B22" s="97" t="s">
        <v>1866</v>
      </c>
      <c r="C22" s="97" t="s">
        <v>1845</v>
      </c>
      <c r="D22" s="98">
        <v>1</v>
      </c>
      <c r="E22" s="98">
        <v>1</v>
      </c>
      <c r="F22" s="98">
        <v>0</v>
      </c>
      <c r="G22" s="99">
        <v>0</v>
      </c>
      <c r="H22" s="99">
        <v>0</v>
      </c>
      <c r="I22" s="99">
        <v>0</v>
      </c>
      <c r="J22" s="99">
        <v>0</v>
      </c>
      <c r="K22" s="97" t="s">
        <v>1846</v>
      </c>
      <c r="L22" s="97" t="s">
        <v>1714</v>
      </c>
      <c r="M22" s="97" t="s">
        <v>1714</v>
      </c>
      <c r="N22" s="99">
        <v>0</v>
      </c>
      <c r="O22" s="98">
        <v>0</v>
      </c>
      <c r="P22" s="97" t="s">
        <v>1720</v>
      </c>
      <c r="Q22" s="97" t="s">
        <v>1721</v>
      </c>
      <c r="R22" s="97" t="s">
        <v>1846</v>
      </c>
      <c r="S22" s="99">
        <v>0</v>
      </c>
      <c r="T22" s="98">
        <v>1</v>
      </c>
      <c r="U22" s="97" t="s">
        <v>1722</v>
      </c>
      <c r="V22" s="100">
        <v>0</v>
      </c>
      <c r="W22" s="100">
        <v>0</v>
      </c>
      <c r="X22" s="100" t="s">
        <v>1721</v>
      </c>
      <c r="Y22" s="97"/>
      <c r="Z22" s="97"/>
      <c r="AA22" s="97"/>
      <c r="AB22" s="97"/>
      <c r="AC22" s="97"/>
      <c r="AD22" s="99"/>
      <c r="AE22" s="99"/>
      <c r="AF22" s="99"/>
      <c r="AG22" s="97"/>
      <c r="AH22" s="99"/>
      <c r="AI22" s="97"/>
      <c r="AJ22" s="99"/>
      <c r="AK22" s="97"/>
      <c r="AL22" s="97"/>
      <c r="AM22" s="97"/>
      <c r="AN22" s="99"/>
      <c r="AO22" s="99"/>
      <c r="AP22" s="99"/>
      <c r="AQ22" s="97"/>
      <c r="AR22" s="99"/>
      <c r="AS22" s="97"/>
      <c r="AT22" s="99"/>
      <c r="AU22" s="97"/>
      <c r="AV22" s="97"/>
      <c r="AW22" s="97"/>
      <c r="AX22" s="99"/>
      <c r="AY22" s="99"/>
      <c r="AZ22" s="99"/>
      <c r="BA22" s="97"/>
      <c r="BB22" s="99"/>
      <c r="BC22" s="97"/>
      <c r="BD22" s="99"/>
      <c r="BE22" s="99"/>
      <c r="BF22" s="99"/>
      <c r="BG22" s="97"/>
      <c r="BH22" s="97"/>
      <c r="BI22" s="97"/>
      <c r="BJ22" s="97"/>
      <c r="BK22" s="99"/>
      <c r="BL22" s="97"/>
      <c r="BM22" s="99"/>
      <c r="BN22" s="99"/>
      <c r="BO22" s="97"/>
      <c r="BP22" s="99"/>
      <c r="BQ22" s="99"/>
      <c r="BR22" s="99"/>
      <c r="BS22" s="97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7"/>
      <c r="CH22" s="97"/>
      <c r="CI22" s="97"/>
      <c r="CJ22" s="99"/>
      <c r="CK22" s="99"/>
      <c r="CL22" s="99"/>
      <c r="CM22" s="99"/>
      <c r="CN22" s="97"/>
      <c r="CO22" s="99"/>
      <c r="CP22" s="97"/>
      <c r="CQ22" s="99"/>
      <c r="CR22" s="97"/>
      <c r="CS22" s="99"/>
      <c r="CT22" s="99"/>
      <c r="CU22" s="99"/>
      <c r="CV22" s="97"/>
      <c r="CW22" s="99"/>
      <c r="CX22" s="99"/>
      <c r="CY22" s="99"/>
      <c r="CZ22" s="99"/>
      <c r="DA22" s="97"/>
      <c r="DB22" s="97"/>
      <c r="DC22" s="99"/>
      <c r="DD22" s="99"/>
      <c r="DE22" s="97"/>
      <c r="DF22" s="97"/>
      <c r="DG22" s="97"/>
      <c r="DH22" s="97"/>
      <c r="DI22" s="94" t="s">
        <v>1847</v>
      </c>
      <c r="DJ22" s="94" t="s">
        <v>1838</v>
      </c>
      <c r="DK22" s="94" t="s">
        <v>1839</v>
      </c>
      <c r="DL22" s="94" t="s">
        <v>1840</v>
      </c>
      <c r="DM22" s="94">
        <v>1</v>
      </c>
      <c r="DN22" s="94" t="s">
        <v>26</v>
      </c>
      <c r="DO22" s="94">
        <v>10</v>
      </c>
      <c r="DP22" s="94" t="s">
        <v>1714</v>
      </c>
      <c r="DQ22" s="94">
        <v>0</v>
      </c>
      <c r="DR22" s="94" t="s">
        <v>1714</v>
      </c>
      <c r="DS22" s="95">
        <v>0</v>
      </c>
      <c r="DT22" s="108"/>
      <c r="DU22" s="108"/>
      <c r="DV22" s="108"/>
      <c r="DW22" s="108"/>
      <c r="DX22" s="108"/>
    </row>
    <row r="23" spans="1:128" ht="24.95" customHeight="1">
      <c r="A23" s="96" t="s">
        <v>1867</v>
      </c>
      <c r="B23" s="97" t="s">
        <v>1868</v>
      </c>
      <c r="C23" s="97" t="s">
        <v>1845</v>
      </c>
      <c r="D23" s="98">
        <v>1</v>
      </c>
      <c r="E23" s="98">
        <v>1</v>
      </c>
      <c r="F23" s="98">
        <v>0</v>
      </c>
      <c r="G23" s="99">
        <v>0</v>
      </c>
      <c r="H23" s="99">
        <v>0</v>
      </c>
      <c r="I23" s="99">
        <v>0</v>
      </c>
      <c r="J23" s="99">
        <v>0</v>
      </c>
      <c r="K23" s="97" t="s">
        <v>1846</v>
      </c>
      <c r="L23" s="97" t="s">
        <v>1714</v>
      </c>
      <c r="M23" s="97" t="s">
        <v>1714</v>
      </c>
      <c r="N23" s="99">
        <v>0</v>
      </c>
      <c r="O23" s="98">
        <v>0</v>
      </c>
      <c r="P23" s="97" t="s">
        <v>1720</v>
      </c>
      <c r="Q23" s="97" t="s">
        <v>1721</v>
      </c>
      <c r="R23" s="97" t="s">
        <v>1846</v>
      </c>
      <c r="S23" s="99">
        <v>0</v>
      </c>
      <c r="T23" s="98">
        <v>1</v>
      </c>
      <c r="U23" s="97" t="s">
        <v>1722</v>
      </c>
      <c r="V23" s="100">
        <v>0</v>
      </c>
      <c r="W23" s="100">
        <v>0</v>
      </c>
      <c r="X23" s="100" t="s">
        <v>1721</v>
      </c>
      <c r="Y23" s="97"/>
      <c r="Z23" s="97"/>
      <c r="AA23" s="97"/>
      <c r="AB23" s="97"/>
      <c r="AC23" s="97"/>
      <c r="AD23" s="99"/>
      <c r="AE23" s="99"/>
      <c r="AF23" s="99"/>
      <c r="AG23" s="97"/>
      <c r="AH23" s="99"/>
      <c r="AI23" s="97"/>
      <c r="AJ23" s="99"/>
      <c r="AK23" s="97"/>
      <c r="AL23" s="97"/>
      <c r="AM23" s="97"/>
      <c r="AN23" s="99"/>
      <c r="AO23" s="99"/>
      <c r="AP23" s="99"/>
      <c r="AQ23" s="97"/>
      <c r="AR23" s="99"/>
      <c r="AS23" s="97"/>
      <c r="AT23" s="99"/>
      <c r="AU23" s="97"/>
      <c r="AV23" s="97"/>
      <c r="AW23" s="97"/>
      <c r="AX23" s="99"/>
      <c r="AY23" s="99"/>
      <c r="AZ23" s="99"/>
      <c r="BA23" s="97"/>
      <c r="BB23" s="99"/>
      <c r="BC23" s="97"/>
      <c r="BD23" s="99"/>
      <c r="BE23" s="99"/>
      <c r="BF23" s="99"/>
      <c r="BG23" s="97"/>
      <c r="BH23" s="97"/>
      <c r="BI23" s="97"/>
      <c r="BJ23" s="97"/>
      <c r="BK23" s="99"/>
      <c r="BL23" s="97"/>
      <c r="BM23" s="99"/>
      <c r="BN23" s="99"/>
      <c r="BO23" s="97"/>
      <c r="BP23" s="99"/>
      <c r="BQ23" s="99"/>
      <c r="BR23" s="99"/>
      <c r="BS23" s="97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7"/>
      <c r="CH23" s="97"/>
      <c r="CI23" s="97"/>
      <c r="CJ23" s="99"/>
      <c r="CK23" s="99"/>
      <c r="CL23" s="99"/>
      <c r="CM23" s="99"/>
      <c r="CN23" s="97"/>
      <c r="CO23" s="99"/>
      <c r="CP23" s="97"/>
      <c r="CQ23" s="99"/>
      <c r="CR23" s="97"/>
      <c r="CS23" s="99"/>
      <c r="CT23" s="99"/>
      <c r="CU23" s="99"/>
      <c r="CV23" s="97"/>
      <c r="CW23" s="99"/>
      <c r="CX23" s="99"/>
      <c r="CY23" s="99"/>
      <c r="CZ23" s="99"/>
      <c r="DA23" s="97"/>
      <c r="DB23" s="97"/>
      <c r="DC23" s="99"/>
      <c r="DD23" s="99"/>
      <c r="DE23" s="97"/>
      <c r="DF23" s="97"/>
      <c r="DG23" s="97"/>
      <c r="DH23" s="97"/>
      <c r="DI23" s="94" t="s">
        <v>1847</v>
      </c>
      <c r="DJ23" s="94" t="s">
        <v>1838</v>
      </c>
      <c r="DK23" s="94" t="s">
        <v>1839</v>
      </c>
      <c r="DL23" s="94" t="s">
        <v>1840</v>
      </c>
      <c r="DM23" s="94">
        <v>1</v>
      </c>
      <c r="DN23" s="94" t="s">
        <v>1869</v>
      </c>
      <c r="DO23" s="94">
        <v>10</v>
      </c>
      <c r="DP23" s="94" t="s">
        <v>1714</v>
      </c>
      <c r="DQ23" s="94">
        <v>0</v>
      </c>
      <c r="DR23" s="94" t="s">
        <v>1714</v>
      </c>
      <c r="DS23" s="95">
        <v>0</v>
      </c>
      <c r="DT23" s="108"/>
      <c r="DU23" s="108"/>
      <c r="DV23" s="108"/>
      <c r="DW23" s="108"/>
      <c r="DX23" s="108"/>
    </row>
    <row r="24" spans="1:128" ht="24.95" customHeight="1">
      <c r="A24" s="96" t="s">
        <v>1870</v>
      </c>
      <c r="B24" s="97" t="s">
        <v>1871</v>
      </c>
      <c r="C24" s="97" t="s">
        <v>1845</v>
      </c>
      <c r="D24" s="98">
        <v>1</v>
      </c>
      <c r="E24" s="98">
        <v>1</v>
      </c>
      <c r="F24" s="98">
        <v>0</v>
      </c>
      <c r="G24" s="99">
        <v>0</v>
      </c>
      <c r="H24" s="99">
        <v>0</v>
      </c>
      <c r="I24" s="99">
        <v>0</v>
      </c>
      <c r="J24" s="99">
        <v>0</v>
      </c>
      <c r="K24" s="97" t="s">
        <v>1846</v>
      </c>
      <c r="L24" s="97" t="s">
        <v>1714</v>
      </c>
      <c r="M24" s="97" t="s">
        <v>1714</v>
      </c>
      <c r="N24" s="99">
        <v>0</v>
      </c>
      <c r="O24" s="98">
        <v>0</v>
      </c>
      <c r="P24" s="97" t="s">
        <v>1720</v>
      </c>
      <c r="Q24" s="97" t="s">
        <v>1721</v>
      </c>
      <c r="R24" s="97" t="s">
        <v>1846</v>
      </c>
      <c r="S24" s="99">
        <v>0</v>
      </c>
      <c r="T24" s="98">
        <v>1</v>
      </c>
      <c r="U24" s="97" t="s">
        <v>1722</v>
      </c>
      <c r="V24" s="100">
        <v>0</v>
      </c>
      <c r="W24" s="100">
        <v>0</v>
      </c>
      <c r="X24" s="100" t="s">
        <v>1721</v>
      </c>
      <c r="Y24" s="97"/>
      <c r="Z24" s="97"/>
      <c r="AA24" s="97"/>
      <c r="AB24" s="97"/>
      <c r="AC24" s="97"/>
      <c r="AD24" s="99"/>
      <c r="AE24" s="99"/>
      <c r="AF24" s="99"/>
      <c r="AG24" s="97"/>
      <c r="AH24" s="99"/>
      <c r="AI24" s="97"/>
      <c r="AJ24" s="99"/>
      <c r="AK24" s="97"/>
      <c r="AL24" s="97"/>
      <c r="AM24" s="97"/>
      <c r="AN24" s="99"/>
      <c r="AO24" s="99"/>
      <c r="AP24" s="99"/>
      <c r="AQ24" s="97"/>
      <c r="AR24" s="99"/>
      <c r="AS24" s="97"/>
      <c r="AT24" s="99"/>
      <c r="AU24" s="97"/>
      <c r="AV24" s="97"/>
      <c r="AW24" s="97"/>
      <c r="AX24" s="99"/>
      <c r="AY24" s="99"/>
      <c r="AZ24" s="99"/>
      <c r="BA24" s="97"/>
      <c r="BB24" s="99"/>
      <c r="BC24" s="97"/>
      <c r="BD24" s="99"/>
      <c r="BE24" s="99"/>
      <c r="BF24" s="99"/>
      <c r="BG24" s="97"/>
      <c r="BH24" s="97"/>
      <c r="BI24" s="97"/>
      <c r="BJ24" s="97"/>
      <c r="BK24" s="99"/>
      <c r="BL24" s="97"/>
      <c r="BM24" s="99"/>
      <c r="BN24" s="99"/>
      <c r="BO24" s="97"/>
      <c r="BP24" s="99"/>
      <c r="BQ24" s="99"/>
      <c r="BR24" s="99"/>
      <c r="BS24" s="97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7"/>
      <c r="CH24" s="97"/>
      <c r="CI24" s="97"/>
      <c r="CJ24" s="99"/>
      <c r="CK24" s="99"/>
      <c r="CL24" s="99"/>
      <c r="CM24" s="99"/>
      <c r="CN24" s="97"/>
      <c r="CO24" s="99"/>
      <c r="CP24" s="97"/>
      <c r="CQ24" s="99"/>
      <c r="CR24" s="97"/>
      <c r="CS24" s="99"/>
      <c r="CT24" s="99"/>
      <c r="CU24" s="99"/>
      <c r="CV24" s="97"/>
      <c r="CW24" s="99"/>
      <c r="CX24" s="99"/>
      <c r="CY24" s="99"/>
      <c r="CZ24" s="99"/>
      <c r="DA24" s="97"/>
      <c r="DB24" s="97"/>
      <c r="DC24" s="99"/>
      <c r="DD24" s="99"/>
      <c r="DE24" s="97"/>
      <c r="DF24" s="97"/>
      <c r="DG24" s="97"/>
      <c r="DH24" s="97"/>
      <c r="DI24" s="94" t="s">
        <v>1847</v>
      </c>
      <c r="DJ24" s="94" t="s">
        <v>1838</v>
      </c>
      <c r="DK24" s="94" t="s">
        <v>1839</v>
      </c>
      <c r="DL24" s="94" t="s">
        <v>1840</v>
      </c>
      <c r="DM24" s="94">
        <v>1</v>
      </c>
      <c r="DN24" s="94" t="s">
        <v>1872</v>
      </c>
      <c r="DO24" s="94">
        <v>10</v>
      </c>
      <c r="DP24" s="94" t="s">
        <v>1714</v>
      </c>
      <c r="DQ24" s="94">
        <v>0</v>
      </c>
      <c r="DR24" s="94" t="s">
        <v>1714</v>
      </c>
      <c r="DS24" s="95">
        <v>0</v>
      </c>
      <c r="DT24" s="108"/>
      <c r="DU24" s="108"/>
      <c r="DV24" s="108"/>
      <c r="DW24" s="108"/>
      <c r="DX24" s="108"/>
    </row>
    <row r="25" spans="1:128" ht="24.95" customHeight="1">
      <c r="A25" s="96" t="s">
        <v>1873</v>
      </c>
      <c r="B25" s="97" t="s">
        <v>1874</v>
      </c>
      <c r="C25" s="97" t="s">
        <v>1845</v>
      </c>
      <c r="D25" s="98">
        <v>1</v>
      </c>
      <c r="E25" s="98">
        <v>1</v>
      </c>
      <c r="F25" s="98">
        <v>0</v>
      </c>
      <c r="G25" s="99">
        <v>0</v>
      </c>
      <c r="H25" s="99">
        <v>0</v>
      </c>
      <c r="I25" s="99">
        <v>0</v>
      </c>
      <c r="J25" s="99">
        <v>0</v>
      </c>
      <c r="K25" s="97" t="s">
        <v>1846</v>
      </c>
      <c r="L25" s="97" t="s">
        <v>1714</v>
      </c>
      <c r="M25" s="97" t="s">
        <v>1714</v>
      </c>
      <c r="N25" s="99">
        <v>0</v>
      </c>
      <c r="O25" s="98">
        <v>0</v>
      </c>
      <c r="P25" s="97" t="s">
        <v>1720</v>
      </c>
      <c r="Q25" s="97" t="s">
        <v>1721</v>
      </c>
      <c r="R25" s="97" t="s">
        <v>1846</v>
      </c>
      <c r="S25" s="99">
        <v>0</v>
      </c>
      <c r="T25" s="98">
        <v>1</v>
      </c>
      <c r="U25" s="97" t="s">
        <v>1722</v>
      </c>
      <c r="V25" s="100">
        <v>0</v>
      </c>
      <c r="W25" s="100">
        <v>0</v>
      </c>
      <c r="X25" s="100" t="s">
        <v>1721</v>
      </c>
      <c r="Y25" s="97"/>
      <c r="Z25" s="97"/>
      <c r="AA25" s="97"/>
      <c r="AB25" s="97"/>
      <c r="AC25" s="97"/>
      <c r="AD25" s="99"/>
      <c r="AE25" s="99"/>
      <c r="AF25" s="99"/>
      <c r="AG25" s="97"/>
      <c r="AH25" s="99"/>
      <c r="AI25" s="97"/>
      <c r="AJ25" s="99"/>
      <c r="AK25" s="97"/>
      <c r="AL25" s="97"/>
      <c r="AM25" s="97"/>
      <c r="AN25" s="99"/>
      <c r="AO25" s="99"/>
      <c r="AP25" s="99"/>
      <c r="AQ25" s="97"/>
      <c r="AR25" s="99"/>
      <c r="AS25" s="97"/>
      <c r="AT25" s="99"/>
      <c r="AU25" s="97"/>
      <c r="AV25" s="97"/>
      <c r="AW25" s="97"/>
      <c r="AX25" s="99"/>
      <c r="AY25" s="99"/>
      <c r="AZ25" s="99"/>
      <c r="BA25" s="97"/>
      <c r="BB25" s="99"/>
      <c r="BC25" s="97"/>
      <c r="BD25" s="99"/>
      <c r="BE25" s="99"/>
      <c r="BF25" s="99"/>
      <c r="BG25" s="97"/>
      <c r="BH25" s="97"/>
      <c r="BI25" s="97"/>
      <c r="BJ25" s="97"/>
      <c r="BK25" s="99"/>
      <c r="BL25" s="97"/>
      <c r="BM25" s="99"/>
      <c r="BN25" s="99"/>
      <c r="BO25" s="97"/>
      <c r="BP25" s="99"/>
      <c r="BQ25" s="99"/>
      <c r="BR25" s="99"/>
      <c r="BS25" s="97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7"/>
      <c r="CH25" s="97"/>
      <c r="CI25" s="97"/>
      <c r="CJ25" s="99"/>
      <c r="CK25" s="99"/>
      <c r="CL25" s="99"/>
      <c r="CM25" s="99"/>
      <c r="CN25" s="97"/>
      <c r="CO25" s="99"/>
      <c r="CP25" s="97"/>
      <c r="CQ25" s="99"/>
      <c r="CR25" s="97"/>
      <c r="CS25" s="99"/>
      <c r="CT25" s="99"/>
      <c r="CU25" s="99"/>
      <c r="CV25" s="97"/>
      <c r="CW25" s="99"/>
      <c r="CX25" s="99"/>
      <c r="CY25" s="99"/>
      <c r="CZ25" s="99"/>
      <c r="DA25" s="97"/>
      <c r="DB25" s="97"/>
      <c r="DC25" s="99"/>
      <c r="DD25" s="99"/>
      <c r="DE25" s="97"/>
      <c r="DF25" s="97"/>
      <c r="DG25" s="97"/>
      <c r="DH25" s="97"/>
      <c r="DI25" s="94" t="s">
        <v>1847</v>
      </c>
      <c r="DJ25" s="94" t="s">
        <v>1838</v>
      </c>
      <c r="DK25" s="94" t="s">
        <v>1839</v>
      </c>
      <c r="DL25" s="94" t="s">
        <v>1840</v>
      </c>
      <c r="DM25" s="94">
        <v>1</v>
      </c>
      <c r="DN25" s="94" t="s">
        <v>1875</v>
      </c>
      <c r="DO25" s="94">
        <v>10</v>
      </c>
      <c r="DP25" s="94" t="s">
        <v>1714</v>
      </c>
      <c r="DQ25" s="94">
        <v>0</v>
      </c>
      <c r="DR25" s="94" t="s">
        <v>1714</v>
      </c>
      <c r="DS25" s="95">
        <v>0</v>
      </c>
      <c r="DT25" s="108"/>
      <c r="DU25" s="108"/>
      <c r="DV25" s="108"/>
      <c r="DW25" s="108"/>
      <c r="DX25" s="108"/>
    </row>
    <row r="26" spans="1:128" ht="24.95" customHeight="1">
      <c r="A26" s="96" t="s">
        <v>1876</v>
      </c>
      <c r="B26" s="97" t="s">
        <v>1877</v>
      </c>
      <c r="C26" s="97" t="s">
        <v>1845</v>
      </c>
      <c r="D26" s="98">
        <v>1</v>
      </c>
      <c r="E26" s="98">
        <v>1</v>
      </c>
      <c r="F26" s="98">
        <v>0</v>
      </c>
      <c r="G26" s="99">
        <v>0</v>
      </c>
      <c r="H26" s="99">
        <v>0</v>
      </c>
      <c r="I26" s="99">
        <v>0</v>
      </c>
      <c r="J26" s="99">
        <v>0</v>
      </c>
      <c r="K26" s="97" t="s">
        <v>1846</v>
      </c>
      <c r="L26" s="97" t="s">
        <v>1714</v>
      </c>
      <c r="M26" s="97" t="s">
        <v>1714</v>
      </c>
      <c r="N26" s="99">
        <v>0</v>
      </c>
      <c r="O26" s="98">
        <v>0</v>
      </c>
      <c r="P26" s="97" t="s">
        <v>1720</v>
      </c>
      <c r="Q26" s="97" t="s">
        <v>1721</v>
      </c>
      <c r="R26" s="97" t="s">
        <v>1846</v>
      </c>
      <c r="S26" s="99">
        <v>0</v>
      </c>
      <c r="T26" s="98">
        <v>1</v>
      </c>
      <c r="U26" s="97" t="s">
        <v>1722</v>
      </c>
      <c r="V26" s="100">
        <v>0</v>
      </c>
      <c r="W26" s="100">
        <v>0</v>
      </c>
      <c r="X26" s="100" t="s">
        <v>1721</v>
      </c>
      <c r="Y26" s="97"/>
      <c r="Z26" s="97"/>
      <c r="AA26" s="97"/>
      <c r="AB26" s="97"/>
      <c r="AC26" s="97"/>
      <c r="AD26" s="99"/>
      <c r="AE26" s="99"/>
      <c r="AF26" s="99"/>
      <c r="AG26" s="97"/>
      <c r="AH26" s="99"/>
      <c r="AI26" s="97"/>
      <c r="AJ26" s="99"/>
      <c r="AK26" s="97"/>
      <c r="AL26" s="97"/>
      <c r="AM26" s="97"/>
      <c r="AN26" s="99"/>
      <c r="AO26" s="99"/>
      <c r="AP26" s="99"/>
      <c r="AQ26" s="97"/>
      <c r="AR26" s="99"/>
      <c r="AS26" s="97"/>
      <c r="AT26" s="99"/>
      <c r="AU26" s="97"/>
      <c r="AV26" s="97"/>
      <c r="AW26" s="97"/>
      <c r="AX26" s="99"/>
      <c r="AY26" s="99"/>
      <c r="AZ26" s="99"/>
      <c r="BA26" s="97"/>
      <c r="BB26" s="99"/>
      <c r="BC26" s="97"/>
      <c r="BD26" s="99"/>
      <c r="BE26" s="99"/>
      <c r="BF26" s="99"/>
      <c r="BG26" s="97"/>
      <c r="BH26" s="97"/>
      <c r="BI26" s="97"/>
      <c r="BJ26" s="97"/>
      <c r="BK26" s="99"/>
      <c r="BL26" s="97"/>
      <c r="BM26" s="99"/>
      <c r="BN26" s="99"/>
      <c r="BO26" s="97"/>
      <c r="BP26" s="99"/>
      <c r="BQ26" s="99"/>
      <c r="BR26" s="99"/>
      <c r="BS26" s="97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7"/>
      <c r="CH26" s="97"/>
      <c r="CI26" s="97"/>
      <c r="CJ26" s="99"/>
      <c r="CK26" s="99"/>
      <c r="CL26" s="99"/>
      <c r="CM26" s="99"/>
      <c r="CN26" s="97"/>
      <c r="CO26" s="99"/>
      <c r="CP26" s="97"/>
      <c r="CQ26" s="99"/>
      <c r="CR26" s="97"/>
      <c r="CS26" s="99"/>
      <c r="CT26" s="99"/>
      <c r="CU26" s="99"/>
      <c r="CV26" s="97"/>
      <c r="CW26" s="99"/>
      <c r="CX26" s="99"/>
      <c r="CY26" s="99"/>
      <c r="CZ26" s="99"/>
      <c r="DA26" s="97"/>
      <c r="DB26" s="97"/>
      <c r="DC26" s="99"/>
      <c r="DD26" s="99"/>
      <c r="DE26" s="97"/>
      <c r="DF26" s="97"/>
      <c r="DG26" s="97"/>
      <c r="DH26" s="97"/>
      <c r="DI26" s="94" t="s">
        <v>1847</v>
      </c>
      <c r="DJ26" s="94" t="s">
        <v>1838</v>
      </c>
      <c r="DK26" s="94" t="s">
        <v>1839</v>
      </c>
      <c r="DL26" s="94" t="s">
        <v>1840</v>
      </c>
      <c r="DM26" s="94">
        <v>1</v>
      </c>
      <c r="DN26" s="94" t="s">
        <v>1878</v>
      </c>
      <c r="DO26" s="94">
        <v>10</v>
      </c>
      <c r="DP26" s="94" t="s">
        <v>1714</v>
      </c>
      <c r="DQ26" s="94">
        <v>0</v>
      </c>
      <c r="DR26" s="94" t="s">
        <v>1714</v>
      </c>
      <c r="DS26" s="95">
        <v>0</v>
      </c>
      <c r="DT26" s="108"/>
      <c r="DU26" s="108"/>
      <c r="DV26" s="108"/>
      <c r="DW26" s="108"/>
      <c r="DX26" s="108"/>
    </row>
    <row r="27" spans="1:128" ht="24.95" customHeight="1">
      <c r="A27" s="96" t="s">
        <v>1879</v>
      </c>
      <c r="B27" s="97" t="s">
        <v>1880</v>
      </c>
      <c r="C27" s="97" t="s">
        <v>1845</v>
      </c>
      <c r="D27" s="98">
        <v>1</v>
      </c>
      <c r="E27" s="98">
        <v>1</v>
      </c>
      <c r="F27" s="98">
        <v>0</v>
      </c>
      <c r="G27" s="99">
        <v>0</v>
      </c>
      <c r="H27" s="99">
        <v>0</v>
      </c>
      <c r="I27" s="99">
        <v>0</v>
      </c>
      <c r="J27" s="99">
        <v>0</v>
      </c>
      <c r="K27" s="97" t="s">
        <v>1846</v>
      </c>
      <c r="L27" s="97" t="s">
        <v>1714</v>
      </c>
      <c r="M27" s="97" t="s">
        <v>1714</v>
      </c>
      <c r="N27" s="99">
        <v>0</v>
      </c>
      <c r="O27" s="98">
        <v>0</v>
      </c>
      <c r="P27" s="97" t="s">
        <v>1720</v>
      </c>
      <c r="Q27" s="97" t="s">
        <v>1721</v>
      </c>
      <c r="R27" s="97" t="s">
        <v>1846</v>
      </c>
      <c r="S27" s="99">
        <v>0</v>
      </c>
      <c r="T27" s="98">
        <v>1</v>
      </c>
      <c r="U27" s="97" t="s">
        <v>1722</v>
      </c>
      <c r="V27" s="100">
        <v>0</v>
      </c>
      <c r="W27" s="100">
        <v>0</v>
      </c>
      <c r="X27" s="100" t="s">
        <v>1721</v>
      </c>
      <c r="Y27" s="97"/>
      <c r="Z27" s="97"/>
      <c r="AA27" s="97"/>
      <c r="AB27" s="97"/>
      <c r="AC27" s="97"/>
      <c r="AD27" s="99"/>
      <c r="AE27" s="99"/>
      <c r="AF27" s="99"/>
      <c r="AG27" s="97"/>
      <c r="AH27" s="99"/>
      <c r="AI27" s="97"/>
      <c r="AJ27" s="99"/>
      <c r="AK27" s="97"/>
      <c r="AL27" s="97"/>
      <c r="AM27" s="97"/>
      <c r="AN27" s="99"/>
      <c r="AO27" s="99"/>
      <c r="AP27" s="99"/>
      <c r="AQ27" s="97"/>
      <c r="AR27" s="99"/>
      <c r="AS27" s="97"/>
      <c r="AT27" s="99"/>
      <c r="AU27" s="97"/>
      <c r="AV27" s="97"/>
      <c r="AW27" s="97"/>
      <c r="AX27" s="99"/>
      <c r="AY27" s="99"/>
      <c r="AZ27" s="99"/>
      <c r="BA27" s="97"/>
      <c r="BB27" s="99"/>
      <c r="BC27" s="97"/>
      <c r="BD27" s="99"/>
      <c r="BE27" s="99"/>
      <c r="BF27" s="99"/>
      <c r="BG27" s="97"/>
      <c r="BH27" s="97"/>
      <c r="BI27" s="97"/>
      <c r="BJ27" s="97"/>
      <c r="BK27" s="99"/>
      <c r="BL27" s="97"/>
      <c r="BM27" s="99"/>
      <c r="BN27" s="99"/>
      <c r="BO27" s="97"/>
      <c r="BP27" s="99"/>
      <c r="BQ27" s="99"/>
      <c r="BR27" s="99"/>
      <c r="BS27" s="97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7"/>
      <c r="CH27" s="97"/>
      <c r="CI27" s="97"/>
      <c r="CJ27" s="99"/>
      <c r="CK27" s="99"/>
      <c r="CL27" s="99"/>
      <c r="CM27" s="99"/>
      <c r="CN27" s="97"/>
      <c r="CO27" s="99"/>
      <c r="CP27" s="97"/>
      <c r="CQ27" s="99"/>
      <c r="CR27" s="97"/>
      <c r="CS27" s="99"/>
      <c r="CT27" s="99"/>
      <c r="CU27" s="99"/>
      <c r="CV27" s="97"/>
      <c r="CW27" s="99"/>
      <c r="CX27" s="99"/>
      <c r="CY27" s="99"/>
      <c r="CZ27" s="99"/>
      <c r="DA27" s="97"/>
      <c r="DB27" s="97"/>
      <c r="DC27" s="99"/>
      <c r="DD27" s="99"/>
      <c r="DE27" s="97"/>
      <c r="DF27" s="97"/>
      <c r="DG27" s="97"/>
      <c r="DH27" s="97"/>
      <c r="DI27" s="94" t="s">
        <v>1847</v>
      </c>
      <c r="DJ27" s="94" t="s">
        <v>1838</v>
      </c>
      <c r="DK27" s="94" t="s">
        <v>1839</v>
      </c>
      <c r="DL27" s="94" t="s">
        <v>1840</v>
      </c>
      <c r="DM27" s="94">
        <v>1</v>
      </c>
      <c r="DN27" s="94" t="s">
        <v>1881</v>
      </c>
      <c r="DO27" s="94">
        <v>10</v>
      </c>
      <c r="DP27" s="94" t="s">
        <v>1714</v>
      </c>
      <c r="DQ27" s="94">
        <v>0</v>
      </c>
      <c r="DR27" s="94" t="s">
        <v>1714</v>
      </c>
      <c r="DS27" s="95">
        <v>0</v>
      </c>
      <c r="DT27" s="108"/>
      <c r="DU27" s="108"/>
      <c r="DV27" s="108"/>
      <c r="DW27" s="108"/>
      <c r="DX27" s="108"/>
    </row>
    <row r="28" spans="1:128" ht="24.95" customHeight="1">
      <c r="A28" s="96" t="s">
        <v>1882</v>
      </c>
      <c r="B28" s="97" t="s">
        <v>1883</v>
      </c>
      <c r="C28" s="97" t="s">
        <v>1845</v>
      </c>
      <c r="D28" s="98">
        <v>1</v>
      </c>
      <c r="E28" s="98">
        <v>1</v>
      </c>
      <c r="F28" s="98">
        <v>0</v>
      </c>
      <c r="G28" s="99">
        <v>0</v>
      </c>
      <c r="H28" s="99">
        <v>0</v>
      </c>
      <c r="I28" s="99">
        <v>0</v>
      </c>
      <c r="J28" s="99">
        <v>0</v>
      </c>
      <c r="K28" s="97" t="s">
        <v>1846</v>
      </c>
      <c r="L28" s="97" t="s">
        <v>1714</v>
      </c>
      <c r="M28" s="97" t="s">
        <v>1714</v>
      </c>
      <c r="N28" s="99">
        <v>0</v>
      </c>
      <c r="O28" s="98">
        <v>0</v>
      </c>
      <c r="P28" s="97" t="s">
        <v>1720</v>
      </c>
      <c r="Q28" s="97" t="s">
        <v>1721</v>
      </c>
      <c r="R28" s="97" t="s">
        <v>1846</v>
      </c>
      <c r="S28" s="99">
        <v>0</v>
      </c>
      <c r="T28" s="98">
        <v>1</v>
      </c>
      <c r="U28" s="97" t="s">
        <v>1722</v>
      </c>
      <c r="V28" s="100">
        <v>0</v>
      </c>
      <c r="W28" s="100">
        <v>0</v>
      </c>
      <c r="X28" s="100" t="s">
        <v>1721</v>
      </c>
      <c r="Y28" s="97"/>
      <c r="Z28" s="97"/>
      <c r="AA28" s="97"/>
      <c r="AB28" s="97"/>
      <c r="AC28" s="97"/>
      <c r="AD28" s="99"/>
      <c r="AE28" s="99"/>
      <c r="AF28" s="99"/>
      <c r="AG28" s="97"/>
      <c r="AH28" s="99"/>
      <c r="AI28" s="97"/>
      <c r="AJ28" s="99"/>
      <c r="AK28" s="97"/>
      <c r="AL28" s="97"/>
      <c r="AM28" s="97"/>
      <c r="AN28" s="99"/>
      <c r="AO28" s="99"/>
      <c r="AP28" s="99"/>
      <c r="AQ28" s="97"/>
      <c r="AR28" s="99"/>
      <c r="AS28" s="97"/>
      <c r="AT28" s="99"/>
      <c r="AU28" s="97"/>
      <c r="AV28" s="97"/>
      <c r="AW28" s="97"/>
      <c r="AX28" s="99"/>
      <c r="AY28" s="99"/>
      <c r="AZ28" s="99"/>
      <c r="BA28" s="97"/>
      <c r="BB28" s="99"/>
      <c r="BC28" s="97"/>
      <c r="BD28" s="99"/>
      <c r="BE28" s="99"/>
      <c r="BF28" s="99"/>
      <c r="BG28" s="97"/>
      <c r="BH28" s="97"/>
      <c r="BI28" s="97"/>
      <c r="BJ28" s="97"/>
      <c r="BK28" s="99"/>
      <c r="BL28" s="97"/>
      <c r="BM28" s="99"/>
      <c r="BN28" s="99"/>
      <c r="BO28" s="97"/>
      <c r="BP28" s="99"/>
      <c r="BQ28" s="99"/>
      <c r="BR28" s="99"/>
      <c r="BS28" s="97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7"/>
      <c r="CH28" s="97"/>
      <c r="CI28" s="97"/>
      <c r="CJ28" s="99"/>
      <c r="CK28" s="99"/>
      <c r="CL28" s="99"/>
      <c r="CM28" s="99"/>
      <c r="CN28" s="97"/>
      <c r="CO28" s="99"/>
      <c r="CP28" s="97"/>
      <c r="CQ28" s="99"/>
      <c r="CR28" s="97"/>
      <c r="CS28" s="99"/>
      <c r="CT28" s="99"/>
      <c r="CU28" s="99"/>
      <c r="CV28" s="97"/>
      <c r="CW28" s="99"/>
      <c r="CX28" s="99"/>
      <c r="CY28" s="99"/>
      <c r="CZ28" s="99"/>
      <c r="DA28" s="97"/>
      <c r="DB28" s="97"/>
      <c r="DC28" s="99"/>
      <c r="DD28" s="99"/>
      <c r="DE28" s="97"/>
      <c r="DF28" s="97"/>
      <c r="DG28" s="97"/>
      <c r="DH28" s="97"/>
      <c r="DI28" s="94" t="s">
        <v>1847</v>
      </c>
      <c r="DJ28" s="94" t="s">
        <v>1838</v>
      </c>
      <c r="DK28" s="94" t="s">
        <v>1839</v>
      </c>
      <c r="DL28" s="94" t="s">
        <v>1840</v>
      </c>
      <c r="DM28" s="94">
        <v>1</v>
      </c>
      <c r="DN28" s="94" t="s">
        <v>1884</v>
      </c>
      <c r="DO28" s="94">
        <v>10</v>
      </c>
      <c r="DP28" s="94" t="s">
        <v>1714</v>
      </c>
      <c r="DQ28" s="94">
        <v>0</v>
      </c>
      <c r="DR28" s="94" t="s">
        <v>1714</v>
      </c>
      <c r="DS28" s="95">
        <v>0</v>
      </c>
      <c r="DT28" s="108"/>
      <c r="DU28" s="108"/>
      <c r="DV28" s="108"/>
      <c r="DW28" s="108"/>
      <c r="DX28" s="108"/>
    </row>
    <row r="29" spans="1:128" ht="24.95" customHeight="1">
      <c r="A29" s="96" t="s">
        <v>1885</v>
      </c>
      <c r="B29" s="97" t="s">
        <v>1886</v>
      </c>
      <c r="C29" s="97" t="s">
        <v>1845</v>
      </c>
      <c r="D29" s="98">
        <v>1</v>
      </c>
      <c r="E29" s="98">
        <v>1</v>
      </c>
      <c r="F29" s="98">
        <v>0</v>
      </c>
      <c r="G29" s="99">
        <v>0</v>
      </c>
      <c r="H29" s="99">
        <v>0</v>
      </c>
      <c r="I29" s="99">
        <v>0</v>
      </c>
      <c r="J29" s="99">
        <v>0</v>
      </c>
      <c r="K29" s="97" t="s">
        <v>1846</v>
      </c>
      <c r="L29" s="97" t="s">
        <v>1714</v>
      </c>
      <c r="M29" s="97" t="s">
        <v>1714</v>
      </c>
      <c r="N29" s="99">
        <v>0</v>
      </c>
      <c r="O29" s="98">
        <v>0</v>
      </c>
      <c r="P29" s="97" t="s">
        <v>1720</v>
      </c>
      <c r="Q29" s="97" t="s">
        <v>1721</v>
      </c>
      <c r="R29" s="97" t="s">
        <v>1846</v>
      </c>
      <c r="S29" s="99">
        <v>0</v>
      </c>
      <c r="T29" s="98">
        <v>1</v>
      </c>
      <c r="U29" s="97" t="s">
        <v>1722</v>
      </c>
      <c r="V29" s="100">
        <v>0</v>
      </c>
      <c r="W29" s="100">
        <v>0</v>
      </c>
      <c r="X29" s="100" t="s">
        <v>1721</v>
      </c>
      <c r="Y29" s="97"/>
      <c r="Z29" s="97"/>
      <c r="AA29" s="97"/>
      <c r="AB29" s="97"/>
      <c r="AC29" s="97"/>
      <c r="AD29" s="99"/>
      <c r="AE29" s="99"/>
      <c r="AF29" s="99"/>
      <c r="AG29" s="97"/>
      <c r="AH29" s="99"/>
      <c r="AI29" s="97"/>
      <c r="AJ29" s="99"/>
      <c r="AK29" s="97"/>
      <c r="AL29" s="97"/>
      <c r="AM29" s="97"/>
      <c r="AN29" s="99"/>
      <c r="AO29" s="99"/>
      <c r="AP29" s="99"/>
      <c r="AQ29" s="97"/>
      <c r="AR29" s="99"/>
      <c r="AS29" s="97"/>
      <c r="AT29" s="99"/>
      <c r="AU29" s="97"/>
      <c r="AV29" s="97"/>
      <c r="AW29" s="97"/>
      <c r="AX29" s="99"/>
      <c r="AY29" s="99"/>
      <c r="AZ29" s="99"/>
      <c r="BA29" s="97"/>
      <c r="BB29" s="99"/>
      <c r="BC29" s="97"/>
      <c r="BD29" s="99"/>
      <c r="BE29" s="99"/>
      <c r="BF29" s="99"/>
      <c r="BG29" s="97"/>
      <c r="BH29" s="97"/>
      <c r="BI29" s="97"/>
      <c r="BJ29" s="97"/>
      <c r="BK29" s="99"/>
      <c r="BL29" s="97"/>
      <c r="BM29" s="99"/>
      <c r="BN29" s="99"/>
      <c r="BO29" s="97"/>
      <c r="BP29" s="99"/>
      <c r="BQ29" s="99"/>
      <c r="BR29" s="99"/>
      <c r="BS29" s="97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7"/>
      <c r="CH29" s="97"/>
      <c r="CI29" s="97"/>
      <c r="CJ29" s="99"/>
      <c r="CK29" s="99"/>
      <c r="CL29" s="99"/>
      <c r="CM29" s="99"/>
      <c r="CN29" s="97"/>
      <c r="CO29" s="99"/>
      <c r="CP29" s="97"/>
      <c r="CQ29" s="99"/>
      <c r="CR29" s="97"/>
      <c r="CS29" s="99"/>
      <c r="CT29" s="99"/>
      <c r="CU29" s="99"/>
      <c r="CV29" s="97"/>
      <c r="CW29" s="99"/>
      <c r="CX29" s="99"/>
      <c r="CY29" s="99"/>
      <c r="CZ29" s="99"/>
      <c r="DA29" s="97"/>
      <c r="DB29" s="97"/>
      <c r="DC29" s="99"/>
      <c r="DD29" s="99"/>
      <c r="DE29" s="97"/>
      <c r="DF29" s="97"/>
      <c r="DG29" s="97"/>
      <c r="DH29" s="97"/>
      <c r="DI29" s="94" t="s">
        <v>1847</v>
      </c>
      <c r="DJ29" s="94" t="s">
        <v>1838</v>
      </c>
      <c r="DK29" s="94" t="s">
        <v>1839</v>
      </c>
      <c r="DL29" s="94" t="s">
        <v>1840</v>
      </c>
      <c r="DM29" s="94">
        <v>1</v>
      </c>
      <c r="DN29" s="94" t="s">
        <v>1887</v>
      </c>
      <c r="DO29" s="94">
        <v>10</v>
      </c>
      <c r="DP29" s="94" t="s">
        <v>1714</v>
      </c>
      <c r="DQ29" s="94">
        <v>0</v>
      </c>
      <c r="DR29" s="94" t="s">
        <v>1714</v>
      </c>
      <c r="DS29" s="95">
        <v>0</v>
      </c>
      <c r="DT29" s="108"/>
      <c r="DU29" s="108"/>
      <c r="DV29" s="108"/>
      <c r="DW29" s="108"/>
      <c r="DX29" s="108"/>
    </row>
    <row r="30" spans="1:128" ht="24.95" customHeight="1">
      <c r="A30" s="96" t="s">
        <v>1888</v>
      </c>
      <c r="B30" s="97" t="s">
        <v>1889</v>
      </c>
      <c r="C30" s="97" t="s">
        <v>1845</v>
      </c>
      <c r="D30" s="98">
        <v>1</v>
      </c>
      <c r="E30" s="98">
        <v>1</v>
      </c>
      <c r="F30" s="98">
        <v>0</v>
      </c>
      <c r="G30" s="99">
        <v>0</v>
      </c>
      <c r="H30" s="99">
        <v>0</v>
      </c>
      <c r="I30" s="99">
        <v>0</v>
      </c>
      <c r="J30" s="99">
        <v>0</v>
      </c>
      <c r="K30" s="97" t="s">
        <v>1846</v>
      </c>
      <c r="L30" s="97" t="s">
        <v>1714</v>
      </c>
      <c r="M30" s="97" t="s">
        <v>1714</v>
      </c>
      <c r="N30" s="99">
        <v>0</v>
      </c>
      <c r="O30" s="98">
        <v>0</v>
      </c>
      <c r="P30" s="97" t="s">
        <v>1720</v>
      </c>
      <c r="Q30" s="97" t="s">
        <v>1721</v>
      </c>
      <c r="R30" s="97" t="s">
        <v>1846</v>
      </c>
      <c r="S30" s="99">
        <v>0</v>
      </c>
      <c r="T30" s="98">
        <v>1</v>
      </c>
      <c r="U30" s="97" t="s">
        <v>1722</v>
      </c>
      <c r="V30" s="100">
        <v>0</v>
      </c>
      <c r="W30" s="100">
        <v>0</v>
      </c>
      <c r="X30" s="100" t="s">
        <v>1721</v>
      </c>
      <c r="Y30" s="97"/>
      <c r="Z30" s="97"/>
      <c r="AA30" s="97"/>
      <c r="AB30" s="97"/>
      <c r="AC30" s="97"/>
      <c r="AD30" s="99"/>
      <c r="AE30" s="99"/>
      <c r="AF30" s="99"/>
      <c r="AG30" s="97"/>
      <c r="AH30" s="99"/>
      <c r="AI30" s="97"/>
      <c r="AJ30" s="99"/>
      <c r="AK30" s="97"/>
      <c r="AL30" s="97"/>
      <c r="AM30" s="97"/>
      <c r="AN30" s="99"/>
      <c r="AO30" s="99"/>
      <c r="AP30" s="99"/>
      <c r="AQ30" s="97"/>
      <c r="AR30" s="99"/>
      <c r="AS30" s="97"/>
      <c r="AT30" s="99"/>
      <c r="AU30" s="97"/>
      <c r="AV30" s="97"/>
      <c r="AW30" s="97"/>
      <c r="AX30" s="99"/>
      <c r="AY30" s="99"/>
      <c r="AZ30" s="99"/>
      <c r="BA30" s="97"/>
      <c r="BB30" s="99"/>
      <c r="BC30" s="97"/>
      <c r="BD30" s="99"/>
      <c r="BE30" s="99"/>
      <c r="BF30" s="99"/>
      <c r="BG30" s="97"/>
      <c r="BH30" s="97"/>
      <c r="BI30" s="97"/>
      <c r="BJ30" s="97"/>
      <c r="BK30" s="99"/>
      <c r="BL30" s="97"/>
      <c r="BM30" s="99"/>
      <c r="BN30" s="99"/>
      <c r="BO30" s="97"/>
      <c r="BP30" s="99"/>
      <c r="BQ30" s="99"/>
      <c r="BR30" s="99"/>
      <c r="BS30" s="97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7"/>
      <c r="CH30" s="97"/>
      <c r="CI30" s="97"/>
      <c r="CJ30" s="99"/>
      <c r="CK30" s="99"/>
      <c r="CL30" s="99"/>
      <c r="CM30" s="99"/>
      <c r="CN30" s="97"/>
      <c r="CO30" s="99"/>
      <c r="CP30" s="97"/>
      <c r="CQ30" s="99"/>
      <c r="CR30" s="97"/>
      <c r="CS30" s="99"/>
      <c r="CT30" s="99"/>
      <c r="CU30" s="99"/>
      <c r="CV30" s="97"/>
      <c r="CW30" s="99"/>
      <c r="CX30" s="99"/>
      <c r="CY30" s="99"/>
      <c r="CZ30" s="99"/>
      <c r="DA30" s="97"/>
      <c r="DB30" s="97"/>
      <c r="DC30" s="99"/>
      <c r="DD30" s="99"/>
      <c r="DE30" s="97"/>
      <c r="DF30" s="97"/>
      <c r="DG30" s="97"/>
      <c r="DH30" s="97"/>
      <c r="DI30" s="94" t="s">
        <v>1847</v>
      </c>
      <c r="DJ30" s="94" t="s">
        <v>1838</v>
      </c>
      <c r="DK30" s="94" t="s">
        <v>1839</v>
      </c>
      <c r="DL30" s="94" t="s">
        <v>1840</v>
      </c>
      <c r="DM30" s="94">
        <v>1</v>
      </c>
      <c r="DN30" s="94" t="s">
        <v>1890</v>
      </c>
      <c r="DO30" s="94">
        <v>10</v>
      </c>
      <c r="DP30" s="94" t="s">
        <v>1714</v>
      </c>
      <c r="DQ30" s="94">
        <v>0</v>
      </c>
      <c r="DR30" s="94" t="s">
        <v>1714</v>
      </c>
      <c r="DS30" s="95">
        <v>0</v>
      </c>
      <c r="DT30" s="108"/>
      <c r="DU30" s="108"/>
      <c r="DV30" s="108"/>
      <c r="DW30" s="108"/>
      <c r="DX30" s="108"/>
    </row>
    <row r="31" spans="1:128" ht="24.95" customHeight="1">
      <c r="A31" s="96" t="s">
        <v>1891</v>
      </c>
      <c r="B31" s="97" t="s">
        <v>1892</v>
      </c>
      <c r="C31" s="97" t="s">
        <v>1845</v>
      </c>
      <c r="D31" s="98">
        <v>1</v>
      </c>
      <c r="E31" s="98">
        <v>1</v>
      </c>
      <c r="F31" s="98">
        <v>0</v>
      </c>
      <c r="G31" s="99">
        <v>0</v>
      </c>
      <c r="H31" s="99">
        <v>0</v>
      </c>
      <c r="I31" s="99">
        <v>0</v>
      </c>
      <c r="J31" s="99">
        <v>0</v>
      </c>
      <c r="K31" s="97" t="s">
        <v>1846</v>
      </c>
      <c r="L31" s="97" t="s">
        <v>1714</v>
      </c>
      <c r="M31" s="97" t="s">
        <v>1714</v>
      </c>
      <c r="N31" s="99">
        <v>0</v>
      </c>
      <c r="O31" s="98">
        <v>0</v>
      </c>
      <c r="P31" s="97" t="s">
        <v>1720</v>
      </c>
      <c r="Q31" s="97" t="s">
        <v>1721</v>
      </c>
      <c r="R31" s="97" t="s">
        <v>1846</v>
      </c>
      <c r="S31" s="99">
        <v>0</v>
      </c>
      <c r="T31" s="98">
        <v>1</v>
      </c>
      <c r="U31" s="97" t="s">
        <v>1722</v>
      </c>
      <c r="V31" s="100">
        <v>0</v>
      </c>
      <c r="W31" s="100">
        <v>0</v>
      </c>
      <c r="X31" s="100" t="s">
        <v>1721</v>
      </c>
      <c r="Y31" s="97"/>
      <c r="Z31" s="97"/>
      <c r="AA31" s="97"/>
      <c r="AB31" s="97"/>
      <c r="AC31" s="97"/>
      <c r="AD31" s="99"/>
      <c r="AE31" s="99"/>
      <c r="AF31" s="99"/>
      <c r="AG31" s="97"/>
      <c r="AH31" s="99"/>
      <c r="AI31" s="97"/>
      <c r="AJ31" s="99"/>
      <c r="AK31" s="97"/>
      <c r="AL31" s="97"/>
      <c r="AM31" s="97"/>
      <c r="AN31" s="99"/>
      <c r="AO31" s="99"/>
      <c r="AP31" s="99"/>
      <c r="AQ31" s="97"/>
      <c r="AR31" s="99"/>
      <c r="AS31" s="97"/>
      <c r="AT31" s="99"/>
      <c r="AU31" s="97"/>
      <c r="AV31" s="97"/>
      <c r="AW31" s="97"/>
      <c r="AX31" s="99"/>
      <c r="AY31" s="99"/>
      <c r="AZ31" s="99"/>
      <c r="BA31" s="97"/>
      <c r="BB31" s="99"/>
      <c r="BC31" s="97"/>
      <c r="BD31" s="99"/>
      <c r="BE31" s="99"/>
      <c r="BF31" s="99"/>
      <c r="BG31" s="97"/>
      <c r="BH31" s="97"/>
      <c r="BI31" s="97"/>
      <c r="BJ31" s="97"/>
      <c r="BK31" s="99"/>
      <c r="BL31" s="97"/>
      <c r="BM31" s="99"/>
      <c r="BN31" s="99"/>
      <c r="BO31" s="97"/>
      <c r="BP31" s="99"/>
      <c r="BQ31" s="99"/>
      <c r="BR31" s="99"/>
      <c r="BS31" s="97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7"/>
      <c r="CH31" s="97"/>
      <c r="CI31" s="97"/>
      <c r="CJ31" s="99"/>
      <c r="CK31" s="99"/>
      <c r="CL31" s="99"/>
      <c r="CM31" s="99"/>
      <c r="CN31" s="97"/>
      <c r="CO31" s="99"/>
      <c r="CP31" s="97"/>
      <c r="CQ31" s="99"/>
      <c r="CR31" s="97"/>
      <c r="CS31" s="99"/>
      <c r="CT31" s="99"/>
      <c r="CU31" s="99"/>
      <c r="CV31" s="97"/>
      <c r="CW31" s="99"/>
      <c r="CX31" s="99"/>
      <c r="CY31" s="99"/>
      <c r="CZ31" s="99"/>
      <c r="DA31" s="97"/>
      <c r="DB31" s="97"/>
      <c r="DC31" s="99"/>
      <c r="DD31" s="99"/>
      <c r="DE31" s="97"/>
      <c r="DF31" s="97"/>
      <c r="DG31" s="97"/>
      <c r="DH31" s="97"/>
      <c r="DI31" s="94" t="s">
        <v>1847</v>
      </c>
      <c r="DJ31" s="94" t="s">
        <v>1838</v>
      </c>
      <c r="DK31" s="94" t="s">
        <v>1839</v>
      </c>
      <c r="DL31" s="94" t="s">
        <v>1840</v>
      </c>
      <c r="DM31" s="94">
        <v>1</v>
      </c>
      <c r="DN31" s="94" t="s">
        <v>1893</v>
      </c>
      <c r="DO31" s="94">
        <v>10</v>
      </c>
      <c r="DP31" s="94" t="s">
        <v>1714</v>
      </c>
      <c r="DQ31" s="94">
        <v>0</v>
      </c>
      <c r="DR31" s="94" t="s">
        <v>1714</v>
      </c>
      <c r="DS31" s="95">
        <v>0</v>
      </c>
      <c r="DT31" s="108"/>
      <c r="DU31" s="108"/>
      <c r="DV31" s="108"/>
      <c r="DW31" s="108"/>
      <c r="DX31" s="108"/>
    </row>
    <row r="32" spans="1:128" ht="24.95" customHeight="1">
      <c r="A32" s="96" t="s">
        <v>1894</v>
      </c>
      <c r="B32" s="97" t="s">
        <v>1895</v>
      </c>
      <c r="C32" s="97" t="s">
        <v>1845</v>
      </c>
      <c r="D32" s="98">
        <v>1</v>
      </c>
      <c r="E32" s="98">
        <v>1</v>
      </c>
      <c r="F32" s="98">
        <v>0</v>
      </c>
      <c r="G32" s="99">
        <v>0</v>
      </c>
      <c r="H32" s="99">
        <v>0</v>
      </c>
      <c r="I32" s="99">
        <v>0</v>
      </c>
      <c r="J32" s="99">
        <v>0</v>
      </c>
      <c r="K32" s="97" t="s">
        <v>1846</v>
      </c>
      <c r="L32" s="97" t="s">
        <v>1714</v>
      </c>
      <c r="M32" s="97" t="s">
        <v>1714</v>
      </c>
      <c r="N32" s="99">
        <v>0</v>
      </c>
      <c r="O32" s="98">
        <v>0</v>
      </c>
      <c r="P32" s="97" t="s">
        <v>1720</v>
      </c>
      <c r="Q32" s="97" t="s">
        <v>1721</v>
      </c>
      <c r="R32" s="97" t="s">
        <v>1846</v>
      </c>
      <c r="S32" s="99">
        <v>0</v>
      </c>
      <c r="T32" s="98">
        <v>1</v>
      </c>
      <c r="U32" s="97" t="s">
        <v>1722</v>
      </c>
      <c r="V32" s="100">
        <v>0</v>
      </c>
      <c r="W32" s="100">
        <v>0</v>
      </c>
      <c r="X32" s="100" t="s">
        <v>1721</v>
      </c>
      <c r="Y32" s="97"/>
      <c r="Z32" s="97"/>
      <c r="AA32" s="97"/>
      <c r="AB32" s="97"/>
      <c r="AC32" s="97"/>
      <c r="AD32" s="99"/>
      <c r="AE32" s="99"/>
      <c r="AF32" s="99"/>
      <c r="AG32" s="97"/>
      <c r="AH32" s="99"/>
      <c r="AI32" s="97"/>
      <c r="AJ32" s="99"/>
      <c r="AK32" s="97"/>
      <c r="AL32" s="97"/>
      <c r="AM32" s="97"/>
      <c r="AN32" s="99"/>
      <c r="AO32" s="99"/>
      <c r="AP32" s="99"/>
      <c r="AQ32" s="97"/>
      <c r="AR32" s="99"/>
      <c r="AS32" s="97"/>
      <c r="AT32" s="99"/>
      <c r="AU32" s="97"/>
      <c r="AV32" s="97"/>
      <c r="AW32" s="97"/>
      <c r="AX32" s="99"/>
      <c r="AY32" s="99"/>
      <c r="AZ32" s="99"/>
      <c r="BA32" s="97"/>
      <c r="BB32" s="99"/>
      <c r="BC32" s="97"/>
      <c r="BD32" s="99"/>
      <c r="BE32" s="99"/>
      <c r="BF32" s="99"/>
      <c r="BG32" s="97"/>
      <c r="BH32" s="97"/>
      <c r="BI32" s="97"/>
      <c r="BJ32" s="97"/>
      <c r="BK32" s="99"/>
      <c r="BL32" s="97"/>
      <c r="BM32" s="99"/>
      <c r="BN32" s="99"/>
      <c r="BO32" s="97"/>
      <c r="BP32" s="99"/>
      <c r="BQ32" s="99"/>
      <c r="BR32" s="99"/>
      <c r="BS32" s="97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7"/>
      <c r="CH32" s="97"/>
      <c r="CI32" s="97"/>
      <c r="CJ32" s="99"/>
      <c r="CK32" s="99"/>
      <c r="CL32" s="99"/>
      <c r="CM32" s="99"/>
      <c r="CN32" s="97"/>
      <c r="CO32" s="99"/>
      <c r="CP32" s="97"/>
      <c r="CQ32" s="99"/>
      <c r="CR32" s="97"/>
      <c r="CS32" s="99"/>
      <c r="CT32" s="99"/>
      <c r="CU32" s="99"/>
      <c r="CV32" s="97"/>
      <c r="CW32" s="99"/>
      <c r="CX32" s="99"/>
      <c r="CY32" s="99"/>
      <c r="CZ32" s="99"/>
      <c r="DA32" s="97"/>
      <c r="DB32" s="97"/>
      <c r="DC32" s="99"/>
      <c r="DD32" s="99"/>
      <c r="DE32" s="97"/>
      <c r="DF32" s="97"/>
      <c r="DG32" s="97"/>
      <c r="DH32" s="97"/>
      <c r="DI32" s="94" t="s">
        <v>1847</v>
      </c>
      <c r="DJ32" s="94" t="s">
        <v>1838</v>
      </c>
      <c r="DK32" s="94" t="s">
        <v>1839</v>
      </c>
      <c r="DL32" s="94" t="s">
        <v>1840</v>
      </c>
      <c r="DM32" s="94">
        <v>1</v>
      </c>
      <c r="DN32" s="94" t="s">
        <v>1896</v>
      </c>
      <c r="DO32" s="94">
        <v>10</v>
      </c>
      <c r="DP32" s="94" t="s">
        <v>1714</v>
      </c>
      <c r="DQ32" s="94">
        <v>0</v>
      </c>
      <c r="DR32" s="94" t="s">
        <v>1714</v>
      </c>
      <c r="DS32" s="95">
        <v>0</v>
      </c>
      <c r="DT32" s="108"/>
      <c r="DU32" s="108"/>
      <c r="DV32" s="108"/>
      <c r="DW32" s="108"/>
      <c r="DX32" s="108"/>
    </row>
    <row r="33" spans="1:128" ht="24.95" customHeight="1">
      <c r="A33" s="96" t="s">
        <v>1897</v>
      </c>
      <c r="B33" s="97" t="s">
        <v>1898</v>
      </c>
      <c r="C33" s="97" t="s">
        <v>1845</v>
      </c>
      <c r="D33" s="98">
        <v>1</v>
      </c>
      <c r="E33" s="98">
        <v>1</v>
      </c>
      <c r="F33" s="98">
        <v>0</v>
      </c>
      <c r="G33" s="99">
        <v>0</v>
      </c>
      <c r="H33" s="99">
        <v>0</v>
      </c>
      <c r="I33" s="99">
        <v>0</v>
      </c>
      <c r="J33" s="99">
        <v>0</v>
      </c>
      <c r="K33" s="97" t="s">
        <v>1846</v>
      </c>
      <c r="L33" s="97" t="s">
        <v>1714</v>
      </c>
      <c r="M33" s="97" t="s">
        <v>1714</v>
      </c>
      <c r="N33" s="99">
        <v>0</v>
      </c>
      <c r="O33" s="98">
        <v>0</v>
      </c>
      <c r="P33" s="97" t="s">
        <v>1720</v>
      </c>
      <c r="Q33" s="97" t="s">
        <v>1721</v>
      </c>
      <c r="R33" s="97" t="s">
        <v>1846</v>
      </c>
      <c r="S33" s="99">
        <v>0</v>
      </c>
      <c r="T33" s="98">
        <v>1</v>
      </c>
      <c r="U33" s="97" t="s">
        <v>1722</v>
      </c>
      <c r="V33" s="100">
        <v>0</v>
      </c>
      <c r="W33" s="100">
        <v>0</v>
      </c>
      <c r="X33" s="100" t="s">
        <v>1721</v>
      </c>
      <c r="Y33" s="97"/>
      <c r="Z33" s="97"/>
      <c r="AA33" s="97"/>
      <c r="AB33" s="97"/>
      <c r="AC33" s="97"/>
      <c r="AD33" s="99"/>
      <c r="AE33" s="99"/>
      <c r="AF33" s="99"/>
      <c r="AG33" s="97"/>
      <c r="AH33" s="99"/>
      <c r="AI33" s="97"/>
      <c r="AJ33" s="99"/>
      <c r="AK33" s="97"/>
      <c r="AL33" s="97"/>
      <c r="AM33" s="97"/>
      <c r="AN33" s="99"/>
      <c r="AO33" s="99"/>
      <c r="AP33" s="99"/>
      <c r="AQ33" s="97"/>
      <c r="AR33" s="99"/>
      <c r="AS33" s="97"/>
      <c r="AT33" s="99"/>
      <c r="AU33" s="97"/>
      <c r="AV33" s="97"/>
      <c r="AW33" s="97"/>
      <c r="AX33" s="99"/>
      <c r="AY33" s="99"/>
      <c r="AZ33" s="99"/>
      <c r="BA33" s="97"/>
      <c r="BB33" s="99"/>
      <c r="BC33" s="97"/>
      <c r="BD33" s="99"/>
      <c r="BE33" s="99"/>
      <c r="BF33" s="99"/>
      <c r="BG33" s="97"/>
      <c r="BH33" s="97"/>
      <c r="BI33" s="97"/>
      <c r="BJ33" s="97"/>
      <c r="BK33" s="99"/>
      <c r="BL33" s="97"/>
      <c r="BM33" s="99"/>
      <c r="BN33" s="99"/>
      <c r="BO33" s="97"/>
      <c r="BP33" s="99"/>
      <c r="BQ33" s="99"/>
      <c r="BR33" s="99"/>
      <c r="BS33" s="97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7"/>
      <c r="CH33" s="97"/>
      <c r="CI33" s="97"/>
      <c r="CJ33" s="99"/>
      <c r="CK33" s="99"/>
      <c r="CL33" s="99"/>
      <c r="CM33" s="99"/>
      <c r="CN33" s="97"/>
      <c r="CO33" s="99"/>
      <c r="CP33" s="97"/>
      <c r="CQ33" s="99"/>
      <c r="CR33" s="97"/>
      <c r="CS33" s="99"/>
      <c r="CT33" s="99"/>
      <c r="CU33" s="99"/>
      <c r="CV33" s="97"/>
      <c r="CW33" s="99"/>
      <c r="CX33" s="99"/>
      <c r="CY33" s="99"/>
      <c r="CZ33" s="99"/>
      <c r="DA33" s="97"/>
      <c r="DB33" s="97"/>
      <c r="DC33" s="99"/>
      <c r="DD33" s="99"/>
      <c r="DE33" s="97"/>
      <c r="DF33" s="97"/>
      <c r="DG33" s="97"/>
      <c r="DH33" s="97"/>
      <c r="DI33" s="94" t="s">
        <v>1847</v>
      </c>
      <c r="DJ33" s="94" t="s">
        <v>1838</v>
      </c>
      <c r="DK33" s="94" t="s">
        <v>1839</v>
      </c>
      <c r="DL33" s="94" t="s">
        <v>1840</v>
      </c>
      <c r="DM33" s="94">
        <v>1</v>
      </c>
      <c r="DN33" s="94" t="s">
        <v>1899</v>
      </c>
      <c r="DO33" s="94">
        <v>10</v>
      </c>
      <c r="DP33" s="94" t="s">
        <v>1714</v>
      </c>
      <c r="DQ33" s="94">
        <v>0</v>
      </c>
      <c r="DR33" s="94" t="s">
        <v>1714</v>
      </c>
      <c r="DS33" s="95">
        <v>0</v>
      </c>
      <c r="DT33" s="108"/>
      <c r="DU33" s="108"/>
      <c r="DV33" s="108"/>
      <c r="DW33" s="108"/>
      <c r="DX33" s="108"/>
    </row>
    <row r="34" spans="1:128" ht="24.95" customHeight="1">
      <c r="A34" s="96" t="s">
        <v>1900</v>
      </c>
      <c r="B34" s="97" t="s">
        <v>1901</v>
      </c>
      <c r="C34" s="97" t="s">
        <v>1902</v>
      </c>
      <c r="D34" s="98">
        <v>1</v>
      </c>
      <c r="E34" s="98">
        <v>1</v>
      </c>
      <c r="F34" s="98">
        <v>0</v>
      </c>
      <c r="G34" s="99">
        <v>0</v>
      </c>
      <c r="H34" s="99">
        <v>0</v>
      </c>
      <c r="I34" s="99">
        <v>0</v>
      </c>
      <c r="J34" s="99">
        <v>0</v>
      </c>
      <c r="K34" s="97" t="s">
        <v>1846</v>
      </c>
      <c r="L34" s="97" t="s">
        <v>1714</v>
      </c>
      <c r="M34" s="97" t="s">
        <v>1714</v>
      </c>
      <c r="N34" s="99">
        <v>0</v>
      </c>
      <c r="O34" s="98">
        <v>0</v>
      </c>
      <c r="P34" s="97" t="s">
        <v>1720</v>
      </c>
      <c r="Q34" s="97" t="s">
        <v>1721</v>
      </c>
      <c r="R34" s="97" t="s">
        <v>1846</v>
      </c>
      <c r="S34" s="99">
        <v>0</v>
      </c>
      <c r="T34" s="98">
        <v>1</v>
      </c>
      <c r="U34" s="97" t="s">
        <v>1722</v>
      </c>
      <c r="V34" s="100">
        <v>0</v>
      </c>
      <c r="W34" s="100">
        <v>0</v>
      </c>
      <c r="X34" s="100" t="s">
        <v>1721</v>
      </c>
      <c r="Y34" s="97"/>
      <c r="Z34" s="97"/>
      <c r="AA34" s="97"/>
      <c r="AB34" s="97"/>
      <c r="AC34" s="97"/>
      <c r="AD34" s="99"/>
      <c r="AE34" s="99"/>
      <c r="AF34" s="99"/>
      <c r="AG34" s="97"/>
      <c r="AH34" s="99"/>
      <c r="AI34" s="97"/>
      <c r="AJ34" s="99"/>
      <c r="AK34" s="97"/>
      <c r="AL34" s="97"/>
      <c r="AM34" s="97"/>
      <c r="AN34" s="99"/>
      <c r="AO34" s="99"/>
      <c r="AP34" s="99"/>
      <c r="AQ34" s="97"/>
      <c r="AR34" s="99"/>
      <c r="AS34" s="97"/>
      <c r="AT34" s="99"/>
      <c r="AU34" s="97"/>
      <c r="AV34" s="97"/>
      <c r="AW34" s="97"/>
      <c r="AX34" s="99"/>
      <c r="AY34" s="99"/>
      <c r="AZ34" s="99"/>
      <c r="BA34" s="97"/>
      <c r="BB34" s="99"/>
      <c r="BC34" s="97"/>
      <c r="BD34" s="99"/>
      <c r="BE34" s="99"/>
      <c r="BF34" s="99"/>
      <c r="BG34" s="97"/>
      <c r="BH34" s="97"/>
      <c r="BI34" s="97"/>
      <c r="BJ34" s="97"/>
      <c r="BK34" s="99"/>
      <c r="BL34" s="97"/>
      <c r="BM34" s="99"/>
      <c r="BN34" s="99"/>
      <c r="BO34" s="97"/>
      <c r="BP34" s="99"/>
      <c r="BQ34" s="99"/>
      <c r="BR34" s="99"/>
      <c r="BS34" s="97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7"/>
      <c r="CH34" s="97"/>
      <c r="CI34" s="97"/>
      <c r="CJ34" s="99"/>
      <c r="CK34" s="99"/>
      <c r="CL34" s="99"/>
      <c r="CM34" s="99"/>
      <c r="CN34" s="97"/>
      <c r="CO34" s="99"/>
      <c r="CP34" s="97"/>
      <c r="CQ34" s="99"/>
      <c r="CR34" s="97"/>
      <c r="CS34" s="99"/>
      <c r="CT34" s="99"/>
      <c r="CU34" s="99"/>
      <c r="CV34" s="97"/>
      <c r="CW34" s="99"/>
      <c r="CX34" s="99"/>
      <c r="CY34" s="99"/>
      <c r="CZ34" s="99"/>
      <c r="DA34" s="97"/>
      <c r="DB34" s="97"/>
      <c r="DC34" s="99"/>
      <c r="DD34" s="99"/>
      <c r="DE34" s="97"/>
      <c r="DF34" s="97"/>
      <c r="DG34" s="97"/>
      <c r="DH34" s="97"/>
      <c r="DI34" s="94" t="s">
        <v>1847</v>
      </c>
      <c r="DJ34" s="94" t="s">
        <v>1838</v>
      </c>
      <c r="DK34" s="94" t="s">
        <v>1839</v>
      </c>
      <c r="DL34" s="94" t="s">
        <v>1840</v>
      </c>
      <c r="DM34" s="94">
        <v>1</v>
      </c>
      <c r="DN34" s="94" t="s">
        <v>1903</v>
      </c>
      <c r="DO34" s="94">
        <v>0</v>
      </c>
      <c r="DP34" s="94" t="s">
        <v>1714</v>
      </c>
      <c r="DQ34" s="94">
        <v>0</v>
      </c>
      <c r="DR34" s="94" t="s">
        <v>1714</v>
      </c>
      <c r="DS34" s="95">
        <v>0</v>
      </c>
      <c r="DT34" s="108"/>
      <c r="DU34" s="108"/>
      <c r="DV34" s="108"/>
      <c r="DW34" s="108"/>
      <c r="DX34" s="108"/>
    </row>
    <row r="35" spans="1:128" ht="24.95" customHeight="1">
      <c r="A35" s="96" t="s">
        <v>1904</v>
      </c>
      <c r="B35" s="97" t="s">
        <v>1905</v>
      </c>
      <c r="C35" s="97" t="s">
        <v>1902</v>
      </c>
      <c r="D35" s="98">
        <v>1</v>
      </c>
      <c r="E35" s="98">
        <v>1</v>
      </c>
      <c r="F35" s="98">
        <v>0</v>
      </c>
      <c r="G35" s="99">
        <v>0</v>
      </c>
      <c r="H35" s="99">
        <v>0</v>
      </c>
      <c r="I35" s="99">
        <v>0</v>
      </c>
      <c r="J35" s="99">
        <v>0</v>
      </c>
      <c r="K35" s="97" t="s">
        <v>1846</v>
      </c>
      <c r="L35" s="97" t="s">
        <v>1714</v>
      </c>
      <c r="M35" s="97" t="s">
        <v>1714</v>
      </c>
      <c r="N35" s="99">
        <v>0</v>
      </c>
      <c r="O35" s="98">
        <v>0</v>
      </c>
      <c r="P35" s="97" t="s">
        <v>1720</v>
      </c>
      <c r="Q35" s="97" t="s">
        <v>1721</v>
      </c>
      <c r="R35" s="97" t="s">
        <v>1846</v>
      </c>
      <c r="S35" s="99">
        <v>0</v>
      </c>
      <c r="T35" s="98">
        <v>1</v>
      </c>
      <c r="U35" s="97" t="s">
        <v>1722</v>
      </c>
      <c r="V35" s="100">
        <v>0</v>
      </c>
      <c r="W35" s="100">
        <v>0</v>
      </c>
      <c r="X35" s="100" t="s">
        <v>1721</v>
      </c>
      <c r="Y35" s="97"/>
      <c r="Z35" s="97"/>
      <c r="AA35" s="97"/>
      <c r="AB35" s="97"/>
      <c r="AC35" s="97"/>
      <c r="AD35" s="99"/>
      <c r="AE35" s="99"/>
      <c r="AF35" s="99"/>
      <c r="AG35" s="97"/>
      <c r="AH35" s="99"/>
      <c r="AI35" s="97"/>
      <c r="AJ35" s="99"/>
      <c r="AK35" s="97"/>
      <c r="AL35" s="97"/>
      <c r="AM35" s="97"/>
      <c r="AN35" s="99"/>
      <c r="AO35" s="99"/>
      <c r="AP35" s="99"/>
      <c r="AQ35" s="97"/>
      <c r="AR35" s="99"/>
      <c r="AS35" s="97"/>
      <c r="AT35" s="99"/>
      <c r="AU35" s="97"/>
      <c r="AV35" s="97"/>
      <c r="AW35" s="97"/>
      <c r="AX35" s="99"/>
      <c r="AY35" s="99"/>
      <c r="AZ35" s="99"/>
      <c r="BA35" s="97"/>
      <c r="BB35" s="99"/>
      <c r="BC35" s="97"/>
      <c r="BD35" s="99"/>
      <c r="BE35" s="99"/>
      <c r="BF35" s="99"/>
      <c r="BG35" s="97"/>
      <c r="BH35" s="97"/>
      <c r="BI35" s="97"/>
      <c r="BJ35" s="97"/>
      <c r="BK35" s="99"/>
      <c r="BL35" s="97"/>
      <c r="BM35" s="99"/>
      <c r="BN35" s="99"/>
      <c r="BO35" s="97"/>
      <c r="BP35" s="99"/>
      <c r="BQ35" s="99"/>
      <c r="BR35" s="99"/>
      <c r="BS35" s="97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7"/>
      <c r="CH35" s="97"/>
      <c r="CI35" s="97"/>
      <c r="CJ35" s="99"/>
      <c r="CK35" s="99"/>
      <c r="CL35" s="99"/>
      <c r="CM35" s="99"/>
      <c r="CN35" s="97"/>
      <c r="CO35" s="99"/>
      <c r="CP35" s="97"/>
      <c r="CQ35" s="99"/>
      <c r="CR35" s="97"/>
      <c r="CS35" s="99"/>
      <c r="CT35" s="99"/>
      <c r="CU35" s="99"/>
      <c r="CV35" s="97"/>
      <c r="CW35" s="99"/>
      <c r="CX35" s="99"/>
      <c r="CY35" s="99"/>
      <c r="CZ35" s="99"/>
      <c r="DA35" s="97"/>
      <c r="DB35" s="97"/>
      <c r="DC35" s="99"/>
      <c r="DD35" s="99"/>
      <c r="DE35" s="97"/>
      <c r="DF35" s="97"/>
      <c r="DG35" s="97"/>
      <c r="DH35" s="97"/>
      <c r="DI35" s="94" t="s">
        <v>1847</v>
      </c>
      <c r="DJ35" s="94" t="s">
        <v>1838</v>
      </c>
      <c r="DK35" s="94" t="s">
        <v>1839</v>
      </c>
      <c r="DL35" s="94" t="s">
        <v>1840</v>
      </c>
      <c r="DM35" s="94">
        <v>1</v>
      </c>
      <c r="DN35" s="94" t="s">
        <v>1906</v>
      </c>
      <c r="DO35" s="94">
        <v>0</v>
      </c>
      <c r="DP35" s="94" t="s">
        <v>1714</v>
      </c>
      <c r="DQ35" s="94">
        <v>0</v>
      </c>
      <c r="DR35" s="94" t="s">
        <v>1714</v>
      </c>
      <c r="DS35" s="95">
        <v>0</v>
      </c>
      <c r="DT35" s="108"/>
      <c r="DU35" s="108"/>
      <c r="DV35" s="108"/>
      <c r="DW35" s="108"/>
      <c r="DX35" s="108"/>
    </row>
    <row r="36" spans="1:128" ht="24.95" customHeight="1">
      <c r="A36" s="96" t="s">
        <v>1907</v>
      </c>
      <c r="B36" s="97" t="s">
        <v>1908</v>
      </c>
      <c r="C36" s="97" t="s">
        <v>1845</v>
      </c>
      <c r="D36" s="98">
        <v>1</v>
      </c>
      <c r="E36" s="98">
        <v>1</v>
      </c>
      <c r="F36" s="98">
        <v>0</v>
      </c>
      <c r="G36" s="99">
        <v>0</v>
      </c>
      <c r="H36" s="99">
        <v>0</v>
      </c>
      <c r="I36" s="99">
        <v>0</v>
      </c>
      <c r="J36" s="99">
        <v>0</v>
      </c>
      <c r="K36" s="97" t="s">
        <v>1846</v>
      </c>
      <c r="L36" s="97" t="s">
        <v>1714</v>
      </c>
      <c r="M36" s="97" t="s">
        <v>1714</v>
      </c>
      <c r="N36" s="99">
        <v>0</v>
      </c>
      <c r="O36" s="98">
        <v>0</v>
      </c>
      <c r="P36" s="97" t="s">
        <v>1720</v>
      </c>
      <c r="Q36" s="97" t="s">
        <v>1721</v>
      </c>
      <c r="R36" s="97" t="s">
        <v>1846</v>
      </c>
      <c r="S36" s="99">
        <v>0</v>
      </c>
      <c r="T36" s="98">
        <v>1</v>
      </c>
      <c r="U36" s="97" t="s">
        <v>1722</v>
      </c>
      <c r="V36" s="100">
        <v>0</v>
      </c>
      <c r="W36" s="100">
        <v>0</v>
      </c>
      <c r="X36" s="100" t="s">
        <v>1721</v>
      </c>
      <c r="Y36" s="97"/>
      <c r="Z36" s="97"/>
      <c r="AA36" s="97"/>
      <c r="AB36" s="97"/>
      <c r="AC36" s="97"/>
      <c r="AD36" s="99"/>
      <c r="AE36" s="99"/>
      <c r="AF36" s="99"/>
      <c r="AG36" s="97"/>
      <c r="AH36" s="99"/>
      <c r="AI36" s="97"/>
      <c r="AJ36" s="99"/>
      <c r="AK36" s="97"/>
      <c r="AL36" s="97"/>
      <c r="AM36" s="97"/>
      <c r="AN36" s="99"/>
      <c r="AO36" s="99"/>
      <c r="AP36" s="99"/>
      <c r="AQ36" s="97"/>
      <c r="AR36" s="99"/>
      <c r="AS36" s="97"/>
      <c r="AT36" s="99"/>
      <c r="AU36" s="97"/>
      <c r="AV36" s="97"/>
      <c r="AW36" s="97"/>
      <c r="AX36" s="99"/>
      <c r="AY36" s="99"/>
      <c r="AZ36" s="99"/>
      <c r="BA36" s="97"/>
      <c r="BB36" s="99"/>
      <c r="BC36" s="97"/>
      <c r="BD36" s="99"/>
      <c r="BE36" s="99"/>
      <c r="BF36" s="99"/>
      <c r="BG36" s="97"/>
      <c r="BH36" s="97"/>
      <c r="BI36" s="97"/>
      <c r="BJ36" s="97"/>
      <c r="BK36" s="99"/>
      <c r="BL36" s="97"/>
      <c r="BM36" s="99"/>
      <c r="BN36" s="99"/>
      <c r="BO36" s="97"/>
      <c r="BP36" s="99"/>
      <c r="BQ36" s="99"/>
      <c r="BR36" s="99"/>
      <c r="BS36" s="97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7"/>
      <c r="CH36" s="97"/>
      <c r="CI36" s="97"/>
      <c r="CJ36" s="99"/>
      <c r="CK36" s="99"/>
      <c r="CL36" s="99"/>
      <c r="CM36" s="99"/>
      <c r="CN36" s="97"/>
      <c r="CO36" s="99"/>
      <c r="CP36" s="97"/>
      <c r="CQ36" s="99"/>
      <c r="CR36" s="97"/>
      <c r="CS36" s="99"/>
      <c r="CT36" s="99"/>
      <c r="CU36" s="99"/>
      <c r="CV36" s="97"/>
      <c r="CW36" s="99"/>
      <c r="CX36" s="99"/>
      <c r="CY36" s="99"/>
      <c r="CZ36" s="99"/>
      <c r="DA36" s="97"/>
      <c r="DB36" s="97"/>
      <c r="DC36" s="99"/>
      <c r="DD36" s="99"/>
      <c r="DE36" s="97"/>
      <c r="DF36" s="97"/>
      <c r="DG36" s="97"/>
      <c r="DH36" s="97"/>
      <c r="DI36" s="94" t="s">
        <v>1847</v>
      </c>
      <c r="DJ36" s="94" t="s">
        <v>1838</v>
      </c>
      <c r="DK36" s="94" t="s">
        <v>1839</v>
      </c>
      <c r="DL36" s="94" t="s">
        <v>1840</v>
      </c>
      <c r="DM36" s="94">
        <v>1</v>
      </c>
      <c r="DN36" s="94" t="s">
        <v>1909</v>
      </c>
      <c r="DO36" s="94">
        <v>10</v>
      </c>
      <c r="DP36" s="94" t="s">
        <v>1714</v>
      </c>
      <c r="DQ36" s="94">
        <v>0</v>
      </c>
      <c r="DR36" s="94" t="s">
        <v>1714</v>
      </c>
      <c r="DS36" s="95">
        <v>0</v>
      </c>
      <c r="DT36" s="108"/>
      <c r="DU36" s="108"/>
      <c r="DV36" s="108"/>
      <c r="DW36" s="108"/>
      <c r="DX36" s="108"/>
    </row>
    <row r="37" spans="1:128" ht="24.95" customHeight="1">
      <c r="A37" s="96" t="s">
        <v>1910</v>
      </c>
      <c r="B37" s="97" t="s">
        <v>1911</v>
      </c>
      <c r="C37" s="97" t="s">
        <v>1845</v>
      </c>
      <c r="D37" s="98">
        <v>1</v>
      </c>
      <c r="E37" s="98">
        <v>1</v>
      </c>
      <c r="F37" s="98">
        <v>0</v>
      </c>
      <c r="G37" s="99">
        <v>0</v>
      </c>
      <c r="H37" s="99">
        <v>0</v>
      </c>
      <c r="I37" s="99">
        <v>0</v>
      </c>
      <c r="J37" s="99">
        <v>0</v>
      </c>
      <c r="K37" s="97" t="s">
        <v>1846</v>
      </c>
      <c r="L37" s="97" t="s">
        <v>1714</v>
      </c>
      <c r="M37" s="97" t="s">
        <v>1714</v>
      </c>
      <c r="N37" s="99">
        <v>0</v>
      </c>
      <c r="O37" s="98">
        <v>0</v>
      </c>
      <c r="P37" s="97" t="s">
        <v>1720</v>
      </c>
      <c r="Q37" s="97" t="s">
        <v>1721</v>
      </c>
      <c r="R37" s="97" t="s">
        <v>1846</v>
      </c>
      <c r="S37" s="99">
        <v>0</v>
      </c>
      <c r="T37" s="98">
        <v>1</v>
      </c>
      <c r="U37" s="97" t="s">
        <v>1722</v>
      </c>
      <c r="V37" s="100">
        <v>0</v>
      </c>
      <c r="W37" s="100">
        <v>0</v>
      </c>
      <c r="X37" s="100" t="s">
        <v>1721</v>
      </c>
      <c r="Y37" s="97"/>
      <c r="Z37" s="97"/>
      <c r="AA37" s="97"/>
      <c r="AB37" s="97"/>
      <c r="AC37" s="97"/>
      <c r="AD37" s="99"/>
      <c r="AE37" s="99"/>
      <c r="AF37" s="99"/>
      <c r="AG37" s="97"/>
      <c r="AH37" s="99"/>
      <c r="AI37" s="97"/>
      <c r="AJ37" s="99"/>
      <c r="AK37" s="97"/>
      <c r="AL37" s="97"/>
      <c r="AM37" s="97"/>
      <c r="AN37" s="99"/>
      <c r="AO37" s="99"/>
      <c r="AP37" s="99"/>
      <c r="AQ37" s="97"/>
      <c r="AR37" s="99"/>
      <c r="AS37" s="97"/>
      <c r="AT37" s="99"/>
      <c r="AU37" s="97"/>
      <c r="AV37" s="97"/>
      <c r="AW37" s="97"/>
      <c r="AX37" s="99"/>
      <c r="AY37" s="99"/>
      <c r="AZ37" s="99"/>
      <c r="BA37" s="97"/>
      <c r="BB37" s="99"/>
      <c r="BC37" s="97"/>
      <c r="BD37" s="99"/>
      <c r="BE37" s="99"/>
      <c r="BF37" s="99"/>
      <c r="BG37" s="97"/>
      <c r="BH37" s="97"/>
      <c r="BI37" s="97"/>
      <c r="BJ37" s="97"/>
      <c r="BK37" s="99"/>
      <c r="BL37" s="97"/>
      <c r="BM37" s="99"/>
      <c r="BN37" s="99"/>
      <c r="BO37" s="97"/>
      <c r="BP37" s="99"/>
      <c r="BQ37" s="99"/>
      <c r="BR37" s="99"/>
      <c r="BS37" s="97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7"/>
      <c r="CH37" s="97"/>
      <c r="CI37" s="97"/>
      <c r="CJ37" s="99"/>
      <c r="CK37" s="99"/>
      <c r="CL37" s="99"/>
      <c r="CM37" s="99"/>
      <c r="CN37" s="97"/>
      <c r="CO37" s="99"/>
      <c r="CP37" s="97"/>
      <c r="CQ37" s="99"/>
      <c r="CR37" s="97"/>
      <c r="CS37" s="99"/>
      <c r="CT37" s="99"/>
      <c r="CU37" s="99"/>
      <c r="CV37" s="97"/>
      <c r="CW37" s="99"/>
      <c r="CX37" s="99"/>
      <c r="CY37" s="99"/>
      <c r="CZ37" s="99"/>
      <c r="DA37" s="97"/>
      <c r="DB37" s="97"/>
      <c r="DC37" s="99"/>
      <c r="DD37" s="99"/>
      <c r="DE37" s="97"/>
      <c r="DF37" s="97"/>
      <c r="DG37" s="97"/>
      <c r="DH37" s="97"/>
      <c r="DI37" s="94" t="s">
        <v>1847</v>
      </c>
      <c r="DJ37" s="94" t="s">
        <v>1838</v>
      </c>
      <c r="DK37" s="94" t="s">
        <v>1839</v>
      </c>
      <c r="DL37" s="94" t="s">
        <v>1840</v>
      </c>
      <c r="DM37" s="94">
        <v>1</v>
      </c>
      <c r="DN37" s="94" t="s">
        <v>1912</v>
      </c>
      <c r="DO37" s="94">
        <v>1</v>
      </c>
      <c r="DP37" s="94" t="s">
        <v>1714</v>
      </c>
      <c r="DQ37" s="94">
        <v>0</v>
      </c>
      <c r="DR37" s="94" t="s">
        <v>1714</v>
      </c>
      <c r="DS37" s="95">
        <v>0</v>
      </c>
      <c r="DT37" s="108"/>
      <c r="DU37" s="108"/>
      <c r="DV37" s="108"/>
      <c r="DW37" s="108"/>
      <c r="DX37" s="108"/>
    </row>
    <row r="38" spans="1:128" ht="24.95" customHeight="1">
      <c r="A38" s="96" t="s">
        <v>1913</v>
      </c>
      <c r="B38" s="97" t="s">
        <v>1914</v>
      </c>
      <c r="C38" s="97" t="s">
        <v>1845</v>
      </c>
      <c r="D38" s="98">
        <v>1</v>
      </c>
      <c r="E38" s="98">
        <v>1</v>
      </c>
      <c r="F38" s="98">
        <v>0</v>
      </c>
      <c r="G38" s="99">
        <v>0</v>
      </c>
      <c r="H38" s="99">
        <v>0</v>
      </c>
      <c r="I38" s="99">
        <v>0</v>
      </c>
      <c r="J38" s="99">
        <v>0</v>
      </c>
      <c r="K38" s="97" t="s">
        <v>1846</v>
      </c>
      <c r="L38" s="97" t="s">
        <v>1714</v>
      </c>
      <c r="M38" s="97" t="s">
        <v>1714</v>
      </c>
      <c r="N38" s="99">
        <v>0</v>
      </c>
      <c r="O38" s="98">
        <v>0</v>
      </c>
      <c r="P38" s="97" t="s">
        <v>1720</v>
      </c>
      <c r="Q38" s="97" t="s">
        <v>1721</v>
      </c>
      <c r="R38" s="97" t="s">
        <v>1846</v>
      </c>
      <c r="S38" s="99">
        <v>0</v>
      </c>
      <c r="T38" s="98">
        <v>1</v>
      </c>
      <c r="U38" s="97" t="s">
        <v>1722</v>
      </c>
      <c r="V38" s="100">
        <v>0</v>
      </c>
      <c r="W38" s="100">
        <v>0</v>
      </c>
      <c r="X38" s="100" t="s">
        <v>1721</v>
      </c>
      <c r="Y38" s="97"/>
      <c r="Z38" s="97"/>
      <c r="AA38" s="97"/>
      <c r="AB38" s="97"/>
      <c r="AC38" s="97"/>
      <c r="AD38" s="99"/>
      <c r="AE38" s="99"/>
      <c r="AF38" s="99"/>
      <c r="AG38" s="97"/>
      <c r="AH38" s="99"/>
      <c r="AI38" s="97"/>
      <c r="AJ38" s="99"/>
      <c r="AK38" s="97"/>
      <c r="AL38" s="97"/>
      <c r="AM38" s="97"/>
      <c r="AN38" s="99"/>
      <c r="AO38" s="99"/>
      <c r="AP38" s="99"/>
      <c r="AQ38" s="97"/>
      <c r="AR38" s="99"/>
      <c r="AS38" s="97"/>
      <c r="AT38" s="99"/>
      <c r="AU38" s="97"/>
      <c r="AV38" s="97"/>
      <c r="AW38" s="97"/>
      <c r="AX38" s="99"/>
      <c r="AY38" s="99"/>
      <c r="AZ38" s="99"/>
      <c r="BA38" s="97"/>
      <c r="BB38" s="99"/>
      <c r="BC38" s="97"/>
      <c r="BD38" s="99"/>
      <c r="BE38" s="99"/>
      <c r="BF38" s="99"/>
      <c r="BG38" s="97"/>
      <c r="BH38" s="97"/>
      <c r="BI38" s="97"/>
      <c r="BJ38" s="97"/>
      <c r="BK38" s="99"/>
      <c r="BL38" s="97"/>
      <c r="BM38" s="99"/>
      <c r="BN38" s="99"/>
      <c r="BO38" s="97"/>
      <c r="BP38" s="99"/>
      <c r="BQ38" s="99"/>
      <c r="BR38" s="99"/>
      <c r="BS38" s="97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7"/>
      <c r="CH38" s="97"/>
      <c r="CI38" s="97"/>
      <c r="CJ38" s="99"/>
      <c r="CK38" s="99"/>
      <c r="CL38" s="99"/>
      <c r="CM38" s="99"/>
      <c r="CN38" s="97"/>
      <c r="CO38" s="99"/>
      <c r="CP38" s="97"/>
      <c r="CQ38" s="99"/>
      <c r="CR38" s="97"/>
      <c r="CS38" s="99"/>
      <c r="CT38" s="99"/>
      <c r="CU38" s="99"/>
      <c r="CV38" s="97"/>
      <c r="CW38" s="99"/>
      <c r="CX38" s="99"/>
      <c r="CY38" s="99"/>
      <c r="CZ38" s="99"/>
      <c r="DA38" s="97"/>
      <c r="DB38" s="97"/>
      <c r="DC38" s="99"/>
      <c r="DD38" s="99"/>
      <c r="DE38" s="97"/>
      <c r="DF38" s="97"/>
      <c r="DG38" s="97"/>
      <c r="DH38" s="97"/>
      <c r="DI38" s="94" t="s">
        <v>1847</v>
      </c>
      <c r="DJ38" s="94" t="s">
        <v>1838</v>
      </c>
      <c r="DK38" s="94" t="s">
        <v>1839</v>
      </c>
      <c r="DL38" s="94" t="s">
        <v>1840</v>
      </c>
      <c r="DM38" s="94">
        <v>1</v>
      </c>
      <c r="DN38" s="94" t="s">
        <v>1915</v>
      </c>
      <c r="DO38" s="94">
        <v>1</v>
      </c>
      <c r="DP38" s="94" t="s">
        <v>1714</v>
      </c>
      <c r="DQ38" s="94">
        <v>0</v>
      </c>
      <c r="DR38" s="94" t="s">
        <v>1714</v>
      </c>
      <c r="DS38" s="95">
        <v>0</v>
      </c>
      <c r="DT38" s="108"/>
      <c r="DU38" s="108"/>
      <c r="DV38" s="108"/>
      <c r="DW38" s="108"/>
      <c r="DX38" s="108"/>
    </row>
    <row r="39" spans="1:128" ht="24.95" customHeight="1">
      <c r="A39" s="101" t="s">
        <v>1916</v>
      </c>
      <c r="B39" s="102" t="s">
        <v>1917</v>
      </c>
      <c r="C39" s="102" t="s">
        <v>1845</v>
      </c>
      <c r="D39" s="103">
        <v>1</v>
      </c>
      <c r="E39" s="103">
        <v>1</v>
      </c>
      <c r="F39" s="103">
        <v>0</v>
      </c>
      <c r="G39" s="104">
        <v>0</v>
      </c>
      <c r="H39" s="104">
        <v>0</v>
      </c>
      <c r="I39" s="104">
        <v>0</v>
      </c>
      <c r="J39" s="104">
        <v>0</v>
      </c>
      <c r="K39" s="102" t="s">
        <v>1846</v>
      </c>
      <c r="L39" s="102" t="s">
        <v>1714</v>
      </c>
      <c r="M39" s="102" t="s">
        <v>1714</v>
      </c>
      <c r="N39" s="104">
        <v>0</v>
      </c>
      <c r="O39" s="103">
        <v>0</v>
      </c>
      <c r="P39" s="102" t="s">
        <v>1720</v>
      </c>
      <c r="Q39" s="102" t="s">
        <v>1721</v>
      </c>
      <c r="R39" s="102" t="s">
        <v>1846</v>
      </c>
      <c r="S39" s="104">
        <v>0</v>
      </c>
      <c r="T39" s="103">
        <v>1</v>
      </c>
      <c r="U39" s="102" t="s">
        <v>1722</v>
      </c>
      <c r="V39" s="105">
        <v>0</v>
      </c>
      <c r="W39" s="105">
        <v>0</v>
      </c>
      <c r="X39" s="105" t="s">
        <v>1721</v>
      </c>
      <c r="Y39" s="102"/>
      <c r="Z39" s="102"/>
      <c r="AA39" s="102"/>
      <c r="AB39" s="102"/>
      <c r="AC39" s="102"/>
      <c r="AD39" s="104"/>
      <c r="AE39" s="104"/>
      <c r="AF39" s="104"/>
      <c r="AG39" s="102"/>
      <c r="AH39" s="104"/>
      <c r="AI39" s="102"/>
      <c r="AJ39" s="104"/>
      <c r="AK39" s="102"/>
      <c r="AL39" s="102"/>
      <c r="AM39" s="102"/>
      <c r="AN39" s="104"/>
      <c r="AO39" s="104"/>
      <c r="AP39" s="104"/>
      <c r="AQ39" s="102"/>
      <c r="AR39" s="104"/>
      <c r="AS39" s="102"/>
      <c r="AT39" s="104"/>
      <c r="AU39" s="102"/>
      <c r="AV39" s="102"/>
      <c r="AW39" s="102"/>
      <c r="AX39" s="104"/>
      <c r="AY39" s="104"/>
      <c r="AZ39" s="104"/>
      <c r="BA39" s="102"/>
      <c r="BB39" s="104"/>
      <c r="BC39" s="102"/>
      <c r="BD39" s="104"/>
      <c r="BE39" s="104"/>
      <c r="BF39" s="104"/>
      <c r="BG39" s="102"/>
      <c r="BH39" s="102"/>
      <c r="BI39" s="102"/>
      <c r="BJ39" s="102"/>
      <c r="BK39" s="104"/>
      <c r="BL39" s="102"/>
      <c r="BM39" s="104"/>
      <c r="BN39" s="104"/>
      <c r="BO39" s="102"/>
      <c r="BP39" s="104"/>
      <c r="BQ39" s="104"/>
      <c r="BR39" s="104"/>
      <c r="BS39" s="102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2"/>
      <c r="CH39" s="102"/>
      <c r="CI39" s="102"/>
      <c r="CJ39" s="104"/>
      <c r="CK39" s="104"/>
      <c r="CL39" s="104"/>
      <c r="CM39" s="104"/>
      <c r="CN39" s="102"/>
      <c r="CO39" s="104"/>
      <c r="CP39" s="102"/>
      <c r="CQ39" s="104"/>
      <c r="CR39" s="102"/>
      <c r="CS39" s="104"/>
      <c r="CT39" s="104"/>
      <c r="CU39" s="104"/>
      <c r="CV39" s="102"/>
      <c r="CW39" s="104"/>
      <c r="CX39" s="104"/>
      <c r="CY39" s="104"/>
      <c r="CZ39" s="104"/>
      <c r="DA39" s="102"/>
      <c r="DB39" s="102"/>
      <c r="DC39" s="104"/>
      <c r="DD39" s="104"/>
      <c r="DE39" s="102"/>
      <c r="DF39" s="102"/>
      <c r="DG39" s="102"/>
      <c r="DH39" s="102"/>
      <c r="DI39" s="106" t="s">
        <v>1847</v>
      </c>
      <c r="DJ39" s="106" t="s">
        <v>1838</v>
      </c>
      <c r="DK39" s="106" t="s">
        <v>1839</v>
      </c>
      <c r="DL39" s="106" t="s">
        <v>1840</v>
      </c>
      <c r="DM39" s="106">
        <v>1</v>
      </c>
      <c r="DN39" s="106" t="s">
        <v>1918</v>
      </c>
      <c r="DO39" s="106">
        <v>10</v>
      </c>
      <c r="DP39" s="106" t="s">
        <v>1714</v>
      </c>
      <c r="DQ39" s="106">
        <v>0</v>
      </c>
      <c r="DR39" s="106" t="s">
        <v>1714</v>
      </c>
      <c r="DS39" s="107">
        <v>0</v>
      </c>
      <c r="DT39" s="108"/>
      <c r="DU39" s="108"/>
      <c r="DV39" s="108"/>
      <c r="DW39" s="108"/>
      <c r="DX39" s="108"/>
    </row>
    <row r="40" spans="1:128" ht="24.95" customHeight="1">
      <c r="A40" s="96" t="s">
        <v>1921</v>
      </c>
      <c r="B40" s="97" t="s">
        <v>1723</v>
      </c>
      <c r="C40" s="97" t="s">
        <v>1922</v>
      </c>
      <c r="D40" s="98">
        <v>1</v>
      </c>
      <c r="E40" s="98">
        <v>1</v>
      </c>
      <c r="F40" s="98">
        <v>10</v>
      </c>
      <c r="G40" s="99">
        <v>8</v>
      </c>
      <c r="H40" s="99">
        <v>0</v>
      </c>
      <c r="I40" s="99">
        <v>0.2</v>
      </c>
      <c r="J40" s="99">
        <v>6</v>
      </c>
      <c r="K40" s="97" t="s">
        <v>1846</v>
      </c>
      <c r="L40" s="97" t="s">
        <v>1708</v>
      </c>
      <c r="M40" s="97" t="s">
        <v>1726</v>
      </c>
      <c r="N40" s="99">
        <v>1.5</v>
      </c>
      <c r="O40" s="98">
        <v>0</v>
      </c>
      <c r="P40" s="97" t="s">
        <v>1720</v>
      </c>
      <c r="Q40" s="97" t="s">
        <v>1721</v>
      </c>
      <c r="R40" s="97" t="s">
        <v>1727</v>
      </c>
      <c r="S40" s="99">
        <v>3</v>
      </c>
      <c r="T40" s="98">
        <v>0</v>
      </c>
      <c r="U40" s="97" t="s">
        <v>1713</v>
      </c>
      <c r="V40" s="100">
        <v>1</v>
      </c>
      <c r="W40" s="100">
        <v>0.35</v>
      </c>
      <c r="X40" s="100" t="s">
        <v>1721</v>
      </c>
      <c r="Y40" s="97"/>
      <c r="Z40" s="97"/>
      <c r="AA40" s="97" t="s">
        <v>1714</v>
      </c>
      <c r="AB40" s="97" t="s">
        <v>1714</v>
      </c>
      <c r="AC40" s="97" t="s">
        <v>1714</v>
      </c>
      <c r="AD40" s="99">
        <v>0</v>
      </c>
      <c r="AE40" s="99">
        <v>0</v>
      </c>
      <c r="AF40" s="99">
        <v>0</v>
      </c>
      <c r="AG40" s="97" t="s">
        <v>1714</v>
      </c>
      <c r="AH40" s="99">
        <v>0</v>
      </c>
      <c r="AI40" s="97" t="s">
        <v>1715</v>
      </c>
      <c r="AJ40" s="99">
        <v>1</v>
      </c>
      <c r="AK40" s="97" t="s">
        <v>1714</v>
      </c>
      <c r="AL40" s="97" t="s">
        <v>1714</v>
      </c>
      <c r="AM40" s="97" t="s">
        <v>1714</v>
      </c>
      <c r="AN40" s="99">
        <v>0</v>
      </c>
      <c r="AO40" s="99">
        <v>0</v>
      </c>
      <c r="AP40" s="99">
        <v>0</v>
      </c>
      <c r="AQ40" s="97" t="s">
        <v>1714</v>
      </c>
      <c r="AR40" s="99">
        <v>0</v>
      </c>
      <c r="AS40" s="97" t="s">
        <v>1715</v>
      </c>
      <c r="AT40" s="99">
        <v>1</v>
      </c>
      <c r="AU40" s="97" t="s">
        <v>1714</v>
      </c>
      <c r="AV40" s="97" t="s">
        <v>1714</v>
      </c>
      <c r="AW40" s="97" t="s">
        <v>1714</v>
      </c>
      <c r="AX40" s="99">
        <v>0</v>
      </c>
      <c r="AY40" s="99">
        <v>0</v>
      </c>
      <c r="AZ40" s="99">
        <v>0</v>
      </c>
      <c r="BA40" s="97" t="s">
        <v>1714</v>
      </c>
      <c r="BB40" s="99">
        <v>0</v>
      </c>
      <c r="BC40" s="97" t="s">
        <v>1715</v>
      </c>
      <c r="BD40" s="99">
        <v>1</v>
      </c>
      <c r="BE40" s="99">
        <v>1</v>
      </c>
      <c r="BF40" s="99">
        <v>0.35</v>
      </c>
      <c r="BG40" s="97" t="s">
        <v>1721</v>
      </c>
      <c r="BH40" s="97"/>
      <c r="BI40" s="97" t="s">
        <v>1711</v>
      </c>
      <c r="BJ40" s="97" t="s">
        <v>1721</v>
      </c>
      <c r="BK40" s="99">
        <v>360</v>
      </c>
      <c r="BL40" s="97" t="s">
        <v>1721</v>
      </c>
      <c r="BM40" s="99">
        <v>0.3</v>
      </c>
      <c r="BN40" s="99">
        <v>2</v>
      </c>
      <c r="BO40" s="97" t="s">
        <v>1721</v>
      </c>
      <c r="BP40" s="99">
        <v>3</v>
      </c>
      <c r="BQ40" s="99">
        <v>50</v>
      </c>
      <c r="BR40" s="99">
        <v>3</v>
      </c>
      <c r="BS40" s="97" t="s">
        <v>1941</v>
      </c>
      <c r="BT40" s="99">
        <v>8</v>
      </c>
      <c r="BU40" s="99">
        <v>0.8</v>
      </c>
      <c r="BV40" s="99">
        <v>2</v>
      </c>
      <c r="BW40" s="99">
        <v>0.8</v>
      </c>
      <c r="BX40" s="99">
        <v>12</v>
      </c>
      <c r="BY40" s="99">
        <v>0.8</v>
      </c>
      <c r="BZ40" s="99">
        <v>1.5</v>
      </c>
      <c r="CA40" s="99">
        <v>720</v>
      </c>
      <c r="CB40" s="99">
        <v>0.6</v>
      </c>
      <c r="CC40" s="99">
        <v>540</v>
      </c>
      <c r="CD40" s="99">
        <v>1.8</v>
      </c>
      <c r="CE40" s="99">
        <v>4</v>
      </c>
      <c r="CF40" s="99">
        <v>4</v>
      </c>
      <c r="CG40" s="97" t="s">
        <v>1711</v>
      </c>
      <c r="CH40" s="97" t="s">
        <v>1721</v>
      </c>
      <c r="CI40" s="97" t="s">
        <v>1721</v>
      </c>
      <c r="CJ40" s="99">
        <v>0.5</v>
      </c>
      <c r="CK40" s="99">
        <v>1.5</v>
      </c>
      <c r="CL40" s="99">
        <v>2.5</v>
      </c>
      <c r="CM40" s="99">
        <v>2.5</v>
      </c>
      <c r="CN40" s="97" t="s">
        <v>1721</v>
      </c>
      <c r="CO40" s="99">
        <v>1</v>
      </c>
      <c r="CP40" s="97" t="s">
        <v>1669</v>
      </c>
      <c r="CQ40" s="99">
        <v>10</v>
      </c>
      <c r="CR40" s="97" t="s">
        <v>1721</v>
      </c>
      <c r="CS40" s="99">
        <v>4</v>
      </c>
      <c r="CT40" s="99">
        <v>8</v>
      </c>
      <c r="CU40" s="99">
        <v>0.85</v>
      </c>
      <c r="CV40" s="97" t="s">
        <v>1721</v>
      </c>
      <c r="CW40" s="99">
        <v>2</v>
      </c>
      <c r="CX40" s="99">
        <v>50</v>
      </c>
      <c r="CY40" s="99">
        <v>0.5</v>
      </c>
      <c r="CZ40" s="99">
        <v>1</v>
      </c>
      <c r="DA40" s="97" t="s">
        <v>1721</v>
      </c>
      <c r="DB40" s="97" t="s">
        <v>1721</v>
      </c>
      <c r="DC40" s="99">
        <v>2</v>
      </c>
      <c r="DD40" s="99">
        <v>0.4</v>
      </c>
      <c r="DE40" s="97">
        <v>3</v>
      </c>
      <c r="DF40" s="97" t="s">
        <v>1942</v>
      </c>
      <c r="DG40" s="97">
        <v>60</v>
      </c>
      <c r="DH40" s="97">
        <v>0</v>
      </c>
      <c r="DI40" s="108" t="s">
        <v>1837</v>
      </c>
      <c r="DJ40" s="108" t="s">
        <v>1838</v>
      </c>
      <c r="DK40" s="108" t="s">
        <v>1839</v>
      </c>
      <c r="DL40" s="108" t="s">
        <v>1842</v>
      </c>
      <c r="DM40" s="108">
        <v>1</v>
      </c>
      <c r="DN40" s="108" t="s">
        <v>1714</v>
      </c>
      <c r="DO40" s="108">
        <v>0</v>
      </c>
      <c r="DP40" s="108" t="s">
        <v>1714</v>
      </c>
      <c r="DQ40" s="108">
        <v>0</v>
      </c>
      <c r="DR40" s="108" t="s">
        <v>1714</v>
      </c>
      <c r="DS40" s="109">
        <v>0</v>
      </c>
      <c r="DT40" s="108" t="s">
        <v>1723</v>
      </c>
      <c r="DU40" s="108" t="s">
        <v>1956</v>
      </c>
      <c r="DV40" s="108">
        <v>0.35</v>
      </c>
      <c r="DW40" s="108">
        <v>0.1</v>
      </c>
      <c r="DX40" s="108"/>
    </row>
    <row r="41" spans="1:128" ht="24.95" customHeight="1">
      <c r="A41" s="96" t="s">
        <v>1923</v>
      </c>
      <c r="B41" s="97" t="s">
        <v>1924</v>
      </c>
      <c r="C41" s="97" t="s">
        <v>1925</v>
      </c>
      <c r="D41" s="98">
        <v>1</v>
      </c>
      <c r="E41" s="98">
        <v>1</v>
      </c>
      <c r="F41" s="98">
        <v>10</v>
      </c>
      <c r="G41" s="99">
        <v>8</v>
      </c>
      <c r="H41" s="99">
        <v>0</v>
      </c>
      <c r="I41" s="99">
        <v>0.2</v>
      </c>
      <c r="J41" s="99">
        <v>6</v>
      </c>
      <c r="K41" s="97" t="s">
        <v>1846</v>
      </c>
      <c r="L41" s="97" t="s">
        <v>1708</v>
      </c>
      <c r="M41" s="97" t="s">
        <v>1709</v>
      </c>
      <c r="N41" s="99">
        <v>0.5</v>
      </c>
      <c r="O41" s="98">
        <v>0</v>
      </c>
      <c r="P41" s="97" t="s">
        <v>1710</v>
      </c>
      <c r="Q41" s="97" t="s">
        <v>1721</v>
      </c>
      <c r="R41" s="97" t="s">
        <v>1727</v>
      </c>
      <c r="S41" s="99">
        <v>3</v>
      </c>
      <c r="T41" s="98">
        <v>0</v>
      </c>
      <c r="U41" s="97" t="s">
        <v>1713</v>
      </c>
      <c r="V41" s="100">
        <v>1</v>
      </c>
      <c r="W41" s="100">
        <v>5</v>
      </c>
      <c r="X41" s="100" t="s">
        <v>1721</v>
      </c>
      <c r="Y41" s="97"/>
      <c r="Z41" s="97"/>
      <c r="AA41" s="97" t="s">
        <v>1714</v>
      </c>
      <c r="AB41" s="97" t="s">
        <v>1714</v>
      </c>
      <c r="AC41" s="97" t="s">
        <v>1714</v>
      </c>
      <c r="AD41" s="99">
        <v>0</v>
      </c>
      <c r="AE41" s="99">
        <v>0</v>
      </c>
      <c r="AF41" s="99">
        <v>0</v>
      </c>
      <c r="AG41" s="97" t="s">
        <v>1714</v>
      </c>
      <c r="AH41" s="99">
        <v>0</v>
      </c>
      <c r="AI41" s="97" t="s">
        <v>1715</v>
      </c>
      <c r="AJ41" s="99">
        <v>1</v>
      </c>
      <c r="AK41" s="97" t="s">
        <v>1714</v>
      </c>
      <c r="AL41" s="97" t="s">
        <v>1714</v>
      </c>
      <c r="AM41" s="97" t="s">
        <v>1714</v>
      </c>
      <c r="AN41" s="99">
        <v>0</v>
      </c>
      <c r="AO41" s="99">
        <v>0</v>
      </c>
      <c r="AP41" s="99">
        <v>0</v>
      </c>
      <c r="AQ41" s="97" t="s">
        <v>1714</v>
      </c>
      <c r="AR41" s="99">
        <v>0</v>
      </c>
      <c r="AS41" s="97" t="s">
        <v>1715</v>
      </c>
      <c r="AT41" s="99">
        <v>1</v>
      </c>
      <c r="AU41" s="97" t="s">
        <v>1714</v>
      </c>
      <c r="AV41" s="97" t="s">
        <v>1714</v>
      </c>
      <c r="AW41" s="97" t="s">
        <v>1714</v>
      </c>
      <c r="AX41" s="99">
        <v>0</v>
      </c>
      <c r="AY41" s="99">
        <v>0</v>
      </c>
      <c r="AZ41" s="99">
        <v>0</v>
      </c>
      <c r="BA41" s="97" t="s">
        <v>1714</v>
      </c>
      <c r="BB41" s="99">
        <v>0</v>
      </c>
      <c r="BC41" s="97" t="s">
        <v>1715</v>
      </c>
      <c r="BD41" s="99">
        <v>1</v>
      </c>
      <c r="BE41" s="99">
        <v>1</v>
      </c>
      <c r="BF41" s="99">
        <v>5</v>
      </c>
      <c r="BG41" s="97" t="s">
        <v>1721</v>
      </c>
      <c r="BH41" s="97"/>
      <c r="BI41" s="97" t="s">
        <v>1711</v>
      </c>
      <c r="BJ41" s="97" t="s">
        <v>1721</v>
      </c>
      <c r="BK41" s="99">
        <v>360</v>
      </c>
      <c r="BL41" s="97" t="s">
        <v>1721</v>
      </c>
      <c r="BM41" s="99">
        <v>0.3</v>
      </c>
      <c r="BN41" s="99">
        <v>2</v>
      </c>
      <c r="BO41" s="97" t="s">
        <v>1721</v>
      </c>
      <c r="BP41" s="99">
        <v>3</v>
      </c>
      <c r="BQ41" s="99">
        <v>50</v>
      </c>
      <c r="BR41" s="99">
        <v>3</v>
      </c>
      <c r="BS41" s="97" t="s">
        <v>1841</v>
      </c>
      <c r="BT41" s="99">
        <v>8</v>
      </c>
      <c r="BU41" s="99">
        <v>0.8</v>
      </c>
      <c r="BV41" s="99">
        <v>2</v>
      </c>
      <c r="BW41" s="99">
        <v>0.8</v>
      </c>
      <c r="BX41" s="99">
        <v>12</v>
      </c>
      <c r="BY41" s="99">
        <v>0.8</v>
      </c>
      <c r="BZ41" s="99">
        <v>1.5</v>
      </c>
      <c r="CA41" s="99">
        <v>720</v>
      </c>
      <c r="CB41" s="99">
        <v>0.6</v>
      </c>
      <c r="CC41" s="99">
        <v>540</v>
      </c>
      <c r="CD41" s="99">
        <v>1.8</v>
      </c>
      <c r="CE41" s="99">
        <v>4</v>
      </c>
      <c r="CF41" s="99">
        <v>4</v>
      </c>
      <c r="CG41" s="97" t="s">
        <v>1711</v>
      </c>
      <c r="CH41" s="97" t="s">
        <v>1721</v>
      </c>
      <c r="CI41" s="97" t="s">
        <v>1721</v>
      </c>
      <c r="CJ41" s="99">
        <v>0.5</v>
      </c>
      <c r="CK41" s="99">
        <v>1.5</v>
      </c>
      <c r="CL41" s="99">
        <v>2.5</v>
      </c>
      <c r="CM41" s="99">
        <v>2.5</v>
      </c>
      <c r="CN41" s="97" t="s">
        <v>1721</v>
      </c>
      <c r="CO41" s="99">
        <v>1</v>
      </c>
      <c r="CP41" s="97" t="s">
        <v>1669</v>
      </c>
      <c r="CQ41" s="99">
        <v>10</v>
      </c>
      <c r="CR41" s="97" t="s">
        <v>1721</v>
      </c>
      <c r="CS41" s="99">
        <v>4</v>
      </c>
      <c r="CT41" s="99">
        <v>8</v>
      </c>
      <c r="CU41" s="99">
        <v>0.85</v>
      </c>
      <c r="CV41" s="97" t="s">
        <v>1721</v>
      </c>
      <c r="CW41" s="99">
        <v>2</v>
      </c>
      <c r="CX41" s="99">
        <v>50</v>
      </c>
      <c r="CY41" s="99">
        <v>0.5</v>
      </c>
      <c r="CZ41" s="99">
        <v>1</v>
      </c>
      <c r="DA41" s="97" t="s">
        <v>1721</v>
      </c>
      <c r="DB41" s="97" t="s">
        <v>1721</v>
      </c>
      <c r="DC41" s="99">
        <v>2</v>
      </c>
      <c r="DD41" s="99">
        <v>0.4</v>
      </c>
      <c r="DE41" s="97">
        <v>3</v>
      </c>
      <c r="DF41" s="97" t="s">
        <v>1953</v>
      </c>
      <c r="DG41" s="97">
        <v>60</v>
      </c>
      <c r="DH41" s="97">
        <v>0</v>
      </c>
      <c r="DI41" s="108" t="s">
        <v>1837</v>
      </c>
      <c r="DJ41" s="108" t="s">
        <v>1838</v>
      </c>
      <c r="DK41" s="108" t="s">
        <v>1839</v>
      </c>
      <c r="DL41" s="108" t="s">
        <v>1920</v>
      </c>
      <c r="DM41" s="108">
        <v>0.5</v>
      </c>
      <c r="DN41" s="108" t="s">
        <v>1714</v>
      </c>
      <c r="DO41" s="108">
        <v>0</v>
      </c>
      <c r="DP41" s="108" t="s">
        <v>1714</v>
      </c>
      <c r="DQ41" s="108">
        <v>0</v>
      </c>
      <c r="DR41" s="108" t="s">
        <v>1714</v>
      </c>
      <c r="DS41" s="109">
        <v>0</v>
      </c>
      <c r="DT41" s="108" t="s">
        <v>1947</v>
      </c>
      <c r="DU41" s="108" t="s">
        <v>1956</v>
      </c>
      <c r="DV41" s="108">
        <v>0.35</v>
      </c>
      <c r="DW41" s="108">
        <v>0.1</v>
      </c>
      <c r="DX41" s="108"/>
    </row>
    <row r="42" spans="1:128" ht="24.95" customHeight="1">
      <c r="A42" s="96" t="s">
        <v>1926</v>
      </c>
      <c r="B42" s="97" t="s">
        <v>1927</v>
      </c>
      <c r="C42" s="97" t="s">
        <v>1928</v>
      </c>
      <c r="D42" s="98">
        <v>1</v>
      </c>
      <c r="E42" s="98">
        <v>1</v>
      </c>
      <c r="F42" s="98">
        <v>10</v>
      </c>
      <c r="G42" s="99">
        <v>8</v>
      </c>
      <c r="H42" s="99">
        <v>0</v>
      </c>
      <c r="I42" s="99">
        <v>0.2</v>
      </c>
      <c r="J42" s="99">
        <v>6</v>
      </c>
      <c r="K42" s="97" t="s">
        <v>1846</v>
      </c>
      <c r="L42" s="97" t="s">
        <v>1719</v>
      </c>
      <c r="M42" s="97" t="s">
        <v>1709</v>
      </c>
      <c r="N42" s="99">
        <v>0.8</v>
      </c>
      <c r="O42" s="98">
        <v>0</v>
      </c>
      <c r="P42" s="97" t="s">
        <v>1720</v>
      </c>
      <c r="Q42" s="97" t="s">
        <v>1721</v>
      </c>
      <c r="R42" s="97" t="s">
        <v>1929</v>
      </c>
      <c r="S42" s="99">
        <v>3</v>
      </c>
      <c r="T42" s="98">
        <v>0</v>
      </c>
      <c r="U42" s="97" t="s">
        <v>1713</v>
      </c>
      <c r="V42" s="100">
        <v>1</v>
      </c>
      <c r="W42" s="100">
        <v>5</v>
      </c>
      <c r="X42" s="100" t="s">
        <v>1721</v>
      </c>
      <c r="Y42" s="97"/>
      <c r="Z42" s="97"/>
      <c r="AA42" s="97" t="s">
        <v>1714</v>
      </c>
      <c r="AB42" s="97" t="s">
        <v>1714</v>
      </c>
      <c r="AC42" s="97" t="s">
        <v>1714</v>
      </c>
      <c r="AD42" s="99">
        <v>0</v>
      </c>
      <c r="AE42" s="99">
        <v>0</v>
      </c>
      <c r="AF42" s="99">
        <v>0</v>
      </c>
      <c r="AG42" s="97" t="s">
        <v>1714</v>
      </c>
      <c r="AH42" s="99">
        <v>0</v>
      </c>
      <c r="AI42" s="97" t="s">
        <v>1715</v>
      </c>
      <c r="AJ42" s="99">
        <v>1</v>
      </c>
      <c r="AK42" s="97" t="s">
        <v>1714</v>
      </c>
      <c r="AL42" s="97" t="s">
        <v>1714</v>
      </c>
      <c r="AM42" s="97" t="s">
        <v>1714</v>
      </c>
      <c r="AN42" s="99">
        <v>0</v>
      </c>
      <c r="AO42" s="99">
        <v>0</v>
      </c>
      <c r="AP42" s="99">
        <v>0</v>
      </c>
      <c r="AQ42" s="97" t="s">
        <v>1714</v>
      </c>
      <c r="AR42" s="99">
        <v>0</v>
      </c>
      <c r="AS42" s="97" t="s">
        <v>1715</v>
      </c>
      <c r="AT42" s="99">
        <v>1</v>
      </c>
      <c r="AU42" s="97" t="s">
        <v>1714</v>
      </c>
      <c r="AV42" s="97" t="s">
        <v>1714</v>
      </c>
      <c r="AW42" s="97" t="s">
        <v>1714</v>
      </c>
      <c r="AX42" s="99">
        <v>0</v>
      </c>
      <c r="AY42" s="99">
        <v>0</v>
      </c>
      <c r="AZ42" s="99">
        <v>0</v>
      </c>
      <c r="BA42" s="97" t="s">
        <v>1714</v>
      </c>
      <c r="BB42" s="99">
        <v>0</v>
      </c>
      <c r="BC42" s="97" t="s">
        <v>1715</v>
      </c>
      <c r="BD42" s="99">
        <v>1</v>
      </c>
      <c r="BE42" s="99">
        <v>1</v>
      </c>
      <c r="BF42" s="99">
        <v>5</v>
      </c>
      <c r="BG42" s="97" t="s">
        <v>1721</v>
      </c>
      <c r="BH42" s="97"/>
      <c r="BI42" s="97" t="s">
        <v>1711</v>
      </c>
      <c r="BJ42" s="97" t="s">
        <v>1721</v>
      </c>
      <c r="BK42" s="99">
        <v>360</v>
      </c>
      <c r="BL42" s="97" t="s">
        <v>1721</v>
      </c>
      <c r="BM42" s="99">
        <v>0.3</v>
      </c>
      <c r="BN42" s="99">
        <v>2</v>
      </c>
      <c r="BO42" s="97" t="s">
        <v>1721</v>
      </c>
      <c r="BP42" s="99">
        <v>3</v>
      </c>
      <c r="BQ42" s="99">
        <v>50</v>
      </c>
      <c r="BR42" s="99">
        <v>3</v>
      </c>
      <c r="BS42" s="97" t="s">
        <v>1841</v>
      </c>
      <c r="BT42" s="99">
        <v>8</v>
      </c>
      <c r="BU42" s="99">
        <v>0.8</v>
      </c>
      <c r="BV42" s="99">
        <v>2</v>
      </c>
      <c r="BW42" s="99">
        <v>0.8</v>
      </c>
      <c r="BX42" s="99">
        <v>12</v>
      </c>
      <c r="BY42" s="99">
        <v>0.8</v>
      </c>
      <c r="BZ42" s="99">
        <v>1.5</v>
      </c>
      <c r="CA42" s="99">
        <v>720</v>
      </c>
      <c r="CB42" s="99">
        <v>0.6</v>
      </c>
      <c r="CC42" s="99">
        <v>540</v>
      </c>
      <c r="CD42" s="99">
        <v>1.8</v>
      </c>
      <c r="CE42" s="99">
        <v>4</v>
      </c>
      <c r="CF42" s="99">
        <v>4</v>
      </c>
      <c r="CG42" s="97" t="s">
        <v>1711</v>
      </c>
      <c r="CH42" s="97" t="s">
        <v>1721</v>
      </c>
      <c r="CI42" s="97" t="s">
        <v>1721</v>
      </c>
      <c r="CJ42" s="99">
        <v>0.5</v>
      </c>
      <c r="CK42" s="99">
        <v>1.5</v>
      </c>
      <c r="CL42" s="99">
        <v>2.5</v>
      </c>
      <c r="CM42" s="99">
        <v>2.5</v>
      </c>
      <c r="CN42" s="97" t="s">
        <v>1721</v>
      </c>
      <c r="CO42" s="99">
        <v>1</v>
      </c>
      <c r="CP42" s="97" t="s">
        <v>1669</v>
      </c>
      <c r="CQ42" s="99">
        <v>10</v>
      </c>
      <c r="CR42" s="97" t="s">
        <v>1721</v>
      </c>
      <c r="CS42" s="99">
        <v>4</v>
      </c>
      <c r="CT42" s="99">
        <v>8</v>
      </c>
      <c r="CU42" s="99">
        <v>0.85</v>
      </c>
      <c r="CV42" s="97" t="s">
        <v>1721</v>
      </c>
      <c r="CW42" s="99">
        <v>2</v>
      </c>
      <c r="CX42" s="99">
        <v>50</v>
      </c>
      <c r="CY42" s="99">
        <v>0.5</v>
      </c>
      <c r="CZ42" s="99">
        <v>1</v>
      </c>
      <c r="DA42" s="97" t="s">
        <v>1721</v>
      </c>
      <c r="DB42" s="97" t="s">
        <v>1721</v>
      </c>
      <c r="DC42" s="99">
        <v>2</v>
      </c>
      <c r="DD42" s="99">
        <v>0.4</v>
      </c>
      <c r="DE42" s="97">
        <v>3</v>
      </c>
      <c r="DF42" s="97" t="s">
        <v>1954</v>
      </c>
      <c r="DG42" s="97">
        <v>60</v>
      </c>
      <c r="DH42" s="97">
        <v>0</v>
      </c>
      <c r="DI42" s="108" t="s">
        <v>1837</v>
      </c>
      <c r="DJ42" s="108" t="s">
        <v>1838</v>
      </c>
      <c r="DK42" s="108" t="s">
        <v>1839</v>
      </c>
      <c r="DL42" s="108" t="s">
        <v>1920</v>
      </c>
      <c r="DM42" s="108">
        <v>1</v>
      </c>
      <c r="DN42" s="108" t="s">
        <v>1714</v>
      </c>
      <c r="DO42" s="108">
        <v>0</v>
      </c>
      <c r="DP42" s="108" t="s">
        <v>1714</v>
      </c>
      <c r="DQ42" s="108">
        <v>0</v>
      </c>
      <c r="DR42" s="108" t="s">
        <v>1714</v>
      </c>
      <c r="DS42" s="109">
        <v>0</v>
      </c>
      <c r="DT42" s="108" t="s">
        <v>1947</v>
      </c>
      <c r="DU42" s="108" t="s">
        <v>1956</v>
      </c>
      <c r="DV42" s="108">
        <v>0.35</v>
      </c>
      <c r="DW42" s="108">
        <v>0.1</v>
      </c>
      <c r="DX42" s="108"/>
    </row>
    <row r="43" spans="1:128" ht="24.95" customHeight="1">
      <c r="A43" s="96" t="s">
        <v>1930</v>
      </c>
      <c r="B43" s="97" t="s">
        <v>1931</v>
      </c>
      <c r="C43" s="97" t="s">
        <v>1932</v>
      </c>
      <c r="D43" s="98">
        <v>1</v>
      </c>
      <c r="E43" s="98">
        <v>1</v>
      </c>
      <c r="F43" s="98">
        <v>10</v>
      </c>
      <c r="G43" s="99">
        <v>8</v>
      </c>
      <c r="H43" s="99">
        <v>0</v>
      </c>
      <c r="I43" s="99">
        <v>0.2</v>
      </c>
      <c r="J43" s="99">
        <v>6</v>
      </c>
      <c r="K43" s="97" t="s">
        <v>1846</v>
      </c>
      <c r="L43" s="97" t="s">
        <v>1714</v>
      </c>
      <c r="M43" s="97" t="s">
        <v>1714</v>
      </c>
      <c r="N43" s="99">
        <v>0</v>
      </c>
      <c r="O43" s="98">
        <v>0</v>
      </c>
      <c r="P43" s="97" t="s">
        <v>1720</v>
      </c>
      <c r="Q43" s="97" t="s">
        <v>1721</v>
      </c>
      <c r="R43" s="97" t="s">
        <v>1929</v>
      </c>
      <c r="S43" s="99">
        <v>3</v>
      </c>
      <c r="T43" s="98">
        <v>0</v>
      </c>
      <c r="U43" s="97" t="s">
        <v>1713</v>
      </c>
      <c r="V43" s="100">
        <v>1</v>
      </c>
      <c r="W43" s="100">
        <v>5</v>
      </c>
      <c r="X43" s="100" t="s">
        <v>1721</v>
      </c>
      <c r="Y43" s="97"/>
      <c r="Z43" s="97"/>
      <c r="AA43" s="97" t="s">
        <v>1730</v>
      </c>
      <c r="AB43" s="97" t="s">
        <v>1737</v>
      </c>
      <c r="AC43" s="97" t="s">
        <v>1731</v>
      </c>
      <c r="AD43" s="99">
        <v>30</v>
      </c>
      <c r="AE43" s="99">
        <v>1.5</v>
      </c>
      <c r="AF43" s="99">
        <v>100</v>
      </c>
      <c r="AG43" s="97" t="s">
        <v>1714</v>
      </c>
      <c r="AH43" s="99">
        <v>0</v>
      </c>
      <c r="AI43" s="97" t="s">
        <v>1715</v>
      </c>
      <c r="AJ43" s="99">
        <v>1</v>
      </c>
      <c r="AK43" s="97" t="s">
        <v>1714</v>
      </c>
      <c r="AL43" s="97" t="s">
        <v>1714</v>
      </c>
      <c r="AM43" s="97" t="s">
        <v>1714</v>
      </c>
      <c r="AN43" s="99">
        <v>0</v>
      </c>
      <c r="AO43" s="99">
        <v>0</v>
      </c>
      <c r="AP43" s="99">
        <v>0</v>
      </c>
      <c r="AQ43" s="97" t="s">
        <v>1714</v>
      </c>
      <c r="AR43" s="99">
        <v>0</v>
      </c>
      <c r="AS43" s="97" t="s">
        <v>1715</v>
      </c>
      <c r="AT43" s="99">
        <v>1</v>
      </c>
      <c r="AU43" s="97" t="s">
        <v>1714</v>
      </c>
      <c r="AV43" s="97" t="s">
        <v>1714</v>
      </c>
      <c r="AW43" s="97" t="s">
        <v>1714</v>
      </c>
      <c r="AX43" s="99">
        <v>0</v>
      </c>
      <c r="AY43" s="99">
        <v>0</v>
      </c>
      <c r="AZ43" s="99">
        <v>0</v>
      </c>
      <c r="BA43" s="97" t="s">
        <v>1714</v>
      </c>
      <c r="BB43" s="99">
        <v>0</v>
      </c>
      <c r="BC43" s="97" t="s">
        <v>1715</v>
      </c>
      <c r="BD43" s="99">
        <v>1</v>
      </c>
      <c r="BE43" s="99">
        <v>1</v>
      </c>
      <c r="BF43" s="99">
        <v>5</v>
      </c>
      <c r="BG43" s="97" t="s">
        <v>1721</v>
      </c>
      <c r="BH43" s="97"/>
      <c r="BI43" s="97" t="s">
        <v>1711</v>
      </c>
      <c r="BJ43" s="97" t="s">
        <v>1721</v>
      </c>
      <c r="BK43" s="99">
        <v>360</v>
      </c>
      <c r="BL43" s="97" t="s">
        <v>1721</v>
      </c>
      <c r="BM43" s="99">
        <v>0.3</v>
      </c>
      <c r="BN43" s="99">
        <v>2</v>
      </c>
      <c r="BO43" s="97" t="s">
        <v>1721</v>
      </c>
      <c r="BP43" s="99">
        <v>3</v>
      </c>
      <c r="BQ43" s="99">
        <v>50</v>
      </c>
      <c r="BR43" s="99">
        <v>3</v>
      </c>
      <c r="BS43" s="97" t="s">
        <v>1841</v>
      </c>
      <c r="BT43" s="99">
        <v>8</v>
      </c>
      <c r="BU43" s="99">
        <v>0.8</v>
      </c>
      <c r="BV43" s="99">
        <v>2</v>
      </c>
      <c r="BW43" s="99">
        <v>0.8</v>
      </c>
      <c r="BX43" s="99">
        <v>12</v>
      </c>
      <c r="BY43" s="99">
        <v>0.8</v>
      </c>
      <c r="BZ43" s="99">
        <v>1.5</v>
      </c>
      <c r="CA43" s="99">
        <v>720</v>
      </c>
      <c r="CB43" s="99">
        <v>0.6</v>
      </c>
      <c r="CC43" s="99">
        <v>540</v>
      </c>
      <c r="CD43" s="99">
        <v>1.8</v>
      </c>
      <c r="CE43" s="99">
        <v>4</v>
      </c>
      <c r="CF43" s="99">
        <v>4</v>
      </c>
      <c r="CG43" s="97" t="s">
        <v>1711</v>
      </c>
      <c r="CH43" s="97" t="s">
        <v>1721</v>
      </c>
      <c r="CI43" s="97" t="s">
        <v>1721</v>
      </c>
      <c r="CJ43" s="99">
        <v>0.5</v>
      </c>
      <c r="CK43" s="99">
        <v>1.5</v>
      </c>
      <c r="CL43" s="99">
        <v>2.5</v>
      </c>
      <c r="CM43" s="99">
        <v>2.5</v>
      </c>
      <c r="CN43" s="97" t="s">
        <v>1721</v>
      </c>
      <c r="CO43" s="99">
        <v>1</v>
      </c>
      <c r="CP43" s="97" t="s">
        <v>1669</v>
      </c>
      <c r="CQ43" s="99">
        <v>10</v>
      </c>
      <c r="CR43" s="97" t="s">
        <v>1721</v>
      </c>
      <c r="CS43" s="99">
        <v>4</v>
      </c>
      <c r="CT43" s="99">
        <v>8</v>
      </c>
      <c r="CU43" s="99">
        <v>0.85</v>
      </c>
      <c r="CV43" s="97" t="s">
        <v>1721</v>
      </c>
      <c r="CW43" s="99">
        <v>2</v>
      </c>
      <c r="CX43" s="99">
        <v>50</v>
      </c>
      <c r="CY43" s="99">
        <v>0.5</v>
      </c>
      <c r="CZ43" s="99">
        <v>1</v>
      </c>
      <c r="DA43" s="97" t="s">
        <v>1721</v>
      </c>
      <c r="DB43" s="97" t="s">
        <v>1721</v>
      </c>
      <c r="DC43" s="99">
        <v>2</v>
      </c>
      <c r="DD43" s="99">
        <v>0.4</v>
      </c>
      <c r="DE43" s="97">
        <v>3</v>
      </c>
      <c r="DF43" s="97" t="s">
        <v>1955</v>
      </c>
      <c r="DG43" s="97">
        <v>60</v>
      </c>
      <c r="DH43" s="97">
        <v>0</v>
      </c>
      <c r="DI43" s="108" t="s">
        <v>1837</v>
      </c>
      <c r="DJ43" s="108" t="s">
        <v>1838</v>
      </c>
      <c r="DK43" s="108" t="s">
        <v>1839</v>
      </c>
      <c r="DL43" s="108" t="s">
        <v>1920</v>
      </c>
      <c r="DM43" s="108">
        <v>1</v>
      </c>
      <c r="DN43" s="108" t="s">
        <v>1714</v>
      </c>
      <c r="DO43" s="108">
        <v>0</v>
      </c>
      <c r="DP43" s="108" t="s">
        <v>1714</v>
      </c>
      <c r="DQ43" s="108">
        <v>0</v>
      </c>
      <c r="DR43" s="108" t="s">
        <v>1714</v>
      </c>
      <c r="DS43" s="109">
        <v>0</v>
      </c>
      <c r="DT43" s="111" t="s">
        <v>1947</v>
      </c>
      <c r="DU43" s="111" t="s">
        <v>1956</v>
      </c>
      <c r="DV43" s="111">
        <v>0.35</v>
      </c>
      <c r="DW43" s="111">
        <v>0.1</v>
      </c>
      <c r="DX43" s="111"/>
    </row>
    <row r="44" spans="1:128" ht="24.95" customHeight="1">
      <c r="A44" s="68"/>
      <c r="D44" s="69"/>
      <c r="E44" s="69"/>
      <c r="F44" s="69"/>
      <c r="G44" s="70"/>
      <c r="H44" s="70"/>
      <c r="I44" s="70"/>
      <c r="J44" s="70"/>
      <c r="N44" s="70"/>
      <c r="O44" s="69"/>
      <c r="S44" s="70"/>
      <c r="T44" s="69"/>
      <c r="V44" s="72" t="str">
        <f t="shared" ref="V44:V69" si="0">IF($A44="","",IF(AND($U44="発射物",$DI44&lt;&gt;"パッシブ"),$BE44,0))</f>
        <v/>
      </c>
      <c r="W44" s="72" t="str">
        <f t="shared" ref="W44:W69" si="1">IF($A44="","",IF(AND($U44="発射物",$DI44&lt;&gt;"パッシブ"),$BF44,0))</f>
        <v/>
      </c>
      <c r="X44" s="72" t="str">
        <f t="shared" ref="X44:X69" si="2">IF($A44="","",IF(AND($U44="発射物",$DI44&lt;&gt;"パッシブ"),IF($BG44="有効","有効","無効"),"無効"))</f>
        <v/>
      </c>
      <c r="AD44" s="70"/>
      <c r="AE44" s="70"/>
      <c r="AF44" s="70"/>
      <c r="AH44" s="70"/>
      <c r="AJ44" s="70"/>
      <c r="AN44" s="70"/>
      <c r="AO44" s="70"/>
      <c r="AP44" s="70"/>
      <c r="AR44" s="70"/>
      <c r="AT44" s="70"/>
      <c r="AX44" s="70"/>
      <c r="AY44" s="70"/>
      <c r="AZ44" s="70"/>
      <c r="BB44" s="70"/>
      <c r="BD44" s="70"/>
      <c r="BE44" s="70"/>
      <c r="BF44" s="70"/>
      <c r="BK44" s="70"/>
      <c r="BM44" s="70"/>
      <c r="BN44" s="70"/>
      <c r="BP44" s="70"/>
      <c r="BQ44" s="70"/>
      <c r="BR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J44" s="70"/>
      <c r="CK44" s="70"/>
      <c r="CL44" s="70"/>
      <c r="CM44" s="70"/>
      <c r="CO44" s="70"/>
      <c r="CQ44" s="70"/>
      <c r="CS44" s="70"/>
      <c r="CT44" s="70"/>
      <c r="CU44" s="70"/>
      <c r="CW44" s="70"/>
      <c r="CX44" s="70"/>
      <c r="CY44" s="70"/>
      <c r="CZ44" s="70"/>
      <c r="DC44" s="70"/>
      <c r="DD44" s="70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</row>
    <row r="45" spans="1:128" ht="24.95" customHeight="1">
      <c r="A45" s="68"/>
      <c r="D45" s="69"/>
      <c r="E45" s="69"/>
      <c r="F45" s="69"/>
      <c r="G45" s="70"/>
      <c r="H45" s="70"/>
      <c r="I45" s="70"/>
      <c r="J45" s="70"/>
      <c r="N45" s="70"/>
      <c r="O45" s="69"/>
      <c r="S45" s="70"/>
      <c r="T45" s="69"/>
      <c r="V45" s="72" t="str">
        <f t="shared" si="0"/>
        <v/>
      </c>
      <c r="W45" s="72" t="str">
        <f t="shared" si="1"/>
        <v/>
      </c>
      <c r="X45" s="72" t="str">
        <f t="shared" si="2"/>
        <v/>
      </c>
      <c r="AD45" s="70"/>
      <c r="AE45" s="70"/>
      <c r="AF45" s="70"/>
      <c r="AH45" s="70"/>
      <c r="AJ45" s="70"/>
      <c r="AN45" s="70"/>
      <c r="AO45" s="70"/>
      <c r="AP45" s="70"/>
      <c r="AR45" s="70"/>
      <c r="AT45" s="70"/>
      <c r="AX45" s="70"/>
      <c r="AY45" s="70"/>
      <c r="AZ45" s="70"/>
      <c r="BB45" s="70"/>
      <c r="BD45" s="70"/>
      <c r="BE45" s="70"/>
      <c r="BF45" s="70"/>
      <c r="BK45" s="70"/>
      <c r="BM45" s="70"/>
      <c r="BN45" s="70"/>
      <c r="BP45" s="70"/>
      <c r="BQ45" s="70"/>
      <c r="BR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J45" s="70"/>
      <c r="CK45" s="70"/>
      <c r="CL45" s="70"/>
      <c r="CM45" s="70"/>
      <c r="CO45" s="70"/>
      <c r="CQ45" s="70"/>
      <c r="CS45" s="70"/>
      <c r="CT45" s="70"/>
      <c r="CU45" s="70"/>
      <c r="CW45" s="70"/>
      <c r="CX45" s="70"/>
      <c r="CY45" s="70"/>
      <c r="CZ45" s="70"/>
      <c r="DC45" s="70"/>
      <c r="DD45" s="70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</row>
    <row r="46" spans="1:128" ht="24.95" customHeight="1">
      <c r="A46" s="68"/>
      <c r="D46" s="69"/>
      <c r="E46" s="69"/>
      <c r="F46" s="69"/>
      <c r="G46" s="70"/>
      <c r="H46" s="70"/>
      <c r="I46" s="70"/>
      <c r="J46" s="70"/>
      <c r="N46" s="70"/>
      <c r="O46" s="69"/>
      <c r="S46" s="70"/>
      <c r="T46" s="69"/>
      <c r="V46" s="72" t="str">
        <f t="shared" si="0"/>
        <v/>
      </c>
      <c r="W46" s="72" t="str">
        <f t="shared" si="1"/>
        <v/>
      </c>
      <c r="X46" s="72" t="str">
        <f t="shared" si="2"/>
        <v/>
      </c>
      <c r="AD46" s="70"/>
      <c r="AE46" s="70"/>
      <c r="AF46" s="70"/>
      <c r="AH46" s="70"/>
      <c r="AJ46" s="70"/>
      <c r="AN46" s="70"/>
      <c r="AO46" s="70"/>
      <c r="AP46" s="70"/>
      <c r="AR46" s="70"/>
      <c r="AT46" s="70"/>
      <c r="AX46" s="70"/>
      <c r="AY46" s="70"/>
      <c r="AZ46" s="70"/>
      <c r="BB46" s="70"/>
      <c r="BD46" s="70"/>
      <c r="BE46" s="70"/>
      <c r="BF46" s="70"/>
      <c r="BK46" s="70"/>
      <c r="BM46" s="70"/>
      <c r="BN46" s="70"/>
      <c r="BP46" s="70"/>
      <c r="BQ46" s="70"/>
      <c r="BR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J46" s="70"/>
      <c r="CK46" s="70"/>
      <c r="CL46" s="70"/>
      <c r="CM46" s="70"/>
      <c r="CO46" s="70"/>
      <c r="CQ46" s="70"/>
      <c r="CS46" s="70"/>
      <c r="CT46" s="70"/>
      <c r="CU46" s="70"/>
      <c r="CW46" s="70"/>
      <c r="CX46" s="70"/>
      <c r="CY46" s="70"/>
      <c r="CZ46" s="70"/>
      <c r="DC46" s="70"/>
      <c r="DD46" s="70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</row>
    <row r="47" spans="1:128" ht="24.95" customHeight="1">
      <c r="A47" s="68"/>
      <c r="D47" s="69"/>
      <c r="E47" s="69"/>
      <c r="F47" s="69"/>
      <c r="G47" s="70"/>
      <c r="H47" s="70"/>
      <c r="I47" s="70"/>
      <c r="J47" s="70"/>
      <c r="N47" s="70"/>
      <c r="O47" s="69"/>
      <c r="S47" s="70"/>
      <c r="T47" s="69"/>
      <c r="V47" s="72" t="str">
        <f t="shared" si="0"/>
        <v/>
      </c>
      <c r="W47" s="72" t="str">
        <f t="shared" si="1"/>
        <v/>
      </c>
      <c r="X47" s="72" t="str">
        <f t="shared" si="2"/>
        <v/>
      </c>
      <c r="AD47" s="70"/>
      <c r="AE47" s="70"/>
      <c r="AF47" s="70"/>
      <c r="AH47" s="70"/>
      <c r="AJ47" s="70"/>
      <c r="AN47" s="70"/>
      <c r="AO47" s="70"/>
      <c r="AP47" s="70"/>
      <c r="AR47" s="70"/>
      <c r="AT47" s="70"/>
      <c r="AX47" s="70"/>
      <c r="AY47" s="70"/>
      <c r="AZ47" s="70"/>
      <c r="BB47" s="70"/>
      <c r="BD47" s="70"/>
      <c r="BE47" s="70"/>
      <c r="BF47" s="70"/>
      <c r="BK47" s="70"/>
      <c r="BM47" s="70"/>
      <c r="BN47" s="70"/>
      <c r="BP47" s="70"/>
      <c r="BQ47" s="70"/>
      <c r="BR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J47" s="70"/>
      <c r="CK47" s="70"/>
      <c r="CL47" s="70"/>
      <c r="CM47" s="70"/>
      <c r="CO47" s="70"/>
      <c r="CQ47" s="70"/>
      <c r="CS47" s="70"/>
      <c r="CT47" s="70"/>
      <c r="CU47" s="70"/>
      <c r="CW47" s="70"/>
      <c r="CX47" s="70"/>
      <c r="CY47" s="70"/>
      <c r="CZ47" s="70"/>
      <c r="DC47" s="70"/>
      <c r="DD47" s="70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</row>
    <row r="48" spans="1:128" ht="24.95" customHeight="1">
      <c r="A48" s="68"/>
      <c r="D48" s="69"/>
      <c r="E48" s="69"/>
      <c r="F48" s="69"/>
      <c r="G48" s="70"/>
      <c r="H48" s="70"/>
      <c r="I48" s="70"/>
      <c r="J48" s="70"/>
      <c r="N48" s="70"/>
      <c r="O48" s="69"/>
      <c r="S48" s="70"/>
      <c r="T48" s="69"/>
      <c r="V48" s="72" t="str">
        <f t="shared" si="0"/>
        <v/>
      </c>
      <c r="W48" s="72" t="str">
        <f t="shared" si="1"/>
        <v/>
      </c>
      <c r="X48" s="72" t="str">
        <f t="shared" si="2"/>
        <v/>
      </c>
      <c r="AD48" s="70"/>
      <c r="AE48" s="70"/>
      <c r="AF48" s="70"/>
      <c r="AH48" s="70"/>
      <c r="AJ48" s="70"/>
      <c r="AN48" s="70"/>
      <c r="AO48" s="70"/>
      <c r="AP48" s="70"/>
      <c r="AR48" s="70"/>
      <c r="AT48" s="70"/>
      <c r="AX48" s="70"/>
      <c r="AY48" s="70"/>
      <c r="AZ48" s="70"/>
      <c r="BB48" s="70"/>
      <c r="BD48" s="70"/>
      <c r="BE48" s="70"/>
      <c r="BF48" s="70"/>
      <c r="BK48" s="70"/>
      <c r="BM48" s="70"/>
      <c r="BN48" s="70"/>
      <c r="BP48" s="70"/>
      <c r="BQ48" s="70"/>
      <c r="BR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J48" s="70"/>
      <c r="CK48" s="70"/>
      <c r="CL48" s="70"/>
      <c r="CM48" s="70"/>
      <c r="CO48" s="70"/>
      <c r="CQ48" s="70"/>
      <c r="CS48" s="70"/>
      <c r="CT48" s="70"/>
      <c r="CU48" s="70"/>
      <c r="CW48" s="70"/>
      <c r="CX48" s="70"/>
      <c r="CY48" s="70"/>
      <c r="CZ48" s="70"/>
      <c r="DC48" s="70"/>
      <c r="DD48" s="70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</row>
    <row r="49" spans="1:123" ht="24.95" customHeight="1">
      <c r="A49" s="68"/>
      <c r="D49" s="69"/>
      <c r="E49" s="69"/>
      <c r="F49" s="69"/>
      <c r="G49" s="70"/>
      <c r="H49" s="70"/>
      <c r="I49" s="70"/>
      <c r="J49" s="70"/>
      <c r="N49" s="70"/>
      <c r="O49" s="69"/>
      <c r="S49" s="70"/>
      <c r="T49" s="69"/>
      <c r="V49" s="72" t="str">
        <f t="shared" si="0"/>
        <v/>
      </c>
      <c r="W49" s="72" t="str">
        <f t="shared" si="1"/>
        <v/>
      </c>
      <c r="X49" s="72" t="str">
        <f t="shared" si="2"/>
        <v/>
      </c>
      <c r="AD49" s="70"/>
      <c r="AE49" s="70"/>
      <c r="AF49" s="70"/>
      <c r="AH49" s="70"/>
      <c r="AJ49" s="70"/>
      <c r="AN49" s="70"/>
      <c r="AO49" s="70"/>
      <c r="AP49" s="70"/>
      <c r="AR49" s="70"/>
      <c r="AT49" s="70"/>
      <c r="AX49" s="70"/>
      <c r="AY49" s="70"/>
      <c r="AZ49" s="70"/>
      <c r="BB49" s="70"/>
      <c r="BD49" s="70"/>
      <c r="BE49" s="70"/>
      <c r="BF49" s="70"/>
      <c r="BK49" s="70"/>
      <c r="BM49" s="70"/>
      <c r="BN49" s="70"/>
      <c r="BP49" s="70"/>
      <c r="BQ49" s="70"/>
      <c r="BR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J49" s="70"/>
      <c r="CK49" s="70"/>
      <c r="CL49" s="70"/>
      <c r="CM49" s="70"/>
      <c r="CO49" s="70"/>
      <c r="CQ49" s="70"/>
      <c r="CS49" s="70"/>
      <c r="CT49" s="70"/>
      <c r="CU49" s="70"/>
      <c r="CW49" s="70"/>
      <c r="CX49" s="70"/>
      <c r="CY49" s="70"/>
      <c r="CZ49" s="70"/>
      <c r="DC49" s="70"/>
      <c r="DD49" s="70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</row>
    <row r="50" spans="1:123" ht="24.95" customHeight="1">
      <c r="A50" s="68"/>
      <c r="D50" s="69"/>
      <c r="E50" s="69"/>
      <c r="F50" s="69"/>
      <c r="G50" s="70"/>
      <c r="H50" s="70"/>
      <c r="I50" s="70"/>
      <c r="J50" s="70"/>
      <c r="N50" s="70"/>
      <c r="O50" s="69"/>
      <c r="S50" s="70"/>
      <c r="T50" s="69"/>
      <c r="V50" s="72" t="str">
        <f t="shared" si="0"/>
        <v/>
      </c>
      <c r="W50" s="72" t="str">
        <f t="shared" si="1"/>
        <v/>
      </c>
      <c r="X50" s="72" t="str">
        <f t="shared" si="2"/>
        <v/>
      </c>
      <c r="AD50" s="70"/>
      <c r="AE50" s="70"/>
      <c r="AF50" s="70"/>
      <c r="AH50" s="70"/>
      <c r="AJ50" s="70"/>
      <c r="AN50" s="70"/>
      <c r="AO50" s="70"/>
      <c r="AP50" s="70"/>
      <c r="AR50" s="70"/>
      <c r="AT50" s="70"/>
      <c r="AX50" s="70"/>
      <c r="AY50" s="70"/>
      <c r="AZ50" s="70"/>
      <c r="BB50" s="70"/>
      <c r="BD50" s="70"/>
      <c r="BE50" s="70"/>
      <c r="BF50" s="70"/>
      <c r="BK50" s="70"/>
      <c r="BM50" s="70"/>
      <c r="BN50" s="70"/>
      <c r="BP50" s="70"/>
      <c r="BQ50" s="70"/>
      <c r="BR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J50" s="70"/>
      <c r="CK50" s="70"/>
      <c r="CL50" s="70"/>
      <c r="CM50" s="70"/>
      <c r="CO50" s="70"/>
      <c r="CQ50" s="70"/>
      <c r="CS50" s="70"/>
      <c r="CT50" s="70"/>
      <c r="CU50" s="70"/>
      <c r="CW50" s="70"/>
      <c r="CX50" s="70"/>
      <c r="CY50" s="70"/>
      <c r="CZ50" s="70"/>
      <c r="DC50" s="70"/>
      <c r="DD50" s="70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</row>
    <row r="51" spans="1:123" ht="24.95" customHeight="1">
      <c r="A51" s="68"/>
      <c r="D51" s="69"/>
      <c r="E51" s="69"/>
      <c r="F51" s="69"/>
      <c r="G51" s="70"/>
      <c r="H51" s="70"/>
      <c r="I51" s="70"/>
      <c r="J51" s="70"/>
      <c r="N51" s="70"/>
      <c r="O51" s="69"/>
      <c r="S51" s="70"/>
      <c r="T51" s="69"/>
      <c r="V51" s="72" t="str">
        <f t="shared" si="0"/>
        <v/>
      </c>
      <c r="W51" s="72" t="str">
        <f t="shared" si="1"/>
        <v/>
      </c>
      <c r="X51" s="72" t="str">
        <f t="shared" si="2"/>
        <v/>
      </c>
      <c r="AD51" s="70"/>
      <c r="AE51" s="70"/>
      <c r="AF51" s="70"/>
      <c r="AH51" s="70"/>
      <c r="AJ51" s="70"/>
      <c r="AN51" s="70"/>
      <c r="AO51" s="70"/>
      <c r="AP51" s="70"/>
      <c r="AR51" s="70"/>
      <c r="AT51" s="70"/>
      <c r="AX51" s="70"/>
      <c r="AY51" s="70"/>
      <c r="AZ51" s="70"/>
      <c r="BB51" s="70"/>
      <c r="BD51" s="70"/>
      <c r="BE51" s="70"/>
      <c r="BF51" s="70"/>
      <c r="BK51" s="70"/>
      <c r="BM51" s="70"/>
      <c r="BN51" s="70"/>
      <c r="BP51" s="70"/>
      <c r="BQ51" s="70"/>
      <c r="BR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J51" s="70"/>
      <c r="CK51" s="70"/>
      <c r="CL51" s="70"/>
      <c r="CM51" s="70"/>
      <c r="CO51" s="70"/>
      <c r="CQ51" s="70"/>
      <c r="CS51" s="70"/>
      <c r="CT51" s="70"/>
      <c r="CU51" s="70"/>
      <c r="CW51" s="70"/>
      <c r="CX51" s="70"/>
      <c r="CY51" s="70"/>
      <c r="CZ51" s="70"/>
      <c r="DC51" s="70"/>
      <c r="DD51" s="70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</row>
    <row r="52" spans="1:123" ht="24.95" customHeight="1">
      <c r="A52" s="68"/>
      <c r="D52" s="69"/>
      <c r="E52" s="69"/>
      <c r="F52" s="69"/>
      <c r="G52" s="70"/>
      <c r="H52" s="70"/>
      <c r="I52" s="70"/>
      <c r="J52" s="70"/>
      <c r="N52" s="70"/>
      <c r="O52" s="69"/>
      <c r="S52" s="70"/>
      <c r="T52" s="69"/>
      <c r="V52" s="72" t="str">
        <f t="shared" si="0"/>
        <v/>
      </c>
      <c r="W52" s="72" t="str">
        <f t="shared" si="1"/>
        <v/>
      </c>
      <c r="X52" s="72" t="str">
        <f t="shared" si="2"/>
        <v/>
      </c>
      <c r="AD52" s="70"/>
      <c r="AE52" s="70"/>
      <c r="AF52" s="70"/>
      <c r="AH52" s="70"/>
      <c r="AJ52" s="70"/>
      <c r="AN52" s="70"/>
      <c r="AO52" s="70"/>
      <c r="AP52" s="70"/>
      <c r="AR52" s="70"/>
      <c r="AT52" s="70"/>
      <c r="AX52" s="70"/>
      <c r="AY52" s="70"/>
      <c r="AZ52" s="70"/>
      <c r="BB52" s="70"/>
      <c r="BD52" s="70"/>
      <c r="BE52" s="70"/>
      <c r="BF52" s="70"/>
      <c r="BK52" s="70"/>
      <c r="BM52" s="70"/>
      <c r="BN52" s="70"/>
      <c r="BP52" s="70"/>
      <c r="BQ52" s="70"/>
      <c r="BR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J52" s="70"/>
      <c r="CK52" s="70"/>
      <c r="CL52" s="70"/>
      <c r="CM52" s="70"/>
      <c r="CO52" s="70"/>
      <c r="CQ52" s="70"/>
      <c r="CS52" s="70"/>
      <c r="CT52" s="70"/>
      <c r="CU52" s="70"/>
      <c r="CW52" s="70"/>
      <c r="CX52" s="70"/>
      <c r="CY52" s="70"/>
      <c r="CZ52" s="70"/>
      <c r="DC52" s="70"/>
      <c r="DD52" s="70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</row>
    <row r="53" spans="1:123" ht="24.95" customHeight="1">
      <c r="A53" s="68"/>
      <c r="D53" s="69"/>
      <c r="E53" s="69"/>
      <c r="F53" s="69"/>
      <c r="G53" s="70"/>
      <c r="H53" s="70"/>
      <c r="I53" s="70"/>
      <c r="J53" s="70"/>
      <c r="N53" s="70"/>
      <c r="O53" s="69"/>
      <c r="S53" s="70"/>
      <c r="T53" s="69"/>
      <c r="V53" s="72" t="str">
        <f t="shared" si="0"/>
        <v/>
      </c>
      <c r="W53" s="72" t="str">
        <f t="shared" si="1"/>
        <v/>
      </c>
      <c r="X53" s="72" t="str">
        <f t="shared" si="2"/>
        <v/>
      </c>
      <c r="AD53" s="70"/>
      <c r="AE53" s="70"/>
      <c r="AF53" s="70"/>
      <c r="AH53" s="70"/>
      <c r="AJ53" s="70"/>
      <c r="AN53" s="70"/>
      <c r="AO53" s="70"/>
      <c r="AP53" s="70"/>
      <c r="AR53" s="70"/>
      <c r="AT53" s="70"/>
      <c r="AX53" s="70"/>
      <c r="AY53" s="70"/>
      <c r="AZ53" s="70"/>
      <c r="BB53" s="70"/>
      <c r="BD53" s="70"/>
      <c r="BE53" s="70"/>
      <c r="BF53" s="70"/>
      <c r="BK53" s="70"/>
      <c r="BM53" s="70"/>
      <c r="BN53" s="70"/>
      <c r="BP53" s="70"/>
      <c r="BQ53" s="70"/>
      <c r="BR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J53" s="70"/>
      <c r="CK53" s="70"/>
      <c r="CL53" s="70"/>
      <c r="CM53" s="70"/>
      <c r="CO53" s="70"/>
      <c r="CQ53" s="70"/>
      <c r="CS53" s="70"/>
      <c r="CT53" s="70"/>
      <c r="CU53" s="70"/>
      <c r="CW53" s="70"/>
      <c r="CX53" s="70"/>
      <c r="CY53" s="70"/>
      <c r="CZ53" s="70"/>
      <c r="DC53" s="70"/>
      <c r="DD53" s="70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</row>
    <row r="54" spans="1:123" ht="24.95" customHeight="1">
      <c r="A54" s="68"/>
      <c r="D54" s="69"/>
      <c r="E54" s="69"/>
      <c r="F54" s="69"/>
      <c r="G54" s="70"/>
      <c r="H54" s="70"/>
      <c r="I54" s="70"/>
      <c r="J54" s="70"/>
      <c r="N54" s="70"/>
      <c r="O54" s="69"/>
      <c r="S54" s="70"/>
      <c r="T54" s="69"/>
      <c r="V54" s="72" t="str">
        <f t="shared" si="0"/>
        <v/>
      </c>
      <c r="W54" s="72" t="str">
        <f t="shared" si="1"/>
        <v/>
      </c>
      <c r="X54" s="72" t="str">
        <f t="shared" si="2"/>
        <v/>
      </c>
      <c r="AD54" s="70"/>
      <c r="AE54" s="70"/>
      <c r="AF54" s="70"/>
      <c r="AH54" s="70"/>
      <c r="AJ54" s="70"/>
      <c r="AN54" s="70"/>
      <c r="AO54" s="70"/>
      <c r="AP54" s="70"/>
      <c r="AR54" s="70"/>
      <c r="AT54" s="70"/>
      <c r="AX54" s="70"/>
      <c r="AY54" s="70"/>
      <c r="AZ54" s="70"/>
      <c r="BB54" s="70"/>
      <c r="BD54" s="70"/>
      <c r="BE54" s="70"/>
      <c r="BF54" s="70"/>
      <c r="BK54" s="70"/>
      <c r="BM54" s="70"/>
      <c r="BN54" s="70"/>
      <c r="BP54" s="70"/>
      <c r="BQ54" s="70"/>
      <c r="BR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J54" s="70"/>
      <c r="CK54" s="70"/>
      <c r="CL54" s="70"/>
      <c r="CM54" s="70"/>
      <c r="CO54" s="70"/>
      <c r="CQ54" s="70"/>
      <c r="CS54" s="70"/>
      <c r="CT54" s="70"/>
      <c r="CU54" s="70"/>
      <c r="CW54" s="70"/>
      <c r="CX54" s="70"/>
      <c r="CY54" s="70"/>
      <c r="CZ54" s="70"/>
      <c r="DC54" s="70"/>
      <c r="DD54" s="70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</row>
    <row r="55" spans="1:123" ht="24.95" customHeight="1">
      <c r="A55" s="68"/>
      <c r="D55" s="69"/>
      <c r="E55" s="69"/>
      <c r="F55" s="69"/>
      <c r="G55" s="70"/>
      <c r="H55" s="70"/>
      <c r="I55" s="70"/>
      <c r="J55" s="70"/>
      <c r="N55" s="70"/>
      <c r="O55" s="69"/>
      <c r="S55" s="70"/>
      <c r="T55" s="69"/>
      <c r="V55" s="72" t="str">
        <f t="shared" si="0"/>
        <v/>
      </c>
      <c r="W55" s="72" t="str">
        <f t="shared" si="1"/>
        <v/>
      </c>
      <c r="X55" s="72" t="str">
        <f t="shared" si="2"/>
        <v/>
      </c>
      <c r="AD55" s="70"/>
      <c r="AE55" s="70"/>
      <c r="AF55" s="70"/>
      <c r="AH55" s="70"/>
      <c r="AJ55" s="70"/>
      <c r="AN55" s="70"/>
      <c r="AO55" s="70"/>
      <c r="AP55" s="70"/>
      <c r="AR55" s="70"/>
      <c r="AT55" s="70"/>
      <c r="AX55" s="70"/>
      <c r="AY55" s="70"/>
      <c r="AZ55" s="70"/>
      <c r="BB55" s="70"/>
      <c r="BD55" s="70"/>
      <c r="BE55" s="70"/>
      <c r="BF55" s="70"/>
      <c r="BK55" s="70"/>
      <c r="BM55" s="70"/>
      <c r="BN55" s="70"/>
      <c r="BP55" s="70"/>
      <c r="BQ55" s="70"/>
      <c r="BR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J55" s="70"/>
      <c r="CK55" s="70"/>
      <c r="CL55" s="70"/>
      <c r="CM55" s="70"/>
      <c r="CO55" s="70"/>
      <c r="CQ55" s="70"/>
      <c r="CS55" s="70"/>
      <c r="CT55" s="70"/>
      <c r="CU55" s="70"/>
      <c r="CW55" s="70"/>
      <c r="CX55" s="70"/>
      <c r="CY55" s="70"/>
      <c r="CZ55" s="70"/>
      <c r="DC55" s="70"/>
      <c r="DD55" s="70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</row>
    <row r="56" spans="1:123" ht="24.95" customHeight="1">
      <c r="A56" s="68"/>
      <c r="D56" s="69"/>
      <c r="E56" s="69"/>
      <c r="F56" s="69"/>
      <c r="G56" s="70"/>
      <c r="H56" s="70"/>
      <c r="I56" s="70"/>
      <c r="J56" s="70"/>
      <c r="N56" s="70"/>
      <c r="O56" s="69"/>
      <c r="S56" s="70"/>
      <c r="T56" s="69"/>
      <c r="V56" s="72" t="str">
        <f t="shared" si="0"/>
        <v/>
      </c>
      <c r="W56" s="72" t="str">
        <f t="shared" si="1"/>
        <v/>
      </c>
      <c r="X56" s="72" t="str">
        <f t="shared" si="2"/>
        <v/>
      </c>
      <c r="AD56" s="70"/>
      <c r="AE56" s="70"/>
      <c r="AF56" s="70"/>
      <c r="AH56" s="70"/>
      <c r="AJ56" s="70"/>
      <c r="AN56" s="70"/>
      <c r="AO56" s="70"/>
      <c r="AP56" s="70"/>
      <c r="AR56" s="70"/>
      <c r="AT56" s="70"/>
      <c r="AX56" s="70"/>
      <c r="AY56" s="70"/>
      <c r="AZ56" s="70"/>
      <c r="BB56" s="70"/>
      <c r="BD56" s="70"/>
      <c r="BE56" s="70"/>
      <c r="BF56" s="70"/>
      <c r="BK56" s="70"/>
      <c r="BM56" s="70"/>
      <c r="BN56" s="70"/>
      <c r="BP56" s="70"/>
      <c r="BQ56" s="70"/>
      <c r="BR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J56" s="70"/>
      <c r="CK56" s="70"/>
      <c r="CL56" s="70"/>
      <c r="CM56" s="70"/>
      <c r="CO56" s="70"/>
      <c r="CQ56" s="70"/>
      <c r="CS56" s="70"/>
      <c r="CT56" s="70"/>
      <c r="CU56" s="70"/>
      <c r="CW56" s="70"/>
      <c r="CX56" s="70"/>
      <c r="CY56" s="70"/>
      <c r="CZ56" s="70"/>
      <c r="DC56" s="70"/>
      <c r="DD56" s="70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</row>
    <row r="57" spans="1:123" ht="24.95" customHeight="1">
      <c r="A57" s="68"/>
      <c r="D57" s="69"/>
      <c r="E57" s="69"/>
      <c r="F57" s="69"/>
      <c r="G57" s="70"/>
      <c r="H57" s="70"/>
      <c r="I57" s="70"/>
      <c r="J57" s="70"/>
      <c r="N57" s="70"/>
      <c r="O57" s="69"/>
      <c r="S57" s="70"/>
      <c r="T57" s="69"/>
      <c r="V57" s="72" t="str">
        <f t="shared" si="0"/>
        <v/>
      </c>
      <c r="W57" s="72" t="str">
        <f t="shared" si="1"/>
        <v/>
      </c>
      <c r="X57" s="72" t="str">
        <f t="shared" si="2"/>
        <v/>
      </c>
      <c r="AD57" s="70"/>
      <c r="AE57" s="70"/>
      <c r="AF57" s="70"/>
      <c r="AH57" s="70"/>
      <c r="AJ57" s="70"/>
      <c r="AN57" s="70"/>
      <c r="AO57" s="70"/>
      <c r="AP57" s="70"/>
      <c r="AR57" s="70"/>
      <c r="AT57" s="70"/>
      <c r="AX57" s="70"/>
      <c r="AY57" s="70"/>
      <c r="AZ57" s="70"/>
      <c r="BB57" s="70"/>
      <c r="BD57" s="70"/>
      <c r="BE57" s="70"/>
      <c r="BF57" s="70"/>
      <c r="BK57" s="70"/>
      <c r="BM57" s="70"/>
      <c r="BN57" s="70"/>
      <c r="BP57" s="70"/>
      <c r="BQ57" s="70"/>
      <c r="BR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J57" s="70"/>
      <c r="CK57" s="70"/>
      <c r="CL57" s="70"/>
      <c r="CM57" s="70"/>
      <c r="CO57" s="70"/>
      <c r="CQ57" s="70"/>
      <c r="CS57" s="70"/>
      <c r="CT57" s="70"/>
      <c r="CU57" s="70"/>
      <c r="CW57" s="70"/>
      <c r="CX57" s="70"/>
      <c r="CY57" s="70"/>
      <c r="CZ57" s="70"/>
      <c r="DC57" s="70"/>
      <c r="DD57" s="70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</row>
    <row r="58" spans="1:123" ht="24.95" customHeight="1">
      <c r="A58" s="68"/>
      <c r="D58" s="69"/>
      <c r="E58" s="69"/>
      <c r="F58" s="69"/>
      <c r="G58" s="70"/>
      <c r="H58" s="70"/>
      <c r="I58" s="70"/>
      <c r="J58" s="70"/>
      <c r="N58" s="70"/>
      <c r="O58" s="69"/>
      <c r="S58" s="70"/>
      <c r="T58" s="69"/>
      <c r="V58" s="72" t="str">
        <f t="shared" si="0"/>
        <v/>
      </c>
      <c r="W58" s="72" t="str">
        <f t="shared" si="1"/>
        <v/>
      </c>
      <c r="X58" s="72" t="str">
        <f t="shared" si="2"/>
        <v/>
      </c>
      <c r="AD58" s="70"/>
      <c r="AE58" s="70"/>
      <c r="AF58" s="70"/>
      <c r="AH58" s="70"/>
      <c r="AJ58" s="70"/>
      <c r="AN58" s="70"/>
      <c r="AO58" s="70"/>
      <c r="AP58" s="70"/>
      <c r="AR58" s="70"/>
      <c r="AT58" s="70"/>
      <c r="AX58" s="70"/>
      <c r="AY58" s="70"/>
      <c r="AZ58" s="70"/>
      <c r="BB58" s="70"/>
      <c r="BD58" s="70"/>
      <c r="BE58" s="70"/>
      <c r="BF58" s="70"/>
      <c r="BK58" s="70"/>
      <c r="BM58" s="70"/>
      <c r="BN58" s="70"/>
      <c r="BP58" s="70"/>
      <c r="BQ58" s="70"/>
      <c r="BR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J58" s="70"/>
      <c r="CK58" s="70"/>
      <c r="CL58" s="70"/>
      <c r="CM58" s="70"/>
      <c r="CO58" s="70"/>
      <c r="CQ58" s="70"/>
      <c r="CS58" s="70"/>
      <c r="CT58" s="70"/>
      <c r="CU58" s="70"/>
      <c r="CW58" s="70"/>
      <c r="CX58" s="70"/>
      <c r="CY58" s="70"/>
      <c r="CZ58" s="70"/>
      <c r="DC58" s="70"/>
      <c r="DD58" s="70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</row>
    <row r="59" spans="1:123" ht="24.95" customHeight="1">
      <c r="A59" s="68"/>
      <c r="D59" s="69"/>
      <c r="E59" s="69"/>
      <c r="F59" s="69"/>
      <c r="G59" s="70"/>
      <c r="H59" s="70"/>
      <c r="I59" s="70"/>
      <c r="J59" s="70"/>
      <c r="N59" s="70"/>
      <c r="O59" s="69"/>
      <c r="S59" s="70"/>
      <c r="T59" s="69"/>
      <c r="V59" s="72" t="str">
        <f t="shared" si="0"/>
        <v/>
      </c>
      <c r="W59" s="72" t="str">
        <f t="shared" si="1"/>
        <v/>
      </c>
      <c r="X59" s="72" t="str">
        <f t="shared" si="2"/>
        <v/>
      </c>
      <c r="AD59" s="70"/>
      <c r="AE59" s="70"/>
      <c r="AF59" s="70"/>
      <c r="AH59" s="70"/>
      <c r="AJ59" s="70"/>
      <c r="AN59" s="70"/>
      <c r="AO59" s="70"/>
      <c r="AP59" s="70"/>
      <c r="AR59" s="70"/>
      <c r="AT59" s="70"/>
      <c r="AX59" s="70"/>
      <c r="AY59" s="70"/>
      <c r="AZ59" s="70"/>
      <c r="BB59" s="70"/>
      <c r="BD59" s="70"/>
      <c r="BE59" s="70"/>
      <c r="BF59" s="70"/>
      <c r="BK59" s="70"/>
      <c r="BM59" s="70"/>
      <c r="BN59" s="70"/>
      <c r="BP59" s="70"/>
      <c r="BQ59" s="70"/>
      <c r="BR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J59" s="70"/>
      <c r="CK59" s="70"/>
      <c r="CL59" s="70"/>
      <c r="CM59" s="70"/>
      <c r="CO59" s="70"/>
      <c r="CQ59" s="70"/>
      <c r="CS59" s="70"/>
      <c r="CT59" s="70"/>
      <c r="CU59" s="70"/>
      <c r="CW59" s="70"/>
      <c r="CX59" s="70"/>
      <c r="CY59" s="70"/>
      <c r="CZ59" s="70"/>
      <c r="DC59" s="70"/>
      <c r="DD59" s="70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</row>
    <row r="60" spans="1:123" ht="24.95" customHeight="1">
      <c r="A60" s="68"/>
      <c r="D60" s="69"/>
      <c r="E60" s="69"/>
      <c r="F60" s="69"/>
      <c r="G60" s="70"/>
      <c r="H60" s="70"/>
      <c r="I60" s="70"/>
      <c r="J60" s="70"/>
      <c r="N60" s="70"/>
      <c r="O60" s="69"/>
      <c r="S60" s="70"/>
      <c r="T60" s="69"/>
      <c r="V60" s="72" t="str">
        <f t="shared" si="0"/>
        <v/>
      </c>
      <c r="W60" s="72" t="str">
        <f t="shared" si="1"/>
        <v/>
      </c>
      <c r="X60" s="72" t="str">
        <f t="shared" si="2"/>
        <v/>
      </c>
      <c r="AD60" s="70"/>
      <c r="AE60" s="70"/>
      <c r="AF60" s="70"/>
      <c r="AH60" s="70"/>
      <c r="AJ60" s="70"/>
      <c r="AN60" s="70"/>
      <c r="AO60" s="70"/>
      <c r="AP60" s="70"/>
      <c r="AR60" s="70"/>
      <c r="AT60" s="70"/>
      <c r="AX60" s="70"/>
      <c r="AY60" s="70"/>
      <c r="AZ60" s="70"/>
      <c r="BB60" s="70"/>
      <c r="BD60" s="70"/>
      <c r="BE60" s="70"/>
      <c r="BF60" s="70"/>
      <c r="BK60" s="70"/>
      <c r="BM60" s="70"/>
      <c r="BN60" s="70"/>
      <c r="BP60" s="70"/>
      <c r="BQ60" s="70"/>
      <c r="BR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J60" s="70"/>
      <c r="CK60" s="70"/>
      <c r="CL60" s="70"/>
      <c r="CM60" s="70"/>
      <c r="CO60" s="70"/>
      <c r="CQ60" s="70"/>
      <c r="CS60" s="70"/>
      <c r="CT60" s="70"/>
      <c r="CU60" s="70"/>
      <c r="CW60" s="70"/>
      <c r="CX60" s="70"/>
      <c r="CY60" s="70"/>
      <c r="CZ60" s="70"/>
      <c r="DC60" s="70"/>
      <c r="DD60" s="70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</row>
    <row r="61" spans="1:123" ht="24.95" customHeight="1">
      <c r="A61" s="68"/>
      <c r="D61" s="69"/>
      <c r="E61" s="69"/>
      <c r="F61" s="69"/>
      <c r="G61" s="70"/>
      <c r="H61" s="70"/>
      <c r="I61" s="70"/>
      <c r="J61" s="70"/>
      <c r="N61" s="70"/>
      <c r="O61" s="69"/>
      <c r="S61" s="70"/>
      <c r="T61" s="69"/>
      <c r="V61" s="72" t="str">
        <f t="shared" si="0"/>
        <v/>
      </c>
      <c r="W61" s="72" t="str">
        <f t="shared" si="1"/>
        <v/>
      </c>
      <c r="X61" s="72" t="str">
        <f t="shared" si="2"/>
        <v/>
      </c>
      <c r="AD61" s="70"/>
      <c r="AE61" s="70"/>
      <c r="AF61" s="70"/>
      <c r="AH61" s="70"/>
      <c r="AJ61" s="70"/>
      <c r="AN61" s="70"/>
      <c r="AO61" s="70"/>
      <c r="AP61" s="70"/>
      <c r="AR61" s="70"/>
      <c r="AT61" s="70"/>
      <c r="AX61" s="70"/>
      <c r="AY61" s="70"/>
      <c r="AZ61" s="70"/>
      <c r="BB61" s="70"/>
      <c r="BD61" s="70"/>
      <c r="BE61" s="70"/>
      <c r="BF61" s="70"/>
      <c r="BK61" s="70"/>
      <c r="BM61" s="70"/>
      <c r="BN61" s="70"/>
      <c r="BP61" s="70"/>
      <c r="BQ61" s="70"/>
      <c r="BR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J61" s="70"/>
      <c r="CK61" s="70"/>
      <c r="CL61" s="70"/>
      <c r="CM61" s="70"/>
      <c r="CO61" s="70"/>
      <c r="CQ61" s="70"/>
      <c r="CS61" s="70"/>
      <c r="CT61" s="70"/>
      <c r="CU61" s="70"/>
      <c r="CW61" s="70"/>
      <c r="CX61" s="70"/>
      <c r="CY61" s="70"/>
      <c r="CZ61" s="70"/>
      <c r="DC61" s="70"/>
      <c r="DD61" s="70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</row>
    <row r="62" spans="1:123" ht="24.95" customHeight="1">
      <c r="A62" s="68"/>
      <c r="D62" s="69"/>
      <c r="E62" s="69"/>
      <c r="F62" s="69"/>
      <c r="G62" s="70"/>
      <c r="H62" s="70"/>
      <c r="I62" s="70"/>
      <c r="J62" s="70"/>
      <c r="N62" s="70"/>
      <c r="O62" s="69"/>
      <c r="S62" s="70"/>
      <c r="T62" s="69"/>
      <c r="V62" s="72" t="str">
        <f t="shared" si="0"/>
        <v/>
      </c>
      <c r="W62" s="72" t="str">
        <f t="shared" si="1"/>
        <v/>
      </c>
      <c r="X62" s="72" t="str">
        <f t="shared" si="2"/>
        <v/>
      </c>
      <c r="AD62" s="70"/>
      <c r="AE62" s="70"/>
      <c r="AF62" s="70"/>
      <c r="AH62" s="70"/>
      <c r="AJ62" s="70"/>
      <c r="AN62" s="70"/>
      <c r="AO62" s="70"/>
      <c r="AP62" s="70"/>
      <c r="AR62" s="70"/>
      <c r="AT62" s="70"/>
      <c r="AX62" s="70"/>
      <c r="AY62" s="70"/>
      <c r="AZ62" s="70"/>
      <c r="BB62" s="70"/>
      <c r="BD62" s="70"/>
      <c r="BE62" s="70"/>
      <c r="BF62" s="70"/>
      <c r="BK62" s="70"/>
      <c r="BM62" s="70"/>
      <c r="BN62" s="70"/>
      <c r="BP62" s="70"/>
      <c r="BQ62" s="70"/>
      <c r="BR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J62" s="70"/>
      <c r="CK62" s="70"/>
      <c r="CL62" s="70"/>
      <c r="CM62" s="70"/>
      <c r="CO62" s="70"/>
      <c r="CQ62" s="70"/>
      <c r="CS62" s="70"/>
      <c r="CT62" s="70"/>
      <c r="CU62" s="70"/>
      <c r="CW62" s="70"/>
      <c r="CX62" s="70"/>
      <c r="CY62" s="70"/>
      <c r="CZ62" s="70"/>
      <c r="DC62" s="70"/>
      <c r="DD62" s="70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</row>
    <row r="63" spans="1:123" ht="24.95" customHeight="1">
      <c r="A63" s="68"/>
      <c r="D63" s="69"/>
      <c r="E63" s="69"/>
      <c r="F63" s="69"/>
      <c r="G63" s="70"/>
      <c r="H63" s="70"/>
      <c r="I63" s="70"/>
      <c r="J63" s="70"/>
      <c r="N63" s="70"/>
      <c r="O63" s="69"/>
      <c r="S63" s="70"/>
      <c r="T63" s="69"/>
      <c r="V63" s="72" t="str">
        <f t="shared" si="0"/>
        <v/>
      </c>
      <c r="W63" s="72" t="str">
        <f t="shared" si="1"/>
        <v/>
      </c>
      <c r="X63" s="72" t="str">
        <f t="shared" si="2"/>
        <v/>
      </c>
      <c r="AD63" s="70"/>
      <c r="AE63" s="70"/>
      <c r="AF63" s="70"/>
      <c r="AH63" s="70"/>
      <c r="AJ63" s="70"/>
      <c r="AN63" s="70"/>
      <c r="AO63" s="70"/>
      <c r="AP63" s="70"/>
      <c r="AR63" s="70"/>
      <c r="AT63" s="70"/>
      <c r="AX63" s="70"/>
      <c r="AY63" s="70"/>
      <c r="AZ63" s="70"/>
      <c r="BB63" s="70"/>
      <c r="BD63" s="70"/>
      <c r="BE63" s="70"/>
      <c r="BF63" s="70"/>
      <c r="BK63" s="70"/>
      <c r="BM63" s="70"/>
      <c r="BN63" s="70"/>
      <c r="BP63" s="70"/>
      <c r="BQ63" s="70"/>
      <c r="BR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J63" s="70"/>
      <c r="CK63" s="70"/>
      <c r="CL63" s="70"/>
      <c r="CM63" s="70"/>
      <c r="CO63" s="70"/>
      <c r="CQ63" s="70"/>
      <c r="CS63" s="70"/>
      <c r="CT63" s="70"/>
      <c r="CU63" s="70"/>
      <c r="CW63" s="70"/>
      <c r="CX63" s="70"/>
      <c r="CY63" s="70"/>
      <c r="CZ63" s="70"/>
      <c r="DC63" s="70"/>
      <c r="DD63" s="70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</row>
    <row r="64" spans="1:123" ht="24.95" customHeight="1">
      <c r="A64" s="68"/>
      <c r="D64" s="69"/>
      <c r="E64" s="69"/>
      <c r="F64" s="69"/>
      <c r="G64" s="70"/>
      <c r="H64" s="70"/>
      <c r="I64" s="70"/>
      <c r="J64" s="70"/>
      <c r="N64" s="70"/>
      <c r="O64" s="69"/>
      <c r="S64" s="70"/>
      <c r="T64" s="69"/>
      <c r="V64" s="72" t="str">
        <f t="shared" si="0"/>
        <v/>
      </c>
      <c r="W64" s="72" t="str">
        <f t="shared" si="1"/>
        <v/>
      </c>
      <c r="X64" s="72" t="str">
        <f t="shared" si="2"/>
        <v/>
      </c>
      <c r="AD64" s="70"/>
      <c r="AE64" s="70"/>
      <c r="AF64" s="70"/>
      <c r="AH64" s="70"/>
      <c r="AJ64" s="70"/>
      <c r="AN64" s="70"/>
      <c r="AO64" s="70"/>
      <c r="AP64" s="70"/>
      <c r="AR64" s="70"/>
      <c r="AT64" s="70"/>
      <c r="AX64" s="70"/>
      <c r="AY64" s="70"/>
      <c r="AZ64" s="70"/>
      <c r="BB64" s="70"/>
      <c r="BD64" s="70"/>
      <c r="BE64" s="70"/>
      <c r="BF64" s="70"/>
      <c r="BK64" s="70"/>
      <c r="BM64" s="70"/>
      <c r="BN64" s="70"/>
      <c r="BP64" s="70"/>
      <c r="BQ64" s="70"/>
      <c r="BR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J64" s="70"/>
      <c r="CK64" s="70"/>
      <c r="CL64" s="70"/>
      <c r="CM64" s="70"/>
      <c r="CO64" s="70"/>
      <c r="CQ64" s="70"/>
      <c r="CS64" s="70"/>
      <c r="CT64" s="70"/>
      <c r="CU64" s="70"/>
      <c r="CW64" s="70"/>
      <c r="CX64" s="70"/>
      <c r="CY64" s="70"/>
      <c r="CZ64" s="70"/>
      <c r="DC64" s="70"/>
      <c r="DD64" s="70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</row>
    <row r="65" spans="1:123" ht="24.95" customHeight="1">
      <c r="A65" s="68"/>
      <c r="D65" s="69"/>
      <c r="E65" s="69"/>
      <c r="F65" s="69"/>
      <c r="G65" s="70"/>
      <c r="H65" s="70"/>
      <c r="I65" s="70"/>
      <c r="J65" s="70"/>
      <c r="N65" s="70"/>
      <c r="O65" s="69"/>
      <c r="S65" s="70"/>
      <c r="T65" s="69"/>
      <c r="V65" s="72" t="str">
        <f t="shared" si="0"/>
        <v/>
      </c>
      <c r="W65" s="72" t="str">
        <f t="shared" si="1"/>
        <v/>
      </c>
      <c r="X65" s="72" t="str">
        <f t="shared" si="2"/>
        <v/>
      </c>
      <c r="AD65" s="70"/>
      <c r="AE65" s="70"/>
      <c r="AF65" s="70"/>
      <c r="AH65" s="70"/>
      <c r="AJ65" s="70"/>
      <c r="AN65" s="70"/>
      <c r="AO65" s="70"/>
      <c r="AP65" s="70"/>
      <c r="AR65" s="70"/>
      <c r="AT65" s="70"/>
      <c r="AX65" s="70"/>
      <c r="AY65" s="70"/>
      <c r="AZ65" s="70"/>
      <c r="BB65" s="70"/>
      <c r="BD65" s="70"/>
      <c r="BE65" s="70"/>
      <c r="BF65" s="70"/>
      <c r="BK65" s="70"/>
      <c r="BM65" s="70"/>
      <c r="BN65" s="70"/>
      <c r="BP65" s="70"/>
      <c r="BQ65" s="70"/>
      <c r="BR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J65" s="70"/>
      <c r="CK65" s="70"/>
      <c r="CL65" s="70"/>
      <c r="CM65" s="70"/>
      <c r="CO65" s="70"/>
      <c r="CQ65" s="70"/>
      <c r="CS65" s="70"/>
      <c r="CT65" s="70"/>
      <c r="CU65" s="70"/>
      <c r="CW65" s="70"/>
      <c r="CX65" s="70"/>
      <c r="CY65" s="70"/>
      <c r="CZ65" s="70"/>
      <c r="DC65" s="70"/>
      <c r="DD65" s="70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</row>
    <row r="66" spans="1:123" ht="24.95" customHeight="1">
      <c r="A66" s="68"/>
      <c r="D66" s="69"/>
      <c r="E66" s="69"/>
      <c r="F66" s="69"/>
      <c r="G66" s="70"/>
      <c r="H66" s="70"/>
      <c r="I66" s="70"/>
      <c r="J66" s="70"/>
      <c r="N66" s="70"/>
      <c r="O66" s="69"/>
      <c r="S66" s="70"/>
      <c r="T66" s="69"/>
      <c r="V66" s="72" t="str">
        <f t="shared" si="0"/>
        <v/>
      </c>
      <c r="W66" s="72" t="str">
        <f t="shared" si="1"/>
        <v/>
      </c>
      <c r="X66" s="72" t="str">
        <f t="shared" si="2"/>
        <v/>
      </c>
      <c r="AD66" s="70"/>
      <c r="AE66" s="70"/>
      <c r="AF66" s="70"/>
      <c r="AH66" s="70"/>
      <c r="AJ66" s="70"/>
      <c r="AN66" s="70"/>
      <c r="AO66" s="70"/>
      <c r="AP66" s="70"/>
      <c r="AR66" s="70"/>
      <c r="AT66" s="70"/>
      <c r="AX66" s="70"/>
      <c r="AY66" s="70"/>
      <c r="AZ66" s="70"/>
      <c r="BB66" s="70"/>
      <c r="BD66" s="70"/>
      <c r="BE66" s="70"/>
      <c r="BF66" s="70"/>
      <c r="BK66" s="70"/>
      <c r="BM66" s="70"/>
      <c r="BN66" s="70"/>
      <c r="BP66" s="70"/>
      <c r="BQ66" s="70"/>
      <c r="BR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J66" s="70"/>
      <c r="CK66" s="70"/>
      <c r="CL66" s="70"/>
      <c r="CM66" s="70"/>
      <c r="CO66" s="70"/>
      <c r="CQ66" s="70"/>
      <c r="CS66" s="70"/>
      <c r="CT66" s="70"/>
      <c r="CU66" s="70"/>
      <c r="CW66" s="70"/>
      <c r="CX66" s="70"/>
      <c r="CY66" s="70"/>
      <c r="CZ66" s="70"/>
      <c r="DC66" s="70"/>
      <c r="DD66" s="70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</row>
    <row r="67" spans="1:123" ht="24.95" customHeight="1">
      <c r="A67" s="68"/>
      <c r="D67" s="69"/>
      <c r="E67" s="69"/>
      <c r="F67" s="69"/>
      <c r="G67" s="70"/>
      <c r="H67" s="70"/>
      <c r="I67" s="70"/>
      <c r="J67" s="70"/>
      <c r="N67" s="70"/>
      <c r="O67" s="69"/>
      <c r="S67" s="70"/>
      <c r="T67" s="69"/>
      <c r="V67" s="72" t="str">
        <f t="shared" si="0"/>
        <v/>
      </c>
      <c r="W67" s="72" t="str">
        <f t="shared" si="1"/>
        <v/>
      </c>
      <c r="X67" s="72" t="str">
        <f t="shared" si="2"/>
        <v/>
      </c>
      <c r="AD67" s="70"/>
      <c r="AE67" s="70"/>
      <c r="AF67" s="70"/>
      <c r="AH67" s="70"/>
      <c r="AJ67" s="70"/>
      <c r="AN67" s="70"/>
      <c r="AO67" s="70"/>
      <c r="AP67" s="70"/>
      <c r="AR67" s="70"/>
      <c r="AT67" s="70"/>
      <c r="AX67" s="70"/>
      <c r="AY67" s="70"/>
      <c r="AZ67" s="70"/>
      <c r="BB67" s="70"/>
      <c r="BD67" s="70"/>
      <c r="BE67" s="70"/>
      <c r="BF67" s="70"/>
      <c r="BK67" s="70"/>
      <c r="BM67" s="70"/>
      <c r="BN67" s="70"/>
      <c r="BP67" s="70"/>
      <c r="BQ67" s="70"/>
      <c r="BR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J67" s="70"/>
      <c r="CK67" s="70"/>
      <c r="CL67" s="70"/>
      <c r="CM67" s="70"/>
      <c r="CO67" s="70"/>
      <c r="CQ67" s="70"/>
      <c r="CS67" s="70"/>
      <c r="CT67" s="70"/>
      <c r="CU67" s="70"/>
      <c r="CW67" s="70"/>
      <c r="CX67" s="70"/>
      <c r="CY67" s="70"/>
      <c r="CZ67" s="70"/>
      <c r="DC67" s="70"/>
      <c r="DD67" s="70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</row>
    <row r="68" spans="1:123" ht="24.95" customHeight="1">
      <c r="A68" s="68"/>
      <c r="D68" s="69"/>
      <c r="E68" s="69"/>
      <c r="F68" s="69"/>
      <c r="G68" s="70"/>
      <c r="H68" s="70"/>
      <c r="I68" s="70"/>
      <c r="J68" s="70"/>
      <c r="N68" s="70"/>
      <c r="O68" s="69"/>
      <c r="S68" s="70"/>
      <c r="T68" s="69"/>
      <c r="V68" s="72" t="str">
        <f t="shared" si="0"/>
        <v/>
      </c>
      <c r="W68" s="72" t="str">
        <f t="shared" si="1"/>
        <v/>
      </c>
      <c r="X68" s="72" t="str">
        <f t="shared" si="2"/>
        <v/>
      </c>
      <c r="AD68" s="70"/>
      <c r="AE68" s="70"/>
      <c r="AF68" s="70"/>
      <c r="AH68" s="70"/>
      <c r="AJ68" s="70"/>
      <c r="AN68" s="70"/>
      <c r="AO68" s="70"/>
      <c r="AP68" s="70"/>
      <c r="AR68" s="70"/>
      <c r="AT68" s="70"/>
      <c r="AX68" s="70"/>
      <c r="AY68" s="70"/>
      <c r="AZ68" s="70"/>
      <c r="BB68" s="70"/>
      <c r="BD68" s="70"/>
      <c r="BE68" s="70"/>
      <c r="BF68" s="70"/>
      <c r="BK68" s="70"/>
      <c r="BM68" s="70"/>
      <c r="BN68" s="70"/>
      <c r="BP68" s="70"/>
      <c r="BQ68" s="70"/>
      <c r="BR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J68" s="70"/>
      <c r="CK68" s="70"/>
      <c r="CL68" s="70"/>
      <c r="CM68" s="70"/>
      <c r="CO68" s="70"/>
      <c r="CQ68" s="70"/>
      <c r="CS68" s="70"/>
      <c r="CT68" s="70"/>
      <c r="CU68" s="70"/>
      <c r="CW68" s="70"/>
      <c r="CX68" s="70"/>
      <c r="CY68" s="70"/>
      <c r="CZ68" s="70"/>
      <c r="DC68" s="70"/>
      <c r="DD68" s="70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</row>
    <row r="69" spans="1:123" ht="24.95" customHeight="1">
      <c r="A69" s="68"/>
      <c r="D69" s="69"/>
      <c r="E69" s="69"/>
      <c r="F69" s="69"/>
      <c r="G69" s="70"/>
      <c r="H69" s="70"/>
      <c r="I69" s="70"/>
      <c r="J69" s="70"/>
      <c r="N69" s="70"/>
      <c r="O69" s="69"/>
      <c r="S69" s="70"/>
      <c r="T69" s="69"/>
      <c r="V69" s="72" t="str">
        <f t="shared" si="0"/>
        <v/>
      </c>
      <c r="W69" s="72" t="str">
        <f t="shared" si="1"/>
        <v/>
      </c>
      <c r="X69" s="72" t="str">
        <f t="shared" si="2"/>
        <v/>
      </c>
      <c r="AD69" s="70"/>
      <c r="AE69" s="70"/>
      <c r="AF69" s="70"/>
      <c r="AH69" s="70"/>
      <c r="AJ69" s="70"/>
      <c r="AN69" s="70"/>
      <c r="AO69" s="70"/>
      <c r="AP69" s="70"/>
      <c r="AR69" s="70"/>
      <c r="AT69" s="70"/>
      <c r="AX69" s="70"/>
      <c r="AY69" s="70"/>
      <c r="AZ69" s="70"/>
      <c r="BB69" s="70"/>
      <c r="BD69" s="70"/>
      <c r="BE69" s="70"/>
      <c r="BF69" s="70"/>
      <c r="BK69" s="70"/>
      <c r="BM69" s="70"/>
      <c r="BN69" s="70"/>
      <c r="BP69" s="70"/>
      <c r="BQ69" s="70"/>
      <c r="BR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J69" s="70"/>
      <c r="CK69" s="70"/>
      <c r="CL69" s="70"/>
      <c r="CM69" s="70"/>
      <c r="CO69" s="70"/>
      <c r="CQ69" s="70"/>
      <c r="CS69" s="70"/>
      <c r="CT69" s="70"/>
      <c r="CU69" s="70"/>
      <c r="CW69" s="70"/>
      <c r="CX69" s="70"/>
      <c r="CY69" s="70"/>
      <c r="CZ69" s="70"/>
      <c r="DC69" s="70"/>
      <c r="DD69" s="70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</row>
    <row r="70" spans="1:123" ht="24.95" customHeight="1">
      <c r="A70" s="68"/>
      <c r="D70" s="69"/>
      <c r="E70" s="69"/>
      <c r="F70" s="69"/>
      <c r="G70" s="70"/>
      <c r="H70" s="70"/>
      <c r="I70" s="70"/>
      <c r="J70" s="70"/>
      <c r="N70" s="70"/>
      <c r="O70" s="69"/>
      <c r="S70" s="70"/>
      <c r="T70" s="69"/>
      <c r="V70" s="72" t="str">
        <f t="shared" ref="V70:V133" si="3">IF($A70="","",IF(AND($U70="発射物",$DI70&lt;&gt;"パッシブ"),$BE70,0))</f>
        <v/>
      </c>
      <c r="W70" s="72" t="str">
        <f t="shared" ref="W70:W133" si="4">IF($A70="","",IF(AND($U70="発射物",$DI70&lt;&gt;"パッシブ"),$BF70,0))</f>
        <v/>
      </c>
      <c r="X70" s="72" t="str">
        <f t="shared" ref="X70:X133" si="5">IF($A70="","",IF(AND($U70="発射物",$DI70&lt;&gt;"パッシブ"),IF($BG70="有効","有効","無効"),"無効"))</f>
        <v/>
      </c>
      <c r="AD70" s="70"/>
      <c r="AE70" s="70"/>
      <c r="AF70" s="70"/>
      <c r="AH70" s="70"/>
      <c r="AJ70" s="70"/>
      <c r="AN70" s="70"/>
      <c r="AO70" s="70"/>
      <c r="AP70" s="70"/>
      <c r="AR70" s="70"/>
      <c r="AT70" s="70"/>
      <c r="AX70" s="70"/>
      <c r="AY70" s="70"/>
      <c r="AZ70" s="70"/>
      <c r="BB70" s="70"/>
      <c r="BD70" s="70"/>
      <c r="BE70" s="70"/>
      <c r="BF70" s="70"/>
      <c r="BK70" s="70"/>
      <c r="BM70" s="70"/>
      <c r="BN70" s="70"/>
      <c r="BP70" s="70"/>
      <c r="BQ70" s="70"/>
      <c r="BR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J70" s="70"/>
      <c r="CK70" s="70"/>
      <c r="CL70" s="70"/>
      <c r="CM70" s="70"/>
      <c r="CO70" s="70"/>
      <c r="CQ70" s="70"/>
      <c r="CS70" s="70"/>
      <c r="CT70" s="70"/>
      <c r="CU70" s="70"/>
      <c r="CW70" s="70"/>
      <c r="CX70" s="70"/>
      <c r="CY70" s="70"/>
      <c r="CZ70" s="70"/>
      <c r="DC70" s="70"/>
      <c r="DD70" s="70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</row>
    <row r="71" spans="1:123" ht="24.95" customHeight="1">
      <c r="A71" s="68"/>
      <c r="D71" s="69"/>
      <c r="E71" s="69"/>
      <c r="F71" s="69"/>
      <c r="G71" s="70"/>
      <c r="H71" s="70"/>
      <c r="I71" s="70"/>
      <c r="J71" s="70"/>
      <c r="N71" s="70"/>
      <c r="O71" s="69"/>
      <c r="S71" s="70"/>
      <c r="T71" s="69"/>
      <c r="V71" s="72" t="str">
        <f t="shared" si="3"/>
        <v/>
      </c>
      <c r="W71" s="72" t="str">
        <f t="shared" si="4"/>
        <v/>
      </c>
      <c r="X71" s="72" t="str">
        <f t="shared" si="5"/>
        <v/>
      </c>
      <c r="AD71" s="70"/>
      <c r="AE71" s="70"/>
      <c r="AF71" s="70"/>
      <c r="AH71" s="70"/>
      <c r="AJ71" s="70"/>
      <c r="AN71" s="70"/>
      <c r="AO71" s="70"/>
      <c r="AP71" s="70"/>
      <c r="AR71" s="70"/>
      <c r="AT71" s="70"/>
      <c r="AX71" s="70"/>
      <c r="AY71" s="70"/>
      <c r="AZ71" s="70"/>
      <c r="BB71" s="70"/>
      <c r="BD71" s="70"/>
      <c r="BE71" s="70"/>
      <c r="BF71" s="70"/>
      <c r="BK71" s="70"/>
      <c r="BM71" s="70"/>
      <c r="BN71" s="70"/>
      <c r="BP71" s="70"/>
      <c r="BQ71" s="70"/>
      <c r="BR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J71" s="70"/>
      <c r="CK71" s="70"/>
      <c r="CL71" s="70"/>
      <c r="CM71" s="70"/>
      <c r="CO71" s="70"/>
      <c r="CQ71" s="70"/>
      <c r="CS71" s="70"/>
      <c r="CT71" s="70"/>
      <c r="CU71" s="70"/>
      <c r="CW71" s="70"/>
      <c r="CX71" s="70"/>
      <c r="CY71" s="70"/>
      <c r="CZ71" s="70"/>
      <c r="DC71" s="70"/>
      <c r="DD71" s="70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</row>
    <row r="72" spans="1:123" ht="24.95" customHeight="1">
      <c r="A72" s="68"/>
      <c r="D72" s="69"/>
      <c r="E72" s="69"/>
      <c r="F72" s="69"/>
      <c r="G72" s="70"/>
      <c r="H72" s="70"/>
      <c r="I72" s="70"/>
      <c r="J72" s="70"/>
      <c r="N72" s="70"/>
      <c r="O72" s="69"/>
      <c r="S72" s="70"/>
      <c r="T72" s="69"/>
      <c r="V72" s="72" t="str">
        <f t="shared" si="3"/>
        <v/>
      </c>
      <c r="W72" s="72" t="str">
        <f t="shared" si="4"/>
        <v/>
      </c>
      <c r="X72" s="72" t="str">
        <f t="shared" si="5"/>
        <v/>
      </c>
      <c r="AD72" s="70"/>
      <c r="AE72" s="70"/>
      <c r="AF72" s="70"/>
      <c r="AH72" s="70"/>
      <c r="AJ72" s="70"/>
      <c r="AN72" s="70"/>
      <c r="AO72" s="70"/>
      <c r="AP72" s="70"/>
      <c r="AR72" s="70"/>
      <c r="AT72" s="70"/>
      <c r="AX72" s="70"/>
      <c r="AY72" s="70"/>
      <c r="AZ72" s="70"/>
      <c r="BB72" s="70"/>
      <c r="BD72" s="70"/>
      <c r="BE72" s="70"/>
      <c r="BF72" s="70"/>
      <c r="BK72" s="70"/>
      <c r="BM72" s="70"/>
      <c r="BN72" s="70"/>
      <c r="BP72" s="70"/>
      <c r="BQ72" s="70"/>
      <c r="BR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J72" s="70"/>
      <c r="CK72" s="70"/>
      <c r="CL72" s="70"/>
      <c r="CM72" s="70"/>
      <c r="CO72" s="70"/>
      <c r="CQ72" s="70"/>
      <c r="CS72" s="70"/>
      <c r="CT72" s="70"/>
      <c r="CU72" s="70"/>
      <c r="CW72" s="70"/>
      <c r="CX72" s="70"/>
      <c r="CY72" s="70"/>
      <c r="CZ72" s="70"/>
      <c r="DC72" s="70"/>
      <c r="DD72" s="70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</row>
    <row r="73" spans="1:123" ht="24.95" customHeight="1">
      <c r="A73" s="68"/>
      <c r="D73" s="69"/>
      <c r="E73" s="69"/>
      <c r="F73" s="69"/>
      <c r="G73" s="70"/>
      <c r="H73" s="70"/>
      <c r="I73" s="70"/>
      <c r="J73" s="70"/>
      <c r="N73" s="70"/>
      <c r="O73" s="69"/>
      <c r="S73" s="70"/>
      <c r="T73" s="69"/>
      <c r="V73" s="72" t="str">
        <f t="shared" si="3"/>
        <v/>
      </c>
      <c r="W73" s="72" t="str">
        <f t="shared" si="4"/>
        <v/>
      </c>
      <c r="X73" s="72" t="str">
        <f t="shared" si="5"/>
        <v/>
      </c>
      <c r="AD73" s="70"/>
      <c r="AE73" s="70"/>
      <c r="AF73" s="70"/>
      <c r="AH73" s="70"/>
      <c r="AJ73" s="70"/>
      <c r="AN73" s="70"/>
      <c r="AO73" s="70"/>
      <c r="AP73" s="70"/>
      <c r="AR73" s="70"/>
      <c r="AT73" s="70"/>
      <c r="AX73" s="70"/>
      <c r="AY73" s="70"/>
      <c r="AZ73" s="70"/>
      <c r="BB73" s="70"/>
      <c r="BD73" s="70"/>
      <c r="BE73" s="70"/>
      <c r="BF73" s="70"/>
      <c r="BK73" s="70"/>
      <c r="BM73" s="70"/>
      <c r="BN73" s="70"/>
      <c r="BP73" s="70"/>
      <c r="BQ73" s="70"/>
      <c r="BR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J73" s="70"/>
      <c r="CK73" s="70"/>
      <c r="CL73" s="70"/>
      <c r="CM73" s="70"/>
      <c r="CO73" s="70"/>
      <c r="CQ73" s="70"/>
      <c r="CS73" s="70"/>
      <c r="CT73" s="70"/>
      <c r="CU73" s="70"/>
      <c r="CW73" s="70"/>
      <c r="CX73" s="70"/>
      <c r="CY73" s="70"/>
      <c r="CZ73" s="70"/>
      <c r="DC73" s="70"/>
      <c r="DD73" s="70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</row>
    <row r="74" spans="1:123" ht="24.95" customHeight="1">
      <c r="A74" s="68"/>
      <c r="D74" s="69"/>
      <c r="E74" s="69"/>
      <c r="F74" s="69"/>
      <c r="G74" s="70"/>
      <c r="H74" s="70"/>
      <c r="I74" s="70"/>
      <c r="J74" s="70"/>
      <c r="N74" s="70"/>
      <c r="O74" s="69"/>
      <c r="S74" s="70"/>
      <c r="T74" s="69"/>
      <c r="V74" s="72" t="str">
        <f t="shared" si="3"/>
        <v/>
      </c>
      <c r="W74" s="72" t="str">
        <f t="shared" si="4"/>
        <v/>
      </c>
      <c r="X74" s="72" t="str">
        <f t="shared" si="5"/>
        <v/>
      </c>
      <c r="AD74" s="70"/>
      <c r="AE74" s="70"/>
      <c r="AF74" s="70"/>
      <c r="AH74" s="70"/>
      <c r="AJ74" s="70"/>
      <c r="AN74" s="70"/>
      <c r="AO74" s="70"/>
      <c r="AP74" s="70"/>
      <c r="AR74" s="70"/>
      <c r="AT74" s="70"/>
      <c r="AX74" s="70"/>
      <c r="AY74" s="70"/>
      <c r="AZ74" s="70"/>
      <c r="BB74" s="70"/>
      <c r="BD74" s="70"/>
      <c r="BE74" s="70"/>
      <c r="BF74" s="70"/>
      <c r="BK74" s="70"/>
      <c r="BM74" s="70"/>
      <c r="BN74" s="70"/>
      <c r="BP74" s="70"/>
      <c r="BQ74" s="70"/>
      <c r="BR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J74" s="70"/>
      <c r="CK74" s="70"/>
      <c r="CL74" s="70"/>
      <c r="CM74" s="70"/>
      <c r="CO74" s="70"/>
      <c r="CQ74" s="70"/>
      <c r="CS74" s="70"/>
      <c r="CT74" s="70"/>
      <c r="CU74" s="70"/>
      <c r="CW74" s="70"/>
      <c r="CX74" s="70"/>
      <c r="CY74" s="70"/>
      <c r="CZ74" s="70"/>
      <c r="DC74" s="70"/>
      <c r="DD74" s="70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</row>
    <row r="75" spans="1:123" ht="24.95" customHeight="1">
      <c r="A75" s="68"/>
      <c r="D75" s="69"/>
      <c r="E75" s="69"/>
      <c r="F75" s="69"/>
      <c r="G75" s="70"/>
      <c r="H75" s="70"/>
      <c r="I75" s="70"/>
      <c r="J75" s="70"/>
      <c r="N75" s="70"/>
      <c r="O75" s="69"/>
      <c r="S75" s="70"/>
      <c r="T75" s="69"/>
      <c r="V75" s="72" t="str">
        <f t="shared" si="3"/>
        <v/>
      </c>
      <c r="W75" s="72" t="str">
        <f t="shared" si="4"/>
        <v/>
      </c>
      <c r="X75" s="72" t="str">
        <f t="shared" si="5"/>
        <v/>
      </c>
      <c r="AD75" s="70"/>
      <c r="AE75" s="70"/>
      <c r="AF75" s="70"/>
      <c r="AH75" s="70"/>
      <c r="AJ75" s="70"/>
      <c r="AN75" s="70"/>
      <c r="AO75" s="70"/>
      <c r="AP75" s="70"/>
      <c r="AR75" s="70"/>
      <c r="AT75" s="70"/>
      <c r="AX75" s="70"/>
      <c r="AY75" s="70"/>
      <c r="AZ75" s="70"/>
      <c r="BB75" s="70"/>
      <c r="BD75" s="70"/>
      <c r="BE75" s="70"/>
      <c r="BF75" s="70"/>
      <c r="BK75" s="70"/>
      <c r="BM75" s="70"/>
      <c r="BN75" s="70"/>
      <c r="BP75" s="70"/>
      <c r="BQ75" s="70"/>
      <c r="BR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J75" s="70"/>
      <c r="CK75" s="70"/>
      <c r="CL75" s="70"/>
      <c r="CM75" s="70"/>
      <c r="CO75" s="70"/>
      <c r="CQ75" s="70"/>
      <c r="CS75" s="70"/>
      <c r="CT75" s="70"/>
      <c r="CU75" s="70"/>
      <c r="CW75" s="70"/>
      <c r="CX75" s="70"/>
      <c r="CY75" s="70"/>
      <c r="CZ75" s="70"/>
      <c r="DC75" s="70"/>
      <c r="DD75" s="70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</row>
    <row r="76" spans="1:123" ht="24.95" customHeight="1">
      <c r="A76" s="68"/>
      <c r="D76" s="69"/>
      <c r="E76" s="69"/>
      <c r="F76" s="69"/>
      <c r="G76" s="70"/>
      <c r="H76" s="70"/>
      <c r="I76" s="70"/>
      <c r="J76" s="70"/>
      <c r="N76" s="70"/>
      <c r="O76" s="69"/>
      <c r="S76" s="70"/>
      <c r="T76" s="69"/>
      <c r="V76" s="72" t="str">
        <f t="shared" si="3"/>
        <v/>
      </c>
      <c r="W76" s="72" t="str">
        <f t="shared" si="4"/>
        <v/>
      </c>
      <c r="X76" s="72" t="str">
        <f t="shared" si="5"/>
        <v/>
      </c>
      <c r="AD76" s="70"/>
      <c r="AE76" s="70"/>
      <c r="AF76" s="70"/>
      <c r="AH76" s="70"/>
      <c r="AJ76" s="70"/>
      <c r="AN76" s="70"/>
      <c r="AO76" s="70"/>
      <c r="AP76" s="70"/>
      <c r="AR76" s="70"/>
      <c r="AT76" s="70"/>
      <c r="AX76" s="70"/>
      <c r="AY76" s="70"/>
      <c r="AZ76" s="70"/>
      <c r="BB76" s="70"/>
      <c r="BD76" s="70"/>
      <c r="BE76" s="70"/>
      <c r="BF76" s="70"/>
      <c r="BK76" s="70"/>
      <c r="BM76" s="70"/>
      <c r="BN76" s="70"/>
      <c r="BP76" s="70"/>
      <c r="BQ76" s="70"/>
      <c r="BR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J76" s="70"/>
      <c r="CK76" s="70"/>
      <c r="CL76" s="70"/>
      <c r="CM76" s="70"/>
      <c r="CO76" s="70"/>
      <c r="CQ76" s="70"/>
      <c r="CS76" s="70"/>
      <c r="CT76" s="70"/>
      <c r="CU76" s="70"/>
      <c r="CW76" s="70"/>
      <c r="CX76" s="70"/>
      <c r="CY76" s="70"/>
      <c r="CZ76" s="70"/>
      <c r="DC76" s="70"/>
      <c r="DD76" s="70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</row>
    <row r="77" spans="1:123" ht="24.95" customHeight="1">
      <c r="A77" s="68"/>
      <c r="D77" s="69"/>
      <c r="E77" s="69"/>
      <c r="F77" s="69"/>
      <c r="G77" s="70"/>
      <c r="H77" s="70"/>
      <c r="I77" s="70"/>
      <c r="J77" s="70"/>
      <c r="N77" s="70"/>
      <c r="O77" s="69"/>
      <c r="S77" s="70"/>
      <c r="T77" s="69"/>
      <c r="V77" s="72" t="str">
        <f t="shared" si="3"/>
        <v/>
      </c>
      <c r="W77" s="72" t="str">
        <f t="shared" si="4"/>
        <v/>
      </c>
      <c r="X77" s="72" t="str">
        <f t="shared" si="5"/>
        <v/>
      </c>
      <c r="AD77" s="70"/>
      <c r="AE77" s="70"/>
      <c r="AF77" s="70"/>
      <c r="AH77" s="70"/>
      <c r="AJ77" s="70"/>
      <c r="AN77" s="70"/>
      <c r="AO77" s="70"/>
      <c r="AP77" s="70"/>
      <c r="AR77" s="70"/>
      <c r="AT77" s="70"/>
      <c r="AX77" s="70"/>
      <c r="AY77" s="70"/>
      <c r="AZ77" s="70"/>
      <c r="BB77" s="70"/>
      <c r="BD77" s="70"/>
      <c r="BE77" s="70"/>
      <c r="BF77" s="70"/>
      <c r="BK77" s="70"/>
      <c r="BM77" s="70"/>
      <c r="BN77" s="70"/>
      <c r="BP77" s="70"/>
      <c r="BQ77" s="70"/>
      <c r="BR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J77" s="70"/>
      <c r="CK77" s="70"/>
      <c r="CL77" s="70"/>
      <c r="CM77" s="70"/>
      <c r="CO77" s="70"/>
      <c r="CQ77" s="70"/>
      <c r="CS77" s="70"/>
      <c r="CT77" s="70"/>
      <c r="CU77" s="70"/>
      <c r="CW77" s="70"/>
      <c r="CX77" s="70"/>
      <c r="CY77" s="70"/>
      <c r="CZ77" s="70"/>
      <c r="DC77" s="70"/>
      <c r="DD77" s="70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</row>
    <row r="78" spans="1:123" ht="24.95" customHeight="1">
      <c r="A78" s="68"/>
      <c r="D78" s="69"/>
      <c r="E78" s="69"/>
      <c r="F78" s="69"/>
      <c r="G78" s="70"/>
      <c r="H78" s="70"/>
      <c r="I78" s="70"/>
      <c r="J78" s="70"/>
      <c r="N78" s="70"/>
      <c r="O78" s="69"/>
      <c r="S78" s="70"/>
      <c r="T78" s="69"/>
      <c r="V78" s="72" t="str">
        <f t="shared" si="3"/>
        <v/>
      </c>
      <c r="W78" s="72" t="str">
        <f t="shared" si="4"/>
        <v/>
      </c>
      <c r="X78" s="72" t="str">
        <f t="shared" si="5"/>
        <v/>
      </c>
      <c r="AD78" s="70"/>
      <c r="AE78" s="70"/>
      <c r="AF78" s="70"/>
      <c r="AH78" s="70"/>
      <c r="AJ78" s="70"/>
      <c r="AN78" s="70"/>
      <c r="AO78" s="70"/>
      <c r="AP78" s="70"/>
      <c r="AR78" s="70"/>
      <c r="AT78" s="70"/>
      <c r="AX78" s="70"/>
      <c r="AY78" s="70"/>
      <c r="AZ78" s="70"/>
      <c r="BB78" s="70"/>
      <c r="BD78" s="70"/>
      <c r="BE78" s="70"/>
      <c r="BF78" s="70"/>
      <c r="BK78" s="70"/>
      <c r="BM78" s="70"/>
      <c r="BN78" s="70"/>
      <c r="BP78" s="70"/>
      <c r="BQ78" s="70"/>
      <c r="BR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J78" s="70"/>
      <c r="CK78" s="70"/>
      <c r="CL78" s="70"/>
      <c r="CM78" s="70"/>
      <c r="CO78" s="70"/>
      <c r="CQ78" s="70"/>
      <c r="CS78" s="70"/>
      <c r="CT78" s="70"/>
      <c r="CU78" s="70"/>
      <c r="CW78" s="70"/>
      <c r="CX78" s="70"/>
      <c r="CY78" s="70"/>
      <c r="CZ78" s="70"/>
      <c r="DC78" s="70"/>
      <c r="DD78" s="70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</row>
    <row r="79" spans="1:123" ht="24.95" customHeight="1">
      <c r="A79" s="68"/>
      <c r="D79" s="69"/>
      <c r="E79" s="69"/>
      <c r="F79" s="69"/>
      <c r="G79" s="70"/>
      <c r="H79" s="70"/>
      <c r="I79" s="70"/>
      <c r="J79" s="70"/>
      <c r="N79" s="70"/>
      <c r="O79" s="69"/>
      <c r="S79" s="70"/>
      <c r="T79" s="69"/>
      <c r="V79" s="72" t="str">
        <f t="shared" si="3"/>
        <v/>
      </c>
      <c r="W79" s="72" t="str">
        <f t="shared" si="4"/>
        <v/>
      </c>
      <c r="X79" s="72" t="str">
        <f t="shared" si="5"/>
        <v/>
      </c>
      <c r="AD79" s="70"/>
      <c r="AE79" s="70"/>
      <c r="AF79" s="70"/>
      <c r="AH79" s="70"/>
      <c r="AJ79" s="70"/>
      <c r="AN79" s="70"/>
      <c r="AO79" s="70"/>
      <c r="AP79" s="70"/>
      <c r="AR79" s="70"/>
      <c r="AT79" s="70"/>
      <c r="AX79" s="70"/>
      <c r="AY79" s="70"/>
      <c r="AZ79" s="70"/>
      <c r="BB79" s="70"/>
      <c r="BD79" s="70"/>
      <c r="BE79" s="70"/>
      <c r="BF79" s="70"/>
      <c r="BK79" s="70"/>
      <c r="BM79" s="70"/>
      <c r="BN79" s="70"/>
      <c r="BP79" s="70"/>
      <c r="BQ79" s="70"/>
      <c r="BR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J79" s="70"/>
      <c r="CK79" s="70"/>
      <c r="CL79" s="70"/>
      <c r="CM79" s="70"/>
      <c r="CO79" s="70"/>
      <c r="CQ79" s="70"/>
      <c r="CS79" s="70"/>
      <c r="CT79" s="70"/>
      <c r="CU79" s="70"/>
      <c r="CW79" s="70"/>
      <c r="CX79" s="70"/>
      <c r="CY79" s="70"/>
      <c r="CZ79" s="70"/>
      <c r="DC79" s="70"/>
      <c r="DD79" s="70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</row>
    <row r="80" spans="1:123" ht="24.95" customHeight="1">
      <c r="A80" s="68"/>
      <c r="D80" s="69"/>
      <c r="E80" s="69"/>
      <c r="F80" s="69"/>
      <c r="G80" s="70"/>
      <c r="H80" s="70"/>
      <c r="I80" s="70"/>
      <c r="J80" s="70"/>
      <c r="N80" s="70"/>
      <c r="O80" s="69"/>
      <c r="S80" s="70"/>
      <c r="T80" s="69"/>
      <c r="V80" s="72" t="str">
        <f t="shared" si="3"/>
        <v/>
      </c>
      <c r="W80" s="72" t="str">
        <f t="shared" si="4"/>
        <v/>
      </c>
      <c r="X80" s="72" t="str">
        <f t="shared" si="5"/>
        <v/>
      </c>
      <c r="AD80" s="70"/>
      <c r="AE80" s="70"/>
      <c r="AF80" s="70"/>
      <c r="AH80" s="70"/>
      <c r="AJ80" s="70"/>
      <c r="AN80" s="70"/>
      <c r="AO80" s="70"/>
      <c r="AP80" s="70"/>
      <c r="AR80" s="70"/>
      <c r="AT80" s="70"/>
      <c r="AX80" s="70"/>
      <c r="AY80" s="70"/>
      <c r="AZ80" s="70"/>
      <c r="BB80" s="70"/>
      <c r="BD80" s="70"/>
      <c r="BE80" s="70"/>
      <c r="BF80" s="70"/>
      <c r="BK80" s="70"/>
      <c r="BM80" s="70"/>
      <c r="BN80" s="70"/>
      <c r="BP80" s="70"/>
      <c r="BQ80" s="70"/>
      <c r="BR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J80" s="70"/>
      <c r="CK80" s="70"/>
      <c r="CL80" s="70"/>
      <c r="CM80" s="70"/>
      <c r="CO80" s="70"/>
      <c r="CQ80" s="70"/>
      <c r="CS80" s="70"/>
      <c r="CT80" s="70"/>
      <c r="CU80" s="70"/>
      <c r="CW80" s="70"/>
      <c r="CX80" s="70"/>
      <c r="CY80" s="70"/>
      <c r="CZ80" s="70"/>
      <c r="DC80" s="70"/>
      <c r="DD80" s="70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</row>
    <row r="81" spans="1:123" ht="24.95" customHeight="1">
      <c r="A81" s="68"/>
      <c r="D81" s="69"/>
      <c r="E81" s="69"/>
      <c r="F81" s="69"/>
      <c r="G81" s="70"/>
      <c r="H81" s="70"/>
      <c r="I81" s="70"/>
      <c r="J81" s="70"/>
      <c r="N81" s="70"/>
      <c r="O81" s="69"/>
      <c r="S81" s="70"/>
      <c r="T81" s="69"/>
      <c r="V81" s="72" t="str">
        <f t="shared" si="3"/>
        <v/>
      </c>
      <c r="W81" s="72" t="str">
        <f t="shared" si="4"/>
        <v/>
      </c>
      <c r="X81" s="72" t="str">
        <f t="shared" si="5"/>
        <v/>
      </c>
      <c r="AD81" s="70"/>
      <c r="AE81" s="70"/>
      <c r="AF81" s="70"/>
      <c r="AH81" s="70"/>
      <c r="AJ81" s="70"/>
      <c r="AN81" s="70"/>
      <c r="AO81" s="70"/>
      <c r="AP81" s="70"/>
      <c r="AR81" s="70"/>
      <c r="AT81" s="70"/>
      <c r="AX81" s="70"/>
      <c r="AY81" s="70"/>
      <c r="AZ81" s="70"/>
      <c r="BB81" s="70"/>
      <c r="BD81" s="70"/>
      <c r="BE81" s="70"/>
      <c r="BF81" s="70"/>
      <c r="BK81" s="70"/>
      <c r="BM81" s="70"/>
      <c r="BN81" s="70"/>
      <c r="BP81" s="70"/>
      <c r="BQ81" s="70"/>
      <c r="BR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J81" s="70"/>
      <c r="CK81" s="70"/>
      <c r="CL81" s="70"/>
      <c r="CM81" s="70"/>
      <c r="CO81" s="70"/>
      <c r="CQ81" s="70"/>
      <c r="CS81" s="70"/>
      <c r="CT81" s="70"/>
      <c r="CU81" s="70"/>
      <c r="CW81" s="70"/>
      <c r="CX81" s="70"/>
      <c r="CY81" s="70"/>
      <c r="CZ81" s="70"/>
      <c r="DC81" s="70"/>
      <c r="DD81" s="70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</row>
    <row r="82" spans="1:123" ht="24.95" customHeight="1">
      <c r="A82" s="68"/>
      <c r="D82" s="69"/>
      <c r="E82" s="69"/>
      <c r="F82" s="69"/>
      <c r="G82" s="70"/>
      <c r="H82" s="70"/>
      <c r="I82" s="70"/>
      <c r="J82" s="70"/>
      <c r="N82" s="70"/>
      <c r="O82" s="69"/>
      <c r="S82" s="70"/>
      <c r="T82" s="69"/>
      <c r="V82" s="72" t="str">
        <f t="shared" si="3"/>
        <v/>
      </c>
      <c r="W82" s="72" t="str">
        <f t="shared" si="4"/>
        <v/>
      </c>
      <c r="X82" s="72" t="str">
        <f t="shared" si="5"/>
        <v/>
      </c>
      <c r="AD82" s="70"/>
      <c r="AE82" s="70"/>
      <c r="AF82" s="70"/>
      <c r="AH82" s="70"/>
      <c r="AJ82" s="70"/>
      <c r="AN82" s="70"/>
      <c r="AO82" s="70"/>
      <c r="AP82" s="70"/>
      <c r="AR82" s="70"/>
      <c r="AT82" s="70"/>
      <c r="AX82" s="70"/>
      <c r="AY82" s="70"/>
      <c r="AZ82" s="70"/>
      <c r="BB82" s="70"/>
      <c r="BD82" s="70"/>
      <c r="BE82" s="70"/>
      <c r="BF82" s="70"/>
      <c r="BK82" s="70"/>
      <c r="BM82" s="70"/>
      <c r="BN82" s="70"/>
      <c r="BP82" s="70"/>
      <c r="BQ82" s="70"/>
      <c r="BR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J82" s="70"/>
      <c r="CK82" s="70"/>
      <c r="CL82" s="70"/>
      <c r="CM82" s="70"/>
      <c r="CO82" s="70"/>
      <c r="CQ82" s="70"/>
      <c r="CS82" s="70"/>
      <c r="CT82" s="70"/>
      <c r="CU82" s="70"/>
      <c r="CW82" s="70"/>
      <c r="CX82" s="70"/>
      <c r="CY82" s="70"/>
      <c r="CZ82" s="70"/>
      <c r="DC82" s="70"/>
      <c r="DD82" s="70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</row>
    <row r="83" spans="1:123" ht="24.95" customHeight="1">
      <c r="A83" s="68"/>
      <c r="D83" s="69"/>
      <c r="E83" s="69"/>
      <c r="F83" s="69"/>
      <c r="G83" s="70"/>
      <c r="H83" s="70"/>
      <c r="I83" s="70"/>
      <c r="J83" s="70"/>
      <c r="N83" s="70"/>
      <c r="O83" s="69"/>
      <c r="S83" s="70"/>
      <c r="T83" s="69"/>
      <c r="V83" s="72" t="str">
        <f t="shared" si="3"/>
        <v/>
      </c>
      <c r="W83" s="72" t="str">
        <f t="shared" si="4"/>
        <v/>
      </c>
      <c r="X83" s="72" t="str">
        <f t="shared" si="5"/>
        <v/>
      </c>
      <c r="AD83" s="70"/>
      <c r="AE83" s="70"/>
      <c r="AF83" s="70"/>
      <c r="AH83" s="70"/>
      <c r="AJ83" s="70"/>
      <c r="AN83" s="70"/>
      <c r="AO83" s="70"/>
      <c r="AP83" s="70"/>
      <c r="AR83" s="70"/>
      <c r="AT83" s="70"/>
      <c r="AX83" s="70"/>
      <c r="AY83" s="70"/>
      <c r="AZ83" s="70"/>
      <c r="BB83" s="70"/>
      <c r="BD83" s="70"/>
      <c r="BE83" s="70"/>
      <c r="BF83" s="70"/>
      <c r="BK83" s="70"/>
      <c r="BM83" s="70"/>
      <c r="BN83" s="70"/>
      <c r="BP83" s="70"/>
      <c r="BQ83" s="70"/>
      <c r="BR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J83" s="70"/>
      <c r="CK83" s="70"/>
      <c r="CL83" s="70"/>
      <c r="CM83" s="70"/>
      <c r="CO83" s="70"/>
      <c r="CQ83" s="70"/>
      <c r="CS83" s="70"/>
      <c r="CT83" s="70"/>
      <c r="CU83" s="70"/>
      <c r="CW83" s="70"/>
      <c r="CX83" s="70"/>
      <c r="CY83" s="70"/>
      <c r="CZ83" s="70"/>
      <c r="DC83" s="70"/>
      <c r="DD83" s="70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</row>
    <row r="84" spans="1:123" ht="24.95" customHeight="1">
      <c r="A84" s="68"/>
      <c r="D84" s="69"/>
      <c r="E84" s="69"/>
      <c r="F84" s="69"/>
      <c r="G84" s="70"/>
      <c r="H84" s="70"/>
      <c r="I84" s="70"/>
      <c r="J84" s="70"/>
      <c r="N84" s="70"/>
      <c r="O84" s="69"/>
      <c r="S84" s="70"/>
      <c r="T84" s="69"/>
      <c r="V84" s="72" t="str">
        <f t="shared" si="3"/>
        <v/>
      </c>
      <c r="W84" s="72" t="str">
        <f t="shared" si="4"/>
        <v/>
      </c>
      <c r="X84" s="72" t="str">
        <f t="shared" si="5"/>
        <v/>
      </c>
      <c r="AD84" s="70"/>
      <c r="AE84" s="70"/>
      <c r="AF84" s="70"/>
      <c r="AH84" s="70"/>
      <c r="AJ84" s="70"/>
      <c r="AN84" s="70"/>
      <c r="AO84" s="70"/>
      <c r="AP84" s="70"/>
      <c r="AR84" s="70"/>
      <c r="AT84" s="70"/>
      <c r="AX84" s="70"/>
      <c r="AY84" s="70"/>
      <c r="AZ84" s="70"/>
      <c r="BB84" s="70"/>
      <c r="BD84" s="70"/>
      <c r="BE84" s="70"/>
      <c r="BF84" s="70"/>
      <c r="BK84" s="70"/>
      <c r="BM84" s="70"/>
      <c r="BN84" s="70"/>
      <c r="BP84" s="70"/>
      <c r="BQ84" s="70"/>
      <c r="BR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J84" s="70"/>
      <c r="CK84" s="70"/>
      <c r="CL84" s="70"/>
      <c r="CM84" s="70"/>
      <c r="CO84" s="70"/>
      <c r="CQ84" s="70"/>
      <c r="CS84" s="70"/>
      <c r="CT84" s="70"/>
      <c r="CU84" s="70"/>
      <c r="CW84" s="70"/>
      <c r="CX84" s="70"/>
      <c r="CY84" s="70"/>
      <c r="CZ84" s="70"/>
      <c r="DC84" s="70"/>
      <c r="DD84" s="70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</row>
    <row r="85" spans="1:123" ht="24.95" customHeight="1">
      <c r="A85" s="68"/>
      <c r="D85" s="69"/>
      <c r="E85" s="69"/>
      <c r="F85" s="69"/>
      <c r="G85" s="70"/>
      <c r="H85" s="70"/>
      <c r="I85" s="70"/>
      <c r="J85" s="70"/>
      <c r="N85" s="70"/>
      <c r="O85" s="69"/>
      <c r="S85" s="70"/>
      <c r="T85" s="69"/>
      <c r="V85" s="72" t="str">
        <f t="shared" si="3"/>
        <v/>
      </c>
      <c r="W85" s="72" t="str">
        <f t="shared" si="4"/>
        <v/>
      </c>
      <c r="X85" s="72" t="str">
        <f t="shared" si="5"/>
        <v/>
      </c>
      <c r="AD85" s="70"/>
      <c r="AE85" s="70"/>
      <c r="AF85" s="70"/>
      <c r="AH85" s="70"/>
      <c r="AJ85" s="70"/>
      <c r="AN85" s="70"/>
      <c r="AO85" s="70"/>
      <c r="AP85" s="70"/>
      <c r="AR85" s="70"/>
      <c r="AT85" s="70"/>
      <c r="AX85" s="70"/>
      <c r="AY85" s="70"/>
      <c r="AZ85" s="70"/>
      <c r="BB85" s="70"/>
      <c r="BD85" s="70"/>
      <c r="BE85" s="70"/>
      <c r="BF85" s="70"/>
      <c r="BK85" s="70"/>
      <c r="BM85" s="70"/>
      <c r="BN85" s="70"/>
      <c r="BP85" s="70"/>
      <c r="BQ85" s="70"/>
      <c r="BR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J85" s="70"/>
      <c r="CK85" s="70"/>
      <c r="CL85" s="70"/>
      <c r="CM85" s="70"/>
      <c r="CO85" s="70"/>
      <c r="CQ85" s="70"/>
      <c r="CS85" s="70"/>
      <c r="CT85" s="70"/>
      <c r="CU85" s="70"/>
      <c r="CW85" s="70"/>
      <c r="CX85" s="70"/>
      <c r="CY85" s="70"/>
      <c r="CZ85" s="70"/>
      <c r="DC85" s="70"/>
      <c r="DD85" s="70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</row>
    <row r="86" spans="1:123" ht="24.95" customHeight="1">
      <c r="A86" s="68"/>
      <c r="D86" s="69"/>
      <c r="E86" s="69"/>
      <c r="F86" s="69"/>
      <c r="G86" s="70"/>
      <c r="H86" s="70"/>
      <c r="I86" s="70"/>
      <c r="J86" s="70"/>
      <c r="N86" s="70"/>
      <c r="O86" s="69"/>
      <c r="S86" s="70"/>
      <c r="T86" s="69"/>
      <c r="V86" s="72" t="str">
        <f t="shared" si="3"/>
        <v/>
      </c>
      <c r="W86" s="72" t="str">
        <f t="shared" si="4"/>
        <v/>
      </c>
      <c r="X86" s="72" t="str">
        <f t="shared" si="5"/>
        <v/>
      </c>
      <c r="AD86" s="70"/>
      <c r="AE86" s="70"/>
      <c r="AF86" s="70"/>
      <c r="AH86" s="70"/>
      <c r="AJ86" s="70"/>
      <c r="AN86" s="70"/>
      <c r="AO86" s="70"/>
      <c r="AP86" s="70"/>
      <c r="AR86" s="70"/>
      <c r="AT86" s="70"/>
      <c r="AX86" s="70"/>
      <c r="AY86" s="70"/>
      <c r="AZ86" s="70"/>
      <c r="BB86" s="70"/>
      <c r="BD86" s="70"/>
      <c r="BE86" s="70"/>
      <c r="BF86" s="70"/>
      <c r="BK86" s="70"/>
      <c r="BM86" s="70"/>
      <c r="BN86" s="70"/>
      <c r="BP86" s="70"/>
      <c r="BQ86" s="70"/>
      <c r="BR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J86" s="70"/>
      <c r="CK86" s="70"/>
      <c r="CL86" s="70"/>
      <c r="CM86" s="70"/>
      <c r="CO86" s="70"/>
      <c r="CQ86" s="70"/>
      <c r="CS86" s="70"/>
      <c r="CT86" s="70"/>
      <c r="CU86" s="70"/>
      <c r="CW86" s="70"/>
      <c r="CX86" s="70"/>
      <c r="CY86" s="70"/>
      <c r="CZ86" s="70"/>
      <c r="DC86" s="70"/>
      <c r="DD86" s="70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</row>
    <row r="87" spans="1:123" ht="24.95" customHeight="1">
      <c r="A87" s="68"/>
      <c r="D87" s="69"/>
      <c r="E87" s="69"/>
      <c r="F87" s="69"/>
      <c r="G87" s="70"/>
      <c r="H87" s="70"/>
      <c r="I87" s="70"/>
      <c r="J87" s="70"/>
      <c r="N87" s="70"/>
      <c r="O87" s="69"/>
      <c r="S87" s="70"/>
      <c r="T87" s="69"/>
      <c r="V87" s="72" t="str">
        <f t="shared" si="3"/>
        <v/>
      </c>
      <c r="W87" s="72" t="str">
        <f t="shared" si="4"/>
        <v/>
      </c>
      <c r="X87" s="72" t="str">
        <f t="shared" si="5"/>
        <v/>
      </c>
      <c r="AD87" s="70"/>
      <c r="AE87" s="70"/>
      <c r="AF87" s="70"/>
      <c r="AH87" s="70"/>
      <c r="AJ87" s="70"/>
      <c r="AN87" s="70"/>
      <c r="AO87" s="70"/>
      <c r="AP87" s="70"/>
      <c r="AR87" s="70"/>
      <c r="AT87" s="70"/>
      <c r="AX87" s="70"/>
      <c r="AY87" s="70"/>
      <c r="AZ87" s="70"/>
      <c r="BB87" s="70"/>
      <c r="BD87" s="70"/>
      <c r="BE87" s="70"/>
      <c r="BF87" s="70"/>
      <c r="BK87" s="70"/>
      <c r="BM87" s="70"/>
      <c r="BN87" s="70"/>
      <c r="BP87" s="70"/>
      <c r="BQ87" s="70"/>
      <c r="BR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J87" s="70"/>
      <c r="CK87" s="70"/>
      <c r="CL87" s="70"/>
      <c r="CM87" s="70"/>
      <c r="CO87" s="70"/>
      <c r="CQ87" s="70"/>
      <c r="CS87" s="70"/>
      <c r="CT87" s="70"/>
      <c r="CU87" s="70"/>
      <c r="CW87" s="70"/>
      <c r="CX87" s="70"/>
      <c r="CY87" s="70"/>
      <c r="CZ87" s="70"/>
      <c r="DC87" s="70"/>
      <c r="DD87" s="70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</row>
    <row r="88" spans="1:123" ht="24.95" customHeight="1">
      <c r="A88" s="68"/>
      <c r="D88" s="69"/>
      <c r="E88" s="69"/>
      <c r="F88" s="69"/>
      <c r="G88" s="70"/>
      <c r="H88" s="70"/>
      <c r="I88" s="70"/>
      <c r="J88" s="70"/>
      <c r="N88" s="70"/>
      <c r="O88" s="69"/>
      <c r="S88" s="70"/>
      <c r="T88" s="69"/>
      <c r="V88" s="72" t="str">
        <f t="shared" si="3"/>
        <v/>
      </c>
      <c r="W88" s="72" t="str">
        <f t="shared" si="4"/>
        <v/>
      </c>
      <c r="X88" s="72" t="str">
        <f t="shared" si="5"/>
        <v/>
      </c>
      <c r="AD88" s="70"/>
      <c r="AE88" s="70"/>
      <c r="AF88" s="70"/>
      <c r="AH88" s="70"/>
      <c r="AJ88" s="70"/>
      <c r="AN88" s="70"/>
      <c r="AO88" s="70"/>
      <c r="AP88" s="70"/>
      <c r="AR88" s="70"/>
      <c r="AT88" s="70"/>
      <c r="AX88" s="70"/>
      <c r="AY88" s="70"/>
      <c r="AZ88" s="70"/>
      <c r="BB88" s="70"/>
      <c r="BD88" s="70"/>
      <c r="BE88" s="70"/>
      <c r="BF88" s="70"/>
      <c r="BK88" s="70"/>
      <c r="BM88" s="70"/>
      <c r="BN88" s="70"/>
      <c r="BP88" s="70"/>
      <c r="BQ88" s="70"/>
      <c r="BR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J88" s="70"/>
      <c r="CK88" s="70"/>
      <c r="CL88" s="70"/>
      <c r="CM88" s="70"/>
      <c r="CO88" s="70"/>
      <c r="CQ88" s="70"/>
      <c r="CS88" s="70"/>
      <c r="CT88" s="70"/>
      <c r="CU88" s="70"/>
      <c r="CW88" s="70"/>
      <c r="CX88" s="70"/>
      <c r="CY88" s="70"/>
      <c r="CZ88" s="70"/>
      <c r="DC88" s="70"/>
      <c r="DD88" s="70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</row>
    <row r="89" spans="1:123" ht="24.95" customHeight="1">
      <c r="A89" s="68"/>
      <c r="D89" s="69"/>
      <c r="E89" s="69"/>
      <c r="F89" s="69"/>
      <c r="G89" s="70"/>
      <c r="H89" s="70"/>
      <c r="I89" s="70"/>
      <c r="J89" s="70"/>
      <c r="N89" s="70"/>
      <c r="O89" s="69"/>
      <c r="S89" s="70"/>
      <c r="T89" s="69"/>
      <c r="V89" s="72" t="str">
        <f t="shared" si="3"/>
        <v/>
      </c>
      <c r="W89" s="72" t="str">
        <f t="shared" si="4"/>
        <v/>
      </c>
      <c r="X89" s="72" t="str">
        <f t="shared" si="5"/>
        <v/>
      </c>
      <c r="AD89" s="70"/>
      <c r="AE89" s="70"/>
      <c r="AF89" s="70"/>
      <c r="AH89" s="70"/>
      <c r="AJ89" s="70"/>
      <c r="AN89" s="70"/>
      <c r="AO89" s="70"/>
      <c r="AP89" s="70"/>
      <c r="AR89" s="70"/>
      <c r="AT89" s="70"/>
      <c r="AX89" s="70"/>
      <c r="AY89" s="70"/>
      <c r="AZ89" s="70"/>
      <c r="BB89" s="70"/>
      <c r="BD89" s="70"/>
      <c r="BE89" s="70"/>
      <c r="BF89" s="70"/>
      <c r="BK89" s="70"/>
      <c r="BM89" s="70"/>
      <c r="BN89" s="70"/>
      <c r="BP89" s="70"/>
      <c r="BQ89" s="70"/>
      <c r="BR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J89" s="70"/>
      <c r="CK89" s="70"/>
      <c r="CL89" s="70"/>
      <c r="CM89" s="70"/>
      <c r="CO89" s="70"/>
      <c r="CQ89" s="70"/>
      <c r="CS89" s="70"/>
      <c r="CT89" s="70"/>
      <c r="CU89" s="70"/>
      <c r="CW89" s="70"/>
      <c r="CX89" s="70"/>
      <c r="CY89" s="70"/>
      <c r="CZ89" s="70"/>
      <c r="DC89" s="70"/>
      <c r="DD89" s="70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</row>
    <row r="90" spans="1:123" ht="24.95" customHeight="1">
      <c r="A90" s="68"/>
      <c r="D90" s="69"/>
      <c r="E90" s="69"/>
      <c r="F90" s="69"/>
      <c r="G90" s="70"/>
      <c r="H90" s="70"/>
      <c r="I90" s="70"/>
      <c r="J90" s="70"/>
      <c r="N90" s="70"/>
      <c r="O90" s="69"/>
      <c r="S90" s="70"/>
      <c r="T90" s="69"/>
      <c r="V90" s="72" t="str">
        <f t="shared" si="3"/>
        <v/>
      </c>
      <c r="W90" s="72" t="str">
        <f t="shared" si="4"/>
        <v/>
      </c>
      <c r="X90" s="72" t="str">
        <f t="shared" si="5"/>
        <v/>
      </c>
      <c r="AD90" s="70"/>
      <c r="AE90" s="70"/>
      <c r="AF90" s="70"/>
      <c r="AH90" s="70"/>
      <c r="AJ90" s="70"/>
      <c r="AN90" s="70"/>
      <c r="AO90" s="70"/>
      <c r="AP90" s="70"/>
      <c r="AR90" s="70"/>
      <c r="AT90" s="70"/>
      <c r="AX90" s="70"/>
      <c r="AY90" s="70"/>
      <c r="AZ90" s="70"/>
      <c r="BB90" s="70"/>
      <c r="BD90" s="70"/>
      <c r="BE90" s="70"/>
      <c r="BF90" s="70"/>
      <c r="BK90" s="70"/>
      <c r="BM90" s="70"/>
      <c r="BN90" s="70"/>
      <c r="BP90" s="70"/>
      <c r="BQ90" s="70"/>
      <c r="BR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J90" s="70"/>
      <c r="CK90" s="70"/>
      <c r="CL90" s="70"/>
      <c r="CM90" s="70"/>
      <c r="CO90" s="70"/>
      <c r="CQ90" s="70"/>
      <c r="CS90" s="70"/>
      <c r="CT90" s="70"/>
      <c r="CU90" s="70"/>
      <c r="CW90" s="70"/>
      <c r="CX90" s="70"/>
      <c r="CY90" s="70"/>
      <c r="CZ90" s="70"/>
      <c r="DC90" s="70"/>
      <c r="DD90" s="70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</row>
    <row r="91" spans="1:123" ht="24.95" customHeight="1">
      <c r="A91" s="68"/>
      <c r="D91" s="69"/>
      <c r="E91" s="69"/>
      <c r="F91" s="69"/>
      <c r="G91" s="70"/>
      <c r="H91" s="70"/>
      <c r="I91" s="70"/>
      <c r="J91" s="70"/>
      <c r="N91" s="70"/>
      <c r="O91" s="69"/>
      <c r="S91" s="70"/>
      <c r="T91" s="69"/>
      <c r="V91" s="72" t="str">
        <f t="shared" si="3"/>
        <v/>
      </c>
      <c r="W91" s="72" t="str">
        <f t="shared" si="4"/>
        <v/>
      </c>
      <c r="X91" s="72" t="str">
        <f t="shared" si="5"/>
        <v/>
      </c>
      <c r="AD91" s="70"/>
      <c r="AE91" s="70"/>
      <c r="AF91" s="70"/>
      <c r="AH91" s="70"/>
      <c r="AJ91" s="70"/>
      <c r="AN91" s="70"/>
      <c r="AO91" s="70"/>
      <c r="AP91" s="70"/>
      <c r="AR91" s="70"/>
      <c r="AT91" s="70"/>
      <c r="AX91" s="70"/>
      <c r="AY91" s="70"/>
      <c r="AZ91" s="70"/>
      <c r="BB91" s="70"/>
      <c r="BD91" s="70"/>
      <c r="BE91" s="70"/>
      <c r="BF91" s="70"/>
      <c r="BK91" s="70"/>
      <c r="BM91" s="70"/>
      <c r="BN91" s="70"/>
      <c r="BP91" s="70"/>
      <c r="BQ91" s="70"/>
      <c r="BR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J91" s="70"/>
      <c r="CK91" s="70"/>
      <c r="CL91" s="70"/>
      <c r="CM91" s="70"/>
      <c r="CO91" s="70"/>
      <c r="CQ91" s="70"/>
      <c r="CS91" s="70"/>
      <c r="CT91" s="70"/>
      <c r="CU91" s="70"/>
      <c r="CW91" s="70"/>
      <c r="CX91" s="70"/>
      <c r="CY91" s="70"/>
      <c r="CZ91" s="70"/>
      <c r="DC91" s="70"/>
      <c r="DD91" s="70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</row>
    <row r="92" spans="1:123" ht="24.95" customHeight="1">
      <c r="A92" s="68"/>
      <c r="D92" s="69"/>
      <c r="E92" s="69"/>
      <c r="F92" s="69"/>
      <c r="G92" s="70"/>
      <c r="H92" s="70"/>
      <c r="I92" s="70"/>
      <c r="J92" s="70"/>
      <c r="N92" s="70"/>
      <c r="O92" s="69"/>
      <c r="S92" s="70"/>
      <c r="T92" s="69"/>
      <c r="V92" s="72" t="str">
        <f t="shared" si="3"/>
        <v/>
      </c>
      <c r="W92" s="72" t="str">
        <f t="shared" si="4"/>
        <v/>
      </c>
      <c r="X92" s="72" t="str">
        <f t="shared" si="5"/>
        <v/>
      </c>
      <c r="AD92" s="70"/>
      <c r="AE92" s="70"/>
      <c r="AF92" s="70"/>
      <c r="AH92" s="70"/>
      <c r="AJ92" s="70"/>
      <c r="AN92" s="70"/>
      <c r="AO92" s="70"/>
      <c r="AP92" s="70"/>
      <c r="AR92" s="70"/>
      <c r="AT92" s="70"/>
      <c r="AX92" s="70"/>
      <c r="AY92" s="70"/>
      <c r="AZ92" s="70"/>
      <c r="BB92" s="70"/>
      <c r="BD92" s="70"/>
      <c r="BE92" s="70"/>
      <c r="BF92" s="70"/>
      <c r="BK92" s="70"/>
      <c r="BM92" s="70"/>
      <c r="BN92" s="70"/>
      <c r="BP92" s="70"/>
      <c r="BQ92" s="70"/>
      <c r="BR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J92" s="70"/>
      <c r="CK92" s="70"/>
      <c r="CL92" s="70"/>
      <c r="CM92" s="70"/>
      <c r="CO92" s="70"/>
      <c r="CQ92" s="70"/>
      <c r="CS92" s="70"/>
      <c r="CT92" s="70"/>
      <c r="CU92" s="70"/>
      <c r="CW92" s="70"/>
      <c r="CX92" s="70"/>
      <c r="CY92" s="70"/>
      <c r="CZ92" s="70"/>
      <c r="DC92" s="70"/>
      <c r="DD92" s="70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</row>
    <row r="93" spans="1:123" ht="24.95" customHeight="1">
      <c r="A93" s="68"/>
      <c r="D93" s="69"/>
      <c r="E93" s="69"/>
      <c r="F93" s="69"/>
      <c r="G93" s="70"/>
      <c r="H93" s="70"/>
      <c r="I93" s="70"/>
      <c r="J93" s="70"/>
      <c r="N93" s="70"/>
      <c r="O93" s="69"/>
      <c r="S93" s="70"/>
      <c r="T93" s="69"/>
      <c r="V93" s="72" t="str">
        <f t="shared" si="3"/>
        <v/>
      </c>
      <c r="W93" s="72" t="str">
        <f t="shared" si="4"/>
        <v/>
      </c>
      <c r="X93" s="72" t="str">
        <f t="shared" si="5"/>
        <v/>
      </c>
      <c r="AD93" s="70"/>
      <c r="AE93" s="70"/>
      <c r="AF93" s="70"/>
      <c r="AH93" s="70"/>
      <c r="AJ93" s="70"/>
      <c r="AN93" s="70"/>
      <c r="AO93" s="70"/>
      <c r="AP93" s="70"/>
      <c r="AR93" s="70"/>
      <c r="AT93" s="70"/>
      <c r="AX93" s="70"/>
      <c r="AY93" s="70"/>
      <c r="AZ93" s="70"/>
      <c r="BB93" s="70"/>
      <c r="BD93" s="70"/>
      <c r="BE93" s="70"/>
      <c r="BF93" s="70"/>
      <c r="BK93" s="70"/>
      <c r="BM93" s="70"/>
      <c r="BN93" s="70"/>
      <c r="BP93" s="70"/>
      <c r="BQ93" s="70"/>
      <c r="BR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J93" s="70"/>
      <c r="CK93" s="70"/>
      <c r="CL93" s="70"/>
      <c r="CM93" s="70"/>
      <c r="CO93" s="70"/>
      <c r="CQ93" s="70"/>
      <c r="CS93" s="70"/>
      <c r="CT93" s="70"/>
      <c r="CU93" s="70"/>
      <c r="CW93" s="70"/>
      <c r="CX93" s="70"/>
      <c r="CY93" s="70"/>
      <c r="CZ93" s="70"/>
      <c r="DC93" s="70"/>
      <c r="DD93" s="70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</row>
    <row r="94" spans="1:123" ht="24.95" customHeight="1">
      <c r="A94" s="68"/>
      <c r="D94" s="69"/>
      <c r="E94" s="69"/>
      <c r="F94" s="69"/>
      <c r="G94" s="70"/>
      <c r="H94" s="70"/>
      <c r="I94" s="70"/>
      <c r="J94" s="70"/>
      <c r="N94" s="70"/>
      <c r="O94" s="69"/>
      <c r="S94" s="70"/>
      <c r="T94" s="69"/>
      <c r="V94" s="72" t="str">
        <f t="shared" si="3"/>
        <v/>
      </c>
      <c r="W94" s="72" t="str">
        <f t="shared" si="4"/>
        <v/>
      </c>
      <c r="X94" s="72" t="str">
        <f t="shared" si="5"/>
        <v/>
      </c>
      <c r="AD94" s="70"/>
      <c r="AE94" s="70"/>
      <c r="AF94" s="70"/>
      <c r="AH94" s="70"/>
      <c r="AJ94" s="70"/>
      <c r="AN94" s="70"/>
      <c r="AO94" s="70"/>
      <c r="AP94" s="70"/>
      <c r="AR94" s="70"/>
      <c r="AT94" s="70"/>
      <c r="AX94" s="70"/>
      <c r="AY94" s="70"/>
      <c r="AZ94" s="70"/>
      <c r="BB94" s="70"/>
      <c r="BD94" s="70"/>
      <c r="BE94" s="70"/>
      <c r="BF94" s="70"/>
      <c r="BK94" s="70"/>
      <c r="BM94" s="70"/>
      <c r="BN94" s="70"/>
      <c r="BP94" s="70"/>
      <c r="BQ94" s="70"/>
      <c r="BR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J94" s="70"/>
      <c r="CK94" s="70"/>
      <c r="CL94" s="70"/>
      <c r="CM94" s="70"/>
      <c r="CO94" s="70"/>
      <c r="CQ94" s="70"/>
      <c r="CS94" s="70"/>
      <c r="CT94" s="70"/>
      <c r="CU94" s="70"/>
      <c r="CW94" s="70"/>
      <c r="CX94" s="70"/>
      <c r="CY94" s="70"/>
      <c r="CZ94" s="70"/>
      <c r="DC94" s="70"/>
      <c r="DD94" s="70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</row>
    <row r="95" spans="1:123" ht="24.95" customHeight="1">
      <c r="A95" s="68"/>
      <c r="D95" s="69"/>
      <c r="E95" s="69"/>
      <c r="F95" s="69"/>
      <c r="G95" s="70"/>
      <c r="H95" s="70"/>
      <c r="I95" s="70"/>
      <c r="J95" s="70"/>
      <c r="N95" s="70"/>
      <c r="O95" s="69"/>
      <c r="S95" s="70"/>
      <c r="T95" s="69"/>
      <c r="V95" s="72" t="str">
        <f t="shared" si="3"/>
        <v/>
      </c>
      <c r="W95" s="72" t="str">
        <f t="shared" si="4"/>
        <v/>
      </c>
      <c r="X95" s="72" t="str">
        <f t="shared" si="5"/>
        <v/>
      </c>
      <c r="AD95" s="70"/>
      <c r="AE95" s="70"/>
      <c r="AF95" s="70"/>
      <c r="AH95" s="70"/>
      <c r="AJ95" s="70"/>
      <c r="AN95" s="70"/>
      <c r="AO95" s="70"/>
      <c r="AP95" s="70"/>
      <c r="AR95" s="70"/>
      <c r="AT95" s="70"/>
      <c r="AX95" s="70"/>
      <c r="AY95" s="70"/>
      <c r="AZ95" s="70"/>
      <c r="BB95" s="70"/>
      <c r="BD95" s="70"/>
      <c r="BE95" s="70"/>
      <c r="BF95" s="70"/>
      <c r="BK95" s="70"/>
      <c r="BM95" s="70"/>
      <c r="BN95" s="70"/>
      <c r="BP95" s="70"/>
      <c r="BQ95" s="70"/>
      <c r="BR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J95" s="70"/>
      <c r="CK95" s="70"/>
      <c r="CL95" s="70"/>
      <c r="CM95" s="70"/>
      <c r="CO95" s="70"/>
      <c r="CQ95" s="70"/>
      <c r="CS95" s="70"/>
      <c r="CT95" s="70"/>
      <c r="CU95" s="70"/>
      <c r="CW95" s="70"/>
      <c r="CX95" s="70"/>
      <c r="CY95" s="70"/>
      <c r="CZ95" s="70"/>
      <c r="DC95" s="70"/>
      <c r="DD95" s="70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</row>
    <row r="96" spans="1:123" ht="24.95" customHeight="1">
      <c r="A96" s="68"/>
      <c r="D96" s="69"/>
      <c r="E96" s="69"/>
      <c r="F96" s="69"/>
      <c r="G96" s="70"/>
      <c r="H96" s="70"/>
      <c r="I96" s="70"/>
      <c r="J96" s="70"/>
      <c r="N96" s="70"/>
      <c r="O96" s="69"/>
      <c r="S96" s="70"/>
      <c r="T96" s="69"/>
      <c r="V96" s="72" t="str">
        <f t="shared" si="3"/>
        <v/>
      </c>
      <c r="W96" s="72" t="str">
        <f t="shared" si="4"/>
        <v/>
      </c>
      <c r="X96" s="72" t="str">
        <f t="shared" si="5"/>
        <v/>
      </c>
      <c r="AD96" s="70"/>
      <c r="AE96" s="70"/>
      <c r="AF96" s="70"/>
      <c r="AH96" s="70"/>
      <c r="AJ96" s="70"/>
      <c r="AN96" s="70"/>
      <c r="AO96" s="70"/>
      <c r="AP96" s="70"/>
      <c r="AR96" s="70"/>
      <c r="AT96" s="70"/>
      <c r="AX96" s="70"/>
      <c r="AY96" s="70"/>
      <c r="AZ96" s="70"/>
      <c r="BB96" s="70"/>
      <c r="BD96" s="70"/>
      <c r="BE96" s="70"/>
      <c r="BF96" s="70"/>
      <c r="BK96" s="70"/>
      <c r="BM96" s="70"/>
      <c r="BN96" s="70"/>
      <c r="BP96" s="70"/>
      <c r="BQ96" s="70"/>
      <c r="BR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J96" s="70"/>
      <c r="CK96" s="70"/>
      <c r="CL96" s="70"/>
      <c r="CM96" s="70"/>
      <c r="CO96" s="70"/>
      <c r="CQ96" s="70"/>
      <c r="CS96" s="70"/>
      <c r="CT96" s="70"/>
      <c r="CU96" s="70"/>
      <c r="CW96" s="70"/>
      <c r="CX96" s="70"/>
      <c r="CY96" s="70"/>
      <c r="CZ96" s="70"/>
      <c r="DC96" s="70"/>
      <c r="DD96" s="70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</row>
    <row r="97" spans="1:123" ht="24.95" customHeight="1">
      <c r="A97" s="68"/>
      <c r="D97" s="69"/>
      <c r="E97" s="69"/>
      <c r="F97" s="69"/>
      <c r="G97" s="70"/>
      <c r="H97" s="70"/>
      <c r="I97" s="70"/>
      <c r="J97" s="70"/>
      <c r="N97" s="70"/>
      <c r="O97" s="69"/>
      <c r="S97" s="70"/>
      <c r="T97" s="69"/>
      <c r="V97" s="72" t="str">
        <f t="shared" si="3"/>
        <v/>
      </c>
      <c r="W97" s="72" t="str">
        <f t="shared" si="4"/>
        <v/>
      </c>
      <c r="X97" s="72" t="str">
        <f t="shared" si="5"/>
        <v/>
      </c>
      <c r="AD97" s="70"/>
      <c r="AE97" s="70"/>
      <c r="AF97" s="70"/>
      <c r="AH97" s="70"/>
      <c r="AJ97" s="70"/>
      <c r="AN97" s="70"/>
      <c r="AO97" s="70"/>
      <c r="AP97" s="70"/>
      <c r="AR97" s="70"/>
      <c r="AT97" s="70"/>
      <c r="AX97" s="70"/>
      <c r="AY97" s="70"/>
      <c r="AZ97" s="70"/>
      <c r="BB97" s="70"/>
      <c r="BD97" s="70"/>
      <c r="BE97" s="70"/>
      <c r="BF97" s="70"/>
      <c r="BK97" s="70"/>
      <c r="BM97" s="70"/>
      <c r="BN97" s="70"/>
      <c r="BP97" s="70"/>
      <c r="BQ97" s="70"/>
      <c r="BR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J97" s="70"/>
      <c r="CK97" s="70"/>
      <c r="CL97" s="70"/>
      <c r="CM97" s="70"/>
      <c r="CO97" s="70"/>
      <c r="CQ97" s="70"/>
      <c r="CS97" s="70"/>
      <c r="CT97" s="70"/>
      <c r="CU97" s="70"/>
      <c r="CW97" s="70"/>
      <c r="CX97" s="70"/>
      <c r="CY97" s="70"/>
      <c r="CZ97" s="70"/>
      <c r="DC97" s="70"/>
      <c r="DD97" s="70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</row>
    <row r="98" spans="1:123" ht="24.95" customHeight="1">
      <c r="A98" s="68"/>
      <c r="D98" s="69"/>
      <c r="E98" s="69"/>
      <c r="F98" s="69"/>
      <c r="G98" s="70"/>
      <c r="H98" s="70"/>
      <c r="I98" s="70"/>
      <c r="J98" s="70"/>
      <c r="N98" s="70"/>
      <c r="O98" s="69"/>
      <c r="S98" s="70"/>
      <c r="T98" s="69"/>
      <c r="V98" s="72" t="str">
        <f t="shared" si="3"/>
        <v/>
      </c>
      <c r="W98" s="72" t="str">
        <f t="shared" si="4"/>
        <v/>
      </c>
      <c r="X98" s="72" t="str">
        <f t="shared" si="5"/>
        <v/>
      </c>
      <c r="AD98" s="70"/>
      <c r="AE98" s="70"/>
      <c r="AF98" s="70"/>
      <c r="AH98" s="70"/>
      <c r="AJ98" s="70"/>
      <c r="AN98" s="70"/>
      <c r="AO98" s="70"/>
      <c r="AP98" s="70"/>
      <c r="AR98" s="70"/>
      <c r="AT98" s="70"/>
      <c r="AX98" s="70"/>
      <c r="AY98" s="70"/>
      <c r="AZ98" s="70"/>
      <c r="BB98" s="70"/>
      <c r="BD98" s="70"/>
      <c r="BE98" s="70"/>
      <c r="BF98" s="70"/>
      <c r="BK98" s="70"/>
      <c r="BM98" s="70"/>
      <c r="BN98" s="70"/>
      <c r="BP98" s="70"/>
      <c r="BQ98" s="70"/>
      <c r="BR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J98" s="70"/>
      <c r="CK98" s="70"/>
      <c r="CL98" s="70"/>
      <c r="CM98" s="70"/>
      <c r="CO98" s="70"/>
      <c r="CQ98" s="70"/>
      <c r="CS98" s="70"/>
      <c r="CT98" s="70"/>
      <c r="CU98" s="70"/>
      <c r="CW98" s="70"/>
      <c r="CX98" s="70"/>
      <c r="CY98" s="70"/>
      <c r="CZ98" s="70"/>
      <c r="DC98" s="70"/>
      <c r="DD98" s="70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</row>
    <row r="99" spans="1:123" ht="24.95" customHeight="1">
      <c r="A99" s="68"/>
      <c r="D99" s="69"/>
      <c r="E99" s="69"/>
      <c r="F99" s="69"/>
      <c r="G99" s="70"/>
      <c r="H99" s="70"/>
      <c r="I99" s="70"/>
      <c r="J99" s="70"/>
      <c r="N99" s="70"/>
      <c r="O99" s="69"/>
      <c r="S99" s="70"/>
      <c r="T99" s="69"/>
      <c r="V99" s="72" t="str">
        <f t="shared" si="3"/>
        <v/>
      </c>
      <c r="W99" s="72" t="str">
        <f t="shared" si="4"/>
        <v/>
      </c>
      <c r="X99" s="72" t="str">
        <f t="shared" si="5"/>
        <v/>
      </c>
      <c r="AD99" s="70"/>
      <c r="AE99" s="70"/>
      <c r="AF99" s="70"/>
      <c r="AH99" s="70"/>
      <c r="AJ99" s="70"/>
      <c r="AN99" s="70"/>
      <c r="AO99" s="70"/>
      <c r="AP99" s="70"/>
      <c r="AR99" s="70"/>
      <c r="AT99" s="70"/>
      <c r="AX99" s="70"/>
      <c r="AY99" s="70"/>
      <c r="AZ99" s="70"/>
      <c r="BB99" s="70"/>
      <c r="BD99" s="70"/>
      <c r="BE99" s="70"/>
      <c r="BF99" s="70"/>
      <c r="BK99" s="70"/>
      <c r="BM99" s="70"/>
      <c r="BN99" s="70"/>
      <c r="BP99" s="70"/>
      <c r="BQ99" s="70"/>
      <c r="BR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J99" s="70"/>
      <c r="CK99" s="70"/>
      <c r="CL99" s="70"/>
      <c r="CM99" s="70"/>
      <c r="CO99" s="70"/>
      <c r="CQ99" s="70"/>
      <c r="CS99" s="70"/>
      <c r="CT99" s="70"/>
      <c r="CU99" s="70"/>
      <c r="CW99" s="70"/>
      <c r="CX99" s="70"/>
      <c r="CY99" s="70"/>
      <c r="CZ99" s="70"/>
      <c r="DC99" s="70"/>
      <c r="DD99" s="70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</row>
    <row r="100" spans="1:123" ht="24.95" customHeight="1">
      <c r="A100" s="68"/>
      <c r="D100" s="69"/>
      <c r="E100" s="69"/>
      <c r="F100" s="69"/>
      <c r="G100" s="70"/>
      <c r="H100" s="70"/>
      <c r="I100" s="70"/>
      <c r="J100" s="70"/>
      <c r="N100" s="70"/>
      <c r="O100" s="69"/>
      <c r="S100" s="70"/>
      <c r="T100" s="69"/>
      <c r="V100" s="72" t="str">
        <f t="shared" si="3"/>
        <v/>
      </c>
      <c r="W100" s="72" t="str">
        <f t="shared" si="4"/>
        <v/>
      </c>
      <c r="X100" s="72" t="str">
        <f t="shared" si="5"/>
        <v/>
      </c>
      <c r="AD100" s="70"/>
      <c r="AE100" s="70"/>
      <c r="AF100" s="70"/>
      <c r="AH100" s="70"/>
      <c r="AJ100" s="70"/>
      <c r="AN100" s="70"/>
      <c r="AO100" s="70"/>
      <c r="AP100" s="70"/>
      <c r="AR100" s="70"/>
      <c r="AT100" s="70"/>
      <c r="AX100" s="70"/>
      <c r="AY100" s="70"/>
      <c r="AZ100" s="70"/>
      <c r="BB100" s="70"/>
      <c r="BD100" s="70"/>
      <c r="BE100" s="70"/>
      <c r="BF100" s="70"/>
      <c r="BK100" s="70"/>
      <c r="BM100" s="70"/>
      <c r="BN100" s="70"/>
      <c r="BP100" s="70"/>
      <c r="BQ100" s="70"/>
      <c r="BR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J100" s="70"/>
      <c r="CK100" s="70"/>
      <c r="CL100" s="70"/>
      <c r="CM100" s="70"/>
      <c r="CO100" s="70"/>
      <c r="CQ100" s="70"/>
      <c r="CS100" s="70"/>
      <c r="CT100" s="70"/>
      <c r="CU100" s="70"/>
      <c r="CW100" s="70"/>
      <c r="CX100" s="70"/>
      <c r="CY100" s="70"/>
      <c r="CZ100" s="70"/>
      <c r="DC100" s="70"/>
      <c r="DD100" s="70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</row>
    <row r="101" spans="1:123" ht="24.95" customHeight="1">
      <c r="A101" s="68"/>
      <c r="D101" s="69"/>
      <c r="E101" s="69"/>
      <c r="F101" s="69"/>
      <c r="G101" s="70"/>
      <c r="H101" s="70"/>
      <c r="I101" s="70"/>
      <c r="J101" s="70"/>
      <c r="N101" s="70"/>
      <c r="O101" s="69"/>
      <c r="S101" s="70"/>
      <c r="T101" s="69"/>
      <c r="V101" s="72" t="str">
        <f t="shared" si="3"/>
        <v/>
      </c>
      <c r="W101" s="72" t="str">
        <f t="shared" si="4"/>
        <v/>
      </c>
      <c r="X101" s="72" t="str">
        <f t="shared" si="5"/>
        <v/>
      </c>
      <c r="AD101" s="70"/>
      <c r="AE101" s="70"/>
      <c r="AF101" s="70"/>
      <c r="AH101" s="70"/>
      <c r="AJ101" s="70"/>
      <c r="AN101" s="70"/>
      <c r="AO101" s="70"/>
      <c r="AP101" s="70"/>
      <c r="AR101" s="70"/>
      <c r="AT101" s="70"/>
      <c r="AX101" s="70"/>
      <c r="AY101" s="70"/>
      <c r="AZ101" s="70"/>
      <c r="BB101" s="70"/>
      <c r="BD101" s="70"/>
      <c r="BE101" s="70"/>
      <c r="BF101" s="70"/>
      <c r="BK101" s="70"/>
      <c r="BM101" s="70"/>
      <c r="BN101" s="70"/>
      <c r="BP101" s="70"/>
      <c r="BQ101" s="70"/>
      <c r="BR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J101" s="70"/>
      <c r="CK101" s="70"/>
      <c r="CL101" s="70"/>
      <c r="CM101" s="70"/>
      <c r="CO101" s="70"/>
      <c r="CQ101" s="70"/>
      <c r="CS101" s="70"/>
      <c r="CT101" s="70"/>
      <c r="CU101" s="70"/>
      <c r="CW101" s="70"/>
      <c r="CX101" s="70"/>
      <c r="CY101" s="70"/>
      <c r="CZ101" s="70"/>
      <c r="DC101" s="70"/>
      <c r="DD101" s="70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</row>
    <row r="102" spans="1:123" ht="24.95" customHeight="1">
      <c r="A102" s="68"/>
      <c r="D102" s="69"/>
      <c r="E102" s="69"/>
      <c r="F102" s="69"/>
      <c r="G102" s="70"/>
      <c r="H102" s="70"/>
      <c r="I102" s="70"/>
      <c r="J102" s="70"/>
      <c r="N102" s="70"/>
      <c r="O102" s="69"/>
      <c r="S102" s="70"/>
      <c r="T102" s="69"/>
      <c r="V102" s="72" t="str">
        <f t="shared" si="3"/>
        <v/>
      </c>
      <c r="W102" s="72" t="str">
        <f t="shared" si="4"/>
        <v/>
      </c>
      <c r="X102" s="72" t="str">
        <f t="shared" si="5"/>
        <v/>
      </c>
      <c r="AD102" s="70"/>
      <c r="AE102" s="70"/>
      <c r="AF102" s="70"/>
      <c r="AH102" s="70"/>
      <c r="AJ102" s="70"/>
      <c r="AN102" s="70"/>
      <c r="AO102" s="70"/>
      <c r="AP102" s="70"/>
      <c r="AR102" s="70"/>
      <c r="AT102" s="70"/>
      <c r="AX102" s="70"/>
      <c r="AY102" s="70"/>
      <c r="AZ102" s="70"/>
      <c r="BB102" s="70"/>
      <c r="BD102" s="70"/>
      <c r="BE102" s="70"/>
      <c r="BF102" s="70"/>
      <c r="BK102" s="70"/>
      <c r="BM102" s="70"/>
      <c r="BN102" s="70"/>
      <c r="BP102" s="70"/>
      <c r="BQ102" s="70"/>
      <c r="BR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J102" s="70"/>
      <c r="CK102" s="70"/>
      <c r="CL102" s="70"/>
      <c r="CM102" s="70"/>
      <c r="CO102" s="70"/>
      <c r="CQ102" s="70"/>
      <c r="CS102" s="70"/>
      <c r="CT102" s="70"/>
      <c r="CU102" s="70"/>
      <c r="CW102" s="70"/>
      <c r="CX102" s="70"/>
      <c r="CY102" s="70"/>
      <c r="CZ102" s="70"/>
      <c r="DC102" s="70"/>
      <c r="DD102" s="70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</row>
    <row r="103" spans="1:123" ht="24.95" customHeight="1">
      <c r="A103" s="68"/>
      <c r="D103" s="69"/>
      <c r="E103" s="69"/>
      <c r="F103" s="69"/>
      <c r="G103" s="70"/>
      <c r="H103" s="70"/>
      <c r="I103" s="70"/>
      <c r="J103" s="70"/>
      <c r="N103" s="70"/>
      <c r="O103" s="69"/>
      <c r="S103" s="70"/>
      <c r="T103" s="69"/>
      <c r="V103" s="72" t="str">
        <f t="shared" si="3"/>
        <v/>
      </c>
      <c r="W103" s="72" t="str">
        <f t="shared" si="4"/>
        <v/>
      </c>
      <c r="X103" s="72" t="str">
        <f t="shared" si="5"/>
        <v/>
      </c>
      <c r="AD103" s="70"/>
      <c r="AE103" s="70"/>
      <c r="AF103" s="70"/>
      <c r="AH103" s="70"/>
      <c r="AJ103" s="70"/>
      <c r="AN103" s="70"/>
      <c r="AO103" s="70"/>
      <c r="AP103" s="70"/>
      <c r="AR103" s="70"/>
      <c r="AT103" s="70"/>
      <c r="AX103" s="70"/>
      <c r="AY103" s="70"/>
      <c r="AZ103" s="70"/>
      <c r="BB103" s="70"/>
      <c r="BD103" s="70"/>
      <c r="BE103" s="70"/>
      <c r="BF103" s="70"/>
      <c r="BK103" s="70"/>
      <c r="BM103" s="70"/>
      <c r="BN103" s="70"/>
      <c r="BP103" s="70"/>
      <c r="BQ103" s="70"/>
      <c r="BR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J103" s="70"/>
      <c r="CK103" s="70"/>
      <c r="CL103" s="70"/>
      <c r="CM103" s="70"/>
      <c r="CO103" s="70"/>
      <c r="CQ103" s="70"/>
      <c r="CS103" s="70"/>
      <c r="CT103" s="70"/>
      <c r="CU103" s="70"/>
      <c r="CW103" s="70"/>
      <c r="CX103" s="70"/>
      <c r="CY103" s="70"/>
      <c r="CZ103" s="70"/>
      <c r="DC103" s="70"/>
      <c r="DD103" s="70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</row>
    <row r="104" spans="1:123" ht="24.95" customHeight="1">
      <c r="A104" s="68"/>
      <c r="D104" s="69"/>
      <c r="E104" s="69"/>
      <c r="F104" s="69"/>
      <c r="G104" s="70"/>
      <c r="H104" s="70"/>
      <c r="I104" s="70"/>
      <c r="J104" s="70"/>
      <c r="N104" s="70"/>
      <c r="O104" s="69"/>
      <c r="S104" s="70"/>
      <c r="T104" s="69"/>
      <c r="V104" s="72" t="str">
        <f t="shared" si="3"/>
        <v/>
      </c>
      <c r="W104" s="72" t="str">
        <f t="shared" si="4"/>
        <v/>
      </c>
      <c r="X104" s="72" t="str">
        <f t="shared" si="5"/>
        <v/>
      </c>
      <c r="AD104" s="70"/>
      <c r="AE104" s="70"/>
      <c r="AF104" s="70"/>
      <c r="AH104" s="70"/>
      <c r="AJ104" s="70"/>
      <c r="AN104" s="70"/>
      <c r="AO104" s="70"/>
      <c r="AP104" s="70"/>
      <c r="AR104" s="70"/>
      <c r="AT104" s="70"/>
      <c r="AX104" s="70"/>
      <c r="AY104" s="70"/>
      <c r="AZ104" s="70"/>
      <c r="BB104" s="70"/>
      <c r="BD104" s="70"/>
      <c r="BE104" s="70"/>
      <c r="BF104" s="70"/>
      <c r="BK104" s="70"/>
      <c r="BM104" s="70"/>
      <c r="BN104" s="70"/>
      <c r="BP104" s="70"/>
      <c r="BQ104" s="70"/>
      <c r="BR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J104" s="70"/>
      <c r="CK104" s="70"/>
      <c r="CL104" s="70"/>
      <c r="CM104" s="70"/>
      <c r="CO104" s="70"/>
      <c r="CQ104" s="70"/>
      <c r="CS104" s="70"/>
      <c r="CT104" s="70"/>
      <c r="CU104" s="70"/>
      <c r="CW104" s="70"/>
      <c r="CX104" s="70"/>
      <c r="CY104" s="70"/>
      <c r="CZ104" s="70"/>
      <c r="DC104" s="70"/>
      <c r="DD104" s="70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</row>
    <row r="105" spans="1:123" ht="24.95" customHeight="1">
      <c r="A105" s="68"/>
      <c r="D105" s="69"/>
      <c r="E105" s="69"/>
      <c r="F105" s="69"/>
      <c r="G105" s="70"/>
      <c r="H105" s="70"/>
      <c r="I105" s="70"/>
      <c r="J105" s="70"/>
      <c r="N105" s="70"/>
      <c r="O105" s="69"/>
      <c r="S105" s="70"/>
      <c r="T105" s="69"/>
      <c r="V105" s="72" t="str">
        <f t="shared" si="3"/>
        <v/>
      </c>
      <c r="W105" s="72" t="str">
        <f t="shared" si="4"/>
        <v/>
      </c>
      <c r="X105" s="72" t="str">
        <f t="shared" si="5"/>
        <v/>
      </c>
      <c r="AD105" s="70"/>
      <c r="AE105" s="70"/>
      <c r="AF105" s="70"/>
      <c r="AH105" s="70"/>
      <c r="AJ105" s="70"/>
      <c r="AN105" s="70"/>
      <c r="AO105" s="70"/>
      <c r="AP105" s="70"/>
      <c r="AR105" s="70"/>
      <c r="AT105" s="70"/>
      <c r="AX105" s="70"/>
      <c r="AY105" s="70"/>
      <c r="AZ105" s="70"/>
      <c r="BB105" s="70"/>
      <c r="BD105" s="70"/>
      <c r="BE105" s="70"/>
      <c r="BF105" s="70"/>
      <c r="BK105" s="70"/>
      <c r="BM105" s="70"/>
      <c r="BN105" s="70"/>
      <c r="BP105" s="70"/>
      <c r="BQ105" s="70"/>
      <c r="BR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J105" s="70"/>
      <c r="CK105" s="70"/>
      <c r="CL105" s="70"/>
      <c r="CM105" s="70"/>
      <c r="CO105" s="70"/>
      <c r="CQ105" s="70"/>
      <c r="CS105" s="70"/>
      <c r="CT105" s="70"/>
      <c r="CU105" s="70"/>
      <c r="CW105" s="70"/>
      <c r="CX105" s="70"/>
      <c r="CY105" s="70"/>
      <c r="CZ105" s="70"/>
      <c r="DC105" s="70"/>
      <c r="DD105" s="70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</row>
    <row r="106" spans="1:123" ht="24.95" customHeight="1">
      <c r="A106" s="68"/>
      <c r="D106" s="69"/>
      <c r="E106" s="69"/>
      <c r="F106" s="69"/>
      <c r="G106" s="70"/>
      <c r="H106" s="70"/>
      <c r="I106" s="70"/>
      <c r="J106" s="70"/>
      <c r="N106" s="70"/>
      <c r="O106" s="69"/>
      <c r="S106" s="70"/>
      <c r="T106" s="69"/>
      <c r="V106" s="72" t="str">
        <f t="shared" si="3"/>
        <v/>
      </c>
      <c r="W106" s="72" t="str">
        <f t="shared" si="4"/>
        <v/>
      </c>
      <c r="X106" s="72" t="str">
        <f t="shared" si="5"/>
        <v/>
      </c>
      <c r="AD106" s="70"/>
      <c r="AE106" s="70"/>
      <c r="AF106" s="70"/>
      <c r="AH106" s="70"/>
      <c r="AJ106" s="70"/>
      <c r="AN106" s="70"/>
      <c r="AO106" s="70"/>
      <c r="AP106" s="70"/>
      <c r="AR106" s="70"/>
      <c r="AT106" s="70"/>
      <c r="AX106" s="70"/>
      <c r="AY106" s="70"/>
      <c r="AZ106" s="70"/>
      <c r="BB106" s="70"/>
      <c r="BD106" s="70"/>
      <c r="BE106" s="70"/>
      <c r="BF106" s="70"/>
      <c r="BK106" s="70"/>
      <c r="BM106" s="70"/>
      <c r="BN106" s="70"/>
      <c r="BP106" s="70"/>
      <c r="BQ106" s="70"/>
      <c r="BR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J106" s="70"/>
      <c r="CK106" s="70"/>
      <c r="CL106" s="70"/>
      <c r="CM106" s="70"/>
      <c r="CO106" s="70"/>
      <c r="CQ106" s="70"/>
      <c r="CS106" s="70"/>
      <c r="CT106" s="70"/>
      <c r="CU106" s="70"/>
      <c r="CW106" s="70"/>
      <c r="CX106" s="70"/>
      <c r="CY106" s="70"/>
      <c r="CZ106" s="70"/>
      <c r="DC106" s="70"/>
      <c r="DD106" s="70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</row>
    <row r="107" spans="1:123" ht="24.95" customHeight="1">
      <c r="A107" s="68"/>
      <c r="D107" s="69"/>
      <c r="E107" s="69"/>
      <c r="F107" s="69"/>
      <c r="G107" s="70"/>
      <c r="H107" s="70"/>
      <c r="I107" s="70"/>
      <c r="J107" s="70"/>
      <c r="N107" s="70"/>
      <c r="O107" s="69"/>
      <c r="S107" s="70"/>
      <c r="T107" s="69"/>
      <c r="V107" s="72" t="str">
        <f t="shared" si="3"/>
        <v/>
      </c>
      <c r="W107" s="72" t="str">
        <f t="shared" si="4"/>
        <v/>
      </c>
      <c r="X107" s="72" t="str">
        <f t="shared" si="5"/>
        <v/>
      </c>
      <c r="AD107" s="70"/>
      <c r="AE107" s="70"/>
      <c r="AF107" s="70"/>
      <c r="AH107" s="70"/>
      <c r="AJ107" s="70"/>
      <c r="AN107" s="70"/>
      <c r="AO107" s="70"/>
      <c r="AP107" s="70"/>
      <c r="AR107" s="70"/>
      <c r="AT107" s="70"/>
      <c r="AX107" s="70"/>
      <c r="AY107" s="70"/>
      <c r="AZ107" s="70"/>
      <c r="BB107" s="70"/>
      <c r="BD107" s="70"/>
      <c r="BE107" s="70"/>
      <c r="BF107" s="70"/>
      <c r="BK107" s="70"/>
      <c r="BM107" s="70"/>
      <c r="BN107" s="70"/>
      <c r="BP107" s="70"/>
      <c r="BQ107" s="70"/>
      <c r="BR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J107" s="70"/>
      <c r="CK107" s="70"/>
      <c r="CL107" s="70"/>
      <c r="CM107" s="70"/>
      <c r="CO107" s="70"/>
      <c r="CQ107" s="70"/>
      <c r="CS107" s="70"/>
      <c r="CT107" s="70"/>
      <c r="CU107" s="70"/>
      <c r="CW107" s="70"/>
      <c r="CX107" s="70"/>
      <c r="CY107" s="70"/>
      <c r="CZ107" s="70"/>
      <c r="DC107" s="70"/>
      <c r="DD107" s="70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</row>
    <row r="108" spans="1:123" ht="24.95" customHeight="1">
      <c r="A108" s="68"/>
      <c r="D108" s="69"/>
      <c r="E108" s="69"/>
      <c r="F108" s="69"/>
      <c r="G108" s="70"/>
      <c r="H108" s="70"/>
      <c r="I108" s="70"/>
      <c r="J108" s="70"/>
      <c r="N108" s="70"/>
      <c r="O108" s="69"/>
      <c r="S108" s="70"/>
      <c r="T108" s="69"/>
      <c r="V108" s="72" t="str">
        <f t="shared" si="3"/>
        <v/>
      </c>
      <c r="W108" s="72" t="str">
        <f t="shared" si="4"/>
        <v/>
      </c>
      <c r="X108" s="72" t="str">
        <f t="shared" si="5"/>
        <v/>
      </c>
      <c r="AD108" s="70"/>
      <c r="AE108" s="70"/>
      <c r="AF108" s="70"/>
      <c r="AH108" s="70"/>
      <c r="AJ108" s="70"/>
      <c r="AN108" s="70"/>
      <c r="AO108" s="70"/>
      <c r="AP108" s="70"/>
      <c r="AR108" s="70"/>
      <c r="AT108" s="70"/>
      <c r="AX108" s="70"/>
      <c r="AY108" s="70"/>
      <c r="AZ108" s="70"/>
      <c r="BB108" s="70"/>
      <c r="BD108" s="70"/>
      <c r="BE108" s="70"/>
      <c r="BF108" s="70"/>
      <c r="BK108" s="70"/>
      <c r="BM108" s="70"/>
      <c r="BN108" s="70"/>
      <c r="BP108" s="70"/>
      <c r="BQ108" s="70"/>
      <c r="BR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J108" s="70"/>
      <c r="CK108" s="70"/>
      <c r="CL108" s="70"/>
      <c r="CM108" s="70"/>
      <c r="CO108" s="70"/>
      <c r="CQ108" s="70"/>
      <c r="CS108" s="70"/>
      <c r="CT108" s="70"/>
      <c r="CU108" s="70"/>
      <c r="CW108" s="70"/>
      <c r="CX108" s="70"/>
      <c r="CY108" s="70"/>
      <c r="CZ108" s="70"/>
      <c r="DC108" s="70"/>
      <c r="DD108" s="70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</row>
    <row r="109" spans="1:123" ht="24.95" customHeight="1">
      <c r="A109" s="68"/>
      <c r="D109" s="69"/>
      <c r="E109" s="69"/>
      <c r="F109" s="69"/>
      <c r="G109" s="70"/>
      <c r="H109" s="70"/>
      <c r="I109" s="70"/>
      <c r="J109" s="70"/>
      <c r="N109" s="70"/>
      <c r="O109" s="69"/>
      <c r="S109" s="70"/>
      <c r="T109" s="69"/>
      <c r="V109" s="72" t="str">
        <f t="shared" si="3"/>
        <v/>
      </c>
      <c r="W109" s="72" t="str">
        <f t="shared" si="4"/>
        <v/>
      </c>
      <c r="X109" s="72" t="str">
        <f t="shared" si="5"/>
        <v/>
      </c>
      <c r="AD109" s="70"/>
      <c r="AE109" s="70"/>
      <c r="AF109" s="70"/>
      <c r="AH109" s="70"/>
      <c r="AJ109" s="70"/>
      <c r="AN109" s="70"/>
      <c r="AO109" s="70"/>
      <c r="AP109" s="70"/>
      <c r="AR109" s="70"/>
      <c r="AT109" s="70"/>
      <c r="AX109" s="70"/>
      <c r="AY109" s="70"/>
      <c r="AZ109" s="70"/>
      <c r="BB109" s="70"/>
      <c r="BD109" s="70"/>
      <c r="BE109" s="70"/>
      <c r="BF109" s="70"/>
      <c r="BK109" s="70"/>
      <c r="BM109" s="70"/>
      <c r="BN109" s="70"/>
      <c r="BP109" s="70"/>
      <c r="BQ109" s="70"/>
      <c r="BR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J109" s="70"/>
      <c r="CK109" s="70"/>
      <c r="CL109" s="70"/>
      <c r="CM109" s="70"/>
      <c r="CO109" s="70"/>
      <c r="CQ109" s="70"/>
      <c r="CS109" s="70"/>
      <c r="CT109" s="70"/>
      <c r="CU109" s="70"/>
      <c r="CW109" s="70"/>
      <c r="CX109" s="70"/>
      <c r="CY109" s="70"/>
      <c r="CZ109" s="70"/>
      <c r="DC109" s="70"/>
      <c r="DD109" s="70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</row>
    <row r="110" spans="1:123" ht="24.95" customHeight="1">
      <c r="A110" s="68"/>
      <c r="D110" s="69"/>
      <c r="E110" s="69"/>
      <c r="F110" s="69"/>
      <c r="G110" s="70"/>
      <c r="H110" s="70"/>
      <c r="I110" s="70"/>
      <c r="J110" s="70"/>
      <c r="N110" s="70"/>
      <c r="O110" s="69"/>
      <c r="S110" s="70"/>
      <c r="T110" s="69"/>
      <c r="V110" s="72" t="str">
        <f t="shared" si="3"/>
        <v/>
      </c>
      <c r="W110" s="72" t="str">
        <f t="shared" si="4"/>
        <v/>
      </c>
      <c r="X110" s="72" t="str">
        <f t="shared" si="5"/>
        <v/>
      </c>
      <c r="AD110" s="70"/>
      <c r="AE110" s="70"/>
      <c r="AF110" s="70"/>
      <c r="AH110" s="70"/>
      <c r="AJ110" s="70"/>
      <c r="AN110" s="70"/>
      <c r="AO110" s="70"/>
      <c r="AP110" s="70"/>
      <c r="AR110" s="70"/>
      <c r="AT110" s="70"/>
      <c r="AX110" s="70"/>
      <c r="AY110" s="70"/>
      <c r="AZ110" s="70"/>
      <c r="BB110" s="70"/>
      <c r="BD110" s="70"/>
      <c r="BE110" s="70"/>
      <c r="BF110" s="70"/>
      <c r="BK110" s="70"/>
      <c r="BM110" s="70"/>
      <c r="BN110" s="70"/>
      <c r="BP110" s="70"/>
      <c r="BQ110" s="70"/>
      <c r="BR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J110" s="70"/>
      <c r="CK110" s="70"/>
      <c r="CL110" s="70"/>
      <c r="CM110" s="70"/>
      <c r="CO110" s="70"/>
      <c r="CQ110" s="70"/>
      <c r="CS110" s="70"/>
      <c r="CT110" s="70"/>
      <c r="CU110" s="70"/>
      <c r="CW110" s="70"/>
      <c r="CX110" s="70"/>
      <c r="CY110" s="70"/>
      <c r="CZ110" s="70"/>
      <c r="DC110" s="70"/>
      <c r="DD110" s="70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</row>
    <row r="111" spans="1:123" ht="24.95" customHeight="1">
      <c r="A111" s="68"/>
      <c r="D111" s="69"/>
      <c r="E111" s="69"/>
      <c r="F111" s="69"/>
      <c r="G111" s="70"/>
      <c r="H111" s="70"/>
      <c r="I111" s="70"/>
      <c r="J111" s="70"/>
      <c r="N111" s="70"/>
      <c r="O111" s="69"/>
      <c r="S111" s="70"/>
      <c r="T111" s="69"/>
      <c r="V111" s="72" t="str">
        <f t="shared" si="3"/>
        <v/>
      </c>
      <c r="W111" s="72" t="str">
        <f t="shared" si="4"/>
        <v/>
      </c>
      <c r="X111" s="72" t="str">
        <f t="shared" si="5"/>
        <v/>
      </c>
      <c r="AD111" s="70"/>
      <c r="AE111" s="70"/>
      <c r="AF111" s="70"/>
      <c r="AH111" s="70"/>
      <c r="AJ111" s="70"/>
      <c r="AN111" s="70"/>
      <c r="AO111" s="70"/>
      <c r="AP111" s="70"/>
      <c r="AR111" s="70"/>
      <c r="AT111" s="70"/>
      <c r="AX111" s="70"/>
      <c r="AY111" s="70"/>
      <c r="AZ111" s="70"/>
      <c r="BB111" s="70"/>
      <c r="BD111" s="70"/>
      <c r="BE111" s="70"/>
      <c r="BF111" s="70"/>
      <c r="BK111" s="70"/>
      <c r="BM111" s="70"/>
      <c r="BN111" s="70"/>
      <c r="BP111" s="70"/>
      <c r="BQ111" s="70"/>
      <c r="BR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J111" s="70"/>
      <c r="CK111" s="70"/>
      <c r="CL111" s="70"/>
      <c r="CM111" s="70"/>
      <c r="CO111" s="70"/>
      <c r="CQ111" s="70"/>
      <c r="CS111" s="70"/>
      <c r="CT111" s="70"/>
      <c r="CU111" s="70"/>
      <c r="CW111" s="70"/>
      <c r="CX111" s="70"/>
      <c r="CY111" s="70"/>
      <c r="CZ111" s="70"/>
      <c r="DC111" s="70"/>
      <c r="DD111" s="70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</row>
    <row r="112" spans="1:123" ht="24.95" customHeight="1">
      <c r="A112" s="68"/>
      <c r="D112" s="69"/>
      <c r="E112" s="69"/>
      <c r="F112" s="69"/>
      <c r="G112" s="70"/>
      <c r="H112" s="70"/>
      <c r="I112" s="70"/>
      <c r="J112" s="70"/>
      <c r="N112" s="70"/>
      <c r="O112" s="69"/>
      <c r="S112" s="70"/>
      <c r="T112" s="69"/>
      <c r="V112" s="72" t="str">
        <f t="shared" si="3"/>
        <v/>
      </c>
      <c r="W112" s="72" t="str">
        <f t="shared" si="4"/>
        <v/>
      </c>
      <c r="X112" s="72" t="str">
        <f t="shared" si="5"/>
        <v/>
      </c>
      <c r="AD112" s="70"/>
      <c r="AE112" s="70"/>
      <c r="AF112" s="70"/>
      <c r="AH112" s="70"/>
      <c r="AJ112" s="70"/>
      <c r="AN112" s="70"/>
      <c r="AO112" s="70"/>
      <c r="AP112" s="70"/>
      <c r="AR112" s="70"/>
      <c r="AT112" s="70"/>
      <c r="AX112" s="70"/>
      <c r="AY112" s="70"/>
      <c r="AZ112" s="70"/>
      <c r="BB112" s="70"/>
      <c r="BD112" s="70"/>
      <c r="BE112" s="70"/>
      <c r="BF112" s="70"/>
      <c r="BK112" s="70"/>
      <c r="BM112" s="70"/>
      <c r="BN112" s="70"/>
      <c r="BP112" s="70"/>
      <c r="BQ112" s="70"/>
      <c r="BR112" s="70"/>
      <c r="BT112" s="70"/>
      <c r="BU112" s="70"/>
      <c r="BV112" s="70"/>
      <c r="BW112" s="70"/>
      <c r="BX112" s="70"/>
      <c r="BY112" s="70"/>
      <c r="BZ112" s="70"/>
      <c r="CA112" s="70"/>
      <c r="CB112" s="70"/>
      <c r="CC112" s="70"/>
      <c r="CD112" s="70"/>
      <c r="CE112" s="70"/>
      <c r="CF112" s="70"/>
      <c r="CJ112" s="70"/>
      <c r="CK112" s="70"/>
      <c r="CL112" s="70"/>
      <c r="CM112" s="70"/>
      <c r="CO112" s="70"/>
      <c r="CQ112" s="70"/>
      <c r="CS112" s="70"/>
      <c r="CT112" s="70"/>
      <c r="CU112" s="70"/>
      <c r="CW112" s="70"/>
      <c r="CX112" s="70"/>
      <c r="CY112" s="70"/>
      <c r="CZ112" s="70"/>
      <c r="DC112" s="70"/>
      <c r="DD112" s="70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</row>
    <row r="113" spans="1:123" ht="24.95" customHeight="1">
      <c r="A113" s="68"/>
      <c r="D113" s="69"/>
      <c r="E113" s="69"/>
      <c r="F113" s="69"/>
      <c r="G113" s="70"/>
      <c r="H113" s="70"/>
      <c r="I113" s="70"/>
      <c r="J113" s="70"/>
      <c r="N113" s="70"/>
      <c r="O113" s="69"/>
      <c r="S113" s="70"/>
      <c r="T113" s="69"/>
      <c r="V113" s="72" t="str">
        <f t="shared" si="3"/>
        <v/>
      </c>
      <c r="W113" s="72" t="str">
        <f t="shared" si="4"/>
        <v/>
      </c>
      <c r="X113" s="72" t="str">
        <f t="shared" si="5"/>
        <v/>
      </c>
      <c r="AD113" s="70"/>
      <c r="AE113" s="70"/>
      <c r="AF113" s="70"/>
      <c r="AH113" s="70"/>
      <c r="AJ113" s="70"/>
      <c r="AN113" s="70"/>
      <c r="AO113" s="70"/>
      <c r="AP113" s="70"/>
      <c r="AR113" s="70"/>
      <c r="AT113" s="70"/>
      <c r="AX113" s="70"/>
      <c r="AY113" s="70"/>
      <c r="AZ113" s="70"/>
      <c r="BB113" s="70"/>
      <c r="BD113" s="70"/>
      <c r="BE113" s="70"/>
      <c r="BF113" s="70"/>
      <c r="BK113" s="70"/>
      <c r="BM113" s="70"/>
      <c r="BN113" s="70"/>
      <c r="BP113" s="70"/>
      <c r="BQ113" s="70"/>
      <c r="BR113" s="70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J113" s="70"/>
      <c r="CK113" s="70"/>
      <c r="CL113" s="70"/>
      <c r="CM113" s="70"/>
      <c r="CO113" s="70"/>
      <c r="CQ113" s="70"/>
      <c r="CS113" s="70"/>
      <c r="CT113" s="70"/>
      <c r="CU113" s="70"/>
      <c r="CW113" s="70"/>
      <c r="CX113" s="70"/>
      <c r="CY113" s="70"/>
      <c r="CZ113" s="70"/>
      <c r="DC113" s="70"/>
      <c r="DD113" s="70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</row>
    <row r="114" spans="1:123" ht="24.95" customHeight="1">
      <c r="A114" s="68"/>
      <c r="D114" s="69"/>
      <c r="E114" s="69"/>
      <c r="F114" s="69"/>
      <c r="G114" s="70"/>
      <c r="H114" s="70"/>
      <c r="I114" s="70"/>
      <c r="J114" s="70"/>
      <c r="N114" s="70"/>
      <c r="O114" s="69"/>
      <c r="S114" s="70"/>
      <c r="T114" s="69"/>
      <c r="V114" s="72" t="str">
        <f t="shared" si="3"/>
        <v/>
      </c>
      <c r="W114" s="72" t="str">
        <f t="shared" si="4"/>
        <v/>
      </c>
      <c r="X114" s="72" t="str">
        <f t="shared" si="5"/>
        <v/>
      </c>
      <c r="AD114" s="70"/>
      <c r="AE114" s="70"/>
      <c r="AF114" s="70"/>
      <c r="AH114" s="70"/>
      <c r="AJ114" s="70"/>
      <c r="AN114" s="70"/>
      <c r="AO114" s="70"/>
      <c r="AP114" s="70"/>
      <c r="AR114" s="70"/>
      <c r="AT114" s="70"/>
      <c r="AX114" s="70"/>
      <c r="AY114" s="70"/>
      <c r="AZ114" s="70"/>
      <c r="BB114" s="70"/>
      <c r="BD114" s="70"/>
      <c r="BE114" s="70"/>
      <c r="BF114" s="70"/>
      <c r="BK114" s="70"/>
      <c r="BM114" s="70"/>
      <c r="BN114" s="70"/>
      <c r="BP114" s="70"/>
      <c r="BQ114" s="70"/>
      <c r="BR114" s="70"/>
      <c r="BT114" s="70"/>
      <c r="BU114" s="70"/>
      <c r="BV114" s="70"/>
      <c r="BW114" s="70"/>
      <c r="BX114" s="70"/>
      <c r="BY114" s="70"/>
      <c r="BZ114" s="70"/>
      <c r="CA114" s="70"/>
      <c r="CB114" s="70"/>
      <c r="CC114" s="70"/>
      <c r="CD114" s="70"/>
      <c r="CE114" s="70"/>
      <c r="CF114" s="70"/>
      <c r="CJ114" s="70"/>
      <c r="CK114" s="70"/>
      <c r="CL114" s="70"/>
      <c r="CM114" s="70"/>
      <c r="CO114" s="70"/>
      <c r="CQ114" s="70"/>
      <c r="CS114" s="70"/>
      <c r="CT114" s="70"/>
      <c r="CU114" s="70"/>
      <c r="CW114" s="70"/>
      <c r="CX114" s="70"/>
      <c r="CY114" s="70"/>
      <c r="CZ114" s="70"/>
      <c r="DC114" s="70"/>
      <c r="DD114" s="70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</row>
    <row r="115" spans="1:123" ht="24.95" customHeight="1">
      <c r="A115" s="68"/>
      <c r="D115" s="69"/>
      <c r="E115" s="69"/>
      <c r="F115" s="69"/>
      <c r="G115" s="70"/>
      <c r="H115" s="70"/>
      <c r="I115" s="70"/>
      <c r="J115" s="70"/>
      <c r="N115" s="70"/>
      <c r="O115" s="69"/>
      <c r="S115" s="70"/>
      <c r="T115" s="69"/>
      <c r="V115" s="72" t="str">
        <f t="shared" si="3"/>
        <v/>
      </c>
      <c r="W115" s="72" t="str">
        <f t="shared" si="4"/>
        <v/>
      </c>
      <c r="X115" s="72" t="str">
        <f t="shared" si="5"/>
        <v/>
      </c>
      <c r="AD115" s="70"/>
      <c r="AE115" s="70"/>
      <c r="AF115" s="70"/>
      <c r="AH115" s="70"/>
      <c r="AJ115" s="70"/>
      <c r="AN115" s="70"/>
      <c r="AO115" s="70"/>
      <c r="AP115" s="70"/>
      <c r="AR115" s="70"/>
      <c r="AT115" s="70"/>
      <c r="AX115" s="70"/>
      <c r="AY115" s="70"/>
      <c r="AZ115" s="70"/>
      <c r="BB115" s="70"/>
      <c r="BD115" s="70"/>
      <c r="BE115" s="70"/>
      <c r="BF115" s="70"/>
      <c r="BK115" s="70"/>
      <c r="BM115" s="70"/>
      <c r="BN115" s="70"/>
      <c r="BP115" s="70"/>
      <c r="BQ115" s="70"/>
      <c r="BR115" s="70"/>
      <c r="BT115" s="70"/>
      <c r="BU115" s="70"/>
      <c r="BV115" s="70"/>
      <c r="BW115" s="70"/>
      <c r="BX115" s="70"/>
      <c r="BY115" s="70"/>
      <c r="BZ115" s="70"/>
      <c r="CA115" s="70"/>
      <c r="CB115" s="70"/>
      <c r="CC115" s="70"/>
      <c r="CD115" s="70"/>
      <c r="CE115" s="70"/>
      <c r="CF115" s="70"/>
      <c r="CJ115" s="70"/>
      <c r="CK115" s="70"/>
      <c r="CL115" s="70"/>
      <c r="CM115" s="70"/>
      <c r="CO115" s="70"/>
      <c r="CQ115" s="70"/>
      <c r="CS115" s="70"/>
      <c r="CT115" s="70"/>
      <c r="CU115" s="70"/>
      <c r="CW115" s="70"/>
      <c r="CX115" s="70"/>
      <c r="CY115" s="70"/>
      <c r="CZ115" s="70"/>
      <c r="DC115" s="70"/>
      <c r="DD115" s="70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</row>
    <row r="116" spans="1:123" ht="24.95" customHeight="1">
      <c r="A116" s="68"/>
      <c r="D116" s="69"/>
      <c r="E116" s="69"/>
      <c r="F116" s="69"/>
      <c r="G116" s="70"/>
      <c r="H116" s="70"/>
      <c r="I116" s="70"/>
      <c r="J116" s="70"/>
      <c r="N116" s="70"/>
      <c r="O116" s="69"/>
      <c r="S116" s="70"/>
      <c r="T116" s="69"/>
      <c r="V116" s="72" t="str">
        <f t="shared" si="3"/>
        <v/>
      </c>
      <c r="W116" s="72" t="str">
        <f t="shared" si="4"/>
        <v/>
      </c>
      <c r="X116" s="72" t="str">
        <f t="shared" si="5"/>
        <v/>
      </c>
      <c r="AD116" s="70"/>
      <c r="AE116" s="70"/>
      <c r="AF116" s="70"/>
      <c r="AH116" s="70"/>
      <c r="AJ116" s="70"/>
      <c r="AN116" s="70"/>
      <c r="AO116" s="70"/>
      <c r="AP116" s="70"/>
      <c r="AR116" s="70"/>
      <c r="AT116" s="70"/>
      <c r="AX116" s="70"/>
      <c r="AY116" s="70"/>
      <c r="AZ116" s="70"/>
      <c r="BB116" s="70"/>
      <c r="BD116" s="70"/>
      <c r="BE116" s="70"/>
      <c r="BF116" s="70"/>
      <c r="BK116" s="70"/>
      <c r="BM116" s="70"/>
      <c r="BN116" s="70"/>
      <c r="BP116" s="70"/>
      <c r="BQ116" s="70"/>
      <c r="BR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J116" s="70"/>
      <c r="CK116" s="70"/>
      <c r="CL116" s="70"/>
      <c r="CM116" s="70"/>
      <c r="CO116" s="70"/>
      <c r="CQ116" s="70"/>
      <c r="CS116" s="70"/>
      <c r="CT116" s="70"/>
      <c r="CU116" s="70"/>
      <c r="CW116" s="70"/>
      <c r="CX116" s="70"/>
      <c r="CY116" s="70"/>
      <c r="CZ116" s="70"/>
      <c r="DC116" s="70"/>
      <c r="DD116" s="70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</row>
    <row r="117" spans="1:123" ht="24.95" customHeight="1">
      <c r="A117" s="68"/>
      <c r="D117" s="69"/>
      <c r="E117" s="69"/>
      <c r="F117" s="69"/>
      <c r="G117" s="70"/>
      <c r="H117" s="70"/>
      <c r="I117" s="70"/>
      <c r="J117" s="70"/>
      <c r="N117" s="70"/>
      <c r="O117" s="69"/>
      <c r="S117" s="70"/>
      <c r="T117" s="69"/>
      <c r="V117" s="72" t="str">
        <f t="shared" si="3"/>
        <v/>
      </c>
      <c r="W117" s="72" t="str">
        <f t="shared" si="4"/>
        <v/>
      </c>
      <c r="X117" s="72" t="str">
        <f t="shared" si="5"/>
        <v/>
      </c>
      <c r="AD117" s="70"/>
      <c r="AE117" s="70"/>
      <c r="AF117" s="70"/>
      <c r="AH117" s="70"/>
      <c r="AJ117" s="70"/>
      <c r="AN117" s="70"/>
      <c r="AO117" s="70"/>
      <c r="AP117" s="70"/>
      <c r="AR117" s="70"/>
      <c r="AT117" s="70"/>
      <c r="AX117" s="70"/>
      <c r="AY117" s="70"/>
      <c r="AZ117" s="70"/>
      <c r="BB117" s="70"/>
      <c r="BD117" s="70"/>
      <c r="BE117" s="70"/>
      <c r="BF117" s="70"/>
      <c r="BK117" s="70"/>
      <c r="BM117" s="70"/>
      <c r="BN117" s="70"/>
      <c r="BP117" s="70"/>
      <c r="BQ117" s="70"/>
      <c r="BR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J117" s="70"/>
      <c r="CK117" s="70"/>
      <c r="CL117" s="70"/>
      <c r="CM117" s="70"/>
      <c r="CO117" s="70"/>
      <c r="CQ117" s="70"/>
      <c r="CS117" s="70"/>
      <c r="CT117" s="70"/>
      <c r="CU117" s="70"/>
      <c r="CW117" s="70"/>
      <c r="CX117" s="70"/>
      <c r="CY117" s="70"/>
      <c r="CZ117" s="70"/>
      <c r="DC117" s="70"/>
      <c r="DD117" s="70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</row>
    <row r="118" spans="1:123" ht="24.95" customHeight="1">
      <c r="A118" s="68"/>
      <c r="D118" s="69"/>
      <c r="E118" s="69"/>
      <c r="F118" s="69"/>
      <c r="G118" s="70"/>
      <c r="H118" s="70"/>
      <c r="I118" s="70"/>
      <c r="J118" s="70"/>
      <c r="N118" s="70"/>
      <c r="O118" s="69"/>
      <c r="S118" s="70"/>
      <c r="T118" s="69"/>
      <c r="V118" s="72" t="str">
        <f t="shared" si="3"/>
        <v/>
      </c>
      <c r="W118" s="72" t="str">
        <f t="shared" si="4"/>
        <v/>
      </c>
      <c r="X118" s="72" t="str">
        <f t="shared" si="5"/>
        <v/>
      </c>
      <c r="AD118" s="70"/>
      <c r="AE118" s="70"/>
      <c r="AF118" s="70"/>
      <c r="AH118" s="70"/>
      <c r="AJ118" s="70"/>
      <c r="AN118" s="70"/>
      <c r="AO118" s="70"/>
      <c r="AP118" s="70"/>
      <c r="AR118" s="70"/>
      <c r="AT118" s="70"/>
      <c r="AX118" s="70"/>
      <c r="AY118" s="70"/>
      <c r="AZ118" s="70"/>
      <c r="BB118" s="70"/>
      <c r="BD118" s="70"/>
      <c r="BE118" s="70"/>
      <c r="BF118" s="70"/>
      <c r="BK118" s="70"/>
      <c r="BM118" s="70"/>
      <c r="BN118" s="70"/>
      <c r="BP118" s="70"/>
      <c r="BQ118" s="70"/>
      <c r="BR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J118" s="70"/>
      <c r="CK118" s="70"/>
      <c r="CL118" s="70"/>
      <c r="CM118" s="70"/>
      <c r="CO118" s="70"/>
      <c r="CQ118" s="70"/>
      <c r="CS118" s="70"/>
      <c r="CT118" s="70"/>
      <c r="CU118" s="70"/>
      <c r="CW118" s="70"/>
      <c r="CX118" s="70"/>
      <c r="CY118" s="70"/>
      <c r="CZ118" s="70"/>
      <c r="DC118" s="70"/>
      <c r="DD118" s="70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</row>
    <row r="119" spans="1:123" ht="24.95" customHeight="1">
      <c r="A119" s="68"/>
      <c r="D119" s="69"/>
      <c r="E119" s="69"/>
      <c r="F119" s="69"/>
      <c r="G119" s="70"/>
      <c r="H119" s="70"/>
      <c r="I119" s="70"/>
      <c r="J119" s="70"/>
      <c r="N119" s="70"/>
      <c r="O119" s="69"/>
      <c r="S119" s="70"/>
      <c r="T119" s="69"/>
      <c r="V119" s="72" t="str">
        <f t="shared" si="3"/>
        <v/>
      </c>
      <c r="W119" s="72" t="str">
        <f t="shared" si="4"/>
        <v/>
      </c>
      <c r="X119" s="72" t="str">
        <f t="shared" si="5"/>
        <v/>
      </c>
      <c r="AD119" s="70"/>
      <c r="AE119" s="70"/>
      <c r="AF119" s="70"/>
      <c r="AH119" s="70"/>
      <c r="AJ119" s="70"/>
      <c r="AN119" s="70"/>
      <c r="AO119" s="70"/>
      <c r="AP119" s="70"/>
      <c r="AR119" s="70"/>
      <c r="AT119" s="70"/>
      <c r="AX119" s="70"/>
      <c r="AY119" s="70"/>
      <c r="AZ119" s="70"/>
      <c r="BB119" s="70"/>
      <c r="BD119" s="70"/>
      <c r="BE119" s="70"/>
      <c r="BF119" s="70"/>
      <c r="BK119" s="70"/>
      <c r="BM119" s="70"/>
      <c r="BN119" s="70"/>
      <c r="BP119" s="70"/>
      <c r="BQ119" s="70"/>
      <c r="BR119" s="70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J119" s="70"/>
      <c r="CK119" s="70"/>
      <c r="CL119" s="70"/>
      <c r="CM119" s="70"/>
      <c r="CO119" s="70"/>
      <c r="CQ119" s="70"/>
      <c r="CS119" s="70"/>
      <c r="CT119" s="70"/>
      <c r="CU119" s="70"/>
      <c r="CW119" s="70"/>
      <c r="CX119" s="70"/>
      <c r="CY119" s="70"/>
      <c r="CZ119" s="70"/>
      <c r="DC119" s="70"/>
      <c r="DD119" s="70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</row>
    <row r="120" spans="1:123" ht="24.95" customHeight="1">
      <c r="A120" s="68"/>
      <c r="D120" s="69"/>
      <c r="E120" s="69"/>
      <c r="F120" s="69"/>
      <c r="G120" s="70"/>
      <c r="H120" s="70"/>
      <c r="I120" s="70"/>
      <c r="J120" s="70"/>
      <c r="N120" s="70"/>
      <c r="O120" s="69"/>
      <c r="S120" s="70"/>
      <c r="T120" s="69"/>
      <c r="V120" s="72" t="str">
        <f t="shared" si="3"/>
        <v/>
      </c>
      <c r="W120" s="72" t="str">
        <f t="shared" si="4"/>
        <v/>
      </c>
      <c r="X120" s="72" t="str">
        <f t="shared" si="5"/>
        <v/>
      </c>
      <c r="AD120" s="70"/>
      <c r="AE120" s="70"/>
      <c r="AF120" s="70"/>
      <c r="AH120" s="70"/>
      <c r="AJ120" s="70"/>
      <c r="AN120" s="70"/>
      <c r="AO120" s="70"/>
      <c r="AP120" s="70"/>
      <c r="AR120" s="70"/>
      <c r="AT120" s="70"/>
      <c r="AX120" s="70"/>
      <c r="AY120" s="70"/>
      <c r="AZ120" s="70"/>
      <c r="BB120" s="70"/>
      <c r="BD120" s="70"/>
      <c r="BE120" s="70"/>
      <c r="BF120" s="70"/>
      <c r="BK120" s="70"/>
      <c r="BM120" s="70"/>
      <c r="BN120" s="70"/>
      <c r="BP120" s="70"/>
      <c r="BQ120" s="70"/>
      <c r="BR120" s="70"/>
      <c r="BT120" s="70"/>
      <c r="BU120" s="70"/>
      <c r="BV120" s="70"/>
      <c r="BW120" s="70"/>
      <c r="BX120" s="70"/>
      <c r="BY120" s="70"/>
      <c r="BZ120" s="70"/>
      <c r="CA120" s="70"/>
      <c r="CB120" s="70"/>
      <c r="CC120" s="70"/>
      <c r="CD120" s="70"/>
      <c r="CE120" s="70"/>
      <c r="CF120" s="70"/>
      <c r="CJ120" s="70"/>
      <c r="CK120" s="70"/>
      <c r="CL120" s="70"/>
      <c r="CM120" s="70"/>
      <c r="CO120" s="70"/>
      <c r="CQ120" s="70"/>
      <c r="CS120" s="70"/>
      <c r="CT120" s="70"/>
      <c r="CU120" s="70"/>
      <c r="CW120" s="70"/>
      <c r="CX120" s="70"/>
      <c r="CY120" s="70"/>
      <c r="CZ120" s="70"/>
      <c r="DC120" s="70"/>
      <c r="DD120" s="70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</row>
    <row r="121" spans="1:123" ht="24.95" customHeight="1">
      <c r="A121" s="68"/>
      <c r="D121" s="69"/>
      <c r="E121" s="69"/>
      <c r="F121" s="69"/>
      <c r="G121" s="70"/>
      <c r="H121" s="70"/>
      <c r="I121" s="70"/>
      <c r="J121" s="70"/>
      <c r="N121" s="70"/>
      <c r="O121" s="69"/>
      <c r="S121" s="70"/>
      <c r="T121" s="69"/>
      <c r="V121" s="72" t="str">
        <f t="shared" si="3"/>
        <v/>
      </c>
      <c r="W121" s="72" t="str">
        <f t="shared" si="4"/>
        <v/>
      </c>
      <c r="X121" s="72" t="str">
        <f t="shared" si="5"/>
        <v/>
      </c>
      <c r="AD121" s="70"/>
      <c r="AE121" s="70"/>
      <c r="AF121" s="70"/>
      <c r="AH121" s="70"/>
      <c r="AJ121" s="70"/>
      <c r="AN121" s="70"/>
      <c r="AO121" s="70"/>
      <c r="AP121" s="70"/>
      <c r="AR121" s="70"/>
      <c r="AT121" s="70"/>
      <c r="AX121" s="70"/>
      <c r="AY121" s="70"/>
      <c r="AZ121" s="70"/>
      <c r="BB121" s="70"/>
      <c r="BD121" s="70"/>
      <c r="BE121" s="70"/>
      <c r="BF121" s="70"/>
      <c r="BK121" s="70"/>
      <c r="BM121" s="70"/>
      <c r="BN121" s="70"/>
      <c r="BP121" s="70"/>
      <c r="BQ121" s="70"/>
      <c r="BR121" s="70"/>
      <c r="BT121" s="70"/>
      <c r="BU121" s="70"/>
      <c r="BV121" s="70"/>
      <c r="BW121" s="70"/>
      <c r="BX121" s="70"/>
      <c r="BY121" s="70"/>
      <c r="BZ121" s="70"/>
      <c r="CA121" s="70"/>
      <c r="CB121" s="70"/>
      <c r="CC121" s="70"/>
      <c r="CD121" s="70"/>
      <c r="CE121" s="70"/>
      <c r="CF121" s="70"/>
      <c r="CJ121" s="70"/>
      <c r="CK121" s="70"/>
      <c r="CL121" s="70"/>
      <c r="CM121" s="70"/>
      <c r="CO121" s="70"/>
      <c r="CQ121" s="70"/>
      <c r="CS121" s="70"/>
      <c r="CT121" s="70"/>
      <c r="CU121" s="70"/>
      <c r="CW121" s="70"/>
      <c r="CX121" s="70"/>
      <c r="CY121" s="70"/>
      <c r="CZ121" s="70"/>
      <c r="DC121" s="70"/>
      <c r="DD121" s="70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</row>
    <row r="122" spans="1:123" ht="24.95" customHeight="1">
      <c r="A122" s="68"/>
      <c r="D122" s="69"/>
      <c r="E122" s="69"/>
      <c r="F122" s="69"/>
      <c r="G122" s="70"/>
      <c r="H122" s="70"/>
      <c r="I122" s="70"/>
      <c r="J122" s="70"/>
      <c r="N122" s="70"/>
      <c r="O122" s="69"/>
      <c r="S122" s="70"/>
      <c r="T122" s="69"/>
      <c r="V122" s="72" t="str">
        <f t="shared" si="3"/>
        <v/>
      </c>
      <c r="W122" s="72" t="str">
        <f t="shared" si="4"/>
        <v/>
      </c>
      <c r="X122" s="72" t="str">
        <f t="shared" si="5"/>
        <v/>
      </c>
      <c r="AD122" s="70"/>
      <c r="AE122" s="70"/>
      <c r="AF122" s="70"/>
      <c r="AH122" s="70"/>
      <c r="AJ122" s="70"/>
      <c r="AN122" s="70"/>
      <c r="AO122" s="70"/>
      <c r="AP122" s="70"/>
      <c r="AR122" s="70"/>
      <c r="AT122" s="70"/>
      <c r="AX122" s="70"/>
      <c r="AY122" s="70"/>
      <c r="AZ122" s="70"/>
      <c r="BB122" s="70"/>
      <c r="BD122" s="70"/>
      <c r="BE122" s="70"/>
      <c r="BF122" s="70"/>
      <c r="BK122" s="70"/>
      <c r="BM122" s="70"/>
      <c r="BN122" s="70"/>
      <c r="BP122" s="70"/>
      <c r="BQ122" s="70"/>
      <c r="BR122" s="70"/>
      <c r="BT122" s="70"/>
      <c r="BU122" s="70"/>
      <c r="BV122" s="70"/>
      <c r="BW122" s="70"/>
      <c r="BX122" s="70"/>
      <c r="BY122" s="70"/>
      <c r="BZ122" s="70"/>
      <c r="CA122" s="70"/>
      <c r="CB122" s="70"/>
      <c r="CC122" s="70"/>
      <c r="CD122" s="70"/>
      <c r="CE122" s="70"/>
      <c r="CF122" s="70"/>
      <c r="CJ122" s="70"/>
      <c r="CK122" s="70"/>
      <c r="CL122" s="70"/>
      <c r="CM122" s="70"/>
      <c r="CO122" s="70"/>
      <c r="CQ122" s="70"/>
      <c r="CS122" s="70"/>
      <c r="CT122" s="70"/>
      <c r="CU122" s="70"/>
      <c r="CW122" s="70"/>
      <c r="CX122" s="70"/>
      <c r="CY122" s="70"/>
      <c r="CZ122" s="70"/>
      <c r="DC122" s="70"/>
      <c r="DD122" s="70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</row>
    <row r="123" spans="1:123" ht="24.95" customHeight="1">
      <c r="A123" s="68"/>
      <c r="D123" s="69"/>
      <c r="E123" s="69"/>
      <c r="F123" s="69"/>
      <c r="G123" s="70"/>
      <c r="H123" s="70"/>
      <c r="I123" s="70"/>
      <c r="J123" s="70"/>
      <c r="N123" s="70"/>
      <c r="O123" s="69"/>
      <c r="S123" s="70"/>
      <c r="T123" s="69"/>
      <c r="V123" s="72" t="str">
        <f t="shared" si="3"/>
        <v/>
      </c>
      <c r="W123" s="72" t="str">
        <f t="shared" si="4"/>
        <v/>
      </c>
      <c r="X123" s="72" t="str">
        <f t="shared" si="5"/>
        <v/>
      </c>
      <c r="AD123" s="70"/>
      <c r="AE123" s="70"/>
      <c r="AF123" s="70"/>
      <c r="AH123" s="70"/>
      <c r="AJ123" s="70"/>
      <c r="AN123" s="70"/>
      <c r="AO123" s="70"/>
      <c r="AP123" s="70"/>
      <c r="AR123" s="70"/>
      <c r="AT123" s="70"/>
      <c r="AX123" s="70"/>
      <c r="AY123" s="70"/>
      <c r="AZ123" s="70"/>
      <c r="BB123" s="70"/>
      <c r="BD123" s="70"/>
      <c r="BE123" s="70"/>
      <c r="BF123" s="70"/>
      <c r="BK123" s="70"/>
      <c r="BM123" s="70"/>
      <c r="BN123" s="70"/>
      <c r="BP123" s="70"/>
      <c r="BQ123" s="70"/>
      <c r="BR123" s="70"/>
      <c r="BT123" s="70"/>
      <c r="BU123" s="70"/>
      <c r="BV123" s="70"/>
      <c r="BW123" s="70"/>
      <c r="BX123" s="70"/>
      <c r="BY123" s="70"/>
      <c r="BZ123" s="70"/>
      <c r="CA123" s="70"/>
      <c r="CB123" s="70"/>
      <c r="CC123" s="70"/>
      <c r="CD123" s="70"/>
      <c r="CE123" s="70"/>
      <c r="CF123" s="70"/>
      <c r="CJ123" s="70"/>
      <c r="CK123" s="70"/>
      <c r="CL123" s="70"/>
      <c r="CM123" s="70"/>
      <c r="CO123" s="70"/>
      <c r="CQ123" s="70"/>
      <c r="CS123" s="70"/>
      <c r="CT123" s="70"/>
      <c r="CU123" s="70"/>
      <c r="CW123" s="70"/>
      <c r="CX123" s="70"/>
      <c r="CY123" s="70"/>
      <c r="CZ123" s="70"/>
      <c r="DC123" s="70"/>
      <c r="DD123" s="70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</row>
    <row r="124" spans="1:123" ht="24.95" customHeight="1">
      <c r="A124" s="68"/>
      <c r="D124" s="69"/>
      <c r="E124" s="69"/>
      <c r="F124" s="69"/>
      <c r="G124" s="70"/>
      <c r="H124" s="70"/>
      <c r="I124" s="70"/>
      <c r="J124" s="70"/>
      <c r="N124" s="70"/>
      <c r="O124" s="69"/>
      <c r="S124" s="70"/>
      <c r="T124" s="69"/>
      <c r="V124" s="72" t="str">
        <f t="shared" si="3"/>
        <v/>
      </c>
      <c r="W124" s="72" t="str">
        <f t="shared" si="4"/>
        <v/>
      </c>
      <c r="X124" s="72" t="str">
        <f t="shared" si="5"/>
        <v/>
      </c>
      <c r="AD124" s="70"/>
      <c r="AE124" s="70"/>
      <c r="AF124" s="70"/>
      <c r="AH124" s="70"/>
      <c r="AJ124" s="70"/>
      <c r="AN124" s="70"/>
      <c r="AO124" s="70"/>
      <c r="AP124" s="70"/>
      <c r="AR124" s="70"/>
      <c r="AT124" s="70"/>
      <c r="AX124" s="70"/>
      <c r="AY124" s="70"/>
      <c r="AZ124" s="70"/>
      <c r="BB124" s="70"/>
      <c r="BD124" s="70"/>
      <c r="BE124" s="70"/>
      <c r="BF124" s="70"/>
      <c r="BK124" s="70"/>
      <c r="BM124" s="70"/>
      <c r="BN124" s="70"/>
      <c r="BP124" s="70"/>
      <c r="BQ124" s="70"/>
      <c r="BR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CF124" s="70"/>
      <c r="CJ124" s="70"/>
      <c r="CK124" s="70"/>
      <c r="CL124" s="70"/>
      <c r="CM124" s="70"/>
      <c r="CO124" s="70"/>
      <c r="CQ124" s="70"/>
      <c r="CS124" s="70"/>
      <c r="CT124" s="70"/>
      <c r="CU124" s="70"/>
      <c r="CW124" s="70"/>
      <c r="CX124" s="70"/>
      <c r="CY124" s="70"/>
      <c r="CZ124" s="70"/>
      <c r="DC124" s="70"/>
      <c r="DD124" s="70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</row>
    <row r="125" spans="1:123" ht="24.95" customHeight="1">
      <c r="A125" s="68"/>
      <c r="D125" s="69"/>
      <c r="E125" s="69"/>
      <c r="F125" s="69"/>
      <c r="G125" s="70"/>
      <c r="H125" s="70"/>
      <c r="I125" s="70"/>
      <c r="J125" s="70"/>
      <c r="N125" s="70"/>
      <c r="O125" s="69"/>
      <c r="S125" s="70"/>
      <c r="T125" s="69"/>
      <c r="V125" s="72" t="str">
        <f t="shared" si="3"/>
        <v/>
      </c>
      <c r="W125" s="72" t="str">
        <f t="shared" si="4"/>
        <v/>
      </c>
      <c r="X125" s="72" t="str">
        <f t="shared" si="5"/>
        <v/>
      </c>
      <c r="AD125" s="70"/>
      <c r="AE125" s="70"/>
      <c r="AF125" s="70"/>
      <c r="AH125" s="70"/>
      <c r="AJ125" s="70"/>
      <c r="AN125" s="70"/>
      <c r="AO125" s="70"/>
      <c r="AP125" s="70"/>
      <c r="AR125" s="70"/>
      <c r="AT125" s="70"/>
      <c r="AX125" s="70"/>
      <c r="AY125" s="70"/>
      <c r="AZ125" s="70"/>
      <c r="BB125" s="70"/>
      <c r="BD125" s="70"/>
      <c r="BE125" s="70"/>
      <c r="BF125" s="70"/>
      <c r="BK125" s="70"/>
      <c r="BM125" s="70"/>
      <c r="BN125" s="70"/>
      <c r="BP125" s="70"/>
      <c r="BQ125" s="70"/>
      <c r="BR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J125" s="70"/>
      <c r="CK125" s="70"/>
      <c r="CL125" s="70"/>
      <c r="CM125" s="70"/>
      <c r="CO125" s="70"/>
      <c r="CQ125" s="70"/>
      <c r="CS125" s="70"/>
      <c r="CT125" s="70"/>
      <c r="CU125" s="70"/>
      <c r="CW125" s="70"/>
      <c r="CX125" s="70"/>
      <c r="CY125" s="70"/>
      <c r="CZ125" s="70"/>
      <c r="DC125" s="70"/>
      <c r="DD125" s="70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</row>
    <row r="126" spans="1:123" ht="24.95" customHeight="1">
      <c r="A126" s="68"/>
      <c r="D126" s="69"/>
      <c r="E126" s="69"/>
      <c r="F126" s="69"/>
      <c r="G126" s="70"/>
      <c r="H126" s="70"/>
      <c r="I126" s="70"/>
      <c r="J126" s="70"/>
      <c r="N126" s="70"/>
      <c r="O126" s="69"/>
      <c r="S126" s="70"/>
      <c r="T126" s="69"/>
      <c r="V126" s="72" t="str">
        <f t="shared" si="3"/>
        <v/>
      </c>
      <c r="W126" s="72" t="str">
        <f t="shared" si="4"/>
        <v/>
      </c>
      <c r="X126" s="72" t="str">
        <f t="shared" si="5"/>
        <v/>
      </c>
      <c r="AD126" s="70"/>
      <c r="AE126" s="70"/>
      <c r="AF126" s="70"/>
      <c r="AH126" s="70"/>
      <c r="AJ126" s="70"/>
      <c r="AN126" s="70"/>
      <c r="AO126" s="70"/>
      <c r="AP126" s="70"/>
      <c r="AR126" s="70"/>
      <c r="AT126" s="70"/>
      <c r="AX126" s="70"/>
      <c r="AY126" s="70"/>
      <c r="AZ126" s="70"/>
      <c r="BB126" s="70"/>
      <c r="BD126" s="70"/>
      <c r="BE126" s="70"/>
      <c r="BF126" s="70"/>
      <c r="BK126" s="70"/>
      <c r="BM126" s="70"/>
      <c r="BN126" s="70"/>
      <c r="BP126" s="70"/>
      <c r="BQ126" s="70"/>
      <c r="BR126" s="70"/>
      <c r="BT126" s="70"/>
      <c r="BU126" s="70"/>
      <c r="BV126" s="70"/>
      <c r="BW126" s="70"/>
      <c r="BX126" s="70"/>
      <c r="BY126" s="70"/>
      <c r="BZ126" s="70"/>
      <c r="CA126" s="70"/>
      <c r="CB126" s="70"/>
      <c r="CC126" s="70"/>
      <c r="CD126" s="70"/>
      <c r="CE126" s="70"/>
      <c r="CF126" s="70"/>
      <c r="CJ126" s="70"/>
      <c r="CK126" s="70"/>
      <c r="CL126" s="70"/>
      <c r="CM126" s="70"/>
      <c r="CO126" s="70"/>
      <c r="CQ126" s="70"/>
      <c r="CS126" s="70"/>
      <c r="CT126" s="70"/>
      <c r="CU126" s="70"/>
      <c r="CW126" s="70"/>
      <c r="CX126" s="70"/>
      <c r="CY126" s="70"/>
      <c r="CZ126" s="70"/>
      <c r="DC126" s="70"/>
      <c r="DD126" s="70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</row>
    <row r="127" spans="1:123" ht="24.95" customHeight="1">
      <c r="A127" s="68"/>
      <c r="D127" s="69"/>
      <c r="E127" s="69"/>
      <c r="F127" s="69"/>
      <c r="G127" s="70"/>
      <c r="H127" s="70"/>
      <c r="I127" s="70"/>
      <c r="J127" s="70"/>
      <c r="N127" s="70"/>
      <c r="O127" s="69"/>
      <c r="S127" s="70"/>
      <c r="T127" s="69"/>
      <c r="V127" s="72" t="str">
        <f t="shared" si="3"/>
        <v/>
      </c>
      <c r="W127" s="72" t="str">
        <f t="shared" si="4"/>
        <v/>
      </c>
      <c r="X127" s="72" t="str">
        <f t="shared" si="5"/>
        <v/>
      </c>
      <c r="AD127" s="70"/>
      <c r="AE127" s="70"/>
      <c r="AF127" s="70"/>
      <c r="AH127" s="70"/>
      <c r="AJ127" s="70"/>
      <c r="AN127" s="70"/>
      <c r="AO127" s="70"/>
      <c r="AP127" s="70"/>
      <c r="AR127" s="70"/>
      <c r="AT127" s="70"/>
      <c r="AX127" s="70"/>
      <c r="AY127" s="70"/>
      <c r="AZ127" s="70"/>
      <c r="BB127" s="70"/>
      <c r="BD127" s="70"/>
      <c r="BE127" s="70"/>
      <c r="BF127" s="70"/>
      <c r="BK127" s="70"/>
      <c r="BM127" s="70"/>
      <c r="BN127" s="70"/>
      <c r="BP127" s="70"/>
      <c r="BQ127" s="70"/>
      <c r="BR127" s="70"/>
      <c r="BT127" s="70"/>
      <c r="BU127" s="70"/>
      <c r="BV127" s="70"/>
      <c r="BW127" s="70"/>
      <c r="BX127" s="70"/>
      <c r="BY127" s="70"/>
      <c r="BZ127" s="70"/>
      <c r="CA127" s="70"/>
      <c r="CB127" s="70"/>
      <c r="CC127" s="70"/>
      <c r="CD127" s="70"/>
      <c r="CE127" s="70"/>
      <c r="CF127" s="70"/>
      <c r="CJ127" s="70"/>
      <c r="CK127" s="70"/>
      <c r="CL127" s="70"/>
      <c r="CM127" s="70"/>
      <c r="CO127" s="70"/>
      <c r="CQ127" s="70"/>
      <c r="CS127" s="70"/>
      <c r="CT127" s="70"/>
      <c r="CU127" s="70"/>
      <c r="CW127" s="70"/>
      <c r="CX127" s="70"/>
      <c r="CY127" s="70"/>
      <c r="CZ127" s="70"/>
      <c r="DC127" s="70"/>
      <c r="DD127" s="70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</row>
    <row r="128" spans="1:123" ht="24.95" customHeight="1">
      <c r="A128" s="68"/>
      <c r="D128" s="69"/>
      <c r="E128" s="69"/>
      <c r="F128" s="69"/>
      <c r="G128" s="70"/>
      <c r="H128" s="70"/>
      <c r="I128" s="70"/>
      <c r="J128" s="70"/>
      <c r="N128" s="70"/>
      <c r="O128" s="69"/>
      <c r="S128" s="70"/>
      <c r="T128" s="69"/>
      <c r="V128" s="72" t="str">
        <f t="shared" si="3"/>
        <v/>
      </c>
      <c r="W128" s="72" t="str">
        <f t="shared" si="4"/>
        <v/>
      </c>
      <c r="X128" s="72" t="str">
        <f t="shared" si="5"/>
        <v/>
      </c>
      <c r="AD128" s="70"/>
      <c r="AE128" s="70"/>
      <c r="AF128" s="70"/>
      <c r="AH128" s="70"/>
      <c r="AJ128" s="70"/>
      <c r="AN128" s="70"/>
      <c r="AO128" s="70"/>
      <c r="AP128" s="70"/>
      <c r="AR128" s="70"/>
      <c r="AT128" s="70"/>
      <c r="AX128" s="70"/>
      <c r="AY128" s="70"/>
      <c r="AZ128" s="70"/>
      <c r="BB128" s="70"/>
      <c r="BD128" s="70"/>
      <c r="BE128" s="70"/>
      <c r="BF128" s="70"/>
      <c r="BK128" s="70"/>
      <c r="BM128" s="70"/>
      <c r="BN128" s="70"/>
      <c r="BP128" s="70"/>
      <c r="BQ128" s="70"/>
      <c r="BR128" s="70"/>
      <c r="BT128" s="70"/>
      <c r="BU128" s="70"/>
      <c r="BV128" s="70"/>
      <c r="BW128" s="70"/>
      <c r="BX128" s="70"/>
      <c r="BY128" s="70"/>
      <c r="BZ128" s="70"/>
      <c r="CA128" s="70"/>
      <c r="CB128" s="70"/>
      <c r="CC128" s="70"/>
      <c r="CD128" s="70"/>
      <c r="CE128" s="70"/>
      <c r="CF128" s="70"/>
      <c r="CJ128" s="70"/>
      <c r="CK128" s="70"/>
      <c r="CL128" s="70"/>
      <c r="CM128" s="70"/>
      <c r="CO128" s="70"/>
      <c r="CQ128" s="70"/>
      <c r="CS128" s="70"/>
      <c r="CT128" s="70"/>
      <c r="CU128" s="70"/>
      <c r="CW128" s="70"/>
      <c r="CX128" s="70"/>
      <c r="CY128" s="70"/>
      <c r="CZ128" s="70"/>
      <c r="DC128" s="70"/>
      <c r="DD128" s="70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</row>
    <row r="129" spans="1:123" ht="24.95" customHeight="1">
      <c r="A129" s="68"/>
      <c r="D129" s="69"/>
      <c r="E129" s="69"/>
      <c r="F129" s="69"/>
      <c r="G129" s="70"/>
      <c r="H129" s="70"/>
      <c r="I129" s="70"/>
      <c r="J129" s="70"/>
      <c r="N129" s="70"/>
      <c r="O129" s="69"/>
      <c r="S129" s="70"/>
      <c r="T129" s="69"/>
      <c r="V129" s="72" t="str">
        <f t="shared" si="3"/>
        <v/>
      </c>
      <c r="W129" s="72" t="str">
        <f t="shared" si="4"/>
        <v/>
      </c>
      <c r="X129" s="72" t="str">
        <f t="shared" si="5"/>
        <v/>
      </c>
      <c r="AD129" s="70"/>
      <c r="AE129" s="70"/>
      <c r="AF129" s="70"/>
      <c r="AH129" s="70"/>
      <c r="AJ129" s="70"/>
      <c r="AN129" s="70"/>
      <c r="AO129" s="70"/>
      <c r="AP129" s="70"/>
      <c r="AR129" s="70"/>
      <c r="AT129" s="70"/>
      <c r="AX129" s="70"/>
      <c r="AY129" s="70"/>
      <c r="AZ129" s="70"/>
      <c r="BB129" s="70"/>
      <c r="BD129" s="70"/>
      <c r="BE129" s="70"/>
      <c r="BF129" s="70"/>
      <c r="BK129" s="70"/>
      <c r="BM129" s="70"/>
      <c r="BN129" s="70"/>
      <c r="BP129" s="70"/>
      <c r="BQ129" s="70"/>
      <c r="BR129" s="70"/>
      <c r="BT129" s="70"/>
      <c r="BU129" s="70"/>
      <c r="BV129" s="70"/>
      <c r="BW129" s="70"/>
      <c r="BX129" s="70"/>
      <c r="BY129" s="70"/>
      <c r="BZ129" s="70"/>
      <c r="CA129" s="70"/>
      <c r="CB129" s="70"/>
      <c r="CC129" s="70"/>
      <c r="CD129" s="70"/>
      <c r="CE129" s="70"/>
      <c r="CF129" s="70"/>
      <c r="CJ129" s="70"/>
      <c r="CK129" s="70"/>
      <c r="CL129" s="70"/>
      <c r="CM129" s="70"/>
      <c r="CO129" s="70"/>
      <c r="CQ129" s="70"/>
      <c r="CS129" s="70"/>
      <c r="CT129" s="70"/>
      <c r="CU129" s="70"/>
      <c r="CW129" s="70"/>
      <c r="CX129" s="70"/>
      <c r="CY129" s="70"/>
      <c r="CZ129" s="70"/>
      <c r="DC129" s="70"/>
      <c r="DD129" s="70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</row>
    <row r="130" spans="1:123" ht="24.95" customHeight="1">
      <c r="A130" s="68"/>
      <c r="D130" s="69"/>
      <c r="E130" s="69"/>
      <c r="F130" s="69"/>
      <c r="G130" s="70"/>
      <c r="H130" s="70"/>
      <c r="I130" s="70"/>
      <c r="J130" s="70"/>
      <c r="N130" s="70"/>
      <c r="O130" s="69"/>
      <c r="S130" s="70"/>
      <c r="T130" s="69"/>
      <c r="V130" s="72" t="str">
        <f t="shared" si="3"/>
        <v/>
      </c>
      <c r="W130" s="72" t="str">
        <f t="shared" si="4"/>
        <v/>
      </c>
      <c r="X130" s="72" t="str">
        <f t="shared" si="5"/>
        <v/>
      </c>
      <c r="AD130" s="70"/>
      <c r="AE130" s="70"/>
      <c r="AF130" s="70"/>
      <c r="AH130" s="70"/>
      <c r="AJ130" s="70"/>
      <c r="AN130" s="70"/>
      <c r="AO130" s="70"/>
      <c r="AP130" s="70"/>
      <c r="AR130" s="70"/>
      <c r="AT130" s="70"/>
      <c r="AX130" s="70"/>
      <c r="AY130" s="70"/>
      <c r="AZ130" s="70"/>
      <c r="BB130" s="70"/>
      <c r="BD130" s="70"/>
      <c r="BE130" s="70"/>
      <c r="BF130" s="70"/>
      <c r="BK130" s="70"/>
      <c r="BM130" s="70"/>
      <c r="BN130" s="70"/>
      <c r="BP130" s="70"/>
      <c r="BQ130" s="70"/>
      <c r="BR130" s="70"/>
      <c r="BT130" s="70"/>
      <c r="BU130" s="70"/>
      <c r="BV130" s="70"/>
      <c r="BW130" s="70"/>
      <c r="BX130" s="70"/>
      <c r="BY130" s="70"/>
      <c r="BZ130" s="70"/>
      <c r="CA130" s="70"/>
      <c r="CB130" s="70"/>
      <c r="CC130" s="70"/>
      <c r="CD130" s="70"/>
      <c r="CE130" s="70"/>
      <c r="CF130" s="70"/>
      <c r="CJ130" s="70"/>
      <c r="CK130" s="70"/>
      <c r="CL130" s="70"/>
      <c r="CM130" s="70"/>
      <c r="CO130" s="70"/>
      <c r="CQ130" s="70"/>
      <c r="CS130" s="70"/>
      <c r="CT130" s="70"/>
      <c r="CU130" s="70"/>
      <c r="CW130" s="70"/>
      <c r="CX130" s="70"/>
      <c r="CY130" s="70"/>
      <c r="CZ130" s="70"/>
      <c r="DC130" s="70"/>
      <c r="DD130" s="70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</row>
    <row r="131" spans="1:123" ht="24.95" customHeight="1">
      <c r="A131" s="68"/>
      <c r="D131" s="69"/>
      <c r="E131" s="69"/>
      <c r="F131" s="69"/>
      <c r="G131" s="70"/>
      <c r="H131" s="70"/>
      <c r="I131" s="70"/>
      <c r="J131" s="70"/>
      <c r="N131" s="70"/>
      <c r="O131" s="69"/>
      <c r="S131" s="70"/>
      <c r="T131" s="69"/>
      <c r="V131" s="72" t="str">
        <f t="shared" si="3"/>
        <v/>
      </c>
      <c r="W131" s="72" t="str">
        <f t="shared" si="4"/>
        <v/>
      </c>
      <c r="X131" s="72" t="str">
        <f t="shared" si="5"/>
        <v/>
      </c>
      <c r="AD131" s="70"/>
      <c r="AE131" s="70"/>
      <c r="AF131" s="70"/>
      <c r="AH131" s="70"/>
      <c r="AJ131" s="70"/>
      <c r="AN131" s="70"/>
      <c r="AO131" s="70"/>
      <c r="AP131" s="70"/>
      <c r="AR131" s="70"/>
      <c r="AT131" s="70"/>
      <c r="AX131" s="70"/>
      <c r="AY131" s="70"/>
      <c r="AZ131" s="70"/>
      <c r="BB131" s="70"/>
      <c r="BD131" s="70"/>
      <c r="BE131" s="70"/>
      <c r="BF131" s="70"/>
      <c r="BK131" s="70"/>
      <c r="BM131" s="70"/>
      <c r="BN131" s="70"/>
      <c r="BP131" s="70"/>
      <c r="BQ131" s="70"/>
      <c r="BR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J131" s="70"/>
      <c r="CK131" s="70"/>
      <c r="CL131" s="70"/>
      <c r="CM131" s="70"/>
      <c r="CO131" s="70"/>
      <c r="CQ131" s="70"/>
      <c r="CS131" s="70"/>
      <c r="CT131" s="70"/>
      <c r="CU131" s="70"/>
      <c r="CW131" s="70"/>
      <c r="CX131" s="70"/>
      <c r="CY131" s="70"/>
      <c r="CZ131" s="70"/>
      <c r="DC131" s="70"/>
      <c r="DD131" s="70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</row>
    <row r="132" spans="1:123" ht="24.95" customHeight="1">
      <c r="A132" s="68"/>
      <c r="D132" s="69"/>
      <c r="E132" s="69"/>
      <c r="F132" s="69"/>
      <c r="G132" s="70"/>
      <c r="H132" s="70"/>
      <c r="I132" s="70"/>
      <c r="J132" s="70"/>
      <c r="N132" s="70"/>
      <c r="O132" s="69"/>
      <c r="S132" s="70"/>
      <c r="T132" s="69"/>
      <c r="V132" s="72" t="str">
        <f t="shared" si="3"/>
        <v/>
      </c>
      <c r="W132" s="72" t="str">
        <f t="shared" si="4"/>
        <v/>
      </c>
      <c r="X132" s="72" t="str">
        <f t="shared" si="5"/>
        <v/>
      </c>
      <c r="AD132" s="70"/>
      <c r="AE132" s="70"/>
      <c r="AF132" s="70"/>
      <c r="AH132" s="70"/>
      <c r="AJ132" s="70"/>
      <c r="AN132" s="70"/>
      <c r="AO132" s="70"/>
      <c r="AP132" s="70"/>
      <c r="AR132" s="70"/>
      <c r="AT132" s="70"/>
      <c r="AX132" s="70"/>
      <c r="AY132" s="70"/>
      <c r="AZ132" s="70"/>
      <c r="BB132" s="70"/>
      <c r="BD132" s="70"/>
      <c r="BE132" s="70"/>
      <c r="BF132" s="70"/>
      <c r="BK132" s="70"/>
      <c r="BM132" s="70"/>
      <c r="BN132" s="70"/>
      <c r="BP132" s="70"/>
      <c r="BQ132" s="70"/>
      <c r="BR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J132" s="70"/>
      <c r="CK132" s="70"/>
      <c r="CL132" s="70"/>
      <c r="CM132" s="70"/>
      <c r="CO132" s="70"/>
      <c r="CQ132" s="70"/>
      <c r="CS132" s="70"/>
      <c r="CT132" s="70"/>
      <c r="CU132" s="70"/>
      <c r="CW132" s="70"/>
      <c r="CX132" s="70"/>
      <c r="CY132" s="70"/>
      <c r="CZ132" s="70"/>
      <c r="DC132" s="70"/>
      <c r="DD132" s="70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</row>
    <row r="133" spans="1:123" ht="24.95" customHeight="1">
      <c r="A133" s="68"/>
      <c r="D133" s="69"/>
      <c r="E133" s="69"/>
      <c r="F133" s="69"/>
      <c r="G133" s="70"/>
      <c r="H133" s="70"/>
      <c r="I133" s="70"/>
      <c r="J133" s="70"/>
      <c r="N133" s="70"/>
      <c r="O133" s="69"/>
      <c r="S133" s="70"/>
      <c r="T133" s="69"/>
      <c r="V133" s="72" t="str">
        <f t="shared" si="3"/>
        <v/>
      </c>
      <c r="W133" s="72" t="str">
        <f t="shared" si="4"/>
        <v/>
      </c>
      <c r="X133" s="72" t="str">
        <f t="shared" si="5"/>
        <v/>
      </c>
      <c r="AD133" s="70"/>
      <c r="AE133" s="70"/>
      <c r="AF133" s="70"/>
      <c r="AH133" s="70"/>
      <c r="AJ133" s="70"/>
      <c r="AN133" s="70"/>
      <c r="AO133" s="70"/>
      <c r="AP133" s="70"/>
      <c r="AR133" s="70"/>
      <c r="AT133" s="70"/>
      <c r="AX133" s="70"/>
      <c r="AY133" s="70"/>
      <c r="AZ133" s="70"/>
      <c r="BB133" s="70"/>
      <c r="BD133" s="70"/>
      <c r="BE133" s="70"/>
      <c r="BF133" s="70"/>
      <c r="BK133" s="70"/>
      <c r="BM133" s="70"/>
      <c r="BN133" s="70"/>
      <c r="BP133" s="70"/>
      <c r="BQ133" s="70"/>
      <c r="BR133" s="70"/>
      <c r="BT133" s="70"/>
      <c r="BU133" s="70"/>
      <c r="BV133" s="70"/>
      <c r="BW133" s="70"/>
      <c r="BX133" s="70"/>
      <c r="BY133" s="70"/>
      <c r="BZ133" s="70"/>
      <c r="CA133" s="70"/>
      <c r="CB133" s="70"/>
      <c r="CC133" s="70"/>
      <c r="CD133" s="70"/>
      <c r="CE133" s="70"/>
      <c r="CF133" s="70"/>
      <c r="CJ133" s="70"/>
      <c r="CK133" s="70"/>
      <c r="CL133" s="70"/>
      <c r="CM133" s="70"/>
      <c r="CO133" s="70"/>
      <c r="CQ133" s="70"/>
      <c r="CS133" s="70"/>
      <c r="CT133" s="70"/>
      <c r="CU133" s="70"/>
      <c r="CW133" s="70"/>
      <c r="CX133" s="70"/>
      <c r="CY133" s="70"/>
      <c r="CZ133" s="70"/>
      <c r="DC133" s="70"/>
      <c r="DD133" s="70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</row>
    <row r="134" spans="1:123" ht="24.95" customHeight="1">
      <c r="A134" s="68"/>
      <c r="D134" s="69"/>
      <c r="E134" s="69"/>
      <c r="F134" s="69"/>
      <c r="G134" s="70"/>
      <c r="H134" s="70"/>
      <c r="I134" s="70"/>
      <c r="J134" s="70"/>
      <c r="N134" s="70"/>
      <c r="O134" s="69"/>
      <c r="S134" s="70"/>
      <c r="T134" s="69"/>
      <c r="V134" s="72" t="str">
        <f t="shared" ref="V134:V197" si="6">IF($A134="","",IF(AND($U134="発射物",$DI134&lt;&gt;"パッシブ"),$BE134,0))</f>
        <v/>
      </c>
      <c r="W134" s="72" t="str">
        <f t="shared" ref="W134:W197" si="7">IF($A134="","",IF(AND($U134="発射物",$DI134&lt;&gt;"パッシブ"),$BF134,0))</f>
        <v/>
      </c>
      <c r="X134" s="72" t="str">
        <f t="shared" ref="X134:X197" si="8">IF($A134="","",IF(AND($U134="発射物",$DI134&lt;&gt;"パッシブ"),IF($BG134="有効","有効","無効"),"無効"))</f>
        <v/>
      </c>
      <c r="AD134" s="70"/>
      <c r="AE134" s="70"/>
      <c r="AF134" s="70"/>
      <c r="AH134" s="70"/>
      <c r="AJ134" s="70"/>
      <c r="AN134" s="70"/>
      <c r="AO134" s="70"/>
      <c r="AP134" s="70"/>
      <c r="AR134" s="70"/>
      <c r="AT134" s="70"/>
      <c r="AX134" s="70"/>
      <c r="AY134" s="70"/>
      <c r="AZ134" s="70"/>
      <c r="BB134" s="70"/>
      <c r="BD134" s="70"/>
      <c r="BE134" s="70"/>
      <c r="BF134" s="70"/>
      <c r="BK134" s="70"/>
      <c r="BM134" s="70"/>
      <c r="BN134" s="70"/>
      <c r="BP134" s="70"/>
      <c r="BQ134" s="70"/>
      <c r="BR134" s="70"/>
      <c r="BT134" s="70"/>
      <c r="BU134" s="70"/>
      <c r="BV134" s="70"/>
      <c r="BW134" s="70"/>
      <c r="BX134" s="70"/>
      <c r="BY134" s="70"/>
      <c r="BZ134" s="70"/>
      <c r="CA134" s="70"/>
      <c r="CB134" s="70"/>
      <c r="CC134" s="70"/>
      <c r="CD134" s="70"/>
      <c r="CE134" s="70"/>
      <c r="CF134" s="70"/>
      <c r="CJ134" s="70"/>
      <c r="CK134" s="70"/>
      <c r="CL134" s="70"/>
      <c r="CM134" s="70"/>
      <c r="CO134" s="70"/>
      <c r="CQ134" s="70"/>
      <c r="CS134" s="70"/>
      <c r="CT134" s="70"/>
      <c r="CU134" s="70"/>
      <c r="CW134" s="70"/>
      <c r="CX134" s="70"/>
      <c r="CY134" s="70"/>
      <c r="CZ134" s="70"/>
      <c r="DC134" s="70"/>
      <c r="DD134" s="70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</row>
    <row r="135" spans="1:123" ht="24.95" customHeight="1">
      <c r="A135" s="68"/>
      <c r="D135" s="69"/>
      <c r="E135" s="69"/>
      <c r="F135" s="69"/>
      <c r="G135" s="70"/>
      <c r="H135" s="70"/>
      <c r="I135" s="70"/>
      <c r="J135" s="70"/>
      <c r="N135" s="70"/>
      <c r="O135" s="69"/>
      <c r="S135" s="70"/>
      <c r="T135" s="69"/>
      <c r="V135" s="72" t="str">
        <f t="shared" si="6"/>
        <v/>
      </c>
      <c r="W135" s="72" t="str">
        <f t="shared" si="7"/>
        <v/>
      </c>
      <c r="X135" s="72" t="str">
        <f t="shared" si="8"/>
        <v/>
      </c>
      <c r="AD135" s="70"/>
      <c r="AE135" s="70"/>
      <c r="AF135" s="70"/>
      <c r="AH135" s="70"/>
      <c r="AJ135" s="70"/>
      <c r="AN135" s="70"/>
      <c r="AO135" s="70"/>
      <c r="AP135" s="70"/>
      <c r="AR135" s="70"/>
      <c r="AT135" s="70"/>
      <c r="AX135" s="70"/>
      <c r="AY135" s="70"/>
      <c r="AZ135" s="70"/>
      <c r="BB135" s="70"/>
      <c r="BD135" s="70"/>
      <c r="BE135" s="70"/>
      <c r="BF135" s="70"/>
      <c r="BK135" s="70"/>
      <c r="BM135" s="70"/>
      <c r="BN135" s="70"/>
      <c r="BP135" s="70"/>
      <c r="BQ135" s="70"/>
      <c r="BR135" s="70"/>
      <c r="BT135" s="70"/>
      <c r="BU135" s="70"/>
      <c r="BV135" s="70"/>
      <c r="BW135" s="70"/>
      <c r="BX135" s="70"/>
      <c r="BY135" s="70"/>
      <c r="BZ135" s="70"/>
      <c r="CA135" s="70"/>
      <c r="CB135" s="70"/>
      <c r="CC135" s="70"/>
      <c r="CD135" s="70"/>
      <c r="CE135" s="70"/>
      <c r="CF135" s="70"/>
      <c r="CJ135" s="70"/>
      <c r="CK135" s="70"/>
      <c r="CL135" s="70"/>
      <c r="CM135" s="70"/>
      <c r="CO135" s="70"/>
      <c r="CQ135" s="70"/>
      <c r="CS135" s="70"/>
      <c r="CT135" s="70"/>
      <c r="CU135" s="70"/>
      <c r="CW135" s="70"/>
      <c r="CX135" s="70"/>
      <c r="CY135" s="70"/>
      <c r="CZ135" s="70"/>
      <c r="DC135" s="70"/>
      <c r="DD135" s="70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</row>
    <row r="136" spans="1:123" ht="24.95" customHeight="1">
      <c r="A136" s="68"/>
      <c r="D136" s="69"/>
      <c r="E136" s="69"/>
      <c r="F136" s="69"/>
      <c r="G136" s="70"/>
      <c r="H136" s="70"/>
      <c r="I136" s="70"/>
      <c r="J136" s="70"/>
      <c r="N136" s="70"/>
      <c r="O136" s="69"/>
      <c r="S136" s="70"/>
      <c r="T136" s="69"/>
      <c r="V136" s="72" t="str">
        <f t="shared" si="6"/>
        <v/>
      </c>
      <c r="W136" s="72" t="str">
        <f t="shared" si="7"/>
        <v/>
      </c>
      <c r="X136" s="72" t="str">
        <f t="shared" si="8"/>
        <v/>
      </c>
      <c r="AD136" s="70"/>
      <c r="AE136" s="70"/>
      <c r="AF136" s="70"/>
      <c r="AH136" s="70"/>
      <c r="AJ136" s="70"/>
      <c r="AN136" s="70"/>
      <c r="AO136" s="70"/>
      <c r="AP136" s="70"/>
      <c r="AR136" s="70"/>
      <c r="AT136" s="70"/>
      <c r="AX136" s="70"/>
      <c r="AY136" s="70"/>
      <c r="AZ136" s="70"/>
      <c r="BB136" s="70"/>
      <c r="BD136" s="70"/>
      <c r="BE136" s="70"/>
      <c r="BF136" s="70"/>
      <c r="BK136" s="70"/>
      <c r="BM136" s="70"/>
      <c r="BN136" s="70"/>
      <c r="BP136" s="70"/>
      <c r="BQ136" s="70"/>
      <c r="BR136" s="70"/>
      <c r="BT136" s="70"/>
      <c r="BU136" s="70"/>
      <c r="BV136" s="70"/>
      <c r="BW136" s="70"/>
      <c r="BX136" s="70"/>
      <c r="BY136" s="70"/>
      <c r="BZ136" s="70"/>
      <c r="CA136" s="70"/>
      <c r="CB136" s="70"/>
      <c r="CC136" s="70"/>
      <c r="CD136" s="70"/>
      <c r="CE136" s="70"/>
      <c r="CF136" s="70"/>
      <c r="CJ136" s="70"/>
      <c r="CK136" s="70"/>
      <c r="CL136" s="70"/>
      <c r="CM136" s="70"/>
      <c r="CO136" s="70"/>
      <c r="CQ136" s="70"/>
      <c r="CS136" s="70"/>
      <c r="CT136" s="70"/>
      <c r="CU136" s="70"/>
      <c r="CW136" s="70"/>
      <c r="CX136" s="70"/>
      <c r="CY136" s="70"/>
      <c r="CZ136" s="70"/>
      <c r="DC136" s="70"/>
      <c r="DD136" s="70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</row>
    <row r="137" spans="1:123" ht="24.95" customHeight="1">
      <c r="A137" s="68"/>
      <c r="D137" s="69"/>
      <c r="E137" s="69"/>
      <c r="F137" s="69"/>
      <c r="G137" s="70"/>
      <c r="H137" s="70"/>
      <c r="I137" s="70"/>
      <c r="J137" s="70"/>
      <c r="N137" s="70"/>
      <c r="O137" s="69"/>
      <c r="S137" s="70"/>
      <c r="T137" s="69"/>
      <c r="V137" s="72" t="str">
        <f t="shared" si="6"/>
        <v/>
      </c>
      <c r="W137" s="72" t="str">
        <f t="shared" si="7"/>
        <v/>
      </c>
      <c r="X137" s="72" t="str">
        <f t="shared" si="8"/>
        <v/>
      </c>
      <c r="AD137" s="70"/>
      <c r="AE137" s="70"/>
      <c r="AF137" s="70"/>
      <c r="AH137" s="70"/>
      <c r="AJ137" s="70"/>
      <c r="AN137" s="70"/>
      <c r="AO137" s="70"/>
      <c r="AP137" s="70"/>
      <c r="AR137" s="70"/>
      <c r="AT137" s="70"/>
      <c r="AX137" s="70"/>
      <c r="AY137" s="70"/>
      <c r="AZ137" s="70"/>
      <c r="BB137" s="70"/>
      <c r="BD137" s="70"/>
      <c r="BE137" s="70"/>
      <c r="BF137" s="70"/>
      <c r="BK137" s="70"/>
      <c r="BM137" s="70"/>
      <c r="BN137" s="70"/>
      <c r="BP137" s="70"/>
      <c r="BQ137" s="70"/>
      <c r="BR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J137" s="70"/>
      <c r="CK137" s="70"/>
      <c r="CL137" s="70"/>
      <c r="CM137" s="70"/>
      <c r="CO137" s="70"/>
      <c r="CQ137" s="70"/>
      <c r="CS137" s="70"/>
      <c r="CT137" s="70"/>
      <c r="CU137" s="70"/>
      <c r="CW137" s="70"/>
      <c r="CX137" s="70"/>
      <c r="CY137" s="70"/>
      <c r="CZ137" s="70"/>
      <c r="DC137" s="70"/>
      <c r="DD137" s="70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</row>
    <row r="138" spans="1:123" ht="24.95" customHeight="1">
      <c r="A138" s="68"/>
      <c r="D138" s="69"/>
      <c r="E138" s="69"/>
      <c r="F138" s="69"/>
      <c r="G138" s="70"/>
      <c r="H138" s="70"/>
      <c r="I138" s="70"/>
      <c r="J138" s="70"/>
      <c r="N138" s="70"/>
      <c r="O138" s="69"/>
      <c r="S138" s="70"/>
      <c r="T138" s="69"/>
      <c r="V138" s="72" t="str">
        <f t="shared" si="6"/>
        <v/>
      </c>
      <c r="W138" s="72" t="str">
        <f t="shared" si="7"/>
        <v/>
      </c>
      <c r="X138" s="72" t="str">
        <f t="shared" si="8"/>
        <v/>
      </c>
      <c r="AD138" s="70"/>
      <c r="AE138" s="70"/>
      <c r="AF138" s="70"/>
      <c r="AH138" s="70"/>
      <c r="AJ138" s="70"/>
      <c r="AN138" s="70"/>
      <c r="AO138" s="70"/>
      <c r="AP138" s="70"/>
      <c r="AR138" s="70"/>
      <c r="AT138" s="70"/>
      <c r="AX138" s="70"/>
      <c r="AY138" s="70"/>
      <c r="AZ138" s="70"/>
      <c r="BB138" s="70"/>
      <c r="BD138" s="70"/>
      <c r="BE138" s="70"/>
      <c r="BF138" s="70"/>
      <c r="BK138" s="70"/>
      <c r="BM138" s="70"/>
      <c r="BN138" s="70"/>
      <c r="BP138" s="70"/>
      <c r="BQ138" s="70"/>
      <c r="BR138" s="70"/>
      <c r="BT138" s="70"/>
      <c r="BU138" s="70"/>
      <c r="BV138" s="70"/>
      <c r="BW138" s="70"/>
      <c r="BX138" s="70"/>
      <c r="BY138" s="70"/>
      <c r="BZ138" s="70"/>
      <c r="CA138" s="70"/>
      <c r="CB138" s="70"/>
      <c r="CC138" s="70"/>
      <c r="CD138" s="70"/>
      <c r="CE138" s="70"/>
      <c r="CF138" s="70"/>
      <c r="CJ138" s="70"/>
      <c r="CK138" s="70"/>
      <c r="CL138" s="70"/>
      <c r="CM138" s="70"/>
      <c r="CO138" s="70"/>
      <c r="CQ138" s="70"/>
      <c r="CS138" s="70"/>
      <c r="CT138" s="70"/>
      <c r="CU138" s="70"/>
      <c r="CW138" s="70"/>
      <c r="CX138" s="70"/>
      <c r="CY138" s="70"/>
      <c r="CZ138" s="70"/>
      <c r="DC138" s="70"/>
      <c r="DD138" s="70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</row>
    <row r="139" spans="1:123" ht="24.95" customHeight="1">
      <c r="A139" s="68"/>
      <c r="D139" s="69"/>
      <c r="E139" s="69"/>
      <c r="F139" s="69"/>
      <c r="G139" s="70"/>
      <c r="H139" s="70"/>
      <c r="I139" s="70"/>
      <c r="J139" s="70"/>
      <c r="N139" s="70"/>
      <c r="O139" s="69"/>
      <c r="S139" s="70"/>
      <c r="T139" s="69"/>
      <c r="V139" s="72" t="str">
        <f t="shared" si="6"/>
        <v/>
      </c>
      <c r="W139" s="72" t="str">
        <f t="shared" si="7"/>
        <v/>
      </c>
      <c r="X139" s="72" t="str">
        <f t="shared" si="8"/>
        <v/>
      </c>
      <c r="AD139" s="70"/>
      <c r="AE139" s="70"/>
      <c r="AF139" s="70"/>
      <c r="AH139" s="70"/>
      <c r="AJ139" s="70"/>
      <c r="AN139" s="70"/>
      <c r="AO139" s="70"/>
      <c r="AP139" s="70"/>
      <c r="AR139" s="70"/>
      <c r="AT139" s="70"/>
      <c r="AX139" s="70"/>
      <c r="AY139" s="70"/>
      <c r="AZ139" s="70"/>
      <c r="BB139" s="70"/>
      <c r="BD139" s="70"/>
      <c r="BE139" s="70"/>
      <c r="BF139" s="70"/>
      <c r="BK139" s="70"/>
      <c r="BM139" s="70"/>
      <c r="BN139" s="70"/>
      <c r="BP139" s="70"/>
      <c r="BQ139" s="70"/>
      <c r="BR139" s="70"/>
      <c r="BT139" s="70"/>
      <c r="BU139" s="70"/>
      <c r="BV139" s="70"/>
      <c r="BW139" s="70"/>
      <c r="BX139" s="70"/>
      <c r="BY139" s="70"/>
      <c r="BZ139" s="70"/>
      <c r="CA139" s="70"/>
      <c r="CB139" s="70"/>
      <c r="CC139" s="70"/>
      <c r="CD139" s="70"/>
      <c r="CE139" s="70"/>
      <c r="CF139" s="70"/>
      <c r="CJ139" s="70"/>
      <c r="CK139" s="70"/>
      <c r="CL139" s="70"/>
      <c r="CM139" s="70"/>
      <c r="CO139" s="70"/>
      <c r="CQ139" s="70"/>
      <c r="CS139" s="70"/>
      <c r="CT139" s="70"/>
      <c r="CU139" s="70"/>
      <c r="CW139" s="70"/>
      <c r="CX139" s="70"/>
      <c r="CY139" s="70"/>
      <c r="CZ139" s="70"/>
      <c r="DC139" s="70"/>
      <c r="DD139" s="70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</row>
    <row r="140" spans="1:123" ht="24.95" customHeight="1">
      <c r="A140" s="68"/>
      <c r="D140" s="69"/>
      <c r="E140" s="69"/>
      <c r="F140" s="69"/>
      <c r="G140" s="70"/>
      <c r="H140" s="70"/>
      <c r="I140" s="70"/>
      <c r="J140" s="70"/>
      <c r="N140" s="70"/>
      <c r="O140" s="69"/>
      <c r="S140" s="70"/>
      <c r="T140" s="69"/>
      <c r="V140" s="72" t="str">
        <f t="shared" si="6"/>
        <v/>
      </c>
      <c r="W140" s="72" t="str">
        <f t="shared" si="7"/>
        <v/>
      </c>
      <c r="X140" s="72" t="str">
        <f t="shared" si="8"/>
        <v/>
      </c>
      <c r="AD140" s="70"/>
      <c r="AE140" s="70"/>
      <c r="AF140" s="70"/>
      <c r="AH140" s="70"/>
      <c r="AJ140" s="70"/>
      <c r="AN140" s="70"/>
      <c r="AO140" s="70"/>
      <c r="AP140" s="70"/>
      <c r="AR140" s="70"/>
      <c r="AT140" s="70"/>
      <c r="AX140" s="70"/>
      <c r="AY140" s="70"/>
      <c r="AZ140" s="70"/>
      <c r="BB140" s="70"/>
      <c r="BD140" s="70"/>
      <c r="BE140" s="70"/>
      <c r="BF140" s="70"/>
      <c r="BK140" s="70"/>
      <c r="BM140" s="70"/>
      <c r="BN140" s="70"/>
      <c r="BP140" s="70"/>
      <c r="BQ140" s="70"/>
      <c r="BR140" s="70"/>
      <c r="BT140" s="70"/>
      <c r="BU140" s="70"/>
      <c r="BV140" s="70"/>
      <c r="BW140" s="70"/>
      <c r="BX140" s="70"/>
      <c r="BY140" s="70"/>
      <c r="BZ140" s="70"/>
      <c r="CA140" s="70"/>
      <c r="CB140" s="70"/>
      <c r="CC140" s="70"/>
      <c r="CD140" s="70"/>
      <c r="CE140" s="70"/>
      <c r="CF140" s="70"/>
      <c r="CJ140" s="70"/>
      <c r="CK140" s="70"/>
      <c r="CL140" s="70"/>
      <c r="CM140" s="70"/>
      <c r="CO140" s="70"/>
      <c r="CQ140" s="70"/>
      <c r="CS140" s="70"/>
      <c r="CT140" s="70"/>
      <c r="CU140" s="70"/>
      <c r="CW140" s="70"/>
      <c r="CX140" s="70"/>
      <c r="CY140" s="70"/>
      <c r="CZ140" s="70"/>
      <c r="DC140" s="70"/>
      <c r="DD140" s="70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</row>
    <row r="141" spans="1:123" ht="24.95" customHeight="1">
      <c r="A141" s="68"/>
      <c r="D141" s="69"/>
      <c r="E141" s="69"/>
      <c r="F141" s="69"/>
      <c r="G141" s="70"/>
      <c r="H141" s="70"/>
      <c r="I141" s="70"/>
      <c r="J141" s="70"/>
      <c r="N141" s="70"/>
      <c r="O141" s="69"/>
      <c r="S141" s="70"/>
      <c r="T141" s="69"/>
      <c r="V141" s="72" t="str">
        <f t="shared" si="6"/>
        <v/>
      </c>
      <c r="W141" s="72" t="str">
        <f t="shared" si="7"/>
        <v/>
      </c>
      <c r="X141" s="72" t="str">
        <f t="shared" si="8"/>
        <v/>
      </c>
      <c r="AD141" s="70"/>
      <c r="AE141" s="70"/>
      <c r="AF141" s="70"/>
      <c r="AH141" s="70"/>
      <c r="AJ141" s="70"/>
      <c r="AN141" s="70"/>
      <c r="AO141" s="70"/>
      <c r="AP141" s="70"/>
      <c r="AR141" s="70"/>
      <c r="AT141" s="70"/>
      <c r="AX141" s="70"/>
      <c r="AY141" s="70"/>
      <c r="AZ141" s="70"/>
      <c r="BB141" s="70"/>
      <c r="BD141" s="70"/>
      <c r="BE141" s="70"/>
      <c r="BF141" s="70"/>
      <c r="BK141" s="70"/>
      <c r="BM141" s="70"/>
      <c r="BN141" s="70"/>
      <c r="BP141" s="70"/>
      <c r="BQ141" s="70"/>
      <c r="BR141" s="70"/>
      <c r="BT141" s="70"/>
      <c r="BU141" s="70"/>
      <c r="BV141" s="70"/>
      <c r="BW141" s="70"/>
      <c r="BX141" s="70"/>
      <c r="BY141" s="70"/>
      <c r="BZ141" s="70"/>
      <c r="CA141" s="70"/>
      <c r="CB141" s="70"/>
      <c r="CC141" s="70"/>
      <c r="CD141" s="70"/>
      <c r="CE141" s="70"/>
      <c r="CF141" s="70"/>
      <c r="CJ141" s="70"/>
      <c r="CK141" s="70"/>
      <c r="CL141" s="70"/>
      <c r="CM141" s="70"/>
      <c r="CO141" s="70"/>
      <c r="CQ141" s="70"/>
      <c r="CS141" s="70"/>
      <c r="CT141" s="70"/>
      <c r="CU141" s="70"/>
      <c r="CW141" s="70"/>
      <c r="CX141" s="70"/>
      <c r="CY141" s="70"/>
      <c r="CZ141" s="70"/>
      <c r="DC141" s="70"/>
      <c r="DD141" s="70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</row>
    <row r="142" spans="1:123" ht="24.95" customHeight="1">
      <c r="A142" s="68"/>
      <c r="D142" s="69"/>
      <c r="E142" s="69"/>
      <c r="F142" s="69"/>
      <c r="G142" s="70"/>
      <c r="H142" s="70"/>
      <c r="I142" s="70"/>
      <c r="J142" s="70"/>
      <c r="N142" s="70"/>
      <c r="O142" s="69"/>
      <c r="S142" s="70"/>
      <c r="T142" s="69"/>
      <c r="V142" s="72" t="str">
        <f t="shared" si="6"/>
        <v/>
      </c>
      <c r="W142" s="72" t="str">
        <f t="shared" si="7"/>
        <v/>
      </c>
      <c r="X142" s="72" t="str">
        <f t="shared" si="8"/>
        <v/>
      </c>
      <c r="AD142" s="70"/>
      <c r="AE142" s="70"/>
      <c r="AF142" s="70"/>
      <c r="AH142" s="70"/>
      <c r="AJ142" s="70"/>
      <c r="AN142" s="70"/>
      <c r="AO142" s="70"/>
      <c r="AP142" s="70"/>
      <c r="AR142" s="70"/>
      <c r="AT142" s="70"/>
      <c r="AX142" s="70"/>
      <c r="AY142" s="70"/>
      <c r="AZ142" s="70"/>
      <c r="BB142" s="70"/>
      <c r="BD142" s="70"/>
      <c r="BE142" s="70"/>
      <c r="BF142" s="70"/>
      <c r="BK142" s="70"/>
      <c r="BM142" s="70"/>
      <c r="BN142" s="70"/>
      <c r="BP142" s="70"/>
      <c r="BQ142" s="70"/>
      <c r="BR142" s="70"/>
      <c r="BT142" s="70"/>
      <c r="BU142" s="70"/>
      <c r="BV142" s="70"/>
      <c r="BW142" s="70"/>
      <c r="BX142" s="70"/>
      <c r="BY142" s="70"/>
      <c r="BZ142" s="70"/>
      <c r="CA142" s="70"/>
      <c r="CB142" s="70"/>
      <c r="CC142" s="70"/>
      <c r="CD142" s="70"/>
      <c r="CE142" s="70"/>
      <c r="CF142" s="70"/>
      <c r="CJ142" s="70"/>
      <c r="CK142" s="70"/>
      <c r="CL142" s="70"/>
      <c r="CM142" s="70"/>
      <c r="CO142" s="70"/>
      <c r="CQ142" s="70"/>
      <c r="CS142" s="70"/>
      <c r="CT142" s="70"/>
      <c r="CU142" s="70"/>
      <c r="CW142" s="70"/>
      <c r="CX142" s="70"/>
      <c r="CY142" s="70"/>
      <c r="CZ142" s="70"/>
      <c r="DC142" s="70"/>
      <c r="DD142" s="70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</row>
    <row r="143" spans="1:123" ht="24.95" customHeight="1">
      <c r="A143" s="68"/>
      <c r="D143" s="69"/>
      <c r="E143" s="69"/>
      <c r="F143" s="69"/>
      <c r="G143" s="70"/>
      <c r="H143" s="70"/>
      <c r="I143" s="70"/>
      <c r="J143" s="70"/>
      <c r="N143" s="70"/>
      <c r="O143" s="69"/>
      <c r="S143" s="70"/>
      <c r="T143" s="69"/>
      <c r="V143" s="72" t="str">
        <f t="shared" si="6"/>
        <v/>
      </c>
      <c r="W143" s="72" t="str">
        <f t="shared" si="7"/>
        <v/>
      </c>
      <c r="X143" s="72" t="str">
        <f t="shared" si="8"/>
        <v/>
      </c>
      <c r="AD143" s="70"/>
      <c r="AE143" s="70"/>
      <c r="AF143" s="70"/>
      <c r="AH143" s="70"/>
      <c r="AJ143" s="70"/>
      <c r="AN143" s="70"/>
      <c r="AO143" s="70"/>
      <c r="AP143" s="70"/>
      <c r="AR143" s="70"/>
      <c r="AT143" s="70"/>
      <c r="AX143" s="70"/>
      <c r="AY143" s="70"/>
      <c r="AZ143" s="70"/>
      <c r="BB143" s="70"/>
      <c r="BD143" s="70"/>
      <c r="BE143" s="70"/>
      <c r="BF143" s="70"/>
      <c r="BK143" s="70"/>
      <c r="BM143" s="70"/>
      <c r="BN143" s="70"/>
      <c r="BP143" s="70"/>
      <c r="BQ143" s="70"/>
      <c r="BR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J143" s="70"/>
      <c r="CK143" s="70"/>
      <c r="CL143" s="70"/>
      <c r="CM143" s="70"/>
      <c r="CO143" s="70"/>
      <c r="CQ143" s="70"/>
      <c r="CS143" s="70"/>
      <c r="CT143" s="70"/>
      <c r="CU143" s="70"/>
      <c r="CW143" s="70"/>
      <c r="CX143" s="70"/>
      <c r="CY143" s="70"/>
      <c r="CZ143" s="70"/>
      <c r="DC143" s="70"/>
      <c r="DD143" s="70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</row>
    <row r="144" spans="1:123" ht="24.95" customHeight="1">
      <c r="A144" s="68"/>
      <c r="D144" s="69"/>
      <c r="E144" s="69"/>
      <c r="F144" s="69"/>
      <c r="G144" s="70"/>
      <c r="H144" s="70"/>
      <c r="I144" s="70"/>
      <c r="J144" s="70"/>
      <c r="N144" s="70"/>
      <c r="O144" s="69"/>
      <c r="S144" s="70"/>
      <c r="T144" s="69"/>
      <c r="V144" s="72" t="str">
        <f t="shared" si="6"/>
        <v/>
      </c>
      <c r="W144" s="72" t="str">
        <f t="shared" si="7"/>
        <v/>
      </c>
      <c r="X144" s="72" t="str">
        <f t="shared" si="8"/>
        <v/>
      </c>
      <c r="AD144" s="70"/>
      <c r="AE144" s="70"/>
      <c r="AF144" s="70"/>
      <c r="AH144" s="70"/>
      <c r="AJ144" s="70"/>
      <c r="AN144" s="70"/>
      <c r="AO144" s="70"/>
      <c r="AP144" s="70"/>
      <c r="AR144" s="70"/>
      <c r="AT144" s="70"/>
      <c r="AX144" s="70"/>
      <c r="AY144" s="70"/>
      <c r="AZ144" s="70"/>
      <c r="BB144" s="70"/>
      <c r="BD144" s="70"/>
      <c r="BE144" s="70"/>
      <c r="BF144" s="70"/>
      <c r="BK144" s="70"/>
      <c r="BM144" s="70"/>
      <c r="BN144" s="70"/>
      <c r="BP144" s="70"/>
      <c r="BQ144" s="70"/>
      <c r="BR144" s="70"/>
      <c r="BT144" s="70"/>
      <c r="BU144" s="70"/>
      <c r="BV144" s="70"/>
      <c r="BW144" s="70"/>
      <c r="BX144" s="70"/>
      <c r="BY144" s="70"/>
      <c r="BZ144" s="70"/>
      <c r="CA144" s="70"/>
      <c r="CB144" s="70"/>
      <c r="CC144" s="70"/>
      <c r="CD144" s="70"/>
      <c r="CE144" s="70"/>
      <c r="CF144" s="70"/>
      <c r="CJ144" s="70"/>
      <c r="CK144" s="70"/>
      <c r="CL144" s="70"/>
      <c r="CM144" s="70"/>
      <c r="CO144" s="70"/>
      <c r="CQ144" s="70"/>
      <c r="CS144" s="70"/>
      <c r="CT144" s="70"/>
      <c r="CU144" s="70"/>
      <c r="CW144" s="70"/>
      <c r="CX144" s="70"/>
      <c r="CY144" s="70"/>
      <c r="CZ144" s="70"/>
      <c r="DC144" s="70"/>
      <c r="DD144" s="70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</row>
    <row r="145" spans="1:123" ht="24.95" customHeight="1">
      <c r="A145" s="68"/>
      <c r="D145" s="69"/>
      <c r="E145" s="69"/>
      <c r="F145" s="69"/>
      <c r="G145" s="70"/>
      <c r="H145" s="70"/>
      <c r="I145" s="70"/>
      <c r="J145" s="70"/>
      <c r="N145" s="70"/>
      <c r="O145" s="69"/>
      <c r="S145" s="70"/>
      <c r="T145" s="69"/>
      <c r="V145" s="72" t="str">
        <f t="shared" si="6"/>
        <v/>
      </c>
      <c r="W145" s="72" t="str">
        <f t="shared" si="7"/>
        <v/>
      </c>
      <c r="X145" s="72" t="str">
        <f t="shared" si="8"/>
        <v/>
      </c>
      <c r="AD145" s="70"/>
      <c r="AE145" s="70"/>
      <c r="AF145" s="70"/>
      <c r="AH145" s="70"/>
      <c r="AJ145" s="70"/>
      <c r="AN145" s="70"/>
      <c r="AO145" s="70"/>
      <c r="AP145" s="70"/>
      <c r="AR145" s="70"/>
      <c r="AT145" s="70"/>
      <c r="AX145" s="70"/>
      <c r="AY145" s="70"/>
      <c r="AZ145" s="70"/>
      <c r="BB145" s="70"/>
      <c r="BD145" s="70"/>
      <c r="BE145" s="70"/>
      <c r="BF145" s="70"/>
      <c r="BK145" s="70"/>
      <c r="BM145" s="70"/>
      <c r="BN145" s="70"/>
      <c r="BP145" s="70"/>
      <c r="BQ145" s="70"/>
      <c r="BR145" s="70"/>
      <c r="BT145" s="70"/>
      <c r="BU145" s="70"/>
      <c r="BV145" s="70"/>
      <c r="BW145" s="70"/>
      <c r="BX145" s="70"/>
      <c r="BY145" s="70"/>
      <c r="BZ145" s="70"/>
      <c r="CA145" s="70"/>
      <c r="CB145" s="70"/>
      <c r="CC145" s="70"/>
      <c r="CD145" s="70"/>
      <c r="CE145" s="70"/>
      <c r="CF145" s="70"/>
      <c r="CJ145" s="70"/>
      <c r="CK145" s="70"/>
      <c r="CL145" s="70"/>
      <c r="CM145" s="70"/>
      <c r="CO145" s="70"/>
      <c r="CQ145" s="70"/>
      <c r="CS145" s="70"/>
      <c r="CT145" s="70"/>
      <c r="CU145" s="70"/>
      <c r="CW145" s="70"/>
      <c r="CX145" s="70"/>
      <c r="CY145" s="70"/>
      <c r="CZ145" s="70"/>
      <c r="DC145" s="70"/>
      <c r="DD145" s="70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</row>
    <row r="146" spans="1:123" ht="24.95" customHeight="1">
      <c r="A146" s="68"/>
      <c r="D146" s="69"/>
      <c r="E146" s="69"/>
      <c r="F146" s="69"/>
      <c r="G146" s="70"/>
      <c r="H146" s="70"/>
      <c r="I146" s="70"/>
      <c r="J146" s="70"/>
      <c r="N146" s="70"/>
      <c r="O146" s="69"/>
      <c r="S146" s="70"/>
      <c r="T146" s="69"/>
      <c r="V146" s="72" t="str">
        <f t="shared" si="6"/>
        <v/>
      </c>
      <c r="W146" s="72" t="str">
        <f t="shared" si="7"/>
        <v/>
      </c>
      <c r="X146" s="72" t="str">
        <f t="shared" si="8"/>
        <v/>
      </c>
      <c r="AD146" s="70"/>
      <c r="AE146" s="70"/>
      <c r="AF146" s="70"/>
      <c r="AH146" s="70"/>
      <c r="AJ146" s="70"/>
      <c r="AN146" s="70"/>
      <c r="AO146" s="70"/>
      <c r="AP146" s="70"/>
      <c r="AR146" s="70"/>
      <c r="AT146" s="70"/>
      <c r="AX146" s="70"/>
      <c r="AY146" s="70"/>
      <c r="AZ146" s="70"/>
      <c r="BB146" s="70"/>
      <c r="BD146" s="70"/>
      <c r="BE146" s="70"/>
      <c r="BF146" s="70"/>
      <c r="BK146" s="70"/>
      <c r="BM146" s="70"/>
      <c r="BN146" s="70"/>
      <c r="BP146" s="70"/>
      <c r="BQ146" s="70"/>
      <c r="BR146" s="70"/>
      <c r="BT146" s="70"/>
      <c r="BU146" s="70"/>
      <c r="BV146" s="70"/>
      <c r="BW146" s="70"/>
      <c r="BX146" s="70"/>
      <c r="BY146" s="70"/>
      <c r="BZ146" s="70"/>
      <c r="CA146" s="70"/>
      <c r="CB146" s="70"/>
      <c r="CC146" s="70"/>
      <c r="CD146" s="70"/>
      <c r="CE146" s="70"/>
      <c r="CF146" s="70"/>
      <c r="CJ146" s="70"/>
      <c r="CK146" s="70"/>
      <c r="CL146" s="70"/>
      <c r="CM146" s="70"/>
      <c r="CO146" s="70"/>
      <c r="CQ146" s="70"/>
      <c r="CS146" s="70"/>
      <c r="CT146" s="70"/>
      <c r="CU146" s="70"/>
      <c r="CW146" s="70"/>
      <c r="CX146" s="70"/>
      <c r="CY146" s="70"/>
      <c r="CZ146" s="70"/>
      <c r="DC146" s="70"/>
      <c r="DD146" s="70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</row>
    <row r="147" spans="1:123" ht="24.95" customHeight="1">
      <c r="A147" s="68"/>
      <c r="D147" s="69"/>
      <c r="E147" s="69"/>
      <c r="F147" s="69"/>
      <c r="G147" s="70"/>
      <c r="H147" s="70"/>
      <c r="I147" s="70"/>
      <c r="J147" s="70"/>
      <c r="N147" s="70"/>
      <c r="O147" s="69"/>
      <c r="S147" s="70"/>
      <c r="T147" s="69"/>
      <c r="V147" s="72" t="str">
        <f t="shared" si="6"/>
        <v/>
      </c>
      <c r="W147" s="72" t="str">
        <f t="shared" si="7"/>
        <v/>
      </c>
      <c r="X147" s="72" t="str">
        <f t="shared" si="8"/>
        <v/>
      </c>
      <c r="AD147" s="70"/>
      <c r="AE147" s="70"/>
      <c r="AF147" s="70"/>
      <c r="AH147" s="70"/>
      <c r="AJ147" s="70"/>
      <c r="AN147" s="70"/>
      <c r="AO147" s="70"/>
      <c r="AP147" s="70"/>
      <c r="AR147" s="70"/>
      <c r="AT147" s="70"/>
      <c r="AX147" s="70"/>
      <c r="AY147" s="70"/>
      <c r="AZ147" s="70"/>
      <c r="BB147" s="70"/>
      <c r="BD147" s="70"/>
      <c r="BE147" s="70"/>
      <c r="BF147" s="70"/>
      <c r="BK147" s="70"/>
      <c r="BM147" s="70"/>
      <c r="BN147" s="70"/>
      <c r="BP147" s="70"/>
      <c r="BQ147" s="70"/>
      <c r="BR147" s="70"/>
      <c r="BT147" s="70"/>
      <c r="BU147" s="70"/>
      <c r="BV147" s="70"/>
      <c r="BW147" s="70"/>
      <c r="BX147" s="70"/>
      <c r="BY147" s="70"/>
      <c r="BZ147" s="70"/>
      <c r="CA147" s="70"/>
      <c r="CB147" s="70"/>
      <c r="CC147" s="70"/>
      <c r="CD147" s="70"/>
      <c r="CE147" s="70"/>
      <c r="CF147" s="70"/>
      <c r="CJ147" s="70"/>
      <c r="CK147" s="70"/>
      <c r="CL147" s="70"/>
      <c r="CM147" s="70"/>
      <c r="CO147" s="70"/>
      <c r="CQ147" s="70"/>
      <c r="CS147" s="70"/>
      <c r="CT147" s="70"/>
      <c r="CU147" s="70"/>
      <c r="CW147" s="70"/>
      <c r="CX147" s="70"/>
      <c r="CY147" s="70"/>
      <c r="CZ147" s="70"/>
      <c r="DC147" s="70"/>
      <c r="DD147" s="70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</row>
    <row r="148" spans="1:123" ht="24.95" customHeight="1">
      <c r="A148" s="68"/>
      <c r="D148" s="69"/>
      <c r="E148" s="69"/>
      <c r="F148" s="69"/>
      <c r="G148" s="70"/>
      <c r="H148" s="70"/>
      <c r="I148" s="70"/>
      <c r="J148" s="70"/>
      <c r="N148" s="70"/>
      <c r="O148" s="69"/>
      <c r="S148" s="70"/>
      <c r="T148" s="69"/>
      <c r="V148" s="72" t="str">
        <f t="shared" si="6"/>
        <v/>
      </c>
      <c r="W148" s="72" t="str">
        <f t="shared" si="7"/>
        <v/>
      </c>
      <c r="X148" s="72" t="str">
        <f t="shared" si="8"/>
        <v/>
      </c>
      <c r="AD148" s="70"/>
      <c r="AE148" s="70"/>
      <c r="AF148" s="70"/>
      <c r="AH148" s="70"/>
      <c r="AJ148" s="70"/>
      <c r="AN148" s="70"/>
      <c r="AO148" s="70"/>
      <c r="AP148" s="70"/>
      <c r="AR148" s="70"/>
      <c r="AT148" s="70"/>
      <c r="AX148" s="70"/>
      <c r="AY148" s="70"/>
      <c r="AZ148" s="70"/>
      <c r="BB148" s="70"/>
      <c r="BD148" s="70"/>
      <c r="BE148" s="70"/>
      <c r="BF148" s="70"/>
      <c r="BK148" s="70"/>
      <c r="BM148" s="70"/>
      <c r="BN148" s="70"/>
      <c r="BP148" s="70"/>
      <c r="BQ148" s="70"/>
      <c r="BR148" s="70"/>
      <c r="BT148" s="70"/>
      <c r="BU148" s="70"/>
      <c r="BV148" s="70"/>
      <c r="BW148" s="70"/>
      <c r="BX148" s="70"/>
      <c r="BY148" s="70"/>
      <c r="BZ148" s="70"/>
      <c r="CA148" s="70"/>
      <c r="CB148" s="70"/>
      <c r="CC148" s="70"/>
      <c r="CD148" s="70"/>
      <c r="CE148" s="70"/>
      <c r="CF148" s="70"/>
      <c r="CJ148" s="70"/>
      <c r="CK148" s="70"/>
      <c r="CL148" s="70"/>
      <c r="CM148" s="70"/>
      <c r="CO148" s="70"/>
      <c r="CQ148" s="70"/>
      <c r="CS148" s="70"/>
      <c r="CT148" s="70"/>
      <c r="CU148" s="70"/>
      <c r="CW148" s="70"/>
      <c r="CX148" s="70"/>
      <c r="CY148" s="70"/>
      <c r="CZ148" s="70"/>
      <c r="DC148" s="70"/>
      <c r="DD148" s="70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</row>
    <row r="149" spans="1:123" ht="24.95" customHeight="1">
      <c r="A149" s="68"/>
      <c r="D149" s="69"/>
      <c r="E149" s="69"/>
      <c r="F149" s="69"/>
      <c r="G149" s="70"/>
      <c r="H149" s="70"/>
      <c r="I149" s="70"/>
      <c r="J149" s="70"/>
      <c r="N149" s="70"/>
      <c r="O149" s="69"/>
      <c r="S149" s="70"/>
      <c r="T149" s="69"/>
      <c r="V149" s="72" t="str">
        <f t="shared" si="6"/>
        <v/>
      </c>
      <c r="W149" s="72" t="str">
        <f t="shared" si="7"/>
        <v/>
      </c>
      <c r="X149" s="72" t="str">
        <f t="shared" si="8"/>
        <v/>
      </c>
      <c r="AD149" s="70"/>
      <c r="AE149" s="70"/>
      <c r="AF149" s="70"/>
      <c r="AH149" s="70"/>
      <c r="AJ149" s="70"/>
      <c r="AN149" s="70"/>
      <c r="AO149" s="70"/>
      <c r="AP149" s="70"/>
      <c r="AR149" s="70"/>
      <c r="AT149" s="70"/>
      <c r="AX149" s="70"/>
      <c r="AY149" s="70"/>
      <c r="AZ149" s="70"/>
      <c r="BB149" s="70"/>
      <c r="BD149" s="70"/>
      <c r="BE149" s="70"/>
      <c r="BF149" s="70"/>
      <c r="BK149" s="70"/>
      <c r="BM149" s="70"/>
      <c r="BN149" s="70"/>
      <c r="BP149" s="70"/>
      <c r="BQ149" s="70"/>
      <c r="BR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J149" s="70"/>
      <c r="CK149" s="70"/>
      <c r="CL149" s="70"/>
      <c r="CM149" s="70"/>
      <c r="CO149" s="70"/>
      <c r="CQ149" s="70"/>
      <c r="CS149" s="70"/>
      <c r="CT149" s="70"/>
      <c r="CU149" s="70"/>
      <c r="CW149" s="70"/>
      <c r="CX149" s="70"/>
      <c r="CY149" s="70"/>
      <c r="CZ149" s="70"/>
      <c r="DC149" s="70"/>
      <c r="DD149" s="70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</row>
    <row r="150" spans="1:123" ht="24.95" customHeight="1">
      <c r="A150" s="68"/>
      <c r="D150" s="69"/>
      <c r="E150" s="69"/>
      <c r="F150" s="69"/>
      <c r="G150" s="70"/>
      <c r="H150" s="70"/>
      <c r="I150" s="70"/>
      <c r="J150" s="70"/>
      <c r="N150" s="70"/>
      <c r="O150" s="69"/>
      <c r="S150" s="70"/>
      <c r="T150" s="69"/>
      <c r="V150" s="72" t="str">
        <f t="shared" si="6"/>
        <v/>
      </c>
      <c r="W150" s="72" t="str">
        <f t="shared" si="7"/>
        <v/>
      </c>
      <c r="X150" s="72" t="str">
        <f t="shared" si="8"/>
        <v/>
      </c>
      <c r="AD150" s="70"/>
      <c r="AE150" s="70"/>
      <c r="AF150" s="70"/>
      <c r="AH150" s="70"/>
      <c r="AJ150" s="70"/>
      <c r="AN150" s="70"/>
      <c r="AO150" s="70"/>
      <c r="AP150" s="70"/>
      <c r="AR150" s="70"/>
      <c r="AT150" s="70"/>
      <c r="AX150" s="70"/>
      <c r="AY150" s="70"/>
      <c r="AZ150" s="70"/>
      <c r="BB150" s="70"/>
      <c r="BD150" s="70"/>
      <c r="BE150" s="70"/>
      <c r="BF150" s="70"/>
      <c r="BK150" s="70"/>
      <c r="BM150" s="70"/>
      <c r="BN150" s="70"/>
      <c r="BP150" s="70"/>
      <c r="BQ150" s="70"/>
      <c r="BR150" s="70"/>
      <c r="BT150" s="70"/>
      <c r="BU150" s="70"/>
      <c r="BV150" s="70"/>
      <c r="BW150" s="70"/>
      <c r="BX150" s="70"/>
      <c r="BY150" s="70"/>
      <c r="BZ150" s="70"/>
      <c r="CA150" s="70"/>
      <c r="CB150" s="70"/>
      <c r="CC150" s="70"/>
      <c r="CD150" s="70"/>
      <c r="CE150" s="70"/>
      <c r="CF150" s="70"/>
      <c r="CJ150" s="70"/>
      <c r="CK150" s="70"/>
      <c r="CL150" s="70"/>
      <c r="CM150" s="70"/>
      <c r="CO150" s="70"/>
      <c r="CQ150" s="70"/>
      <c r="CS150" s="70"/>
      <c r="CT150" s="70"/>
      <c r="CU150" s="70"/>
      <c r="CW150" s="70"/>
      <c r="CX150" s="70"/>
      <c r="CY150" s="70"/>
      <c r="CZ150" s="70"/>
      <c r="DC150" s="70"/>
      <c r="DD150" s="70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</row>
    <row r="151" spans="1:123" ht="24.95" customHeight="1">
      <c r="A151" s="68"/>
      <c r="D151" s="69"/>
      <c r="E151" s="69"/>
      <c r="F151" s="69"/>
      <c r="G151" s="70"/>
      <c r="H151" s="70"/>
      <c r="I151" s="70"/>
      <c r="J151" s="70"/>
      <c r="N151" s="70"/>
      <c r="O151" s="69"/>
      <c r="S151" s="70"/>
      <c r="T151" s="69"/>
      <c r="V151" s="72" t="str">
        <f t="shared" si="6"/>
        <v/>
      </c>
      <c r="W151" s="72" t="str">
        <f t="shared" si="7"/>
        <v/>
      </c>
      <c r="X151" s="72" t="str">
        <f t="shared" si="8"/>
        <v/>
      </c>
      <c r="AD151" s="70"/>
      <c r="AE151" s="70"/>
      <c r="AF151" s="70"/>
      <c r="AH151" s="70"/>
      <c r="AJ151" s="70"/>
      <c r="AN151" s="70"/>
      <c r="AO151" s="70"/>
      <c r="AP151" s="70"/>
      <c r="AR151" s="70"/>
      <c r="AT151" s="70"/>
      <c r="AX151" s="70"/>
      <c r="AY151" s="70"/>
      <c r="AZ151" s="70"/>
      <c r="BB151" s="70"/>
      <c r="BD151" s="70"/>
      <c r="BE151" s="70"/>
      <c r="BF151" s="70"/>
      <c r="BK151" s="70"/>
      <c r="BM151" s="70"/>
      <c r="BN151" s="70"/>
      <c r="BP151" s="70"/>
      <c r="BQ151" s="70"/>
      <c r="BR151" s="70"/>
      <c r="BT151" s="70"/>
      <c r="BU151" s="70"/>
      <c r="BV151" s="70"/>
      <c r="BW151" s="70"/>
      <c r="BX151" s="70"/>
      <c r="BY151" s="70"/>
      <c r="BZ151" s="70"/>
      <c r="CA151" s="70"/>
      <c r="CB151" s="70"/>
      <c r="CC151" s="70"/>
      <c r="CD151" s="70"/>
      <c r="CE151" s="70"/>
      <c r="CF151" s="70"/>
      <c r="CJ151" s="70"/>
      <c r="CK151" s="70"/>
      <c r="CL151" s="70"/>
      <c r="CM151" s="70"/>
      <c r="CO151" s="70"/>
      <c r="CQ151" s="70"/>
      <c r="CS151" s="70"/>
      <c r="CT151" s="70"/>
      <c r="CU151" s="70"/>
      <c r="CW151" s="70"/>
      <c r="CX151" s="70"/>
      <c r="CY151" s="70"/>
      <c r="CZ151" s="70"/>
      <c r="DC151" s="70"/>
      <c r="DD151" s="70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</row>
    <row r="152" spans="1:123" ht="24.95" customHeight="1">
      <c r="A152" s="68"/>
      <c r="D152" s="69"/>
      <c r="E152" s="69"/>
      <c r="F152" s="69"/>
      <c r="G152" s="70"/>
      <c r="H152" s="70"/>
      <c r="I152" s="70"/>
      <c r="J152" s="70"/>
      <c r="N152" s="70"/>
      <c r="O152" s="69"/>
      <c r="S152" s="70"/>
      <c r="T152" s="69"/>
      <c r="V152" s="72" t="str">
        <f t="shared" si="6"/>
        <v/>
      </c>
      <c r="W152" s="72" t="str">
        <f t="shared" si="7"/>
        <v/>
      </c>
      <c r="X152" s="72" t="str">
        <f t="shared" si="8"/>
        <v/>
      </c>
      <c r="AD152" s="70"/>
      <c r="AE152" s="70"/>
      <c r="AF152" s="70"/>
      <c r="AH152" s="70"/>
      <c r="AJ152" s="70"/>
      <c r="AN152" s="70"/>
      <c r="AO152" s="70"/>
      <c r="AP152" s="70"/>
      <c r="AR152" s="70"/>
      <c r="AT152" s="70"/>
      <c r="AX152" s="70"/>
      <c r="AY152" s="70"/>
      <c r="AZ152" s="70"/>
      <c r="BB152" s="70"/>
      <c r="BD152" s="70"/>
      <c r="BE152" s="70"/>
      <c r="BF152" s="70"/>
      <c r="BK152" s="70"/>
      <c r="BM152" s="70"/>
      <c r="BN152" s="70"/>
      <c r="BP152" s="70"/>
      <c r="BQ152" s="70"/>
      <c r="BR152" s="70"/>
      <c r="BT152" s="70"/>
      <c r="BU152" s="70"/>
      <c r="BV152" s="70"/>
      <c r="BW152" s="70"/>
      <c r="BX152" s="70"/>
      <c r="BY152" s="70"/>
      <c r="BZ152" s="70"/>
      <c r="CA152" s="70"/>
      <c r="CB152" s="70"/>
      <c r="CC152" s="70"/>
      <c r="CD152" s="70"/>
      <c r="CE152" s="70"/>
      <c r="CF152" s="70"/>
      <c r="CJ152" s="70"/>
      <c r="CK152" s="70"/>
      <c r="CL152" s="70"/>
      <c r="CM152" s="70"/>
      <c r="CO152" s="70"/>
      <c r="CQ152" s="70"/>
      <c r="CS152" s="70"/>
      <c r="CT152" s="70"/>
      <c r="CU152" s="70"/>
      <c r="CW152" s="70"/>
      <c r="CX152" s="70"/>
      <c r="CY152" s="70"/>
      <c r="CZ152" s="70"/>
      <c r="DC152" s="70"/>
      <c r="DD152" s="70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</row>
    <row r="153" spans="1:123" ht="24.95" customHeight="1">
      <c r="A153" s="68"/>
      <c r="D153" s="69"/>
      <c r="E153" s="69"/>
      <c r="F153" s="69"/>
      <c r="G153" s="70"/>
      <c r="H153" s="70"/>
      <c r="I153" s="70"/>
      <c r="J153" s="70"/>
      <c r="N153" s="70"/>
      <c r="O153" s="69"/>
      <c r="S153" s="70"/>
      <c r="T153" s="69"/>
      <c r="V153" s="72" t="str">
        <f t="shared" si="6"/>
        <v/>
      </c>
      <c r="W153" s="72" t="str">
        <f t="shared" si="7"/>
        <v/>
      </c>
      <c r="X153" s="72" t="str">
        <f t="shared" si="8"/>
        <v/>
      </c>
      <c r="AD153" s="70"/>
      <c r="AE153" s="70"/>
      <c r="AF153" s="70"/>
      <c r="AH153" s="70"/>
      <c r="AJ153" s="70"/>
      <c r="AN153" s="70"/>
      <c r="AO153" s="70"/>
      <c r="AP153" s="70"/>
      <c r="AR153" s="70"/>
      <c r="AT153" s="70"/>
      <c r="AX153" s="70"/>
      <c r="AY153" s="70"/>
      <c r="AZ153" s="70"/>
      <c r="BB153" s="70"/>
      <c r="BD153" s="70"/>
      <c r="BE153" s="70"/>
      <c r="BF153" s="70"/>
      <c r="BK153" s="70"/>
      <c r="BM153" s="70"/>
      <c r="BN153" s="70"/>
      <c r="BP153" s="70"/>
      <c r="BQ153" s="70"/>
      <c r="BR153" s="70"/>
      <c r="BT153" s="70"/>
      <c r="BU153" s="70"/>
      <c r="BV153" s="70"/>
      <c r="BW153" s="70"/>
      <c r="BX153" s="70"/>
      <c r="BY153" s="70"/>
      <c r="BZ153" s="70"/>
      <c r="CA153" s="70"/>
      <c r="CB153" s="70"/>
      <c r="CC153" s="70"/>
      <c r="CD153" s="70"/>
      <c r="CE153" s="70"/>
      <c r="CF153" s="70"/>
      <c r="CJ153" s="70"/>
      <c r="CK153" s="70"/>
      <c r="CL153" s="70"/>
      <c r="CM153" s="70"/>
      <c r="CO153" s="70"/>
      <c r="CQ153" s="70"/>
      <c r="CS153" s="70"/>
      <c r="CT153" s="70"/>
      <c r="CU153" s="70"/>
      <c r="CW153" s="70"/>
      <c r="CX153" s="70"/>
      <c r="CY153" s="70"/>
      <c r="CZ153" s="70"/>
      <c r="DC153" s="70"/>
      <c r="DD153" s="70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</row>
    <row r="154" spans="1:123" ht="24.95" customHeight="1">
      <c r="A154" s="68"/>
      <c r="D154" s="69"/>
      <c r="E154" s="69"/>
      <c r="F154" s="69"/>
      <c r="G154" s="70"/>
      <c r="H154" s="70"/>
      <c r="I154" s="70"/>
      <c r="J154" s="70"/>
      <c r="N154" s="70"/>
      <c r="O154" s="69"/>
      <c r="S154" s="70"/>
      <c r="T154" s="69"/>
      <c r="V154" s="72" t="str">
        <f t="shared" si="6"/>
        <v/>
      </c>
      <c r="W154" s="72" t="str">
        <f t="shared" si="7"/>
        <v/>
      </c>
      <c r="X154" s="72" t="str">
        <f t="shared" si="8"/>
        <v/>
      </c>
      <c r="AD154" s="70"/>
      <c r="AE154" s="70"/>
      <c r="AF154" s="70"/>
      <c r="AH154" s="70"/>
      <c r="AJ154" s="70"/>
      <c r="AN154" s="70"/>
      <c r="AO154" s="70"/>
      <c r="AP154" s="70"/>
      <c r="AR154" s="70"/>
      <c r="AT154" s="70"/>
      <c r="AX154" s="70"/>
      <c r="AY154" s="70"/>
      <c r="AZ154" s="70"/>
      <c r="BB154" s="70"/>
      <c r="BD154" s="70"/>
      <c r="BE154" s="70"/>
      <c r="BF154" s="70"/>
      <c r="BK154" s="70"/>
      <c r="BM154" s="70"/>
      <c r="BN154" s="70"/>
      <c r="BP154" s="70"/>
      <c r="BQ154" s="70"/>
      <c r="BR154" s="70"/>
      <c r="BT154" s="70"/>
      <c r="BU154" s="70"/>
      <c r="BV154" s="70"/>
      <c r="BW154" s="70"/>
      <c r="BX154" s="70"/>
      <c r="BY154" s="70"/>
      <c r="BZ154" s="70"/>
      <c r="CA154" s="70"/>
      <c r="CB154" s="70"/>
      <c r="CC154" s="70"/>
      <c r="CD154" s="70"/>
      <c r="CE154" s="70"/>
      <c r="CF154" s="70"/>
      <c r="CJ154" s="70"/>
      <c r="CK154" s="70"/>
      <c r="CL154" s="70"/>
      <c r="CM154" s="70"/>
      <c r="CO154" s="70"/>
      <c r="CQ154" s="70"/>
      <c r="CS154" s="70"/>
      <c r="CT154" s="70"/>
      <c r="CU154" s="70"/>
      <c r="CW154" s="70"/>
      <c r="CX154" s="70"/>
      <c r="CY154" s="70"/>
      <c r="CZ154" s="70"/>
      <c r="DC154" s="70"/>
      <c r="DD154" s="70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</row>
    <row r="155" spans="1:123" ht="24.95" customHeight="1">
      <c r="A155" s="68"/>
      <c r="D155" s="69"/>
      <c r="E155" s="69"/>
      <c r="F155" s="69"/>
      <c r="G155" s="70"/>
      <c r="H155" s="70"/>
      <c r="I155" s="70"/>
      <c r="J155" s="70"/>
      <c r="N155" s="70"/>
      <c r="O155" s="69"/>
      <c r="S155" s="70"/>
      <c r="T155" s="69"/>
      <c r="V155" s="72" t="str">
        <f t="shared" si="6"/>
        <v/>
      </c>
      <c r="W155" s="72" t="str">
        <f t="shared" si="7"/>
        <v/>
      </c>
      <c r="X155" s="72" t="str">
        <f t="shared" si="8"/>
        <v/>
      </c>
      <c r="AD155" s="70"/>
      <c r="AE155" s="70"/>
      <c r="AF155" s="70"/>
      <c r="AH155" s="70"/>
      <c r="AJ155" s="70"/>
      <c r="AN155" s="70"/>
      <c r="AO155" s="70"/>
      <c r="AP155" s="70"/>
      <c r="AR155" s="70"/>
      <c r="AT155" s="70"/>
      <c r="AX155" s="70"/>
      <c r="AY155" s="70"/>
      <c r="AZ155" s="70"/>
      <c r="BB155" s="70"/>
      <c r="BD155" s="70"/>
      <c r="BE155" s="70"/>
      <c r="BF155" s="70"/>
      <c r="BK155" s="70"/>
      <c r="BM155" s="70"/>
      <c r="BN155" s="70"/>
      <c r="BP155" s="70"/>
      <c r="BQ155" s="70"/>
      <c r="BR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J155" s="70"/>
      <c r="CK155" s="70"/>
      <c r="CL155" s="70"/>
      <c r="CM155" s="70"/>
      <c r="CO155" s="70"/>
      <c r="CQ155" s="70"/>
      <c r="CS155" s="70"/>
      <c r="CT155" s="70"/>
      <c r="CU155" s="70"/>
      <c r="CW155" s="70"/>
      <c r="CX155" s="70"/>
      <c r="CY155" s="70"/>
      <c r="CZ155" s="70"/>
      <c r="DC155" s="70"/>
      <c r="DD155" s="70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</row>
    <row r="156" spans="1:123" ht="24.95" customHeight="1">
      <c r="A156" s="68"/>
      <c r="D156" s="69"/>
      <c r="E156" s="69"/>
      <c r="F156" s="69"/>
      <c r="G156" s="70"/>
      <c r="H156" s="70"/>
      <c r="I156" s="70"/>
      <c r="J156" s="70"/>
      <c r="N156" s="70"/>
      <c r="O156" s="69"/>
      <c r="S156" s="70"/>
      <c r="T156" s="69"/>
      <c r="V156" s="72" t="str">
        <f t="shared" si="6"/>
        <v/>
      </c>
      <c r="W156" s="72" t="str">
        <f t="shared" si="7"/>
        <v/>
      </c>
      <c r="X156" s="72" t="str">
        <f t="shared" si="8"/>
        <v/>
      </c>
      <c r="AD156" s="70"/>
      <c r="AE156" s="70"/>
      <c r="AF156" s="70"/>
      <c r="AH156" s="70"/>
      <c r="AJ156" s="70"/>
      <c r="AN156" s="70"/>
      <c r="AO156" s="70"/>
      <c r="AP156" s="70"/>
      <c r="AR156" s="70"/>
      <c r="AT156" s="70"/>
      <c r="AX156" s="70"/>
      <c r="AY156" s="70"/>
      <c r="AZ156" s="70"/>
      <c r="BB156" s="70"/>
      <c r="BD156" s="70"/>
      <c r="BE156" s="70"/>
      <c r="BF156" s="70"/>
      <c r="BK156" s="70"/>
      <c r="BM156" s="70"/>
      <c r="BN156" s="70"/>
      <c r="BP156" s="70"/>
      <c r="BQ156" s="70"/>
      <c r="BR156" s="70"/>
      <c r="BT156" s="70"/>
      <c r="BU156" s="70"/>
      <c r="BV156" s="70"/>
      <c r="BW156" s="70"/>
      <c r="BX156" s="70"/>
      <c r="BY156" s="70"/>
      <c r="BZ156" s="70"/>
      <c r="CA156" s="70"/>
      <c r="CB156" s="70"/>
      <c r="CC156" s="70"/>
      <c r="CD156" s="70"/>
      <c r="CE156" s="70"/>
      <c r="CF156" s="70"/>
      <c r="CJ156" s="70"/>
      <c r="CK156" s="70"/>
      <c r="CL156" s="70"/>
      <c r="CM156" s="70"/>
      <c r="CO156" s="70"/>
      <c r="CQ156" s="70"/>
      <c r="CS156" s="70"/>
      <c r="CT156" s="70"/>
      <c r="CU156" s="70"/>
      <c r="CW156" s="70"/>
      <c r="CX156" s="70"/>
      <c r="CY156" s="70"/>
      <c r="CZ156" s="70"/>
      <c r="DC156" s="70"/>
      <c r="DD156" s="70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</row>
    <row r="157" spans="1:123" ht="24.95" customHeight="1">
      <c r="A157" s="68"/>
      <c r="D157" s="69"/>
      <c r="E157" s="69"/>
      <c r="F157" s="69"/>
      <c r="G157" s="70"/>
      <c r="H157" s="70"/>
      <c r="I157" s="70"/>
      <c r="J157" s="70"/>
      <c r="N157" s="70"/>
      <c r="O157" s="69"/>
      <c r="S157" s="70"/>
      <c r="T157" s="69"/>
      <c r="V157" s="72" t="str">
        <f t="shared" si="6"/>
        <v/>
      </c>
      <c r="W157" s="72" t="str">
        <f t="shared" si="7"/>
        <v/>
      </c>
      <c r="X157" s="72" t="str">
        <f t="shared" si="8"/>
        <v/>
      </c>
      <c r="AD157" s="70"/>
      <c r="AE157" s="70"/>
      <c r="AF157" s="70"/>
      <c r="AH157" s="70"/>
      <c r="AJ157" s="70"/>
      <c r="AN157" s="70"/>
      <c r="AO157" s="70"/>
      <c r="AP157" s="70"/>
      <c r="AR157" s="70"/>
      <c r="AT157" s="70"/>
      <c r="AX157" s="70"/>
      <c r="AY157" s="70"/>
      <c r="AZ157" s="70"/>
      <c r="BB157" s="70"/>
      <c r="BD157" s="70"/>
      <c r="BE157" s="70"/>
      <c r="BF157" s="70"/>
      <c r="BK157" s="70"/>
      <c r="BM157" s="70"/>
      <c r="BN157" s="70"/>
      <c r="BP157" s="70"/>
      <c r="BQ157" s="70"/>
      <c r="BR157" s="70"/>
      <c r="BT157" s="70"/>
      <c r="BU157" s="70"/>
      <c r="BV157" s="70"/>
      <c r="BW157" s="70"/>
      <c r="BX157" s="70"/>
      <c r="BY157" s="70"/>
      <c r="BZ157" s="70"/>
      <c r="CA157" s="70"/>
      <c r="CB157" s="70"/>
      <c r="CC157" s="70"/>
      <c r="CD157" s="70"/>
      <c r="CE157" s="70"/>
      <c r="CF157" s="70"/>
      <c r="CJ157" s="70"/>
      <c r="CK157" s="70"/>
      <c r="CL157" s="70"/>
      <c r="CM157" s="70"/>
      <c r="CO157" s="70"/>
      <c r="CQ157" s="70"/>
      <c r="CS157" s="70"/>
      <c r="CT157" s="70"/>
      <c r="CU157" s="70"/>
      <c r="CW157" s="70"/>
      <c r="CX157" s="70"/>
      <c r="CY157" s="70"/>
      <c r="CZ157" s="70"/>
      <c r="DC157" s="70"/>
      <c r="DD157" s="70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</row>
    <row r="158" spans="1:123" ht="24.95" customHeight="1">
      <c r="A158" s="68"/>
      <c r="D158" s="69"/>
      <c r="E158" s="69"/>
      <c r="F158" s="69"/>
      <c r="G158" s="70"/>
      <c r="H158" s="70"/>
      <c r="I158" s="70"/>
      <c r="J158" s="70"/>
      <c r="N158" s="70"/>
      <c r="O158" s="69"/>
      <c r="S158" s="70"/>
      <c r="T158" s="69"/>
      <c r="V158" s="72" t="str">
        <f t="shared" si="6"/>
        <v/>
      </c>
      <c r="W158" s="72" t="str">
        <f t="shared" si="7"/>
        <v/>
      </c>
      <c r="X158" s="72" t="str">
        <f t="shared" si="8"/>
        <v/>
      </c>
      <c r="AD158" s="70"/>
      <c r="AE158" s="70"/>
      <c r="AF158" s="70"/>
      <c r="AH158" s="70"/>
      <c r="AJ158" s="70"/>
      <c r="AN158" s="70"/>
      <c r="AO158" s="70"/>
      <c r="AP158" s="70"/>
      <c r="AR158" s="70"/>
      <c r="AT158" s="70"/>
      <c r="AX158" s="70"/>
      <c r="AY158" s="70"/>
      <c r="AZ158" s="70"/>
      <c r="BB158" s="70"/>
      <c r="BD158" s="70"/>
      <c r="BE158" s="70"/>
      <c r="BF158" s="70"/>
      <c r="BK158" s="70"/>
      <c r="BM158" s="70"/>
      <c r="BN158" s="70"/>
      <c r="BP158" s="70"/>
      <c r="BQ158" s="70"/>
      <c r="BR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J158" s="70"/>
      <c r="CK158" s="70"/>
      <c r="CL158" s="70"/>
      <c r="CM158" s="70"/>
      <c r="CO158" s="70"/>
      <c r="CQ158" s="70"/>
      <c r="CS158" s="70"/>
      <c r="CT158" s="70"/>
      <c r="CU158" s="70"/>
      <c r="CW158" s="70"/>
      <c r="CX158" s="70"/>
      <c r="CY158" s="70"/>
      <c r="CZ158" s="70"/>
      <c r="DC158" s="70"/>
      <c r="DD158" s="70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</row>
    <row r="159" spans="1:123" ht="24.95" customHeight="1">
      <c r="A159" s="68"/>
      <c r="D159" s="69"/>
      <c r="E159" s="69"/>
      <c r="F159" s="69"/>
      <c r="G159" s="70"/>
      <c r="H159" s="70"/>
      <c r="I159" s="70"/>
      <c r="J159" s="70"/>
      <c r="N159" s="70"/>
      <c r="O159" s="69"/>
      <c r="S159" s="70"/>
      <c r="T159" s="69"/>
      <c r="V159" s="72" t="str">
        <f t="shared" si="6"/>
        <v/>
      </c>
      <c r="W159" s="72" t="str">
        <f t="shared" si="7"/>
        <v/>
      </c>
      <c r="X159" s="72" t="str">
        <f t="shared" si="8"/>
        <v/>
      </c>
      <c r="AD159" s="70"/>
      <c r="AE159" s="70"/>
      <c r="AF159" s="70"/>
      <c r="AH159" s="70"/>
      <c r="AJ159" s="70"/>
      <c r="AN159" s="70"/>
      <c r="AO159" s="70"/>
      <c r="AP159" s="70"/>
      <c r="AR159" s="70"/>
      <c r="AT159" s="70"/>
      <c r="AX159" s="70"/>
      <c r="AY159" s="70"/>
      <c r="AZ159" s="70"/>
      <c r="BB159" s="70"/>
      <c r="BD159" s="70"/>
      <c r="BE159" s="70"/>
      <c r="BF159" s="70"/>
      <c r="BK159" s="70"/>
      <c r="BM159" s="70"/>
      <c r="BN159" s="70"/>
      <c r="BP159" s="70"/>
      <c r="BQ159" s="70"/>
      <c r="BR159" s="70"/>
      <c r="BT159" s="70"/>
      <c r="BU159" s="70"/>
      <c r="BV159" s="70"/>
      <c r="BW159" s="70"/>
      <c r="BX159" s="70"/>
      <c r="BY159" s="70"/>
      <c r="BZ159" s="70"/>
      <c r="CA159" s="70"/>
      <c r="CB159" s="70"/>
      <c r="CC159" s="70"/>
      <c r="CD159" s="70"/>
      <c r="CE159" s="70"/>
      <c r="CF159" s="70"/>
      <c r="CJ159" s="70"/>
      <c r="CK159" s="70"/>
      <c r="CL159" s="70"/>
      <c r="CM159" s="70"/>
      <c r="CO159" s="70"/>
      <c r="CQ159" s="70"/>
      <c r="CS159" s="70"/>
      <c r="CT159" s="70"/>
      <c r="CU159" s="70"/>
      <c r="CW159" s="70"/>
      <c r="CX159" s="70"/>
      <c r="CY159" s="70"/>
      <c r="CZ159" s="70"/>
      <c r="DC159" s="70"/>
      <c r="DD159" s="70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</row>
    <row r="160" spans="1:123" ht="24.95" customHeight="1">
      <c r="A160" s="68"/>
      <c r="D160" s="69"/>
      <c r="E160" s="69"/>
      <c r="F160" s="69"/>
      <c r="G160" s="70"/>
      <c r="H160" s="70"/>
      <c r="I160" s="70"/>
      <c r="J160" s="70"/>
      <c r="N160" s="70"/>
      <c r="O160" s="69"/>
      <c r="S160" s="70"/>
      <c r="T160" s="69"/>
      <c r="V160" s="72" t="str">
        <f t="shared" si="6"/>
        <v/>
      </c>
      <c r="W160" s="72" t="str">
        <f t="shared" si="7"/>
        <v/>
      </c>
      <c r="X160" s="72" t="str">
        <f t="shared" si="8"/>
        <v/>
      </c>
      <c r="AD160" s="70"/>
      <c r="AE160" s="70"/>
      <c r="AF160" s="70"/>
      <c r="AH160" s="70"/>
      <c r="AJ160" s="70"/>
      <c r="AN160" s="70"/>
      <c r="AO160" s="70"/>
      <c r="AP160" s="70"/>
      <c r="AR160" s="70"/>
      <c r="AT160" s="70"/>
      <c r="AX160" s="70"/>
      <c r="AY160" s="70"/>
      <c r="AZ160" s="70"/>
      <c r="BB160" s="70"/>
      <c r="BD160" s="70"/>
      <c r="BE160" s="70"/>
      <c r="BF160" s="70"/>
      <c r="BK160" s="70"/>
      <c r="BM160" s="70"/>
      <c r="BN160" s="70"/>
      <c r="BP160" s="70"/>
      <c r="BQ160" s="70"/>
      <c r="BR160" s="70"/>
      <c r="BT160" s="70"/>
      <c r="BU160" s="70"/>
      <c r="BV160" s="70"/>
      <c r="BW160" s="70"/>
      <c r="BX160" s="70"/>
      <c r="BY160" s="70"/>
      <c r="BZ160" s="70"/>
      <c r="CA160" s="70"/>
      <c r="CB160" s="70"/>
      <c r="CC160" s="70"/>
      <c r="CD160" s="70"/>
      <c r="CE160" s="70"/>
      <c r="CF160" s="70"/>
      <c r="CJ160" s="70"/>
      <c r="CK160" s="70"/>
      <c r="CL160" s="70"/>
      <c r="CM160" s="70"/>
      <c r="CO160" s="70"/>
      <c r="CQ160" s="70"/>
      <c r="CS160" s="70"/>
      <c r="CT160" s="70"/>
      <c r="CU160" s="70"/>
      <c r="CW160" s="70"/>
      <c r="CX160" s="70"/>
      <c r="CY160" s="70"/>
      <c r="CZ160" s="70"/>
      <c r="DC160" s="70"/>
      <c r="DD160" s="70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</row>
    <row r="161" spans="1:123" ht="24.95" customHeight="1">
      <c r="A161" s="68"/>
      <c r="D161" s="69"/>
      <c r="E161" s="69"/>
      <c r="F161" s="69"/>
      <c r="G161" s="70"/>
      <c r="H161" s="70"/>
      <c r="I161" s="70"/>
      <c r="J161" s="70"/>
      <c r="N161" s="70"/>
      <c r="O161" s="69"/>
      <c r="S161" s="70"/>
      <c r="T161" s="69"/>
      <c r="V161" s="72" t="str">
        <f t="shared" si="6"/>
        <v/>
      </c>
      <c r="W161" s="72" t="str">
        <f t="shared" si="7"/>
        <v/>
      </c>
      <c r="X161" s="72" t="str">
        <f t="shared" si="8"/>
        <v/>
      </c>
      <c r="AD161" s="70"/>
      <c r="AE161" s="70"/>
      <c r="AF161" s="70"/>
      <c r="AH161" s="70"/>
      <c r="AJ161" s="70"/>
      <c r="AN161" s="70"/>
      <c r="AO161" s="70"/>
      <c r="AP161" s="70"/>
      <c r="AR161" s="70"/>
      <c r="AT161" s="70"/>
      <c r="AX161" s="70"/>
      <c r="AY161" s="70"/>
      <c r="AZ161" s="70"/>
      <c r="BB161" s="70"/>
      <c r="BD161" s="70"/>
      <c r="BE161" s="70"/>
      <c r="BF161" s="70"/>
      <c r="BK161" s="70"/>
      <c r="BM161" s="70"/>
      <c r="BN161" s="70"/>
      <c r="BP161" s="70"/>
      <c r="BQ161" s="70"/>
      <c r="BR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J161" s="70"/>
      <c r="CK161" s="70"/>
      <c r="CL161" s="70"/>
      <c r="CM161" s="70"/>
      <c r="CO161" s="70"/>
      <c r="CQ161" s="70"/>
      <c r="CS161" s="70"/>
      <c r="CT161" s="70"/>
      <c r="CU161" s="70"/>
      <c r="CW161" s="70"/>
      <c r="CX161" s="70"/>
      <c r="CY161" s="70"/>
      <c r="CZ161" s="70"/>
      <c r="DC161" s="70"/>
      <c r="DD161" s="70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</row>
    <row r="162" spans="1:123" ht="24.95" customHeight="1">
      <c r="A162" s="68"/>
      <c r="D162" s="69"/>
      <c r="E162" s="69"/>
      <c r="F162" s="69"/>
      <c r="G162" s="70"/>
      <c r="H162" s="70"/>
      <c r="I162" s="70"/>
      <c r="J162" s="70"/>
      <c r="N162" s="70"/>
      <c r="O162" s="69"/>
      <c r="S162" s="70"/>
      <c r="T162" s="69"/>
      <c r="V162" s="72" t="str">
        <f t="shared" si="6"/>
        <v/>
      </c>
      <c r="W162" s="72" t="str">
        <f t="shared" si="7"/>
        <v/>
      </c>
      <c r="X162" s="72" t="str">
        <f t="shared" si="8"/>
        <v/>
      </c>
      <c r="AD162" s="70"/>
      <c r="AE162" s="70"/>
      <c r="AF162" s="70"/>
      <c r="AH162" s="70"/>
      <c r="AJ162" s="70"/>
      <c r="AN162" s="70"/>
      <c r="AO162" s="70"/>
      <c r="AP162" s="70"/>
      <c r="AR162" s="70"/>
      <c r="AT162" s="70"/>
      <c r="AX162" s="70"/>
      <c r="AY162" s="70"/>
      <c r="AZ162" s="70"/>
      <c r="BB162" s="70"/>
      <c r="BD162" s="70"/>
      <c r="BE162" s="70"/>
      <c r="BF162" s="70"/>
      <c r="BK162" s="70"/>
      <c r="BM162" s="70"/>
      <c r="BN162" s="70"/>
      <c r="BP162" s="70"/>
      <c r="BQ162" s="70"/>
      <c r="BR162" s="70"/>
      <c r="BT162" s="70"/>
      <c r="BU162" s="70"/>
      <c r="BV162" s="70"/>
      <c r="BW162" s="70"/>
      <c r="BX162" s="70"/>
      <c r="BY162" s="70"/>
      <c r="BZ162" s="70"/>
      <c r="CA162" s="70"/>
      <c r="CB162" s="70"/>
      <c r="CC162" s="70"/>
      <c r="CD162" s="70"/>
      <c r="CE162" s="70"/>
      <c r="CF162" s="70"/>
      <c r="CJ162" s="70"/>
      <c r="CK162" s="70"/>
      <c r="CL162" s="70"/>
      <c r="CM162" s="70"/>
      <c r="CO162" s="70"/>
      <c r="CQ162" s="70"/>
      <c r="CS162" s="70"/>
      <c r="CT162" s="70"/>
      <c r="CU162" s="70"/>
      <c r="CW162" s="70"/>
      <c r="CX162" s="70"/>
      <c r="CY162" s="70"/>
      <c r="CZ162" s="70"/>
      <c r="DC162" s="70"/>
      <c r="DD162" s="70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</row>
    <row r="163" spans="1:123" ht="24.95" customHeight="1">
      <c r="A163" s="68"/>
      <c r="D163" s="69"/>
      <c r="E163" s="69"/>
      <c r="F163" s="69"/>
      <c r="G163" s="70"/>
      <c r="H163" s="70"/>
      <c r="I163" s="70"/>
      <c r="J163" s="70"/>
      <c r="N163" s="70"/>
      <c r="O163" s="69"/>
      <c r="S163" s="70"/>
      <c r="T163" s="69"/>
      <c r="V163" s="72" t="str">
        <f t="shared" si="6"/>
        <v/>
      </c>
      <c r="W163" s="72" t="str">
        <f t="shared" si="7"/>
        <v/>
      </c>
      <c r="X163" s="72" t="str">
        <f t="shared" si="8"/>
        <v/>
      </c>
      <c r="AD163" s="70"/>
      <c r="AE163" s="70"/>
      <c r="AF163" s="70"/>
      <c r="AH163" s="70"/>
      <c r="AJ163" s="70"/>
      <c r="AN163" s="70"/>
      <c r="AO163" s="70"/>
      <c r="AP163" s="70"/>
      <c r="AR163" s="70"/>
      <c r="AT163" s="70"/>
      <c r="AX163" s="70"/>
      <c r="AY163" s="70"/>
      <c r="AZ163" s="70"/>
      <c r="BB163" s="70"/>
      <c r="BD163" s="70"/>
      <c r="BE163" s="70"/>
      <c r="BF163" s="70"/>
      <c r="BK163" s="70"/>
      <c r="BM163" s="70"/>
      <c r="BN163" s="70"/>
      <c r="BP163" s="70"/>
      <c r="BQ163" s="70"/>
      <c r="BR163" s="70"/>
      <c r="BT163" s="70"/>
      <c r="BU163" s="70"/>
      <c r="BV163" s="70"/>
      <c r="BW163" s="70"/>
      <c r="BX163" s="70"/>
      <c r="BY163" s="70"/>
      <c r="BZ163" s="70"/>
      <c r="CA163" s="70"/>
      <c r="CB163" s="70"/>
      <c r="CC163" s="70"/>
      <c r="CD163" s="70"/>
      <c r="CE163" s="70"/>
      <c r="CF163" s="70"/>
      <c r="CJ163" s="70"/>
      <c r="CK163" s="70"/>
      <c r="CL163" s="70"/>
      <c r="CM163" s="70"/>
      <c r="CO163" s="70"/>
      <c r="CQ163" s="70"/>
      <c r="CS163" s="70"/>
      <c r="CT163" s="70"/>
      <c r="CU163" s="70"/>
      <c r="CW163" s="70"/>
      <c r="CX163" s="70"/>
      <c r="CY163" s="70"/>
      <c r="CZ163" s="70"/>
      <c r="DC163" s="70"/>
      <c r="DD163" s="70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</row>
    <row r="164" spans="1:123" ht="24.95" customHeight="1">
      <c r="A164" s="68"/>
      <c r="D164" s="69"/>
      <c r="E164" s="69"/>
      <c r="F164" s="69"/>
      <c r="G164" s="70"/>
      <c r="H164" s="70"/>
      <c r="I164" s="70"/>
      <c r="J164" s="70"/>
      <c r="N164" s="70"/>
      <c r="O164" s="69"/>
      <c r="S164" s="70"/>
      <c r="T164" s="69"/>
      <c r="V164" s="72" t="str">
        <f t="shared" si="6"/>
        <v/>
      </c>
      <c r="W164" s="72" t="str">
        <f t="shared" si="7"/>
        <v/>
      </c>
      <c r="X164" s="72" t="str">
        <f t="shared" si="8"/>
        <v/>
      </c>
      <c r="AD164" s="70"/>
      <c r="AE164" s="70"/>
      <c r="AF164" s="70"/>
      <c r="AH164" s="70"/>
      <c r="AJ164" s="70"/>
      <c r="AN164" s="70"/>
      <c r="AO164" s="70"/>
      <c r="AP164" s="70"/>
      <c r="AR164" s="70"/>
      <c r="AT164" s="70"/>
      <c r="AX164" s="70"/>
      <c r="AY164" s="70"/>
      <c r="AZ164" s="70"/>
      <c r="BB164" s="70"/>
      <c r="BD164" s="70"/>
      <c r="BE164" s="70"/>
      <c r="BF164" s="70"/>
      <c r="BK164" s="70"/>
      <c r="BM164" s="70"/>
      <c r="BN164" s="70"/>
      <c r="BP164" s="70"/>
      <c r="BQ164" s="70"/>
      <c r="BR164" s="70"/>
      <c r="BT164" s="70"/>
      <c r="BU164" s="70"/>
      <c r="BV164" s="70"/>
      <c r="BW164" s="70"/>
      <c r="BX164" s="70"/>
      <c r="BY164" s="70"/>
      <c r="BZ164" s="70"/>
      <c r="CA164" s="70"/>
      <c r="CB164" s="70"/>
      <c r="CC164" s="70"/>
      <c r="CD164" s="70"/>
      <c r="CE164" s="70"/>
      <c r="CF164" s="70"/>
      <c r="CJ164" s="70"/>
      <c r="CK164" s="70"/>
      <c r="CL164" s="70"/>
      <c r="CM164" s="70"/>
      <c r="CO164" s="70"/>
      <c r="CQ164" s="70"/>
      <c r="CS164" s="70"/>
      <c r="CT164" s="70"/>
      <c r="CU164" s="70"/>
      <c r="CW164" s="70"/>
      <c r="CX164" s="70"/>
      <c r="CY164" s="70"/>
      <c r="CZ164" s="70"/>
      <c r="DC164" s="70"/>
      <c r="DD164" s="70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</row>
    <row r="165" spans="1:123" ht="24.95" customHeight="1">
      <c r="A165" s="68"/>
      <c r="D165" s="69"/>
      <c r="E165" s="69"/>
      <c r="F165" s="69"/>
      <c r="G165" s="70"/>
      <c r="H165" s="70"/>
      <c r="I165" s="70"/>
      <c r="J165" s="70"/>
      <c r="N165" s="70"/>
      <c r="O165" s="69"/>
      <c r="S165" s="70"/>
      <c r="T165" s="69"/>
      <c r="V165" s="72" t="str">
        <f t="shared" si="6"/>
        <v/>
      </c>
      <c r="W165" s="72" t="str">
        <f t="shared" si="7"/>
        <v/>
      </c>
      <c r="X165" s="72" t="str">
        <f t="shared" si="8"/>
        <v/>
      </c>
      <c r="AD165" s="70"/>
      <c r="AE165" s="70"/>
      <c r="AF165" s="70"/>
      <c r="AH165" s="70"/>
      <c r="AJ165" s="70"/>
      <c r="AN165" s="70"/>
      <c r="AO165" s="70"/>
      <c r="AP165" s="70"/>
      <c r="AR165" s="70"/>
      <c r="AT165" s="70"/>
      <c r="AX165" s="70"/>
      <c r="AY165" s="70"/>
      <c r="AZ165" s="70"/>
      <c r="BB165" s="70"/>
      <c r="BD165" s="70"/>
      <c r="BE165" s="70"/>
      <c r="BF165" s="70"/>
      <c r="BK165" s="70"/>
      <c r="BM165" s="70"/>
      <c r="BN165" s="70"/>
      <c r="BP165" s="70"/>
      <c r="BQ165" s="70"/>
      <c r="BR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J165" s="70"/>
      <c r="CK165" s="70"/>
      <c r="CL165" s="70"/>
      <c r="CM165" s="70"/>
      <c r="CO165" s="70"/>
      <c r="CQ165" s="70"/>
      <c r="CS165" s="70"/>
      <c r="CT165" s="70"/>
      <c r="CU165" s="70"/>
      <c r="CW165" s="70"/>
      <c r="CX165" s="70"/>
      <c r="CY165" s="70"/>
      <c r="CZ165" s="70"/>
      <c r="DC165" s="70"/>
      <c r="DD165" s="70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</row>
    <row r="166" spans="1:123" ht="24.95" customHeight="1">
      <c r="A166" s="68"/>
      <c r="D166" s="69"/>
      <c r="E166" s="69"/>
      <c r="F166" s="69"/>
      <c r="G166" s="70"/>
      <c r="H166" s="70"/>
      <c r="I166" s="70"/>
      <c r="J166" s="70"/>
      <c r="N166" s="70"/>
      <c r="O166" s="69"/>
      <c r="S166" s="70"/>
      <c r="T166" s="69"/>
      <c r="V166" s="72" t="str">
        <f t="shared" si="6"/>
        <v/>
      </c>
      <c r="W166" s="72" t="str">
        <f t="shared" si="7"/>
        <v/>
      </c>
      <c r="X166" s="72" t="str">
        <f t="shared" si="8"/>
        <v/>
      </c>
      <c r="AD166" s="70"/>
      <c r="AE166" s="70"/>
      <c r="AF166" s="70"/>
      <c r="AH166" s="70"/>
      <c r="AJ166" s="70"/>
      <c r="AN166" s="70"/>
      <c r="AO166" s="70"/>
      <c r="AP166" s="70"/>
      <c r="AR166" s="70"/>
      <c r="AT166" s="70"/>
      <c r="AX166" s="70"/>
      <c r="AY166" s="70"/>
      <c r="AZ166" s="70"/>
      <c r="BB166" s="70"/>
      <c r="BD166" s="70"/>
      <c r="BE166" s="70"/>
      <c r="BF166" s="70"/>
      <c r="BK166" s="70"/>
      <c r="BM166" s="70"/>
      <c r="BN166" s="70"/>
      <c r="BP166" s="70"/>
      <c r="BQ166" s="70"/>
      <c r="BR166" s="70"/>
      <c r="BT166" s="70"/>
      <c r="BU166" s="70"/>
      <c r="BV166" s="70"/>
      <c r="BW166" s="70"/>
      <c r="BX166" s="70"/>
      <c r="BY166" s="70"/>
      <c r="BZ166" s="70"/>
      <c r="CA166" s="70"/>
      <c r="CB166" s="70"/>
      <c r="CC166" s="70"/>
      <c r="CD166" s="70"/>
      <c r="CE166" s="70"/>
      <c r="CF166" s="70"/>
      <c r="CJ166" s="70"/>
      <c r="CK166" s="70"/>
      <c r="CL166" s="70"/>
      <c r="CM166" s="70"/>
      <c r="CO166" s="70"/>
      <c r="CQ166" s="70"/>
      <c r="CS166" s="70"/>
      <c r="CT166" s="70"/>
      <c r="CU166" s="70"/>
      <c r="CW166" s="70"/>
      <c r="CX166" s="70"/>
      <c r="CY166" s="70"/>
      <c r="CZ166" s="70"/>
      <c r="DC166" s="70"/>
      <c r="DD166" s="70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</row>
    <row r="167" spans="1:123" ht="24.95" customHeight="1">
      <c r="A167" s="68"/>
      <c r="D167" s="69"/>
      <c r="E167" s="69"/>
      <c r="F167" s="69"/>
      <c r="G167" s="70"/>
      <c r="H167" s="70"/>
      <c r="I167" s="70"/>
      <c r="J167" s="70"/>
      <c r="N167" s="70"/>
      <c r="O167" s="69"/>
      <c r="S167" s="70"/>
      <c r="T167" s="69"/>
      <c r="V167" s="72" t="str">
        <f t="shared" si="6"/>
        <v/>
      </c>
      <c r="W167" s="72" t="str">
        <f t="shared" si="7"/>
        <v/>
      </c>
      <c r="X167" s="72" t="str">
        <f t="shared" si="8"/>
        <v/>
      </c>
      <c r="AD167" s="70"/>
      <c r="AE167" s="70"/>
      <c r="AF167" s="70"/>
      <c r="AH167" s="70"/>
      <c r="AJ167" s="70"/>
      <c r="AN167" s="70"/>
      <c r="AO167" s="70"/>
      <c r="AP167" s="70"/>
      <c r="AR167" s="70"/>
      <c r="AT167" s="70"/>
      <c r="AX167" s="70"/>
      <c r="AY167" s="70"/>
      <c r="AZ167" s="70"/>
      <c r="BB167" s="70"/>
      <c r="BD167" s="70"/>
      <c r="BE167" s="70"/>
      <c r="BF167" s="70"/>
      <c r="BK167" s="70"/>
      <c r="BM167" s="70"/>
      <c r="BN167" s="70"/>
      <c r="BP167" s="70"/>
      <c r="BQ167" s="70"/>
      <c r="BR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J167" s="70"/>
      <c r="CK167" s="70"/>
      <c r="CL167" s="70"/>
      <c r="CM167" s="70"/>
      <c r="CO167" s="70"/>
      <c r="CQ167" s="70"/>
      <c r="CS167" s="70"/>
      <c r="CT167" s="70"/>
      <c r="CU167" s="70"/>
      <c r="CW167" s="70"/>
      <c r="CX167" s="70"/>
      <c r="CY167" s="70"/>
      <c r="CZ167" s="70"/>
      <c r="DC167" s="70"/>
      <c r="DD167" s="70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</row>
    <row r="168" spans="1:123" ht="24.95" customHeight="1">
      <c r="A168" s="68"/>
      <c r="D168" s="69"/>
      <c r="E168" s="69"/>
      <c r="F168" s="69"/>
      <c r="G168" s="70"/>
      <c r="H168" s="70"/>
      <c r="I168" s="70"/>
      <c r="J168" s="70"/>
      <c r="N168" s="70"/>
      <c r="O168" s="69"/>
      <c r="S168" s="70"/>
      <c r="T168" s="69"/>
      <c r="V168" s="72" t="str">
        <f t="shared" si="6"/>
        <v/>
      </c>
      <c r="W168" s="72" t="str">
        <f t="shared" si="7"/>
        <v/>
      </c>
      <c r="X168" s="72" t="str">
        <f t="shared" si="8"/>
        <v/>
      </c>
      <c r="AD168" s="70"/>
      <c r="AE168" s="70"/>
      <c r="AF168" s="70"/>
      <c r="AH168" s="70"/>
      <c r="AJ168" s="70"/>
      <c r="AN168" s="70"/>
      <c r="AO168" s="70"/>
      <c r="AP168" s="70"/>
      <c r="AR168" s="70"/>
      <c r="AT168" s="70"/>
      <c r="AX168" s="70"/>
      <c r="AY168" s="70"/>
      <c r="AZ168" s="70"/>
      <c r="BB168" s="70"/>
      <c r="BD168" s="70"/>
      <c r="BE168" s="70"/>
      <c r="BF168" s="70"/>
      <c r="BK168" s="70"/>
      <c r="BM168" s="70"/>
      <c r="BN168" s="70"/>
      <c r="BP168" s="70"/>
      <c r="BQ168" s="70"/>
      <c r="BR168" s="70"/>
      <c r="BT168" s="70"/>
      <c r="BU168" s="70"/>
      <c r="BV168" s="70"/>
      <c r="BW168" s="70"/>
      <c r="BX168" s="70"/>
      <c r="BY168" s="70"/>
      <c r="BZ168" s="70"/>
      <c r="CA168" s="70"/>
      <c r="CB168" s="70"/>
      <c r="CC168" s="70"/>
      <c r="CD168" s="70"/>
      <c r="CE168" s="70"/>
      <c r="CF168" s="70"/>
      <c r="CJ168" s="70"/>
      <c r="CK168" s="70"/>
      <c r="CL168" s="70"/>
      <c r="CM168" s="70"/>
      <c r="CO168" s="70"/>
      <c r="CQ168" s="70"/>
      <c r="CS168" s="70"/>
      <c r="CT168" s="70"/>
      <c r="CU168" s="70"/>
      <c r="CW168" s="70"/>
      <c r="CX168" s="70"/>
      <c r="CY168" s="70"/>
      <c r="CZ168" s="70"/>
      <c r="DC168" s="70"/>
      <c r="DD168" s="70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</row>
    <row r="169" spans="1:123" ht="24.95" customHeight="1">
      <c r="A169" s="68"/>
      <c r="D169" s="69"/>
      <c r="E169" s="69"/>
      <c r="F169" s="69"/>
      <c r="G169" s="70"/>
      <c r="H169" s="70"/>
      <c r="I169" s="70"/>
      <c r="J169" s="70"/>
      <c r="N169" s="70"/>
      <c r="O169" s="69"/>
      <c r="S169" s="70"/>
      <c r="T169" s="69"/>
      <c r="V169" s="72" t="str">
        <f t="shared" si="6"/>
        <v/>
      </c>
      <c r="W169" s="72" t="str">
        <f t="shared" si="7"/>
        <v/>
      </c>
      <c r="X169" s="72" t="str">
        <f t="shared" si="8"/>
        <v/>
      </c>
      <c r="AD169" s="70"/>
      <c r="AE169" s="70"/>
      <c r="AF169" s="70"/>
      <c r="AH169" s="70"/>
      <c r="AJ169" s="70"/>
      <c r="AN169" s="70"/>
      <c r="AO169" s="70"/>
      <c r="AP169" s="70"/>
      <c r="AR169" s="70"/>
      <c r="AT169" s="70"/>
      <c r="AX169" s="70"/>
      <c r="AY169" s="70"/>
      <c r="AZ169" s="70"/>
      <c r="BB169" s="70"/>
      <c r="BD169" s="70"/>
      <c r="BE169" s="70"/>
      <c r="BF169" s="70"/>
      <c r="BK169" s="70"/>
      <c r="BM169" s="70"/>
      <c r="BN169" s="70"/>
      <c r="BP169" s="70"/>
      <c r="BQ169" s="70"/>
      <c r="BR169" s="70"/>
      <c r="BT169" s="70"/>
      <c r="BU169" s="70"/>
      <c r="BV169" s="70"/>
      <c r="BW169" s="70"/>
      <c r="BX169" s="70"/>
      <c r="BY169" s="70"/>
      <c r="BZ169" s="70"/>
      <c r="CA169" s="70"/>
      <c r="CB169" s="70"/>
      <c r="CC169" s="70"/>
      <c r="CD169" s="70"/>
      <c r="CE169" s="70"/>
      <c r="CF169" s="70"/>
      <c r="CJ169" s="70"/>
      <c r="CK169" s="70"/>
      <c r="CL169" s="70"/>
      <c r="CM169" s="70"/>
      <c r="CO169" s="70"/>
      <c r="CQ169" s="70"/>
      <c r="CS169" s="70"/>
      <c r="CT169" s="70"/>
      <c r="CU169" s="70"/>
      <c r="CW169" s="70"/>
      <c r="CX169" s="70"/>
      <c r="CY169" s="70"/>
      <c r="CZ169" s="70"/>
      <c r="DC169" s="70"/>
      <c r="DD169" s="70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</row>
    <row r="170" spans="1:123" ht="24.95" customHeight="1">
      <c r="A170" s="68"/>
      <c r="D170" s="69"/>
      <c r="E170" s="69"/>
      <c r="F170" s="69"/>
      <c r="G170" s="70"/>
      <c r="H170" s="70"/>
      <c r="I170" s="70"/>
      <c r="J170" s="70"/>
      <c r="N170" s="70"/>
      <c r="O170" s="69"/>
      <c r="S170" s="70"/>
      <c r="T170" s="69"/>
      <c r="V170" s="72" t="str">
        <f t="shared" si="6"/>
        <v/>
      </c>
      <c r="W170" s="72" t="str">
        <f t="shared" si="7"/>
        <v/>
      </c>
      <c r="X170" s="72" t="str">
        <f t="shared" si="8"/>
        <v/>
      </c>
      <c r="AD170" s="70"/>
      <c r="AE170" s="70"/>
      <c r="AF170" s="70"/>
      <c r="AH170" s="70"/>
      <c r="AJ170" s="70"/>
      <c r="AN170" s="70"/>
      <c r="AO170" s="70"/>
      <c r="AP170" s="70"/>
      <c r="AR170" s="70"/>
      <c r="AT170" s="70"/>
      <c r="AX170" s="70"/>
      <c r="AY170" s="70"/>
      <c r="AZ170" s="70"/>
      <c r="BB170" s="70"/>
      <c r="BD170" s="70"/>
      <c r="BE170" s="70"/>
      <c r="BF170" s="70"/>
      <c r="BK170" s="70"/>
      <c r="BM170" s="70"/>
      <c r="BN170" s="70"/>
      <c r="BP170" s="70"/>
      <c r="BQ170" s="70"/>
      <c r="BR170" s="70"/>
      <c r="BT170" s="70"/>
      <c r="BU170" s="70"/>
      <c r="BV170" s="70"/>
      <c r="BW170" s="70"/>
      <c r="BX170" s="70"/>
      <c r="BY170" s="70"/>
      <c r="BZ170" s="70"/>
      <c r="CA170" s="70"/>
      <c r="CB170" s="70"/>
      <c r="CC170" s="70"/>
      <c r="CD170" s="70"/>
      <c r="CE170" s="70"/>
      <c r="CF170" s="70"/>
      <c r="CJ170" s="70"/>
      <c r="CK170" s="70"/>
      <c r="CL170" s="70"/>
      <c r="CM170" s="70"/>
      <c r="CO170" s="70"/>
      <c r="CQ170" s="70"/>
      <c r="CS170" s="70"/>
      <c r="CT170" s="70"/>
      <c r="CU170" s="70"/>
      <c r="CW170" s="70"/>
      <c r="CX170" s="70"/>
      <c r="CY170" s="70"/>
      <c r="CZ170" s="70"/>
      <c r="DC170" s="70"/>
      <c r="DD170" s="70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</row>
    <row r="171" spans="1:123" ht="24.95" customHeight="1">
      <c r="A171" s="68"/>
      <c r="D171" s="69"/>
      <c r="E171" s="69"/>
      <c r="F171" s="69"/>
      <c r="G171" s="70"/>
      <c r="H171" s="70"/>
      <c r="I171" s="70"/>
      <c r="J171" s="70"/>
      <c r="N171" s="70"/>
      <c r="O171" s="69"/>
      <c r="S171" s="70"/>
      <c r="T171" s="69"/>
      <c r="V171" s="72" t="str">
        <f t="shared" si="6"/>
        <v/>
      </c>
      <c r="W171" s="72" t="str">
        <f t="shared" si="7"/>
        <v/>
      </c>
      <c r="X171" s="72" t="str">
        <f t="shared" si="8"/>
        <v/>
      </c>
      <c r="AD171" s="70"/>
      <c r="AE171" s="70"/>
      <c r="AF171" s="70"/>
      <c r="AH171" s="70"/>
      <c r="AJ171" s="70"/>
      <c r="AN171" s="70"/>
      <c r="AO171" s="70"/>
      <c r="AP171" s="70"/>
      <c r="AR171" s="70"/>
      <c r="AT171" s="70"/>
      <c r="AX171" s="70"/>
      <c r="AY171" s="70"/>
      <c r="AZ171" s="70"/>
      <c r="BB171" s="70"/>
      <c r="BD171" s="70"/>
      <c r="BE171" s="70"/>
      <c r="BF171" s="70"/>
      <c r="BK171" s="70"/>
      <c r="BM171" s="70"/>
      <c r="BN171" s="70"/>
      <c r="BP171" s="70"/>
      <c r="BQ171" s="70"/>
      <c r="BR171" s="70"/>
      <c r="BT171" s="70"/>
      <c r="BU171" s="70"/>
      <c r="BV171" s="70"/>
      <c r="BW171" s="70"/>
      <c r="BX171" s="70"/>
      <c r="BY171" s="70"/>
      <c r="BZ171" s="70"/>
      <c r="CA171" s="70"/>
      <c r="CB171" s="70"/>
      <c r="CC171" s="70"/>
      <c r="CD171" s="70"/>
      <c r="CE171" s="70"/>
      <c r="CF171" s="70"/>
      <c r="CJ171" s="70"/>
      <c r="CK171" s="70"/>
      <c r="CL171" s="70"/>
      <c r="CM171" s="70"/>
      <c r="CO171" s="70"/>
      <c r="CQ171" s="70"/>
      <c r="CS171" s="70"/>
      <c r="CT171" s="70"/>
      <c r="CU171" s="70"/>
      <c r="CW171" s="70"/>
      <c r="CX171" s="70"/>
      <c r="CY171" s="70"/>
      <c r="CZ171" s="70"/>
      <c r="DC171" s="70"/>
      <c r="DD171" s="70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</row>
    <row r="172" spans="1:123" ht="24.95" customHeight="1">
      <c r="A172" s="68"/>
      <c r="D172" s="69"/>
      <c r="E172" s="69"/>
      <c r="F172" s="69"/>
      <c r="G172" s="70"/>
      <c r="H172" s="70"/>
      <c r="I172" s="70"/>
      <c r="J172" s="70"/>
      <c r="N172" s="70"/>
      <c r="O172" s="69"/>
      <c r="S172" s="70"/>
      <c r="T172" s="69"/>
      <c r="V172" s="72" t="str">
        <f t="shared" si="6"/>
        <v/>
      </c>
      <c r="W172" s="72" t="str">
        <f t="shared" si="7"/>
        <v/>
      </c>
      <c r="X172" s="72" t="str">
        <f t="shared" si="8"/>
        <v/>
      </c>
      <c r="AD172" s="70"/>
      <c r="AE172" s="70"/>
      <c r="AF172" s="70"/>
      <c r="AH172" s="70"/>
      <c r="AJ172" s="70"/>
      <c r="AN172" s="70"/>
      <c r="AO172" s="70"/>
      <c r="AP172" s="70"/>
      <c r="AR172" s="70"/>
      <c r="AT172" s="70"/>
      <c r="AX172" s="70"/>
      <c r="AY172" s="70"/>
      <c r="AZ172" s="70"/>
      <c r="BB172" s="70"/>
      <c r="BD172" s="70"/>
      <c r="BE172" s="70"/>
      <c r="BF172" s="70"/>
      <c r="BK172" s="70"/>
      <c r="BM172" s="70"/>
      <c r="BN172" s="70"/>
      <c r="BP172" s="70"/>
      <c r="BQ172" s="70"/>
      <c r="BR172" s="70"/>
      <c r="BT172" s="70"/>
      <c r="BU172" s="70"/>
      <c r="BV172" s="70"/>
      <c r="BW172" s="70"/>
      <c r="BX172" s="70"/>
      <c r="BY172" s="70"/>
      <c r="BZ172" s="70"/>
      <c r="CA172" s="70"/>
      <c r="CB172" s="70"/>
      <c r="CC172" s="70"/>
      <c r="CD172" s="70"/>
      <c r="CE172" s="70"/>
      <c r="CF172" s="70"/>
      <c r="CJ172" s="70"/>
      <c r="CK172" s="70"/>
      <c r="CL172" s="70"/>
      <c r="CM172" s="70"/>
      <c r="CO172" s="70"/>
      <c r="CQ172" s="70"/>
      <c r="CS172" s="70"/>
      <c r="CT172" s="70"/>
      <c r="CU172" s="70"/>
      <c r="CW172" s="70"/>
      <c r="CX172" s="70"/>
      <c r="CY172" s="70"/>
      <c r="CZ172" s="70"/>
      <c r="DC172" s="70"/>
      <c r="DD172" s="70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</row>
    <row r="173" spans="1:123" ht="24.95" customHeight="1">
      <c r="A173" s="68"/>
      <c r="D173" s="69"/>
      <c r="E173" s="69"/>
      <c r="F173" s="69"/>
      <c r="G173" s="70"/>
      <c r="H173" s="70"/>
      <c r="I173" s="70"/>
      <c r="J173" s="70"/>
      <c r="N173" s="70"/>
      <c r="O173" s="69"/>
      <c r="S173" s="70"/>
      <c r="T173" s="69"/>
      <c r="V173" s="72" t="str">
        <f t="shared" si="6"/>
        <v/>
      </c>
      <c r="W173" s="72" t="str">
        <f t="shared" si="7"/>
        <v/>
      </c>
      <c r="X173" s="72" t="str">
        <f t="shared" si="8"/>
        <v/>
      </c>
      <c r="AD173" s="70"/>
      <c r="AE173" s="70"/>
      <c r="AF173" s="70"/>
      <c r="AH173" s="70"/>
      <c r="AJ173" s="70"/>
      <c r="AN173" s="70"/>
      <c r="AO173" s="70"/>
      <c r="AP173" s="70"/>
      <c r="AR173" s="70"/>
      <c r="AT173" s="70"/>
      <c r="AX173" s="70"/>
      <c r="AY173" s="70"/>
      <c r="AZ173" s="70"/>
      <c r="BB173" s="70"/>
      <c r="BD173" s="70"/>
      <c r="BE173" s="70"/>
      <c r="BF173" s="70"/>
      <c r="BK173" s="70"/>
      <c r="BM173" s="70"/>
      <c r="BN173" s="70"/>
      <c r="BP173" s="70"/>
      <c r="BQ173" s="70"/>
      <c r="BR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J173" s="70"/>
      <c r="CK173" s="70"/>
      <c r="CL173" s="70"/>
      <c r="CM173" s="70"/>
      <c r="CO173" s="70"/>
      <c r="CQ173" s="70"/>
      <c r="CS173" s="70"/>
      <c r="CT173" s="70"/>
      <c r="CU173" s="70"/>
      <c r="CW173" s="70"/>
      <c r="CX173" s="70"/>
      <c r="CY173" s="70"/>
      <c r="CZ173" s="70"/>
      <c r="DC173" s="70"/>
      <c r="DD173" s="70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</row>
    <row r="174" spans="1:123" ht="24.95" customHeight="1">
      <c r="A174" s="68"/>
      <c r="D174" s="69"/>
      <c r="E174" s="69"/>
      <c r="F174" s="69"/>
      <c r="G174" s="70"/>
      <c r="H174" s="70"/>
      <c r="I174" s="70"/>
      <c r="J174" s="70"/>
      <c r="N174" s="70"/>
      <c r="O174" s="69"/>
      <c r="S174" s="70"/>
      <c r="T174" s="69"/>
      <c r="V174" s="72" t="str">
        <f t="shared" si="6"/>
        <v/>
      </c>
      <c r="W174" s="72" t="str">
        <f t="shared" si="7"/>
        <v/>
      </c>
      <c r="X174" s="72" t="str">
        <f t="shared" si="8"/>
        <v/>
      </c>
      <c r="AD174" s="70"/>
      <c r="AE174" s="70"/>
      <c r="AF174" s="70"/>
      <c r="AH174" s="70"/>
      <c r="AJ174" s="70"/>
      <c r="AN174" s="70"/>
      <c r="AO174" s="70"/>
      <c r="AP174" s="70"/>
      <c r="AR174" s="70"/>
      <c r="AT174" s="70"/>
      <c r="AX174" s="70"/>
      <c r="AY174" s="70"/>
      <c r="AZ174" s="70"/>
      <c r="BB174" s="70"/>
      <c r="BD174" s="70"/>
      <c r="BE174" s="70"/>
      <c r="BF174" s="70"/>
      <c r="BK174" s="70"/>
      <c r="BM174" s="70"/>
      <c r="BN174" s="70"/>
      <c r="BP174" s="70"/>
      <c r="BQ174" s="70"/>
      <c r="BR174" s="70"/>
      <c r="BT174" s="70"/>
      <c r="BU174" s="70"/>
      <c r="BV174" s="70"/>
      <c r="BW174" s="70"/>
      <c r="BX174" s="70"/>
      <c r="BY174" s="70"/>
      <c r="BZ174" s="70"/>
      <c r="CA174" s="70"/>
      <c r="CB174" s="70"/>
      <c r="CC174" s="70"/>
      <c r="CD174" s="70"/>
      <c r="CE174" s="70"/>
      <c r="CF174" s="70"/>
      <c r="CJ174" s="70"/>
      <c r="CK174" s="70"/>
      <c r="CL174" s="70"/>
      <c r="CM174" s="70"/>
      <c r="CO174" s="70"/>
      <c r="CQ174" s="70"/>
      <c r="CS174" s="70"/>
      <c r="CT174" s="70"/>
      <c r="CU174" s="70"/>
      <c r="CW174" s="70"/>
      <c r="CX174" s="70"/>
      <c r="CY174" s="70"/>
      <c r="CZ174" s="70"/>
      <c r="DC174" s="70"/>
      <c r="DD174" s="70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</row>
    <row r="175" spans="1:123" ht="24.95" customHeight="1">
      <c r="A175" s="68"/>
      <c r="D175" s="69"/>
      <c r="E175" s="69"/>
      <c r="F175" s="69"/>
      <c r="G175" s="70"/>
      <c r="H175" s="70"/>
      <c r="I175" s="70"/>
      <c r="J175" s="70"/>
      <c r="N175" s="70"/>
      <c r="O175" s="69"/>
      <c r="S175" s="70"/>
      <c r="T175" s="69"/>
      <c r="V175" s="72" t="str">
        <f t="shared" si="6"/>
        <v/>
      </c>
      <c r="W175" s="72" t="str">
        <f t="shared" si="7"/>
        <v/>
      </c>
      <c r="X175" s="72" t="str">
        <f t="shared" si="8"/>
        <v/>
      </c>
      <c r="AD175" s="70"/>
      <c r="AE175" s="70"/>
      <c r="AF175" s="70"/>
      <c r="AH175" s="70"/>
      <c r="AJ175" s="70"/>
      <c r="AN175" s="70"/>
      <c r="AO175" s="70"/>
      <c r="AP175" s="70"/>
      <c r="AR175" s="70"/>
      <c r="AT175" s="70"/>
      <c r="AX175" s="70"/>
      <c r="AY175" s="70"/>
      <c r="AZ175" s="70"/>
      <c r="BB175" s="70"/>
      <c r="BD175" s="70"/>
      <c r="BE175" s="70"/>
      <c r="BF175" s="70"/>
      <c r="BK175" s="70"/>
      <c r="BM175" s="70"/>
      <c r="BN175" s="70"/>
      <c r="BP175" s="70"/>
      <c r="BQ175" s="70"/>
      <c r="BR175" s="70"/>
      <c r="BT175" s="70"/>
      <c r="BU175" s="70"/>
      <c r="BV175" s="70"/>
      <c r="BW175" s="70"/>
      <c r="BX175" s="70"/>
      <c r="BY175" s="70"/>
      <c r="BZ175" s="70"/>
      <c r="CA175" s="70"/>
      <c r="CB175" s="70"/>
      <c r="CC175" s="70"/>
      <c r="CD175" s="70"/>
      <c r="CE175" s="70"/>
      <c r="CF175" s="70"/>
      <c r="CJ175" s="70"/>
      <c r="CK175" s="70"/>
      <c r="CL175" s="70"/>
      <c r="CM175" s="70"/>
      <c r="CO175" s="70"/>
      <c r="CQ175" s="70"/>
      <c r="CS175" s="70"/>
      <c r="CT175" s="70"/>
      <c r="CU175" s="70"/>
      <c r="CW175" s="70"/>
      <c r="CX175" s="70"/>
      <c r="CY175" s="70"/>
      <c r="CZ175" s="70"/>
      <c r="DC175" s="70"/>
      <c r="DD175" s="70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</row>
    <row r="176" spans="1:123" ht="24.95" customHeight="1">
      <c r="A176" s="68"/>
      <c r="D176" s="69"/>
      <c r="E176" s="69"/>
      <c r="F176" s="69"/>
      <c r="G176" s="70"/>
      <c r="H176" s="70"/>
      <c r="I176" s="70"/>
      <c r="J176" s="70"/>
      <c r="N176" s="70"/>
      <c r="O176" s="69"/>
      <c r="S176" s="70"/>
      <c r="T176" s="69"/>
      <c r="V176" s="72" t="str">
        <f t="shared" si="6"/>
        <v/>
      </c>
      <c r="W176" s="72" t="str">
        <f t="shared" si="7"/>
        <v/>
      </c>
      <c r="X176" s="72" t="str">
        <f t="shared" si="8"/>
        <v/>
      </c>
      <c r="AD176" s="70"/>
      <c r="AE176" s="70"/>
      <c r="AF176" s="70"/>
      <c r="AH176" s="70"/>
      <c r="AJ176" s="70"/>
      <c r="AN176" s="70"/>
      <c r="AO176" s="70"/>
      <c r="AP176" s="70"/>
      <c r="AR176" s="70"/>
      <c r="AT176" s="70"/>
      <c r="AX176" s="70"/>
      <c r="AY176" s="70"/>
      <c r="AZ176" s="70"/>
      <c r="BB176" s="70"/>
      <c r="BD176" s="70"/>
      <c r="BE176" s="70"/>
      <c r="BF176" s="70"/>
      <c r="BK176" s="70"/>
      <c r="BM176" s="70"/>
      <c r="BN176" s="70"/>
      <c r="BP176" s="70"/>
      <c r="BQ176" s="70"/>
      <c r="BR176" s="70"/>
      <c r="BT176" s="70"/>
      <c r="BU176" s="70"/>
      <c r="BV176" s="70"/>
      <c r="BW176" s="70"/>
      <c r="BX176" s="70"/>
      <c r="BY176" s="70"/>
      <c r="BZ176" s="70"/>
      <c r="CA176" s="70"/>
      <c r="CB176" s="70"/>
      <c r="CC176" s="70"/>
      <c r="CD176" s="70"/>
      <c r="CE176" s="70"/>
      <c r="CF176" s="70"/>
      <c r="CJ176" s="70"/>
      <c r="CK176" s="70"/>
      <c r="CL176" s="70"/>
      <c r="CM176" s="70"/>
      <c r="CO176" s="70"/>
      <c r="CQ176" s="70"/>
      <c r="CS176" s="70"/>
      <c r="CT176" s="70"/>
      <c r="CU176" s="70"/>
      <c r="CW176" s="70"/>
      <c r="CX176" s="70"/>
      <c r="CY176" s="70"/>
      <c r="CZ176" s="70"/>
      <c r="DC176" s="70"/>
      <c r="DD176" s="70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</row>
    <row r="177" spans="1:123" ht="24.95" customHeight="1">
      <c r="A177" s="68"/>
      <c r="D177" s="69"/>
      <c r="E177" s="69"/>
      <c r="F177" s="69"/>
      <c r="G177" s="70"/>
      <c r="H177" s="70"/>
      <c r="I177" s="70"/>
      <c r="J177" s="70"/>
      <c r="N177" s="70"/>
      <c r="O177" s="69"/>
      <c r="S177" s="70"/>
      <c r="T177" s="69"/>
      <c r="V177" s="72" t="str">
        <f t="shared" si="6"/>
        <v/>
      </c>
      <c r="W177" s="72" t="str">
        <f t="shared" si="7"/>
        <v/>
      </c>
      <c r="X177" s="72" t="str">
        <f t="shared" si="8"/>
        <v/>
      </c>
      <c r="AD177" s="70"/>
      <c r="AE177" s="70"/>
      <c r="AF177" s="70"/>
      <c r="AH177" s="70"/>
      <c r="AJ177" s="70"/>
      <c r="AN177" s="70"/>
      <c r="AO177" s="70"/>
      <c r="AP177" s="70"/>
      <c r="AR177" s="70"/>
      <c r="AT177" s="70"/>
      <c r="AX177" s="70"/>
      <c r="AY177" s="70"/>
      <c r="AZ177" s="70"/>
      <c r="BB177" s="70"/>
      <c r="BD177" s="70"/>
      <c r="BE177" s="70"/>
      <c r="BF177" s="70"/>
      <c r="BK177" s="70"/>
      <c r="BM177" s="70"/>
      <c r="BN177" s="70"/>
      <c r="BP177" s="70"/>
      <c r="BQ177" s="70"/>
      <c r="BR177" s="70"/>
      <c r="BT177" s="70"/>
      <c r="BU177" s="70"/>
      <c r="BV177" s="70"/>
      <c r="BW177" s="70"/>
      <c r="BX177" s="70"/>
      <c r="BY177" s="70"/>
      <c r="BZ177" s="70"/>
      <c r="CA177" s="70"/>
      <c r="CB177" s="70"/>
      <c r="CC177" s="70"/>
      <c r="CD177" s="70"/>
      <c r="CE177" s="70"/>
      <c r="CF177" s="70"/>
      <c r="CJ177" s="70"/>
      <c r="CK177" s="70"/>
      <c r="CL177" s="70"/>
      <c r="CM177" s="70"/>
      <c r="CO177" s="70"/>
      <c r="CQ177" s="70"/>
      <c r="CS177" s="70"/>
      <c r="CT177" s="70"/>
      <c r="CU177" s="70"/>
      <c r="CW177" s="70"/>
      <c r="CX177" s="70"/>
      <c r="CY177" s="70"/>
      <c r="CZ177" s="70"/>
      <c r="DC177" s="70"/>
      <c r="DD177" s="70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</row>
    <row r="178" spans="1:123" ht="24.95" customHeight="1">
      <c r="A178" s="68"/>
      <c r="D178" s="69"/>
      <c r="E178" s="69"/>
      <c r="F178" s="69"/>
      <c r="G178" s="70"/>
      <c r="H178" s="70"/>
      <c r="I178" s="70"/>
      <c r="J178" s="70"/>
      <c r="N178" s="70"/>
      <c r="O178" s="69"/>
      <c r="S178" s="70"/>
      <c r="T178" s="69"/>
      <c r="V178" s="72" t="str">
        <f t="shared" si="6"/>
        <v/>
      </c>
      <c r="W178" s="72" t="str">
        <f t="shared" si="7"/>
        <v/>
      </c>
      <c r="X178" s="72" t="str">
        <f t="shared" si="8"/>
        <v/>
      </c>
      <c r="AD178" s="70"/>
      <c r="AE178" s="70"/>
      <c r="AF178" s="70"/>
      <c r="AH178" s="70"/>
      <c r="AJ178" s="70"/>
      <c r="AN178" s="70"/>
      <c r="AO178" s="70"/>
      <c r="AP178" s="70"/>
      <c r="AR178" s="70"/>
      <c r="AT178" s="70"/>
      <c r="AX178" s="70"/>
      <c r="AY178" s="70"/>
      <c r="AZ178" s="70"/>
      <c r="BB178" s="70"/>
      <c r="BD178" s="70"/>
      <c r="BE178" s="70"/>
      <c r="BF178" s="70"/>
      <c r="BK178" s="70"/>
      <c r="BM178" s="70"/>
      <c r="BN178" s="70"/>
      <c r="BP178" s="70"/>
      <c r="BQ178" s="70"/>
      <c r="BR178" s="70"/>
      <c r="BT178" s="70"/>
      <c r="BU178" s="70"/>
      <c r="BV178" s="70"/>
      <c r="BW178" s="70"/>
      <c r="BX178" s="70"/>
      <c r="BY178" s="70"/>
      <c r="BZ178" s="70"/>
      <c r="CA178" s="70"/>
      <c r="CB178" s="70"/>
      <c r="CC178" s="70"/>
      <c r="CD178" s="70"/>
      <c r="CE178" s="70"/>
      <c r="CF178" s="70"/>
      <c r="CJ178" s="70"/>
      <c r="CK178" s="70"/>
      <c r="CL178" s="70"/>
      <c r="CM178" s="70"/>
      <c r="CO178" s="70"/>
      <c r="CQ178" s="70"/>
      <c r="CS178" s="70"/>
      <c r="CT178" s="70"/>
      <c r="CU178" s="70"/>
      <c r="CW178" s="70"/>
      <c r="CX178" s="70"/>
      <c r="CY178" s="70"/>
      <c r="CZ178" s="70"/>
      <c r="DC178" s="70"/>
      <c r="DD178" s="70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</row>
    <row r="179" spans="1:123" ht="24.95" customHeight="1">
      <c r="A179" s="68"/>
      <c r="D179" s="69"/>
      <c r="E179" s="69"/>
      <c r="F179" s="69"/>
      <c r="G179" s="70"/>
      <c r="H179" s="70"/>
      <c r="I179" s="70"/>
      <c r="J179" s="70"/>
      <c r="N179" s="70"/>
      <c r="O179" s="69"/>
      <c r="S179" s="70"/>
      <c r="T179" s="69"/>
      <c r="V179" s="72" t="str">
        <f t="shared" si="6"/>
        <v/>
      </c>
      <c r="W179" s="72" t="str">
        <f t="shared" si="7"/>
        <v/>
      </c>
      <c r="X179" s="72" t="str">
        <f t="shared" si="8"/>
        <v/>
      </c>
      <c r="AD179" s="70"/>
      <c r="AE179" s="70"/>
      <c r="AF179" s="70"/>
      <c r="AH179" s="70"/>
      <c r="AJ179" s="70"/>
      <c r="AN179" s="70"/>
      <c r="AO179" s="70"/>
      <c r="AP179" s="70"/>
      <c r="AR179" s="70"/>
      <c r="AT179" s="70"/>
      <c r="AX179" s="70"/>
      <c r="AY179" s="70"/>
      <c r="AZ179" s="70"/>
      <c r="BB179" s="70"/>
      <c r="BD179" s="70"/>
      <c r="BE179" s="70"/>
      <c r="BF179" s="70"/>
      <c r="BK179" s="70"/>
      <c r="BM179" s="70"/>
      <c r="BN179" s="70"/>
      <c r="BP179" s="70"/>
      <c r="BQ179" s="70"/>
      <c r="BR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J179" s="70"/>
      <c r="CK179" s="70"/>
      <c r="CL179" s="70"/>
      <c r="CM179" s="70"/>
      <c r="CO179" s="70"/>
      <c r="CQ179" s="70"/>
      <c r="CS179" s="70"/>
      <c r="CT179" s="70"/>
      <c r="CU179" s="70"/>
      <c r="CW179" s="70"/>
      <c r="CX179" s="70"/>
      <c r="CY179" s="70"/>
      <c r="CZ179" s="70"/>
      <c r="DC179" s="70"/>
      <c r="DD179" s="70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</row>
    <row r="180" spans="1:123" ht="24.95" customHeight="1">
      <c r="A180" s="68"/>
      <c r="D180" s="69"/>
      <c r="E180" s="69"/>
      <c r="F180" s="69"/>
      <c r="G180" s="70"/>
      <c r="H180" s="70"/>
      <c r="I180" s="70"/>
      <c r="J180" s="70"/>
      <c r="N180" s="70"/>
      <c r="O180" s="69"/>
      <c r="S180" s="70"/>
      <c r="T180" s="69"/>
      <c r="V180" s="72" t="str">
        <f t="shared" si="6"/>
        <v/>
      </c>
      <c r="W180" s="72" t="str">
        <f t="shared" si="7"/>
        <v/>
      </c>
      <c r="X180" s="72" t="str">
        <f t="shared" si="8"/>
        <v/>
      </c>
      <c r="AD180" s="70"/>
      <c r="AE180" s="70"/>
      <c r="AF180" s="70"/>
      <c r="AH180" s="70"/>
      <c r="AJ180" s="70"/>
      <c r="AN180" s="70"/>
      <c r="AO180" s="70"/>
      <c r="AP180" s="70"/>
      <c r="AR180" s="70"/>
      <c r="AT180" s="70"/>
      <c r="AX180" s="70"/>
      <c r="AY180" s="70"/>
      <c r="AZ180" s="70"/>
      <c r="BB180" s="70"/>
      <c r="BD180" s="70"/>
      <c r="BE180" s="70"/>
      <c r="BF180" s="70"/>
      <c r="BK180" s="70"/>
      <c r="BM180" s="70"/>
      <c r="BN180" s="70"/>
      <c r="BP180" s="70"/>
      <c r="BQ180" s="70"/>
      <c r="BR180" s="70"/>
      <c r="BT180" s="70"/>
      <c r="BU180" s="70"/>
      <c r="BV180" s="70"/>
      <c r="BW180" s="70"/>
      <c r="BX180" s="70"/>
      <c r="BY180" s="70"/>
      <c r="BZ180" s="70"/>
      <c r="CA180" s="70"/>
      <c r="CB180" s="70"/>
      <c r="CC180" s="70"/>
      <c r="CD180" s="70"/>
      <c r="CE180" s="70"/>
      <c r="CF180" s="70"/>
      <c r="CJ180" s="70"/>
      <c r="CK180" s="70"/>
      <c r="CL180" s="70"/>
      <c r="CM180" s="70"/>
      <c r="CO180" s="70"/>
      <c r="CQ180" s="70"/>
      <c r="CS180" s="70"/>
      <c r="CT180" s="70"/>
      <c r="CU180" s="70"/>
      <c r="CW180" s="70"/>
      <c r="CX180" s="70"/>
      <c r="CY180" s="70"/>
      <c r="CZ180" s="70"/>
      <c r="DC180" s="70"/>
      <c r="DD180" s="70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</row>
    <row r="181" spans="1:123" ht="24.95" customHeight="1">
      <c r="A181" s="68"/>
      <c r="D181" s="69"/>
      <c r="E181" s="69"/>
      <c r="F181" s="69"/>
      <c r="G181" s="70"/>
      <c r="H181" s="70"/>
      <c r="I181" s="70"/>
      <c r="J181" s="70"/>
      <c r="N181" s="70"/>
      <c r="O181" s="69"/>
      <c r="S181" s="70"/>
      <c r="T181" s="69"/>
      <c r="V181" s="72" t="str">
        <f t="shared" si="6"/>
        <v/>
      </c>
      <c r="W181" s="72" t="str">
        <f t="shared" si="7"/>
        <v/>
      </c>
      <c r="X181" s="72" t="str">
        <f t="shared" si="8"/>
        <v/>
      </c>
      <c r="AD181" s="70"/>
      <c r="AE181" s="70"/>
      <c r="AF181" s="70"/>
      <c r="AH181" s="70"/>
      <c r="AJ181" s="70"/>
      <c r="AN181" s="70"/>
      <c r="AO181" s="70"/>
      <c r="AP181" s="70"/>
      <c r="AR181" s="70"/>
      <c r="AT181" s="70"/>
      <c r="AX181" s="70"/>
      <c r="AY181" s="70"/>
      <c r="AZ181" s="70"/>
      <c r="BB181" s="70"/>
      <c r="BD181" s="70"/>
      <c r="BE181" s="70"/>
      <c r="BF181" s="70"/>
      <c r="BK181" s="70"/>
      <c r="BM181" s="70"/>
      <c r="BN181" s="70"/>
      <c r="BP181" s="70"/>
      <c r="BQ181" s="70"/>
      <c r="BR181" s="70"/>
      <c r="BT181" s="70"/>
      <c r="BU181" s="70"/>
      <c r="BV181" s="70"/>
      <c r="BW181" s="70"/>
      <c r="BX181" s="70"/>
      <c r="BY181" s="70"/>
      <c r="BZ181" s="70"/>
      <c r="CA181" s="70"/>
      <c r="CB181" s="70"/>
      <c r="CC181" s="70"/>
      <c r="CD181" s="70"/>
      <c r="CE181" s="70"/>
      <c r="CF181" s="70"/>
      <c r="CJ181" s="70"/>
      <c r="CK181" s="70"/>
      <c r="CL181" s="70"/>
      <c r="CM181" s="70"/>
      <c r="CO181" s="70"/>
      <c r="CQ181" s="70"/>
      <c r="CS181" s="70"/>
      <c r="CT181" s="70"/>
      <c r="CU181" s="70"/>
      <c r="CW181" s="70"/>
      <c r="CX181" s="70"/>
      <c r="CY181" s="70"/>
      <c r="CZ181" s="70"/>
      <c r="DC181" s="70"/>
      <c r="DD181" s="70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</row>
    <row r="182" spans="1:123" ht="24.95" customHeight="1">
      <c r="A182" s="68"/>
      <c r="D182" s="69"/>
      <c r="E182" s="69"/>
      <c r="F182" s="69"/>
      <c r="G182" s="70"/>
      <c r="H182" s="70"/>
      <c r="I182" s="70"/>
      <c r="J182" s="70"/>
      <c r="N182" s="70"/>
      <c r="O182" s="69"/>
      <c r="S182" s="70"/>
      <c r="T182" s="69"/>
      <c r="V182" s="72" t="str">
        <f t="shared" si="6"/>
        <v/>
      </c>
      <c r="W182" s="72" t="str">
        <f t="shared" si="7"/>
        <v/>
      </c>
      <c r="X182" s="72" t="str">
        <f t="shared" si="8"/>
        <v/>
      </c>
      <c r="AD182" s="70"/>
      <c r="AE182" s="70"/>
      <c r="AF182" s="70"/>
      <c r="AH182" s="70"/>
      <c r="AJ182" s="70"/>
      <c r="AN182" s="70"/>
      <c r="AO182" s="70"/>
      <c r="AP182" s="70"/>
      <c r="AR182" s="70"/>
      <c r="AT182" s="70"/>
      <c r="AX182" s="70"/>
      <c r="AY182" s="70"/>
      <c r="AZ182" s="70"/>
      <c r="BB182" s="70"/>
      <c r="BD182" s="70"/>
      <c r="BE182" s="70"/>
      <c r="BF182" s="70"/>
      <c r="BK182" s="70"/>
      <c r="BM182" s="70"/>
      <c r="BN182" s="70"/>
      <c r="BP182" s="70"/>
      <c r="BQ182" s="70"/>
      <c r="BR182" s="70"/>
      <c r="BT182" s="70"/>
      <c r="BU182" s="70"/>
      <c r="BV182" s="70"/>
      <c r="BW182" s="70"/>
      <c r="BX182" s="70"/>
      <c r="BY182" s="70"/>
      <c r="BZ182" s="70"/>
      <c r="CA182" s="70"/>
      <c r="CB182" s="70"/>
      <c r="CC182" s="70"/>
      <c r="CD182" s="70"/>
      <c r="CE182" s="70"/>
      <c r="CF182" s="70"/>
      <c r="CJ182" s="70"/>
      <c r="CK182" s="70"/>
      <c r="CL182" s="70"/>
      <c r="CM182" s="70"/>
      <c r="CO182" s="70"/>
      <c r="CQ182" s="70"/>
      <c r="CS182" s="70"/>
      <c r="CT182" s="70"/>
      <c r="CU182" s="70"/>
      <c r="CW182" s="70"/>
      <c r="CX182" s="70"/>
      <c r="CY182" s="70"/>
      <c r="CZ182" s="70"/>
      <c r="DC182" s="70"/>
      <c r="DD182" s="70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</row>
    <row r="183" spans="1:123" ht="24.95" customHeight="1">
      <c r="A183" s="68"/>
      <c r="D183" s="69"/>
      <c r="E183" s="69"/>
      <c r="F183" s="69"/>
      <c r="G183" s="70"/>
      <c r="H183" s="70"/>
      <c r="I183" s="70"/>
      <c r="J183" s="70"/>
      <c r="N183" s="70"/>
      <c r="O183" s="69"/>
      <c r="S183" s="70"/>
      <c r="T183" s="69"/>
      <c r="V183" s="72" t="str">
        <f t="shared" si="6"/>
        <v/>
      </c>
      <c r="W183" s="72" t="str">
        <f t="shared" si="7"/>
        <v/>
      </c>
      <c r="X183" s="72" t="str">
        <f t="shared" si="8"/>
        <v/>
      </c>
      <c r="AD183" s="70"/>
      <c r="AE183" s="70"/>
      <c r="AF183" s="70"/>
      <c r="AH183" s="70"/>
      <c r="AJ183" s="70"/>
      <c r="AN183" s="70"/>
      <c r="AO183" s="70"/>
      <c r="AP183" s="70"/>
      <c r="AR183" s="70"/>
      <c r="AT183" s="70"/>
      <c r="AX183" s="70"/>
      <c r="AY183" s="70"/>
      <c r="AZ183" s="70"/>
      <c r="BB183" s="70"/>
      <c r="BD183" s="70"/>
      <c r="BE183" s="70"/>
      <c r="BF183" s="70"/>
      <c r="BK183" s="70"/>
      <c r="BM183" s="70"/>
      <c r="BN183" s="70"/>
      <c r="BP183" s="70"/>
      <c r="BQ183" s="70"/>
      <c r="BR183" s="70"/>
      <c r="BT183" s="70"/>
      <c r="BU183" s="70"/>
      <c r="BV183" s="70"/>
      <c r="BW183" s="70"/>
      <c r="BX183" s="70"/>
      <c r="BY183" s="70"/>
      <c r="BZ183" s="70"/>
      <c r="CA183" s="70"/>
      <c r="CB183" s="70"/>
      <c r="CC183" s="70"/>
      <c r="CD183" s="70"/>
      <c r="CE183" s="70"/>
      <c r="CF183" s="70"/>
      <c r="CJ183" s="70"/>
      <c r="CK183" s="70"/>
      <c r="CL183" s="70"/>
      <c r="CM183" s="70"/>
      <c r="CO183" s="70"/>
      <c r="CQ183" s="70"/>
      <c r="CS183" s="70"/>
      <c r="CT183" s="70"/>
      <c r="CU183" s="70"/>
      <c r="CW183" s="70"/>
      <c r="CX183" s="70"/>
      <c r="CY183" s="70"/>
      <c r="CZ183" s="70"/>
      <c r="DC183" s="70"/>
      <c r="DD183" s="70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</row>
    <row r="184" spans="1:123" ht="24.95" customHeight="1">
      <c r="A184" s="68"/>
      <c r="D184" s="69"/>
      <c r="E184" s="69"/>
      <c r="F184" s="69"/>
      <c r="G184" s="70"/>
      <c r="H184" s="70"/>
      <c r="I184" s="70"/>
      <c r="J184" s="70"/>
      <c r="N184" s="70"/>
      <c r="O184" s="69"/>
      <c r="S184" s="70"/>
      <c r="T184" s="69"/>
      <c r="V184" s="72" t="str">
        <f t="shared" si="6"/>
        <v/>
      </c>
      <c r="W184" s="72" t="str">
        <f t="shared" si="7"/>
        <v/>
      </c>
      <c r="X184" s="72" t="str">
        <f t="shared" si="8"/>
        <v/>
      </c>
      <c r="AD184" s="70"/>
      <c r="AE184" s="70"/>
      <c r="AF184" s="70"/>
      <c r="AH184" s="70"/>
      <c r="AJ184" s="70"/>
      <c r="AN184" s="70"/>
      <c r="AO184" s="70"/>
      <c r="AP184" s="70"/>
      <c r="AR184" s="70"/>
      <c r="AT184" s="70"/>
      <c r="AX184" s="70"/>
      <c r="AY184" s="70"/>
      <c r="AZ184" s="70"/>
      <c r="BB184" s="70"/>
      <c r="BD184" s="70"/>
      <c r="BE184" s="70"/>
      <c r="BF184" s="70"/>
      <c r="BK184" s="70"/>
      <c r="BM184" s="70"/>
      <c r="BN184" s="70"/>
      <c r="BP184" s="70"/>
      <c r="BQ184" s="70"/>
      <c r="BR184" s="70"/>
      <c r="BT184" s="70"/>
      <c r="BU184" s="70"/>
      <c r="BV184" s="70"/>
      <c r="BW184" s="70"/>
      <c r="BX184" s="70"/>
      <c r="BY184" s="70"/>
      <c r="BZ184" s="70"/>
      <c r="CA184" s="70"/>
      <c r="CB184" s="70"/>
      <c r="CC184" s="70"/>
      <c r="CD184" s="70"/>
      <c r="CE184" s="70"/>
      <c r="CF184" s="70"/>
      <c r="CJ184" s="70"/>
      <c r="CK184" s="70"/>
      <c r="CL184" s="70"/>
      <c r="CM184" s="70"/>
      <c r="CO184" s="70"/>
      <c r="CQ184" s="70"/>
      <c r="CS184" s="70"/>
      <c r="CT184" s="70"/>
      <c r="CU184" s="70"/>
      <c r="CW184" s="70"/>
      <c r="CX184" s="70"/>
      <c r="CY184" s="70"/>
      <c r="CZ184" s="70"/>
      <c r="DC184" s="70"/>
      <c r="DD184" s="70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</row>
    <row r="185" spans="1:123" ht="24.95" customHeight="1">
      <c r="A185" s="68"/>
      <c r="D185" s="69"/>
      <c r="E185" s="69"/>
      <c r="F185" s="69"/>
      <c r="G185" s="70"/>
      <c r="H185" s="70"/>
      <c r="I185" s="70"/>
      <c r="J185" s="70"/>
      <c r="N185" s="70"/>
      <c r="O185" s="69"/>
      <c r="S185" s="70"/>
      <c r="T185" s="69"/>
      <c r="V185" s="72" t="str">
        <f t="shared" si="6"/>
        <v/>
      </c>
      <c r="W185" s="72" t="str">
        <f t="shared" si="7"/>
        <v/>
      </c>
      <c r="X185" s="72" t="str">
        <f t="shared" si="8"/>
        <v/>
      </c>
      <c r="AD185" s="70"/>
      <c r="AE185" s="70"/>
      <c r="AF185" s="70"/>
      <c r="AH185" s="70"/>
      <c r="AJ185" s="70"/>
      <c r="AN185" s="70"/>
      <c r="AO185" s="70"/>
      <c r="AP185" s="70"/>
      <c r="AR185" s="70"/>
      <c r="AT185" s="70"/>
      <c r="AX185" s="70"/>
      <c r="AY185" s="70"/>
      <c r="AZ185" s="70"/>
      <c r="BB185" s="70"/>
      <c r="BD185" s="70"/>
      <c r="BE185" s="70"/>
      <c r="BF185" s="70"/>
      <c r="BK185" s="70"/>
      <c r="BM185" s="70"/>
      <c r="BN185" s="70"/>
      <c r="BP185" s="70"/>
      <c r="BQ185" s="70"/>
      <c r="BR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J185" s="70"/>
      <c r="CK185" s="70"/>
      <c r="CL185" s="70"/>
      <c r="CM185" s="70"/>
      <c r="CO185" s="70"/>
      <c r="CQ185" s="70"/>
      <c r="CS185" s="70"/>
      <c r="CT185" s="70"/>
      <c r="CU185" s="70"/>
      <c r="CW185" s="70"/>
      <c r="CX185" s="70"/>
      <c r="CY185" s="70"/>
      <c r="CZ185" s="70"/>
      <c r="DC185" s="70"/>
      <c r="DD185" s="70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</row>
    <row r="186" spans="1:123" ht="24.95" customHeight="1">
      <c r="A186" s="68"/>
      <c r="D186" s="69"/>
      <c r="E186" s="69"/>
      <c r="F186" s="69"/>
      <c r="G186" s="70"/>
      <c r="H186" s="70"/>
      <c r="I186" s="70"/>
      <c r="J186" s="70"/>
      <c r="N186" s="70"/>
      <c r="O186" s="69"/>
      <c r="S186" s="70"/>
      <c r="T186" s="69"/>
      <c r="V186" s="72" t="str">
        <f t="shared" si="6"/>
        <v/>
      </c>
      <c r="W186" s="72" t="str">
        <f t="shared" si="7"/>
        <v/>
      </c>
      <c r="X186" s="72" t="str">
        <f t="shared" si="8"/>
        <v/>
      </c>
      <c r="AD186" s="70"/>
      <c r="AE186" s="70"/>
      <c r="AF186" s="70"/>
      <c r="AH186" s="70"/>
      <c r="AJ186" s="70"/>
      <c r="AN186" s="70"/>
      <c r="AO186" s="70"/>
      <c r="AP186" s="70"/>
      <c r="AR186" s="70"/>
      <c r="AT186" s="70"/>
      <c r="AX186" s="70"/>
      <c r="AY186" s="70"/>
      <c r="AZ186" s="70"/>
      <c r="BB186" s="70"/>
      <c r="BD186" s="70"/>
      <c r="BE186" s="70"/>
      <c r="BF186" s="70"/>
      <c r="BK186" s="70"/>
      <c r="BM186" s="70"/>
      <c r="BN186" s="70"/>
      <c r="BP186" s="70"/>
      <c r="BQ186" s="70"/>
      <c r="BR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J186" s="70"/>
      <c r="CK186" s="70"/>
      <c r="CL186" s="70"/>
      <c r="CM186" s="70"/>
      <c r="CO186" s="70"/>
      <c r="CQ186" s="70"/>
      <c r="CS186" s="70"/>
      <c r="CT186" s="70"/>
      <c r="CU186" s="70"/>
      <c r="CW186" s="70"/>
      <c r="CX186" s="70"/>
      <c r="CY186" s="70"/>
      <c r="CZ186" s="70"/>
      <c r="DC186" s="70"/>
      <c r="DD186" s="70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</row>
    <row r="187" spans="1:123" ht="24.95" customHeight="1">
      <c r="A187" s="68"/>
      <c r="D187" s="69"/>
      <c r="E187" s="69"/>
      <c r="F187" s="69"/>
      <c r="G187" s="70"/>
      <c r="H187" s="70"/>
      <c r="I187" s="70"/>
      <c r="J187" s="70"/>
      <c r="N187" s="70"/>
      <c r="O187" s="69"/>
      <c r="S187" s="70"/>
      <c r="T187" s="69"/>
      <c r="V187" s="72" t="str">
        <f t="shared" si="6"/>
        <v/>
      </c>
      <c r="W187" s="72" t="str">
        <f t="shared" si="7"/>
        <v/>
      </c>
      <c r="X187" s="72" t="str">
        <f t="shared" si="8"/>
        <v/>
      </c>
      <c r="AD187" s="70"/>
      <c r="AE187" s="70"/>
      <c r="AF187" s="70"/>
      <c r="AH187" s="70"/>
      <c r="AJ187" s="70"/>
      <c r="AN187" s="70"/>
      <c r="AO187" s="70"/>
      <c r="AP187" s="70"/>
      <c r="AR187" s="70"/>
      <c r="AT187" s="70"/>
      <c r="AX187" s="70"/>
      <c r="AY187" s="70"/>
      <c r="AZ187" s="70"/>
      <c r="BB187" s="70"/>
      <c r="BD187" s="70"/>
      <c r="BE187" s="70"/>
      <c r="BF187" s="70"/>
      <c r="BK187" s="70"/>
      <c r="BM187" s="70"/>
      <c r="BN187" s="70"/>
      <c r="BP187" s="70"/>
      <c r="BQ187" s="70"/>
      <c r="BR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J187" s="70"/>
      <c r="CK187" s="70"/>
      <c r="CL187" s="70"/>
      <c r="CM187" s="70"/>
      <c r="CO187" s="70"/>
      <c r="CQ187" s="70"/>
      <c r="CS187" s="70"/>
      <c r="CT187" s="70"/>
      <c r="CU187" s="70"/>
      <c r="CW187" s="70"/>
      <c r="CX187" s="70"/>
      <c r="CY187" s="70"/>
      <c r="CZ187" s="70"/>
      <c r="DC187" s="70"/>
      <c r="DD187" s="70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</row>
    <row r="188" spans="1:123" ht="24.95" customHeight="1">
      <c r="A188" s="68"/>
      <c r="D188" s="69"/>
      <c r="E188" s="69"/>
      <c r="F188" s="69"/>
      <c r="G188" s="70"/>
      <c r="H188" s="70"/>
      <c r="I188" s="70"/>
      <c r="J188" s="70"/>
      <c r="N188" s="70"/>
      <c r="O188" s="69"/>
      <c r="S188" s="70"/>
      <c r="T188" s="69"/>
      <c r="V188" s="72" t="str">
        <f t="shared" si="6"/>
        <v/>
      </c>
      <c r="W188" s="72" t="str">
        <f t="shared" si="7"/>
        <v/>
      </c>
      <c r="X188" s="72" t="str">
        <f t="shared" si="8"/>
        <v/>
      </c>
      <c r="AD188" s="70"/>
      <c r="AE188" s="70"/>
      <c r="AF188" s="70"/>
      <c r="AH188" s="70"/>
      <c r="AJ188" s="70"/>
      <c r="AN188" s="70"/>
      <c r="AO188" s="70"/>
      <c r="AP188" s="70"/>
      <c r="AR188" s="70"/>
      <c r="AT188" s="70"/>
      <c r="AX188" s="70"/>
      <c r="AY188" s="70"/>
      <c r="AZ188" s="70"/>
      <c r="BB188" s="70"/>
      <c r="BD188" s="70"/>
      <c r="BE188" s="70"/>
      <c r="BF188" s="70"/>
      <c r="BK188" s="70"/>
      <c r="BM188" s="70"/>
      <c r="BN188" s="70"/>
      <c r="BP188" s="70"/>
      <c r="BQ188" s="70"/>
      <c r="BR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J188" s="70"/>
      <c r="CK188" s="70"/>
      <c r="CL188" s="70"/>
      <c r="CM188" s="70"/>
      <c r="CO188" s="70"/>
      <c r="CQ188" s="70"/>
      <c r="CS188" s="70"/>
      <c r="CT188" s="70"/>
      <c r="CU188" s="70"/>
      <c r="CW188" s="70"/>
      <c r="CX188" s="70"/>
      <c r="CY188" s="70"/>
      <c r="CZ188" s="70"/>
      <c r="DC188" s="70"/>
      <c r="DD188" s="70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</row>
    <row r="189" spans="1:123" ht="24.95" customHeight="1">
      <c r="A189" s="68"/>
      <c r="D189" s="69"/>
      <c r="E189" s="69"/>
      <c r="F189" s="69"/>
      <c r="G189" s="70"/>
      <c r="H189" s="70"/>
      <c r="I189" s="70"/>
      <c r="J189" s="70"/>
      <c r="N189" s="70"/>
      <c r="O189" s="69"/>
      <c r="S189" s="70"/>
      <c r="T189" s="69"/>
      <c r="V189" s="72" t="str">
        <f t="shared" si="6"/>
        <v/>
      </c>
      <c r="W189" s="72" t="str">
        <f t="shared" si="7"/>
        <v/>
      </c>
      <c r="X189" s="72" t="str">
        <f t="shared" si="8"/>
        <v/>
      </c>
      <c r="AD189" s="70"/>
      <c r="AE189" s="70"/>
      <c r="AF189" s="70"/>
      <c r="AH189" s="70"/>
      <c r="AJ189" s="70"/>
      <c r="AN189" s="70"/>
      <c r="AO189" s="70"/>
      <c r="AP189" s="70"/>
      <c r="AR189" s="70"/>
      <c r="AT189" s="70"/>
      <c r="AX189" s="70"/>
      <c r="AY189" s="70"/>
      <c r="AZ189" s="70"/>
      <c r="BB189" s="70"/>
      <c r="BD189" s="70"/>
      <c r="BE189" s="70"/>
      <c r="BF189" s="70"/>
      <c r="BK189" s="70"/>
      <c r="BM189" s="70"/>
      <c r="BN189" s="70"/>
      <c r="BP189" s="70"/>
      <c r="BQ189" s="70"/>
      <c r="BR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J189" s="70"/>
      <c r="CK189" s="70"/>
      <c r="CL189" s="70"/>
      <c r="CM189" s="70"/>
      <c r="CO189" s="70"/>
      <c r="CQ189" s="70"/>
      <c r="CS189" s="70"/>
      <c r="CT189" s="70"/>
      <c r="CU189" s="70"/>
      <c r="CW189" s="70"/>
      <c r="CX189" s="70"/>
      <c r="CY189" s="70"/>
      <c r="CZ189" s="70"/>
      <c r="DC189" s="70"/>
      <c r="DD189" s="70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</row>
    <row r="190" spans="1:123" ht="24.95" customHeight="1">
      <c r="A190" s="68"/>
      <c r="D190" s="69"/>
      <c r="E190" s="69"/>
      <c r="F190" s="69"/>
      <c r="G190" s="70"/>
      <c r="H190" s="70"/>
      <c r="I190" s="70"/>
      <c r="J190" s="70"/>
      <c r="N190" s="70"/>
      <c r="O190" s="69"/>
      <c r="S190" s="70"/>
      <c r="T190" s="69"/>
      <c r="V190" s="72" t="str">
        <f t="shared" si="6"/>
        <v/>
      </c>
      <c r="W190" s="72" t="str">
        <f t="shared" si="7"/>
        <v/>
      </c>
      <c r="X190" s="72" t="str">
        <f t="shared" si="8"/>
        <v/>
      </c>
      <c r="AD190" s="70"/>
      <c r="AE190" s="70"/>
      <c r="AF190" s="70"/>
      <c r="AH190" s="70"/>
      <c r="AJ190" s="70"/>
      <c r="AN190" s="70"/>
      <c r="AO190" s="70"/>
      <c r="AP190" s="70"/>
      <c r="AR190" s="70"/>
      <c r="AT190" s="70"/>
      <c r="AX190" s="70"/>
      <c r="AY190" s="70"/>
      <c r="AZ190" s="70"/>
      <c r="BB190" s="70"/>
      <c r="BD190" s="70"/>
      <c r="BE190" s="70"/>
      <c r="BF190" s="70"/>
      <c r="BK190" s="70"/>
      <c r="BM190" s="70"/>
      <c r="BN190" s="70"/>
      <c r="BP190" s="70"/>
      <c r="BQ190" s="70"/>
      <c r="BR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J190" s="70"/>
      <c r="CK190" s="70"/>
      <c r="CL190" s="70"/>
      <c r="CM190" s="70"/>
      <c r="CO190" s="70"/>
      <c r="CQ190" s="70"/>
      <c r="CS190" s="70"/>
      <c r="CT190" s="70"/>
      <c r="CU190" s="70"/>
      <c r="CW190" s="70"/>
      <c r="CX190" s="70"/>
      <c r="CY190" s="70"/>
      <c r="CZ190" s="70"/>
      <c r="DC190" s="70"/>
      <c r="DD190" s="70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</row>
    <row r="191" spans="1:123" ht="24.95" customHeight="1">
      <c r="A191" s="68"/>
      <c r="D191" s="69"/>
      <c r="E191" s="69"/>
      <c r="F191" s="69"/>
      <c r="G191" s="70"/>
      <c r="H191" s="70"/>
      <c r="I191" s="70"/>
      <c r="J191" s="70"/>
      <c r="N191" s="70"/>
      <c r="O191" s="69"/>
      <c r="S191" s="70"/>
      <c r="T191" s="69"/>
      <c r="V191" s="72" t="str">
        <f t="shared" si="6"/>
        <v/>
      </c>
      <c r="W191" s="72" t="str">
        <f t="shared" si="7"/>
        <v/>
      </c>
      <c r="X191" s="72" t="str">
        <f t="shared" si="8"/>
        <v/>
      </c>
      <c r="AD191" s="70"/>
      <c r="AE191" s="70"/>
      <c r="AF191" s="70"/>
      <c r="AH191" s="70"/>
      <c r="AJ191" s="70"/>
      <c r="AN191" s="70"/>
      <c r="AO191" s="70"/>
      <c r="AP191" s="70"/>
      <c r="AR191" s="70"/>
      <c r="AT191" s="70"/>
      <c r="AX191" s="70"/>
      <c r="AY191" s="70"/>
      <c r="AZ191" s="70"/>
      <c r="BB191" s="70"/>
      <c r="BD191" s="70"/>
      <c r="BE191" s="70"/>
      <c r="BF191" s="70"/>
      <c r="BK191" s="70"/>
      <c r="BM191" s="70"/>
      <c r="BN191" s="70"/>
      <c r="BP191" s="70"/>
      <c r="BQ191" s="70"/>
      <c r="BR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J191" s="70"/>
      <c r="CK191" s="70"/>
      <c r="CL191" s="70"/>
      <c r="CM191" s="70"/>
      <c r="CO191" s="70"/>
      <c r="CQ191" s="70"/>
      <c r="CS191" s="70"/>
      <c r="CT191" s="70"/>
      <c r="CU191" s="70"/>
      <c r="CW191" s="70"/>
      <c r="CX191" s="70"/>
      <c r="CY191" s="70"/>
      <c r="CZ191" s="70"/>
      <c r="DC191" s="70"/>
      <c r="DD191" s="70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</row>
    <row r="192" spans="1:123" ht="24.95" customHeight="1">
      <c r="A192" s="68"/>
      <c r="D192" s="69"/>
      <c r="E192" s="69"/>
      <c r="F192" s="69"/>
      <c r="G192" s="70"/>
      <c r="H192" s="70"/>
      <c r="I192" s="70"/>
      <c r="J192" s="70"/>
      <c r="N192" s="70"/>
      <c r="O192" s="69"/>
      <c r="S192" s="70"/>
      <c r="T192" s="69"/>
      <c r="V192" s="72" t="str">
        <f t="shared" si="6"/>
        <v/>
      </c>
      <c r="W192" s="72" t="str">
        <f t="shared" si="7"/>
        <v/>
      </c>
      <c r="X192" s="72" t="str">
        <f t="shared" si="8"/>
        <v/>
      </c>
      <c r="AD192" s="70"/>
      <c r="AE192" s="70"/>
      <c r="AF192" s="70"/>
      <c r="AH192" s="70"/>
      <c r="AJ192" s="70"/>
      <c r="AN192" s="70"/>
      <c r="AO192" s="70"/>
      <c r="AP192" s="70"/>
      <c r="AR192" s="70"/>
      <c r="AT192" s="70"/>
      <c r="AX192" s="70"/>
      <c r="AY192" s="70"/>
      <c r="AZ192" s="70"/>
      <c r="BB192" s="70"/>
      <c r="BD192" s="70"/>
      <c r="BE192" s="70"/>
      <c r="BF192" s="70"/>
      <c r="BK192" s="70"/>
      <c r="BM192" s="70"/>
      <c r="BN192" s="70"/>
      <c r="BP192" s="70"/>
      <c r="BQ192" s="70"/>
      <c r="BR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J192" s="70"/>
      <c r="CK192" s="70"/>
      <c r="CL192" s="70"/>
      <c r="CM192" s="70"/>
      <c r="CO192" s="70"/>
      <c r="CQ192" s="70"/>
      <c r="CS192" s="70"/>
      <c r="CT192" s="70"/>
      <c r="CU192" s="70"/>
      <c r="CW192" s="70"/>
      <c r="CX192" s="70"/>
      <c r="CY192" s="70"/>
      <c r="CZ192" s="70"/>
      <c r="DC192" s="70"/>
      <c r="DD192" s="70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</row>
    <row r="193" spans="1:123" ht="24.95" customHeight="1">
      <c r="A193" s="68"/>
      <c r="D193" s="69"/>
      <c r="E193" s="69"/>
      <c r="F193" s="69"/>
      <c r="G193" s="70"/>
      <c r="H193" s="70"/>
      <c r="I193" s="70"/>
      <c r="J193" s="70"/>
      <c r="N193" s="70"/>
      <c r="O193" s="69"/>
      <c r="S193" s="70"/>
      <c r="T193" s="69"/>
      <c r="V193" s="72" t="str">
        <f t="shared" si="6"/>
        <v/>
      </c>
      <c r="W193" s="72" t="str">
        <f t="shared" si="7"/>
        <v/>
      </c>
      <c r="X193" s="72" t="str">
        <f t="shared" si="8"/>
        <v/>
      </c>
      <c r="AD193" s="70"/>
      <c r="AE193" s="70"/>
      <c r="AF193" s="70"/>
      <c r="AH193" s="70"/>
      <c r="AJ193" s="70"/>
      <c r="AN193" s="70"/>
      <c r="AO193" s="70"/>
      <c r="AP193" s="70"/>
      <c r="AR193" s="70"/>
      <c r="AT193" s="70"/>
      <c r="AX193" s="70"/>
      <c r="AY193" s="70"/>
      <c r="AZ193" s="70"/>
      <c r="BB193" s="70"/>
      <c r="BD193" s="70"/>
      <c r="BE193" s="70"/>
      <c r="BF193" s="70"/>
      <c r="BK193" s="70"/>
      <c r="BM193" s="70"/>
      <c r="BN193" s="70"/>
      <c r="BP193" s="70"/>
      <c r="BQ193" s="70"/>
      <c r="BR193" s="70"/>
      <c r="BT193" s="70"/>
      <c r="BU193" s="70"/>
      <c r="BV193" s="70"/>
      <c r="BW193" s="70"/>
      <c r="BX193" s="70"/>
      <c r="BY193" s="70"/>
      <c r="BZ193" s="70"/>
      <c r="CA193" s="70"/>
      <c r="CB193" s="70"/>
      <c r="CC193" s="70"/>
      <c r="CD193" s="70"/>
      <c r="CE193" s="70"/>
      <c r="CF193" s="70"/>
      <c r="CJ193" s="70"/>
      <c r="CK193" s="70"/>
      <c r="CL193" s="70"/>
      <c r="CM193" s="70"/>
      <c r="CO193" s="70"/>
      <c r="CQ193" s="70"/>
      <c r="CS193" s="70"/>
      <c r="CT193" s="70"/>
      <c r="CU193" s="70"/>
      <c r="CW193" s="70"/>
      <c r="CX193" s="70"/>
      <c r="CY193" s="70"/>
      <c r="CZ193" s="70"/>
      <c r="DC193" s="70"/>
      <c r="DD193" s="70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</row>
    <row r="194" spans="1:123" ht="24.95" customHeight="1">
      <c r="A194" s="68"/>
      <c r="D194" s="69"/>
      <c r="E194" s="69"/>
      <c r="F194" s="69"/>
      <c r="G194" s="70"/>
      <c r="H194" s="70"/>
      <c r="I194" s="70"/>
      <c r="J194" s="70"/>
      <c r="N194" s="70"/>
      <c r="O194" s="69"/>
      <c r="S194" s="70"/>
      <c r="T194" s="69"/>
      <c r="V194" s="72" t="str">
        <f t="shared" si="6"/>
        <v/>
      </c>
      <c r="W194" s="72" t="str">
        <f t="shared" si="7"/>
        <v/>
      </c>
      <c r="X194" s="72" t="str">
        <f t="shared" si="8"/>
        <v/>
      </c>
      <c r="AD194" s="70"/>
      <c r="AE194" s="70"/>
      <c r="AF194" s="70"/>
      <c r="AH194" s="70"/>
      <c r="AJ194" s="70"/>
      <c r="AN194" s="70"/>
      <c r="AO194" s="70"/>
      <c r="AP194" s="70"/>
      <c r="AR194" s="70"/>
      <c r="AT194" s="70"/>
      <c r="AX194" s="70"/>
      <c r="AY194" s="70"/>
      <c r="AZ194" s="70"/>
      <c r="BB194" s="70"/>
      <c r="BD194" s="70"/>
      <c r="BE194" s="70"/>
      <c r="BF194" s="70"/>
      <c r="BK194" s="70"/>
      <c r="BM194" s="70"/>
      <c r="BN194" s="70"/>
      <c r="BP194" s="70"/>
      <c r="BQ194" s="70"/>
      <c r="BR194" s="70"/>
      <c r="BT194" s="70"/>
      <c r="BU194" s="70"/>
      <c r="BV194" s="70"/>
      <c r="BW194" s="70"/>
      <c r="BX194" s="70"/>
      <c r="BY194" s="70"/>
      <c r="BZ194" s="70"/>
      <c r="CA194" s="70"/>
      <c r="CB194" s="70"/>
      <c r="CC194" s="70"/>
      <c r="CD194" s="70"/>
      <c r="CE194" s="70"/>
      <c r="CF194" s="70"/>
      <c r="CJ194" s="70"/>
      <c r="CK194" s="70"/>
      <c r="CL194" s="70"/>
      <c r="CM194" s="70"/>
      <c r="CO194" s="70"/>
      <c r="CQ194" s="70"/>
      <c r="CS194" s="70"/>
      <c r="CT194" s="70"/>
      <c r="CU194" s="70"/>
      <c r="CW194" s="70"/>
      <c r="CX194" s="70"/>
      <c r="CY194" s="70"/>
      <c r="CZ194" s="70"/>
      <c r="DC194" s="70"/>
      <c r="DD194" s="70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</row>
    <row r="195" spans="1:123" ht="24.95" customHeight="1">
      <c r="A195" s="68"/>
      <c r="D195" s="69"/>
      <c r="E195" s="69"/>
      <c r="F195" s="69"/>
      <c r="G195" s="70"/>
      <c r="H195" s="70"/>
      <c r="I195" s="70"/>
      <c r="J195" s="70"/>
      <c r="N195" s="70"/>
      <c r="O195" s="69"/>
      <c r="S195" s="70"/>
      <c r="T195" s="69"/>
      <c r="V195" s="72" t="str">
        <f t="shared" si="6"/>
        <v/>
      </c>
      <c r="W195" s="72" t="str">
        <f t="shared" si="7"/>
        <v/>
      </c>
      <c r="X195" s="72" t="str">
        <f t="shared" si="8"/>
        <v/>
      </c>
      <c r="AD195" s="70"/>
      <c r="AE195" s="70"/>
      <c r="AF195" s="70"/>
      <c r="AH195" s="70"/>
      <c r="AJ195" s="70"/>
      <c r="AN195" s="70"/>
      <c r="AO195" s="70"/>
      <c r="AP195" s="70"/>
      <c r="AR195" s="70"/>
      <c r="AT195" s="70"/>
      <c r="AX195" s="70"/>
      <c r="AY195" s="70"/>
      <c r="AZ195" s="70"/>
      <c r="BB195" s="70"/>
      <c r="BD195" s="70"/>
      <c r="BE195" s="70"/>
      <c r="BF195" s="70"/>
      <c r="BK195" s="70"/>
      <c r="BM195" s="70"/>
      <c r="BN195" s="70"/>
      <c r="BP195" s="70"/>
      <c r="BQ195" s="70"/>
      <c r="BR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J195" s="70"/>
      <c r="CK195" s="70"/>
      <c r="CL195" s="70"/>
      <c r="CM195" s="70"/>
      <c r="CO195" s="70"/>
      <c r="CQ195" s="70"/>
      <c r="CS195" s="70"/>
      <c r="CT195" s="70"/>
      <c r="CU195" s="70"/>
      <c r="CW195" s="70"/>
      <c r="CX195" s="70"/>
      <c r="CY195" s="70"/>
      <c r="CZ195" s="70"/>
      <c r="DC195" s="70"/>
      <c r="DD195" s="70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</row>
    <row r="196" spans="1:123" ht="24.95" customHeight="1">
      <c r="A196" s="68"/>
      <c r="D196" s="69"/>
      <c r="E196" s="69"/>
      <c r="F196" s="69"/>
      <c r="G196" s="70"/>
      <c r="H196" s="70"/>
      <c r="I196" s="70"/>
      <c r="J196" s="70"/>
      <c r="N196" s="70"/>
      <c r="O196" s="69"/>
      <c r="S196" s="70"/>
      <c r="T196" s="69"/>
      <c r="V196" s="72" t="str">
        <f t="shared" si="6"/>
        <v/>
      </c>
      <c r="W196" s="72" t="str">
        <f t="shared" si="7"/>
        <v/>
      </c>
      <c r="X196" s="72" t="str">
        <f t="shared" si="8"/>
        <v/>
      </c>
      <c r="AD196" s="70"/>
      <c r="AE196" s="70"/>
      <c r="AF196" s="70"/>
      <c r="AH196" s="70"/>
      <c r="AJ196" s="70"/>
      <c r="AN196" s="70"/>
      <c r="AO196" s="70"/>
      <c r="AP196" s="70"/>
      <c r="AR196" s="70"/>
      <c r="AT196" s="70"/>
      <c r="AX196" s="70"/>
      <c r="AY196" s="70"/>
      <c r="AZ196" s="70"/>
      <c r="BB196" s="70"/>
      <c r="BD196" s="70"/>
      <c r="BE196" s="70"/>
      <c r="BF196" s="70"/>
      <c r="BK196" s="70"/>
      <c r="BM196" s="70"/>
      <c r="BN196" s="70"/>
      <c r="BP196" s="70"/>
      <c r="BQ196" s="70"/>
      <c r="BR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J196" s="70"/>
      <c r="CK196" s="70"/>
      <c r="CL196" s="70"/>
      <c r="CM196" s="70"/>
      <c r="CO196" s="70"/>
      <c r="CQ196" s="70"/>
      <c r="CS196" s="70"/>
      <c r="CT196" s="70"/>
      <c r="CU196" s="70"/>
      <c r="CW196" s="70"/>
      <c r="CX196" s="70"/>
      <c r="CY196" s="70"/>
      <c r="CZ196" s="70"/>
      <c r="DC196" s="70"/>
      <c r="DD196" s="70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</row>
    <row r="197" spans="1:123" ht="24.95" customHeight="1">
      <c r="A197" s="68"/>
      <c r="D197" s="69"/>
      <c r="E197" s="69"/>
      <c r="F197" s="69"/>
      <c r="G197" s="70"/>
      <c r="H197" s="70"/>
      <c r="I197" s="70"/>
      <c r="J197" s="70"/>
      <c r="N197" s="70"/>
      <c r="O197" s="69"/>
      <c r="S197" s="70"/>
      <c r="T197" s="69"/>
      <c r="V197" s="72" t="str">
        <f t="shared" si="6"/>
        <v/>
      </c>
      <c r="W197" s="72" t="str">
        <f t="shared" si="7"/>
        <v/>
      </c>
      <c r="X197" s="72" t="str">
        <f t="shared" si="8"/>
        <v/>
      </c>
      <c r="AD197" s="70"/>
      <c r="AE197" s="70"/>
      <c r="AF197" s="70"/>
      <c r="AH197" s="70"/>
      <c r="AJ197" s="70"/>
      <c r="AN197" s="70"/>
      <c r="AO197" s="70"/>
      <c r="AP197" s="70"/>
      <c r="AR197" s="70"/>
      <c r="AT197" s="70"/>
      <c r="AX197" s="70"/>
      <c r="AY197" s="70"/>
      <c r="AZ197" s="70"/>
      <c r="BB197" s="70"/>
      <c r="BD197" s="70"/>
      <c r="BE197" s="70"/>
      <c r="BF197" s="70"/>
      <c r="BK197" s="70"/>
      <c r="BM197" s="70"/>
      <c r="BN197" s="70"/>
      <c r="BP197" s="70"/>
      <c r="BQ197" s="70"/>
      <c r="BR197" s="70"/>
      <c r="BT197" s="70"/>
      <c r="BU197" s="70"/>
      <c r="BV197" s="70"/>
      <c r="BW197" s="70"/>
      <c r="BX197" s="70"/>
      <c r="BY197" s="70"/>
      <c r="BZ197" s="70"/>
      <c r="CA197" s="70"/>
      <c r="CB197" s="70"/>
      <c r="CC197" s="70"/>
      <c r="CD197" s="70"/>
      <c r="CE197" s="70"/>
      <c r="CF197" s="70"/>
      <c r="CJ197" s="70"/>
      <c r="CK197" s="70"/>
      <c r="CL197" s="70"/>
      <c r="CM197" s="70"/>
      <c r="CO197" s="70"/>
      <c r="CQ197" s="70"/>
      <c r="CS197" s="70"/>
      <c r="CT197" s="70"/>
      <c r="CU197" s="70"/>
      <c r="CW197" s="70"/>
      <c r="CX197" s="70"/>
      <c r="CY197" s="70"/>
      <c r="CZ197" s="70"/>
      <c r="DC197" s="70"/>
      <c r="DD197" s="70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</row>
    <row r="198" spans="1:123" ht="24.95" customHeight="1">
      <c r="A198" s="68"/>
      <c r="D198" s="69"/>
      <c r="E198" s="69"/>
      <c r="F198" s="69"/>
      <c r="G198" s="70"/>
      <c r="H198" s="70"/>
      <c r="I198" s="70"/>
      <c r="J198" s="70"/>
      <c r="N198" s="70"/>
      <c r="O198" s="69"/>
      <c r="S198" s="70"/>
      <c r="T198" s="69"/>
      <c r="V198" s="72" t="str">
        <f t="shared" ref="V198:V204" si="9">IF($A198="","",IF(AND($U198="発射物",$DI198&lt;&gt;"パッシブ"),$BE198,0))</f>
        <v/>
      </c>
      <c r="W198" s="72" t="str">
        <f t="shared" ref="W198:W204" si="10">IF($A198="","",IF(AND($U198="発射物",$DI198&lt;&gt;"パッシブ"),$BF198,0))</f>
        <v/>
      </c>
      <c r="X198" s="72" t="str">
        <f t="shared" ref="X198:X204" si="11">IF($A198="","",IF(AND($U198="発射物",$DI198&lt;&gt;"パッシブ"),IF($BG198="有効","有効","無効"),"無効"))</f>
        <v/>
      </c>
      <c r="AD198" s="70"/>
      <c r="AE198" s="70"/>
      <c r="AF198" s="70"/>
      <c r="AH198" s="70"/>
      <c r="AJ198" s="70"/>
      <c r="AN198" s="70"/>
      <c r="AO198" s="70"/>
      <c r="AP198" s="70"/>
      <c r="AR198" s="70"/>
      <c r="AT198" s="70"/>
      <c r="AX198" s="70"/>
      <c r="AY198" s="70"/>
      <c r="AZ198" s="70"/>
      <c r="BB198" s="70"/>
      <c r="BD198" s="70"/>
      <c r="BE198" s="70"/>
      <c r="BF198" s="70"/>
      <c r="BK198" s="70"/>
      <c r="BM198" s="70"/>
      <c r="BN198" s="70"/>
      <c r="BP198" s="70"/>
      <c r="BQ198" s="70"/>
      <c r="BR198" s="70"/>
      <c r="BT198" s="70"/>
      <c r="BU198" s="70"/>
      <c r="BV198" s="70"/>
      <c r="BW198" s="70"/>
      <c r="BX198" s="70"/>
      <c r="BY198" s="70"/>
      <c r="BZ198" s="70"/>
      <c r="CA198" s="70"/>
      <c r="CB198" s="70"/>
      <c r="CC198" s="70"/>
      <c r="CD198" s="70"/>
      <c r="CE198" s="70"/>
      <c r="CF198" s="70"/>
      <c r="CJ198" s="70"/>
      <c r="CK198" s="70"/>
      <c r="CL198" s="70"/>
      <c r="CM198" s="70"/>
      <c r="CO198" s="70"/>
      <c r="CQ198" s="70"/>
      <c r="CS198" s="70"/>
      <c r="CT198" s="70"/>
      <c r="CU198" s="70"/>
      <c r="CW198" s="70"/>
      <c r="CX198" s="70"/>
      <c r="CY198" s="70"/>
      <c r="CZ198" s="70"/>
      <c r="DC198" s="70"/>
      <c r="DD198" s="70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</row>
    <row r="199" spans="1:123" ht="24.95" customHeight="1">
      <c r="A199" s="68"/>
      <c r="D199" s="69"/>
      <c r="E199" s="69"/>
      <c r="F199" s="69"/>
      <c r="G199" s="70"/>
      <c r="H199" s="70"/>
      <c r="I199" s="70"/>
      <c r="J199" s="70"/>
      <c r="N199" s="70"/>
      <c r="O199" s="69"/>
      <c r="S199" s="70"/>
      <c r="T199" s="69"/>
      <c r="V199" s="72" t="str">
        <f t="shared" si="9"/>
        <v/>
      </c>
      <c r="W199" s="72" t="str">
        <f t="shared" si="10"/>
        <v/>
      </c>
      <c r="X199" s="72" t="str">
        <f t="shared" si="11"/>
        <v/>
      </c>
      <c r="AD199" s="70"/>
      <c r="AE199" s="70"/>
      <c r="AF199" s="70"/>
      <c r="AH199" s="70"/>
      <c r="AJ199" s="70"/>
      <c r="AN199" s="70"/>
      <c r="AO199" s="70"/>
      <c r="AP199" s="70"/>
      <c r="AR199" s="70"/>
      <c r="AT199" s="70"/>
      <c r="AX199" s="70"/>
      <c r="AY199" s="70"/>
      <c r="AZ199" s="70"/>
      <c r="BB199" s="70"/>
      <c r="BD199" s="70"/>
      <c r="BE199" s="70"/>
      <c r="BF199" s="70"/>
      <c r="BK199" s="70"/>
      <c r="BM199" s="70"/>
      <c r="BN199" s="70"/>
      <c r="BP199" s="70"/>
      <c r="BQ199" s="70"/>
      <c r="BR199" s="70"/>
      <c r="BT199" s="70"/>
      <c r="BU199" s="70"/>
      <c r="BV199" s="70"/>
      <c r="BW199" s="70"/>
      <c r="BX199" s="70"/>
      <c r="BY199" s="70"/>
      <c r="BZ199" s="70"/>
      <c r="CA199" s="70"/>
      <c r="CB199" s="70"/>
      <c r="CC199" s="70"/>
      <c r="CD199" s="70"/>
      <c r="CE199" s="70"/>
      <c r="CF199" s="70"/>
      <c r="CJ199" s="70"/>
      <c r="CK199" s="70"/>
      <c r="CL199" s="70"/>
      <c r="CM199" s="70"/>
      <c r="CO199" s="70"/>
      <c r="CQ199" s="70"/>
      <c r="CS199" s="70"/>
      <c r="CT199" s="70"/>
      <c r="CU199" s="70"/>
      <c r="CW199" s="70"/>
      <c r="CX199" s="70"/>
      <c r="CY199" s="70"/>
      <c r="CZ199" s="70"/>
      <c r="DC199" s="70"/>
      <c r="DD199" s="70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</row>
    <row r="200" spans="1:123" ht="24.95" customHeight="1">
      <c r="A200" s="68"/>
      <c r="D200" s="69"/>
      <c r="E200" s="69"/>
      <c r="F200" s="69"/>
      <c r="G200" s="70"/>
      <c r="H200" s="70"/>
      <c r="I200" s="70"/>
      <c r="J200" s="70"/>
      <c r="N200" s="70"/>
      <c r="O200" s="69"/>
      <c r="S200" s="70"/>
      <c r="T200" s="69"/>
      <c r="V200" s="72" t="str">
        <f t="shared" si="9"/>
        <v/>
      </c>
      <c r="W200" s="72" t="str">
        <f t="shared" si="10"/>
        <v/>
      </c>
      <c r="X200" s="72" t="str">
        <f t="shared" si="11"/>
        <v/>
      </c>
      <c r="AD200" s="70"/>
      <c r="AE200" s="70"/>
      <c r="AF200" s="70"/>
      <c r="AH200" s="70"/>
      <c r="AJ200" s="70"/>
      <c r="AN200" s="70"/>
      <c r="AO200" s="70"/>
      <c r="AP200" s="70"/>
      <c r="AR200" s="70"/>
      <c r="AT200" s="70"/>
      <c r="AX200" s="70"/>
      <c r="AY200" s="70"/>
      <c r="AZ200" s="70"/>
      <c r="BB200" s="70"/>
      <c r="BD200" s="70"/>
      <c r="BE200" s="70"/>
      <c r="BF200" s="70"/>
      <c r="BK200" s="70"/>
      <c r="BM200" s="70"/>
      <c r="BN200" s="70"/>
      <c r="BP200" s="70"/>
      <c r="BQ200" s="70"/>
      <c r="BR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J200" s="70"/>
      <c r="CK200" s="70"/>
      <c r="CL200" s="70"/>
      <c r="CM200" s="70"/>
      <c r="CO200" s="70"/>
      <c r="CQ200" s="70"/>
      <c r="CS200" s="70"/>
      <c r="CT200" s="70"/>
      <c r="CU200" s="70"/>
      <c r="CW200" s="70"/>
      <c r="CX200" s="70"/>
      <c r="CY200" s="70"/>
      <c r="CZ200" s="70"/>
      <c r="DC200" s="70"/>
      <c r="DD200" s="70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</row>
    <row r="201" spans="1:123">
      <c r="A201" s="68"/>
      <c r="D201" s="69"/>
      <c r="E201" s="69"/>
      <c r="F201" s="69"/>
      <c r="G201" s="70"/>
      <c r="H201" s="70"/>
      <c r="I201" s="70"/>
      <c r="J201" s="70"/>
      <c r="N201" s="70"/>
      <c r="O201" s="69"/>
      <c r="S201" s="70"/>
      <c r="T201" s="69"/>
      <c r="V201" s="72" t="str">
        <f t="shared" si="9"/>
        <v/>
      </c>
      <c r="W201" s="72" t="str">
        <f t="shared" si="10"/>
        <v/>
      </c>
      <c r="X201" s="72" t="str">
        <f t="shared" si="11"/>
        <v/>
      </c>
      <c r="AD201" s="70"/>
      <c r="AE201" s="70"/>
      <c r="AF201" s="70"/>
      <c r="AH201" s="70"/>
      <c r="AJ201" s="70"/>
      <c r="AN201" s="70"/>
      <c r="AO201" s="70"/>
      <c r="AP201" s="70"/>
      <c r="AR201" s="70"/>
      <c r="AT201" s="70"/>
      <c r="AX201" s="70"/>
      <c r="AY201" s="70"/>
      <c r="AZ201" s="70"/>
      <c r="BB201" s="70"/>
      <c r="BD201" s="70"/>
      <c r="BE201" s="70"/>
      <c r="BF201" s="70"/>
      <c r="BK201" s="70"/>
      <c r="BM201" s="70"/>
      <c r="BN201" s="70"/>
      <c r="BP201" s="70"/>
      <c r="BQ201" s="70"/>
      <c r="BR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J201" s="70"/>
      <c r="CK201" s="70"/>
      <c r="CL201" s="70"/>
      <c r="CM201" s="70"/>
      <c r="CO201" s="70"/>
      <c r="CQ201" s="70"/>
      <c r="CS201" s="70"/>
      <c r="CT201" s="70"/>
      <c r="CU201" s="70"/>
      <c r="CW201" s="70"/>
      <c r="CX201" s="70"/>
      <c r="CY201" s="70"/>
      <c r="CZ201" s="70"/>
      <c r="DC201" s="70"/>
      <c r="DD201" s="70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</row>
    <row r="202" spans="1:123">
      <c r="A202" s="68"/>
      <c r="D202" s="69"/>
      <c r="E202" s="69"/>
      <c r="F202" s="69"/>
      <c r="G202" s="70"/>
      <c r="H202" s="70"/>
      <c r="I202" s="70"/>
      <c r="J202" s="70"/>
      <c r="N202" s="70"/>
      <c r="O202" s="69"/>
      <c r="S202" s="70"/>
      <c r="T202" s="69"/>
      <c r="V202" s="72" t="str">
        <f t="shared" si="9"/>
        <v/>
      </c>
      <c r="W202" s="72" t="str">
        <f t="shared" si="10"/>
        <v/>
      </c>
      <c r="X202" s="72" t="str">
        <f t="shared" si="11"/>
        <v/>
      </c>
      <c r="AD202" s="70"/>
      <c r="AE202" s="70"/>
      <c r="AF202" s="70"/>
      <c r="AH202" s="70"/>
      <c r="AJ202" s="70"/>
      <c r="AN202" s="70"/>
      <c r="AO202" s="70"/>
      <c r="AP202" s="70"/>
      <c r="AR202" s="70"/>
      <c r="AT202" s="70"/>
      <c r="AX202" s="70"/>
      <c r="AY202" s="70"/>
      <c r="AZ202" s="70"/>
      <c r="BB202" s="70"/>
      <c r="BD202" s="70"/>
      <c r="BE202" s="70"/>
      <c r="BF202" s="70"/>
      <c r="BK202" s="70"/>
      <c r="BM202" s="70"/>
      <c r="BN202" s="70"/>
      <c r="BP202" s="70"/>
      <c r="BQ202" s="70"/>
      <c r="BR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J202" s="70"/>
      <c r="CK202" s="70"/>
      <c r="CL202" s="70"/>
      <c r="CM202" s="70"/>
      <c r="CO202" s="70"/>
      <c r="CQ202" s="70"/>
      <c r="CS202" s="70"/>
      <c r="CT202" s="70"/>
      <c r="CU202" s="70"/>
      <c r="CW202" s="70"/>
      <c r="CX202" s="70"/>
      <c r="CY202" s="70"/>
      <c r="CZ202" s="70"/>
      <c r="DC202" s="70"/>
      <c r="DD202" s="70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</row>
    <row r="203" spans="1:123">
      <c r="A203" s="68"/>
      <c r="D203" s="69"/>
      <c r="E203" s="69"/>
      <c r="F203" s="69"/>
      <c r="G203" s="70"/>
      <c r="H203" s="70"/>
      <c r="I203" s="70"/>
      <c r="J203" s="70"/>
      <c r="N203" s="70"/>
      <c r="O203" s="69"/>
      <c r="S203" s="70"/>
      <c r="T203" s="69"/>
      <c r="V203" s="72" t="str">
        <f t="shared" si="9"/>
        <v/>
      </c>
      <c r="W203" s="72" t="str">
        <f t="shared" si="10"/>
        <v/>
      </c>
      <c r="X203" s="72" t="str">
        <f t="shared" si="11"/>
        <v/>
      </c>
      <c r="AD203" s="70"/>
      <c r="AE203" s="70"/>
      <c r="AF203" s="70"/>
      <c r="AH203" s="70"/>
      <c r="AJ203" s="70"/>
      <c r="AN203" s="70"/>
      <c r="AO203" s="70"/>
      <c r="AP203" s="70"/>
      <c r="AR203" s="70"/>
      <c r="AT203" s="70"/>
      <c r="AX203" s="70"/>
      <c r="AY203" s="70"/>
      <c r="AZ203" s="70"/>
      <c r="BB203" s="70"/>
      <c r="BD203" s="70"/>
      <c r="BE203" s="70"/>
      <c r="BF203" s="70"/>
      <c r="BK203" s="70"/>
      <c r="BM203" s="70"/>
      <c r="BN203" s="70"/>
      <c r="BP203" s="70"/>
      <c r="BQ203" s="70"/>
      <c r="BR203" s="70"/>
      <c r="BT203" s="70"/>
      <c r="BU203" s="70"/>
      <c r="BV203" s="70"/>
      <c r="BW203" s="70"/>
      <c r="BX203" s="70"/>
      <c r="BY203" s="70"/>
      <c r="BZ203" s="70"/>
      <c r="CA203" s="70"/>
      <c r="CB203" s="70"/>
      <c r="CC203" s="70"/>
      <c r="CD203" s="70"/>
      <c r="CE203" s="70"/>
      <c r="CF203" s="70"/>
      <c r="CJ203" s="70"/>
      <c r="CK203" s="70"/>
      <c r="CL203" s="70"/>
      <c r="CM203" s="70"/>
      <c r="CO203" s="70"/>
      <c r="CQ203" s="70"/>
      <c r="CS203" s="70"/>
      <c r="CT203" s="70"/>
      <c r="CU203" s="70"/>
      <c r="CW203" s="70"/>
      <c r="CX203" s="70"/>
      <c r="CY203" s="70"/>
      <c r="CZ203" s="70"/>
      <c r="DC203" s="70"/>
      <c r="DD203" s="70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</row>
    <row r="204" spans="1:123">
      <c r="A204" s="68"/>
      <c r="D204" s="69"/>
      <c r="E204" s="69"/>
      <c r="F204" s="69"/>
      <c r="G204" s="70"/>
      <c r="H204" s="70"/>
      <c r="I204" s="70"/>
      <c r="J204" s="70"/>
      <c r="N204" s="70"/>
      <c r="O204" s="69"/>
      <c r="S204" s="70"/>
      <c r="T204" s="69"/>
      <c r="V204" s="72" t="str">
        <f t="shared" si="9"/>
        <v/>
      </c>
      <c r="W204" s="72" t="str">
        <f t="shared" si="10"/>
        <v/>
      </c>
      <c r="X204" s="72" t="str">
        <f t="shared" si="11"/>
        <v/>
      </c>
      <c r="AD204" s="70"/>
      <c r="AE204" s="70"/>
      <c r="AF204" s="70"/>
      <c r="AH204" s="70"/>
      <c r="AJ204" s="70"/>
      <c r="AN204" s="70"/>
      <c r="AO204" s="70"/>
      <c r="AP204" s="70"/>
      <c r="AR204" s="70"/>
      <c r="AT204" s="70"/>
      <c r="AX204" s="70"/>
      <c r="AY204" s="70"/>
      <c r="AZ204" s="70"/>
      <c r="BB204" s="70"/>
      <c r="BD204" s="70"/>
      <c r="BE204" s="70"/>
      <c r="BF204" s="70"/>
      <c r="BK204" s="70"/>
      <c r="BM204" s="70"/>
      <c r="BN204" s="70"/>
      <c r="BP204" s="70"/>
      <c r="BQ204" s="70"/>
      <c r="BR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J204" s="70"/>
      <c r="CK204" s="70"/>
      <c r="CL204" s="70"/>
      <c r="CM204" s="70"/>
      <c r="CO204" s="70"/>
      <c r="CQ204" s="70"/>
      <c r="CS204" s="70"/>
      <c r="CT204" s="70"/>
      <c r="CU204" s="70"/>
      <c r="CW204" s="70"/>
      <c r="CX204" s="70"/>
      <c r="CY204" s="70"/>
      <c r="CZ204" s="70"/>
      <c r="DC204" s="70"/>
      <c r="DD204" s="70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</row>
  </sheetData>
  <phoneticPr fontId="1"/>
  <dataValidations count="18">
    <dataValidation type="list" sqref="AS2:AS204 BC2:BC204 AI2:AI204" xr:uid="{F995A39D-2C2E-4DEA-A06F-C83088B7D03F}">
      <formula1>"時間更新,重ね掛け,無視"</formula1>
    </dataValidation>
    <dataValidation type="list" sqref="AQ2:AQ204 BA2:BA204 AG2:AG204" xr:uid="{F53C62C5-53F4-4E41-867C-7098547DED46}">
      <formula1>"なし,毒,火傷,凍結,麻痺,睡眠,沈黙,暗闇,混乱"</formula1>
    </dataValidation>
    <dataValidation type="list" sqref="AM2:AM204 AW2:AW204 AC2:AC204" xr:uid="{4BC72514-D99E-4017-A14C-2F23DE4F1F01}">
      <formula1>"なし,割合変化,固定値変化,固定ダメージ,最大体力割合"</formula1>
    </dataValidation>
    <dataValidation type="list" sqref="AL2:AL204 AV2:AV204 AB2:AB204" xr:uid="{9EF439CF-6A52-49B9-B9A8-FF9BBD60F19E}">
      <formula1>"なし,攻撃力,魔法攻撃力,防御力,魔法防御力,移動速度,攻撃速度,攻撃範囲"</formula1>
    </dataValidation>
    <dataValidation type="list" sqref="AK2:AK204 AU2:AU204 AA2:AA204" xr:uid="{011DD07E-D14A-41BE-A042-E6C5A964242D}">
      <formula1>"なし,バフ,デバフ,状態異常"</formula1>
    </dataValidation>
    <dataValidation type="list" sqref="U2:U204" xr:uid="{6D4ACDC1-D457-44AA-8528-51C0122E0CE8}">
      <formula1>"即時,発射物"</formula1>
    </dataValidation>
    <dataValidation type="list" sqref="R2:R204" xr:uid="{55341B2D-D513-49D5-BDCF-2B821C11E846}">
      <formula1>"選択対象,自身,範囲内の敵,範囲内の味方"</formula1>
    </dataValidation>
    <dataValidation type="list" sqref="X2:X204 BG2:BG204 BI2:BJ204 BL2:BL204 BO2:BO204 CG2:CI204 CN2:CN204 CR2:CR204 CV2:CV204 DA2:DB204 Q2:Q204" xr:uid="{2747C453-A97F-4C73-93C6-A857DA1E27CA}">
      <formula1>"有効,無効"</formula1>
    </dataValidation>
    <dataValidation type="list" sqref="P2:P204" xr:uid="{B9323E9B-22E2-4BF3-9014-B3D4A02B1D47}">
      <formula1>"使用者と同じ,無属性,火,水,風,雷,光,闇"</formula1>
    </dataValidation>
    <dataValidation type="list" sqref="M2:M204" xr:uid="{52EA8E6A-BB51-435E-8C08-2699A3A8A7C6}">
      <formula1>"攻撃力,魔法攻撃力,最大体力,なし"</formula1>
    </dataValidation>
    <dataValidation type="list" sqref="L2:L204" xr:uid="{B683A67B-5599-493F-8474-6ECAA0162B63}">
      <formula1>"ダメージ,回復,なし"</formula1>
    </dataValidation>
    <dataValidation type="list" sqref="K2:K204" xr:uid="{CEECC6A4-2F00-47A0-9F30-98E63034AC79}">
      <formula1>"自身,敵一体,味方一体,自身中心,敵中心"</formula1>
    </dataValidation>
    <dataValidation type="list" sqref="CP2:CP204 BS2:BS204" xr:uid="{E84A8A05-1124-4F7C-A1D9-2CB9A3623DA1}">
      <formula1>"直進,追尾,拡大直進,その場,ブーメラン,周回後に射出,蛇行,加速,減速停止,遅延追尾,螺旋,往復,感応地雷,収束成長"</formula1>
    </dataValidation>
    <dataValidation type="list" sqref="DP2:DP204 DR2:DR204 DN2:DN204" xr:uid="{1087A787-86E4-4ED8-B39F-E615723419B7}">
      <formula1>"なし,最大HP,最大MP,攻撃力,魔法攻撃力,防御力,魔法防御力,移動速度,攻撃速度,攻撃範囲,会心率,会心倍率,素材ドロップ率,装備ドロップ率,火属性耐性,水属性耐性,風属性耐性,雷属性耐性,光属性耐性,闇属性耐性,全属性耐性,近接攻撃タイプ,遠距離攻撃タイプ,配合確率,武器取得数,称号抽選回数,敵リスポーン速度"</formula1>
    </dataValidation>
    <dataValidation type="list" sqref="DL2:DL204" xr:uid="{9AD219C5-5599-49F6-A03D-1312E55B35C1}">
      <formula1>"命中時,生成時,一定間隔"</formula1>
    </dataValidation>
    <dataValidation type="list" sqref="DK2:DK204" xr:uid="{260FFEED-F778-4F24-A4E5-5D021DE66E90}">
      <formula1>"追従なし,使用者,対象"</formula1>
    </dataValidation>
    <dataValidation type="list" sqref="DJ2:DJ204" xr:uid="{7CEE775D-F8FC-4210-93B5-3DC65545A527}">
      <formula1>"使用者,対象"</formula1>
    </dataValidation>
    <dataValidation type="list" sqref="DI2:DI204" xr:uid="{5563AE34-1BA9-4887-BF0D-53ED1EB36ECC}">
      <formula1>"アクティブ,パッシブ"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3A6-D911-4882-9F6B-7BA3AA780CAC}">
  <dimension ref="A1:C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7" sqref="I17"/>
    </sheetView>
  </sheetViews>
  <sheetFormatPr defaultColWidth="7" defaultRowHeight="18.75"/>
  <cols>
    <col min="1" max="1" width="7" style="4"/>
    <col min="2" max="16384" width="7" style="3"/>
  </cols>
  <sheetData>
    <row r="1" spans="1:3" ht="19.5" thickBot="1">
      <c r="A1" s="6" t="s">
        <v>6</v>
      </c>
      <c r="B1" s="7" t="s">
        <v>7</v>
      </c>
      <c r="C1" s="8" t="s">
        <v>150</v>
      </c>
    </row>
    <row r="2" spans="1:3">
      <c r="A2" s="9" t="s">
        <v>149</v>
      </c>
      <c r="B2" s="10" t="s">
        <v>87</v>
      </c>
      <c r="C2" s="11" t="s">
        <v>151</v>
      </c>
    </row>
    <row r="3" spans="1:3">
      <c r="A3" s="12" t="s">
        <v>64</v>
      </c>
      <c r="B3" s="5" t="s">
        <v>153</v>
      </c>
      <c r="C3" s="13" t="s">
        <v>151</v>
      </c>
    </row>
    <row r="4" spans="1:3">
      <c r="A4" s="12" t="s">
        <v>66</v>
      </c>
      <c r="B4" s="5" t="s">
        <v>154</v>
      </c>
      <c r="C4" s="13" t="s">
        <v>151</v>
      </c>
    </row>
    <row r="5" spans="1:3">
      <c r="A5" s="12" t="s">
        <v>68</v>
      </c>
      <c r="B5" s="5" t="s">
        <v>155</v>
      </c>
      <c r="C5" s="13" t="s">
        <v>151</v>
      </c>
    </row>
    <row r="6" spans="1:3">
      <c r="A6" s="12" t="s">
        <v>70</v>
      </c>
      <c r="B6" s="5" t="s">
        <v>156</v>
      </c>
      <c r="C6" s="13" t="s">
        <v>151</v>
      </c>
    </row>
    <row r="7" spans="1:3">
      <c r="A7" s="12" t="s">
        <v>72</v>
      </c>
      <c r="B7" s="5" t="s">
        <v>157</v>
      </c>
      <c r="C7" s="13" t="s">
        <v>151</v>
      </c>
    </row>
    <row r="8" spans="1:3" ht="19.5" thickBot="1">
      <c r="A8" s="14" t="s">
        <v>110</v>
      </c>
      <c r="B8" s="15" t="s">
        <v>158</v>
      </c>
      <c r="C8" s="16" t="s">
        <v>152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005F-94FF-4137-9A6E-70C9AED842AA}">
  <dimension ref="A1:R2"/>
  <sheetViews>
    <sheetView workbookViewId="0">
      <selection activeCell="D27" sqref="D27"/>
    </sheetView>
  </sheetViews>
  <sheetFormatPr defaultColWidth="15.375" defaultRowHeight="18.75" customHeight="1"/>
  <cols>
    <col min="1" max="16384" width="15.375" style="36"/>
  </cols>
  <sheetData>
    <row r="1" spans="1:18" s="35" customFormat="1" ht="18.75" customHeight="1">
      <c r="A1" s="37" t="s">
        <v>93</v>
      </c>
      <c r="B1" s="37" t="s">
        <v>96</v>
      </c>
      <c r="C1" s="37" t="s">
        <v>96</v>
      </c>
      <c r="D1" s="37" t="s">
        <v>97</v>
      </c>
      <c r="E1" s="37" t="s">
        <v>98</v>
      </c>
      <c r="F1" s="37" t="s">
        <v>99</v>
      </c>
      <c r="G1" s="37" t="s">
        <v>100</v>
      </c>
      <c r="H1" s="37" t="s">
        <v>101</v>
      </c>
      <c r="I1" s="37" t="s">
        <v>102</v>
      </c>
      <c r="J1" s="37" t="s">
        <v>103</v>
      </c>
      <c r="K1" s="37" t="s">
        <v>104</v>
      </c>
      <c r="L1" s="37" t="s">
        <v>105</v>
      </c>
      <c r="M1" s="37" t="s">
        <v>160</v>
      </c>
      <c r="N1" s="37" t="s">
        <v>161</v>
      </c>
      <c r="O1" s="37" t="s">
        <v>162</v>
      </c>
      <c r="P1" s="37" t="s">
        <v>106</v>
      </c>
      <c r="Q1" s="37" t="s">
        <v>107</v>
      </c>
      <c r="R1" s="37" t="s">
        <v>108</v>
      </c>
    </row>
    <row r="2" spans="1:18" s="35" customFormat="1" ht="18.75" customHeight="1">
      <c r="A2" s="38" t="s">
        <v>178</v>
      </c>
      <c r="B2" s="38" t="s">
        <v>94</v>
      </c>
      <c r="C2" s="38" t="s">
        <v>95</v>
      </c>
      <c r="D2" s="38">
        <v>1</v>
      </c>
      <c r="E2" s="38" t="s">
        <v>173</v>
      </c>
      <c r="F2" s="38" t="s">
        <v>8</v>
      </c>
      <c r="G2" s="38" t="s">
        <v>9</v>
      </c>
      <c r="H2" s="38" t="s">
        <v>10</v>
      </c>
      <c r="I2" s="38" t="s">
        <v>11</v>
      </c>
      <c r="J2" s="38" t="s">
        <v>12</v>
      </c>
      <c r="K2" s="38" t="s">
        <v>13</v>
      </c>
      <c r="L2" s="38" t="s">
        <v>110</v>
      </c>
      <c r="M2" s="38" t="s">
        <v>163</v>
      </c>
      <c r="N2" s="38" t="s">
        <v>164</v>
      </c>
      <c r="O2" s="38" t="s">
        <v>165</v>
      </c>
      <c r="P2" s="39">
        <v>1</v>
      </c>
      <c r="Q2" s="39">
        <v>1</v>
      </c>
      <c r="R2" s="39">
        <v>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954F-AB59-4779-8081-896F42E25E6A}">
  <dimension ref="A1:L9"/>
  <sheetViews>
    <sheetView workbookViewId="0">
      <selection activeCell="F13" sqref="F13"/>
    </sheetView>
  </sheetViews>
  <sheetFormatPr defaultRowHeight="18.75"/>
  <cols>
    <col min="1" max="1" width="18.125" bestFit="1" customWidth="1"/>
    <col min="6" max="6" width="21" bestFit="1" customWidth="1"/>
    <col min="7" max="7" width="13.125" bestFit="1" customWidth="1"/>
  </cols>
  <sheetData>
    <row r="1" spans="1:12" s="40" customFormat="1">
      <c r="A1" s="40" t="s">
        <v>111</v>
      </c>
      <c r="B1" s="40" t="s">
        <v>112</v>
      </c>
      <c r="C1" s="40" t="s">
        <v>113</v>
      </c>
      <c r="D1" s="40" t="s">
        <v>114</v>
      </c>
      <c r="E1" s="40" t="s">
        <v>129</v>
      </c>
      <c r="F1" s="40" t="s">
        <v>115</v>
      </c>
      <c r="G1" s="40" t="s">
        <v>116</v>
      </c>
      <c r="H1" s="40" t="s">
        <v>117</v>
      </c>
      <c r="I1" s="40" t="s">
        <v>174</v>
      </c>
      <c r="J1" s="40" t="s">
        <v>175</v>
      </c>
      <c r="K1" s="40" t="s">
        <v>176</v>
      </c>
      <c r="L1" s="40" t="s">
        <v>177</v>
      </c>
    </row>
    <row r="2" spans="1:12">
      <c r="A2" t="s">
        <v>159</v>
      </c>
      <c r="B2">
        <v>51</v>
      </c>
      <c r="C2">
        <v>51</v>
      </c>
      <c r="D2">
        <v>12345</v>
      </c>
      <c r="E2" t="s">
        <v>130</v>
      </c>
      <c r="F2" t="s">
        <v>118</v>
      </c>
      <c r="G2" t="s">
        <v>122</v>
      </c>
      <c r="H2">
        <v>100</v>
      </c>
      <c r="I2" t="b">
        <v>0</v>
      </c>
      <c r="J2" t="b">
        <v>1</v>
      </c>
      <c r="K2" t="b">
        <v>0</v>
      </c>
      <c r="L2" t="b">
        <v>1</v>
      </c>
    </row>
    <row r="3" spans="1:12">
      <c r="A3" t="s">
        <v>159</v>
      </c>
      <c r="B3">
        <v>51</v>
      </c>
      <c r="C3">
        <v>51</v>
      </c>
      <c r="D3">
        <v>12345</v>
      </c>
      <c r="E3" t="s">
        <v>130</v>
      </c>
      <c r="F3" t="s">
        <v>119</v>
      </c>
      <c r="G3" t="s">
        <v>126</v>
      </c>
      <c r="H3">
        <v>3</v>
      </c>
      <c r="I3" t="b">
        <v>0</v>
      </c>
      <c r="J3" t="b">
        <v>1</v>
      </c>
      <c r="K3" t="b">
        <v>0</v>
      </c>
      <c r="L3" t="b">
        <v>1</v>
      </c>
    </row>
    <row r="4" spans="1:12">
      <c r="A4" t="s">
        <v>159</v>
      </c>
      <c r="B4">
        <v>51</v>
      </c>
      <c r="C4">
        <v>51</v>
      </c>
      <c r="D4">
        <v>12345</v>
      </c>
      <c r="E4" t="s">
        <v>130</v>
      </c>
      <c r="F4" t="s">
        <v>119</v>
      </c>
      <c r="G4" t="s">
        <v>127</v>
      </c>
      <c r="H4">
        <v>2</v>
      </c>
      <c r="I4" t="b">
        <v>0</v>
      </c>
      <c r="J4" t="b">
        <v>1</v>
      </c>
      <c r="K4" t="b">
        <v>0</v>
      </c>
      <c r="L4" t="b">
        <v>1</v>
      </c>
    </row>
    <row r="5" spans="1:12">
      <c r="A5" t="s">
        <v>159</v>
      </c>
      <c r="B5">
        <v>51</v>
      </c>
      <c r="C5">
        <v>51</v>
      </c>
      <c r="D5">
        <v>12345</v>
      </c>
      <c r="E5" t="s">
        <v>130</v>
      </c>
      <c r="F5" t="s">
        <v>119</v>
      </c>
      <c r="G5" t="s">
        <v>128</v>
      </c>
      <c r="H5">
        <v>2</v>
      </c>
      <c r="I5" t="b">
        <v>0</v>
      </c>
      <c r="J5" t="b">
        <v>1</v>
      </c>
      <c r="K5" t="b">
        <v>0</v>
      </c>
      <c r="L5" t="b">
        <v>1</v>
      </c>
    </row>
    <row r="6" spans="1:12">
      <c r="A6" t="s">
        <v>159</v>
      </c>
      <c r="B6">
        <v>51</v>
      </c>
      <c r="C6">
        <v>51</v>
      </c>
      <c r="D6">
        <v>12345</v>
      </c>
      <c r="E6" t="s">
        <v>130</v>
      </c>
      <c r="F6" t="s">
        <v>120</v>
      </c>
      <c r="G6" t="s">
        <v>125</v>
      </c>
      <c r="H6">
        <v>1</v>
      </c>
      <c r="I6" t="b">
        <v>0</v>
      </c>
      <c r="J6" t="b">
        <v>1</v>
      </c>
      <c r="K6" t="b">
        <v>0</v>
      </c>
      <c r="L6" t="b">
        <v>1</v>
      </c>
    </row>
    <row r="7" spans="1:12">
      <c r="A7" t="s">
        <v>159</v>
      </c>
      <c r="B7">
        <v>51</v>
      </c>
      <c r="C7">
        <v>51</v>
      </c>
      <c r="D7">
        <v>12345</v>
      </c>
      <c r="E7" t="s">
        <v>130</v>
      </c>
      <c r="F7" t="s">
        <v>121</v>
      </c>
      <c r="G7" t="s">
        <v>123</v>
      </c>
      <c r="H7">
        <v>1</v>
      </c>
      <c r="I7" t="b">
        <v>0</v>
      </c>
      <c r="J7" t="b">
        <v>1</v>
      </c>
      <c r="K7" t="b">
        <v>0</v>
      </c>
      <c r="L7" t="b">
        <v>1</v>
      </c>
    </row>
    <row r="8" spans="1:12">
      <c r="A8" t="s">
        <v>159</v>
      </c>
      <c r="B8">
        <v>51</v>
      </c>
      <c r="C8">
        <v>51</v>
      </c>
      <c r="D8">
        <v>12345</v>
      </c>
      <c r="E8" t="s">
        <v>130</v>
      </c>
      <c r="F8" t="s">
        <v>121</v>
      </c>
      <c r="G8" t="s">
        <v>124</v>
      </c>
      <c r="H8">
        <v>1</v>
      </c>
      <c r="I8" t="b">
        <v>0</v>
      </c>
      <c r="J8" t="b">
        <v>1</v>
      </c>
      <c r="K8" t="b">
        <v>0</v>
      </c>
      <c r="L8" t="b">
        <v>1</v>
      </c>
    </row>
    <row r="9" spans="1:12">
      <c r="A9" t="s">
        <v>159</v>
      </c>
      <c r="B9">
        <v>51</v>
      </c>
      <c r="C9">
        <v>51</v>
      </c>
      <c r="D9">
        <v>12345</v>
      </c>
      <c r="E9" t="s">
        <v>131</v>
      </c>
      <c r="F9" t="s">
        <v>132</v>
      </c>
      <c r="G9" t="s">
        <v>133</v>
      </c>
      <c r="H9">
        <v>1</v>
      </c>
      <c r="I9" t="b">
        <v>0</v>
      </c>
      <c r="J9" t="b">
        <v>1</v>
      </c>
      <c r="K9" t="b">
        <v>0</v>
      </c>
      <c r="L9" t="b">
        <v>1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E6379F-C016-4E2E-B28D-EAC4E4ACB84A}">
          <x14:formula1>
            <xm:f>入力規制リスト!$D$1:$D$2</xm:f>
          </x14:formula1>
          <xm:sqref>I2:L13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4278-C662-41EA-BBDD-B5982548EDA8}">
  <dimension ref="A1:H24"/>
  <sheetViews>
    <sheetView workbookViewId="0">
      <selection sqref="A1:A24"/>
    </sheetView>
  </sheetViews>
  <sheetFormatPr defaultRowHeight="18.75"/>
  <cols>
    <col min="1" max="1" width="21.375" bestFit="1" customWidth="1"/>
    <col min="2" max="2" width="21" bestFit="1" customWidth="1"/>
    <col min="3" max="3" width="13.125" bestFit="1" customWidth="1"/>
    <col min="5" max="5" width="11.125" bestFit="1" customWidth="1"/>
  </cols>
  <sheetData>
    <row r="1" spans="1:8">
      <c r="A1" s="45" t="s">
        <v>180</v>
      </c>
      <c r="B1" t="s">
        <v>195</v>
      </c>
    </row>
    <row r="2" spans="1:8">
      <c r="A2" s="45" t="s">
        <v>189</v>
      </c>
      <c r="C2" t="s">
        <v>196</v>
      </c>
    </row>
    <row r="3" spans="1:8">
      <c r="A3" t="s">
        <v>118</v>
      </c>
      <c r="C3" s="45" t="s">
        <v>130</v>
      </c>
      <c r="D3" s="45" t="s">
        <v>198</v>
      </c>
    </row>
    <row r="4" spans="1:8">
      <c r="A4" t="str">
        <f>C3&amp;" "&amp;$A$1&amp;"_"&amp;D3</f>
        <v>1*1 村_芝</v>
      </c>
      <c r="B4" t="str">
        <f>$A$1&amp;"_"&amp;D3</f>
        <v>村_芝</v>
      </c>
      <c r="C4" s="45" t="s">
        <v>130</v>
      </c>
      <c r="D4" s="45" t="s">
        <v>197</v>
      </c>
    </row>
    <row r="5" spans="1:8">
      <c r="A5" t="str">
        <f>C4&amp;" "&amp;$A$1&amp;"_"&amp;D4</f>
        <v>1*1 村_石畳</v>
      </c>
      <c r="B5" t="str">
        <f>$A$1&amp;"_"&amp;D4</f>
        <v>村_石畳</v>
      </c>
    </row>
    <row r="6" spans="1:8">
      <c r="C6" t="s">
        <v>132</v>
      </c>
      <c r="F6" t="str">
        <f>+A19</f>
        <v>当たり判定なしObject</v>
      </c>
    </row>
    <row r="7" spans="1:8">
      <c r="A7" t="s">
        <v>119</v>
      </c>
      <c r="C7" s="45" t="s">
        <v>131</v>
      </c>
      <c r="D7" s="45" t="s">
        <v>181</v>
      </c>
      <c r="E7" s="45" t="s">
        <v>182</v>
      </c>
      <c r="F7" s="45" t="s">
        <v>130</v>
      </c>
      <c r="G7" s="45" t="s">
        <v>190</v>
      </c>
      <c r="H7" s="45">
        <v>3</v>
      </c>
    </row>
    <row r="8" spans="1:8">
      <c r="A8" t="str">
        <f>"1*1 "&amp;$A$1&amp;"_道_十字"</f>
        <v>1*1 村_道_十字</v>
      </c>
      <c r="B8" t="str">
        <f>$A$1&amp;"_道_十字"</f>
        <v>村_道_十字</v>
      </c>
      <c r="C8" s="45" t="s">
        <v>186</v>
      </c>
      <c r="D8" s="45" t="s">
        <v>183</v>
      </c>
      <c r="E8" s="45">
        <v>28.29</v>
      </c>
      <c r="F8" s="45" t="s">
        <v>130</v>
      </c>
      <c r="G8" s="45" t="s">
        <v>191</v>
      </c>
      <c r="H8" s="45">
        <v>4</v>
      </c>
    </row>
    <row r="9" spans="1:8">
      <c r="A9" t="str">
        <f>"1*1 "&amp;$A$1&amp;"_道_縦"</f>
        <v>1*1 村_道_縦</v>
      </c>
      <c r="B9" t="str">
        <f>$A$1&amp;"_道_縦"</f>
        <v>村_道_縦</v>
      </c>
      <c r="C9" s="45" t="s">
        <v>130</v>
      </c>
      <c r="D9" s="45" t="s">
        <v>184</v>
      </c>
      <c r="E9" s="45">
        <v>26</v>
      </c>
      <c r="F9" s="45" t="s">
        <v>130</v>
      </c>
      <c r="G9" s="45" t="s">
        <v>192</v>
      </c>
      <c r="H9" s="45">
        <v>6</v>
      </c>
    </row>
    <row r="10" spans="1:8">
      <c r="A10" t="str">
        <f>"1*1 "&amp;$A$1&amp;"_道_横"</f>
        <v>1*1 村_道_横</v>
      </c>
      <c r="B10" t="str">
        <f>$A$1&amp;"_道_横"</f>
        <v>村_道_横</v>
      </c>
      <c r="C10" s="45" t="s">
        <v>185</v>
      </c>
      <c r="D10" s="45" t="s">
        <v>187</v>
      </c>
      <c r="E10" s="45">
        <v>13.21</v>
      </c>
      <c r="F10" s="45" t="s">
        <v>130</v>
      </c>
      <c r="G10" s="45" t="s">
        <v>193</v>
      </c>
      <c r="H10" s="45">
        <v>8</v>
      </c>
    </row>
    <row r="11" spans="1:8">
      <c r="C11" s="45" t="s">
        <v>130</v>
      </c>
      <c r="D11" s="45" t="s">
        <v>188</v>
      </c>
      <c r="E11" s="45">
        <v>24</v>
      </c>
      <c r="F11" s="45" t="s">
        <v>130</v>
      </c>
      <c r="G11" s="45" t="s">
        <v>194</v>
      </c>
      <c r="H11" s="45">
        <v>16</v>
      </c>
    </row>
    <row r="12" spans="1:8">
      <c r="A12" t="s">
        <v>121</v>
      </c>
    </row>
    <row r="13" spans="1:8">
      <c r="A13" t="str">
        <f>C7&amp;" "&amp;$A$1&amp;"_"&amp;D7</f>
        <v>2*2 村_井戸</v>
      </c>
      <c r="B13" t="str">
        <f>$A$1&amp;"_"&amp;D7&amp;"_"</f>
        <v>村_井戸_</v>
      </c>
    </row>
    <row r="14" spans="1:8">
      <c r="A14" t="str">
        <f>C8&amp;" "&amp;$A$1&amp;"_"&amp;D8</f>
        <v>2*1 村_薪</v>
      </c>
      <c r="B14" t="str">
        <f>$A$1&amp;"_"&amp;D8&amp;"_"</f>
        <v>村_薪_</v>
      </c>
    </row>
    <row r="15" spans="1:8">
      <c r="A15" t="str">
        <f>C9&amp;" "&amp;$A$1&amp;"_"&amp;D9</f>
        <v>1*1 村_墓</v>
      </c>
      <c r="B15" t="str">
        <f>$A$1&amp;"_"&amp;D9&amp;"_"</f>
        <v>村_墓_</v>
      </c>
    </row>
    <row r="16" spans="1:8">
      <c r="A16" t="str">
        <f>C10&amp;" "&amp;$A$1&amp;"_"&amp;D10</f>
        <v>1*2 村_薪割株</v>
      </c>
      <c r="B16" t="str">
        <f>$A$1&amp;"_"&amp;D10&amp;"_"</f>
        <v>村_薪割株_</v>
      </c>
    </row>
    <row r="17" spans="1:2">
      <c r="A17" t="str">
        <f>C11&amp;" "&amp;$A$1&amp;"_"&amp;D11</f>
        <v>1*1 村_水汲み桶</v>
      </c>
      <c r="B17" t="str">
        <f>$A$1&amp;"_"&amp;D11&amp;"_"</f>
        <v>村_水汲み桶_</v>
      </c>
    </row>
    <row r="19" spans="1:2">
      <c r="A19" t="s">
        <v>179</v>
      </c>
    </row>
    <row r="20" spans="1:2">
      <c r="A20" t="str">
        <f>F7&amp;" "&amp;$A$1&amp;"_"&amp;G7</f>
        <v>1*1 村_ピンク花</v>
      </c>
      <c r="B20" t="str">
        <f>$A$1&amp;"_"&amp;G7&amp;"_"</f>
        <v>村_ピンク花_</v>
      </c>
    </row>
    <row r="21" spans="1:2">
      <c r="A21" t="str">
        <f>F8&amp;" "&amp;$A$1&amp;"_"&amp;G8</f>
        <v>1*1 村_黄色花</v>
      </c>
      <c r="B21" t="str">
        <f>$A$1&amp;"_"&amp;G8&amp;"_"</f>
        <v>村_黄色花_</v>
      </c>
    </row>
    <row r="22" spans="1:2">
      <c r="A22" t="str">
        <f>F9&amp;" "&amp;$A$1&amp;"_"&amp;G9</f>
        <v>1*1 村_紫花</v>
      </c>
      <c r="B22" t="str">
        <f>$A$1&amp;"_"&amp;G9&amp;"_"</f>
        <v>村_紫花_</v>
      </c>
    </row>
    <row r="23" spans="1:2">
      <c r="A23" t="str">
        <f>F10&amp;" "&amp;$A$1&amp;"_"&amp;G10</f>
        <v>1*1 村_青草</v>
      </c>
      <c r="B23" t="str">
        <f>$A$1&amp;"_"&amp;G10&amp;"_"</f>
        <v>村_青草_</v>
      </c>
    </row>
    <row r="24" spans="1:2">
      <c r="A24" t="str">
        <f>F11&amp;" "&amp;$A$1&amp;"_"&amp;G11</f>
        <v>1*1 村_枝</v>
      </c>
      <c r="B24" t="str">
        <f>$A$1&amp;"_"&amp;G11&amp;"_"</f>
        <v>村_枝_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4FFA-3CD1-4EA0-BB40-D281EAA1B33E}">
  <dimension ref="A1:C10000"/>
  <sheetViews>
    <sheetView workbookViewId="0">
      <selection activeCell="F10" sqref="F10"/>
    </sheetView>
  </sheetViews>
  <sheetFormatPr defaultRowHeight="18.75"/>
  <sheetData>
    <row r="1" spans="1:3">
      <c r="A1" t="s">
        <v>134</v>
      </c>
      <c r="B1" t="s">
        <v>135</v>
      </c>
      <c r="C1" t="s">
        <v>136</v>
      </c>
    </row>
    <row r="2" spans="1:3">
      <c r="A2">
        <v>1</v>
      </c>
      <c r="B2">
        <v>10</v>
      </c>
      <c r="C2">
        <v>10</v>
      </c>
    </row>
    <row r="3" spans="1:3">
      <c r="A3">
        <v>2</v>
      </c>
      <c r="B3">
        <v>40</v>
      </c>
      <c r="C3">
        <v>40</v>
      </c>
    </row>
    <row r="4" spans="1:3">
      <c r="A4">
        <v>3</v>
      </c>
      <c r="B4">
        <v>90</v>
      </c>
      <c r="C4">
        <v>90</v>
      </c>
    </row>
    <row r="5" spans="1:3">
      <c r="A5">
        <v>4</v>
      </c>
      <c r="B5">
        <v>160</v>
      </c>
      <c r="C5">
        <v>160</v>
      </c>
    </row>
    <row r="6" spans="1:3">
      <c r="A6">
        <v>5</v>
      </c>
      <c r="B6">
        <v>250</v>
      </c>
      <c r="C6">
        <v>250</v>
      </c>
    </row>
    <row r="7" spans="1:3">
      <c r="A7">
        <v>6</v>
      </c>
      <c r="B7">
        <v>360</v>
      </c>
      <c r="C7">
        <v>360</v>
      </c>
    </row>
    <row r="8" spans="1:3">
      <c r="A8">
        <v>7</v>
      </c>
      <c r="B8">
        <v>490</v>
      </c>
      <c r="C8">
        <v>490</v>
      </c>
    </row>
    <row r="9" spans="1:3">
      <c r="A9">
        <v>8</v>
      </c>
      <c r="B9">
        <v>640</v>
      </c>
      <c r="C9">
        <v>640</v>
      </c>
    </row>
    <row r="10" spans="1:3">
      <c r="A10">
        <v>9</v>
      </c>
      <c r="B10">
        <v>810</v>
      </c>
      <c r="C10">
        <v>810</v>
      </c>
    </row>
    <row r="11" spans="1:3">
      <c r="A11">
        <v>10</v>
      </c>
      <c r="B11">
        <v>1000</v>
      </c>
      <c r="C11">
        <v>1000</v>
      </c>
    </row>
    <row r="12" spans="1:3">
      <c r="A12">
        <v>11</v>
      </c>
      <c r="B12">
        <v>1210</v>
      </c>
      <c r="C12">
        <v>1210</v>
      </c>
    </row>
    <row r="13" spans="1:3">
      <c r="A13">
        <v>12</v>
      </c>
      <c r="B13">
        <v>1440</v>
      </c>
      <c r="C13">
        <v>1440</v>
      </c>
    </row>
    <row r="14" spans="1:3">
      <c r="A14">
        <v>13</v>
      </c>
      <c r="B14">
        <v>1690</v>
      </c>
      <c r="C14">
        <v>1690</v>
      </c>
    </row>
    <row r="15" spans="1:3">
      <c r="A15">
        <v>14</v>
      </c>
      <c r="B15">
        <v>1960</v>
      </c>
      <c r="C15">
        <v>1960</v>
      </c>
    </row>
    <row r="16" spans="1:3">
      <c r="A16">
        <v>15</v>
      </c>
      <c r="B16">
        <v>2250</v>
      </c>
      <c r="C16">
        <v>2250</v>
      </c>
    </row>
    <row r="17" spans="1:3">
      <c r="A17">
        <v>16</v>
      </c>
      <c r="B17">
        <v>2560</v>
      </c>
      <c r="C17">
        <v>2560</v>
      </c>
    </row>
    <row r="18" spans="1:3">
      <c r="A18">
        <v>17</v>
      </c>
      <c r="B18">
        <v>2890</v>
      </c>
      <c r="C18">
        <v>2890</v>
      </c>
    </row>
    <row r="19" spans="1:3">
      <c r="A19">
        <v>18</v>
      </c>
      <c r="B19">
        <v>3240</v>
      </c>
      <c r="C19">
        <v>3240</v>
      </c>
    </row>
    <row r="20" spans="1:3">
      <c r="A20">
        <v>19</v>
      </c>
      <c r="B20">
        <v>3610</v>
      </c>
      <c r="C20">
        <v>3610</v>
      </c>
    </row>
    <row r="21" spans="1:3">
      <c r="A21">
        <v>20</v>
      </c>
      <c r="B21">
        <v>4000</v>
      </c>
      <c r="C21">
        <v>4000</v>
      </c>
    </row>
    <row r="22" spans="1:3">
      <c r="A22">
        <v>21</v>
      </c>
      <c r="B22">
        <v>4410</v>
      </c>
      <c r="C22">
        <v>4410</v>
      </c>
    </row>
    <row r="23" spans="1:3">
      <c r="A23">
        <v>22</v>
      </c>
      <c r="B23">
        <v>4840</v>
      </c>
      <c r="C23">
        <v>4840</v>
      </c>
    </row>
    <row r="24" spans="1:3">
      <c r="A24">
        <v>23</v>
      </c>
      <c r="B24">
        <v>5290</v>
      </c>
      <c r="C24">
        <v>5290</v>
      </c>
    </row>
    <row r="25" spans="1:3">
      <c r="A25">
        <v>24</v>
      </c>
      <c r="B25">
        <v>5760</v>
      </c>
      <c r="C25">
        <v>5760</v>
      </c>
    </row>
    <row r="26" spans="1:3">
      <c r="A26">
        <v>25</v>
      </c>
      <c r="B26">
        <v>6250</v>
      </c>
      <c r="C26">
        <v>6250</v>
      </c>
    </row>
    <row r="27" spans="1:3">
      <c r="A27">
        <v>26</v>
      </c>
      <c r="B27">
        <v>6760</v>
      </c>
      <c r="C27">
        <v>6760</v>
      </c>
    </row>
    <row r="28" spans="1:3">
      <c r="A28">
        <v>27</v>
      </c>
      <c r="B28">
        <v>7290</v>
      </c>
      <c r="C28">
        <v>7290</v>
      </c>
    </row>
    <row r="29" spans="1:3">
      <c r="A29">
        <v>28</v>
      </c>
      <c r="B29">
        <v>7840</v>
      </c>
      <c r="C29">
        <v>7840</v>
      </c>
    </row>
    <row r="30" spans="1:3">
      <c r="A30">
        <v>29</v>
      </c>
      <c r="B30">
        <v>8410</v>
      </c>
      <c r="C30">
        <v>8410</v>
      </c>
    </row>
    <row r="31" spans="1:3">
      <c r="A31">
        <v>30</v>
      </c>
      <c r="B31">
        <v>9000</v>
      </c>
      <c r="C31">
        <v>9000</v>
      </c>
    </row>
    <row r="32" spans="1:3">
      <c r="A32">
        <v>31</v>
      </c>
      <c r="B32">
        <v>9610</v>
      </c>
      <c r="C32">
        <v>9610</v>
      </c>
    </row>
    <row r="33" spans="1:3">
      <c r="A33">
        <v>32</v>
      </c>
      <c r="B33">
        <v>10240</v>
      </c>
      <c r="C33">
        <v>10240</v>
      </c>
    </row>
    <row r="34" spans="1:3">
      <c r="A34">
        <v>33</v>
      </c>
      <c r="B34">
        <v>10890</v>
      </c>
      <c r="C34">
        <v>10890</v>
      </c>
    </row>
    <row r="35" spans="1:3">
      <c r="A35">
        <v>34</v>
      </c>
      <c r="B35">
        <v>11560</v>
      </c>
      <c r="C35">
        <v>11560</v>
      </c>
    </row>
    <row r="36" spans="1:3">
      <c r="A36">
        <v>35</v>
      </c>
      <c r="B36">
        <v>12250</v>
      </c>
      <c r="C36">
        <v>12250</v>
      </c>
    </row>
    <row r="37" spans="1:3">
      <c r="A37">
        <v>36</v>
      </c>
      <c r="B37">
        <v>12960</v>
      </c>
      <c r="C37">
        <v>12960</v>
      </c>
    </row>
    <row r="38" spans="1:3">
      <c r="A38">
        <v>37</v>
      </c>
      <c r="B38">
        <v>13690</v>
      </c>
      <c r="C38">
        <v>13690</v>
      </c>
    </row>
    <row r="39" spans="1:3">
      <c r="A39">
        <v>38</v>
      </c>
      <c r="B39">
        <v>14440</v>
      </c>
      <c r="C39">
        <v>14440</v>
      </c>
    </row>
    <row r="40" spans="1:3">
      <c r="A40">
        <v>39</v>
      </c>
      <c r="B40">
        <v>15210</v>
      </c>
      <c r="C40">
        <v>15210</v>
      </c>
    </row>
    <row r="41" spans="1:3">
      <c r="A41">
        <v>40</v>
      </c>
      <c r="B41">
        <v>16000</v>
      </c>
      <c r="C41">
        <v>16000</v>
      </c>
    </row>
    <row r="42" spans="1:3">
      <c r="A42">
        <v>41</v>
      </c>
      <c r="B42">
        <v>16810</v>
      </c>
      <c r="C42">
        <v>16810</v>
      </c>
    </row>
    <row r="43" spans="1:3">
      <c r="A43">
        <v>42</v>
      </c>
      <c r="B43">
        <v>17640</v>
      </c>
      <c r="C43">
        <v>17640</v>
      </c>
    </row>
    <row r="44" spans="1:3">
      <c r="A44">
        <v>43</v>
      </c>
      <c r="B44">
        <v>18490</v>
      </c>
      <c r="C44">
        <v>18490</v>
      </c>
    </row>
    <row r="45" spans="1:3">
      <c r="A45">
        <v>44</v>
      </c>
      <c r="B45">
        <v>19360</v>
      </c>
      <c r="C45">
        <v>19360</v>
      </c>
    </row>
    <row r="46" spans="1:3">
      <c r="A46">
        <v>45</v>
      </c>
      <c r="B46">
        <v>20250</v>
      </c>
      <c r="C46">
        <v>20250</v>
      </c>
    </row>
    <row r="47" spans="1:3">
      <c r="A47">
        <v>46</v>
      </c>
      <c r="B47">
        <v>21160</v>
      </c>
      <c r="C47">
        <v>21160</v>
      </c>
    </row>
    <row r="48" spans="1:3">
      <c r="A48">
        <v>47</v>
      </c>
      <c r="B48">
        <v>22090</v>
      </c>
      <c r="C48">
        <v>22090</v>
      </c>
    </row>
    <row r="49" spans="1:3">
      <c r="A49">
        <v>48</v>
      </c>
      <c r="B49">
        <v>23040</v>
      </c>
      <c r="C49">
        <v>23040</v>
      </c>
    </row>
    <row r="50" spans="1:3">
      <c r="A50">
        <v>49</v>
      </c>
      <c r="B50">
        <v>24010</v>
      </c>
      <c r="C50">
        <v>24010</v>
      </c>
    </row>
    <row r="51" spans="1:3">
      <c r="A51">
        <v>50</v>
      </c>
      <c r="B51">
        <v>25000</v>
      </c>
      <c r="C51">
        <v>25000</v>
      </c>
    </row>
    <row r="52" spans="1:3">
      <c r="A52">
        <v>51</v>
      </c>
      <c r="B52">
        <v>26010</v>
      </c>
      <c r="C52">
        <v>26010</v>
      </c>
    </row>
    <row r="53" spans="1:3">
      <c r="A53">
        <v>52</v>
      </c>
      <c r="B53">
        <v>27040</v>
      </c>
      <c r="C53">
        <v>27040</v>
      </c>
    </row>
    <row r="54" spans="1:3">
      <c r="A54">
        <v>53</v>
      </c>
      <c r="B54">
        <v>28090</v>
      </c>
      <c r="C54">
        <v>28090</v>
      </c>
    </row>
    <row r="55" spans="1:3">
      <c r="A55">
        <v>54</v>
      </c>
      <c r="B55">
        <v>29160</v>
      </c>
      <c r="C55">
        <v>29160</v>
      </c>
    </row>
    <row r="56" spans="1:3">
      <c r="A56">
        <v>55</v>
      </c>
      <c r="B56">
        <v>30250</v>
      </c>
      <c r="C56">
        <v>30250</v>
      </c>
    </row>
    <row r="57" spans="1:3">
      <c r="A57">
        <v>56</v>
      </c>
      <c r="B57">
        <v>31360</v>
      </c>
      <c r="C57">
        <v>31360</v>
      </c>
    </row>
    <row r="58" spans="1:3">
      <c r="A58">
        <v>57</v>
      </c>
      <c r="B58">
        <v>32490</v>
      </c>
      <c r="C58">
        <v>32490</v>
      </c>
    </row>
    <row r="59" spans="1:3">
      <c r="A59">
        <v>58</v>
      </c>
      <c r="B59">
        <v>33640</v>
      </c>
      <c r="C59">
        <v>33640</v>
      </c>
    </row>
    <row r="60" spans="1:3">
      <c r="A60">
        <v>59</v>
      </c>
      <c r="B60">
        <v>34810</v>
      </c>
      <c r="C60">
        <v>34810</v>
      </c>
    </row>
    <row r="61" spans="1:3">
      <c r="A61">
        <v>60</v>
      </c>
      <c r="B61">
        <v>36000</v>
      </c>
      <c r="C61">
        <v>36000</v>
      </c>
    </row>
    <row r="62" spans="1:3">
      <c r="A62">
        <v>61</v>
      </c>
      <c r="B62">
        <v>37210</v>
      </c>
      <c r="C62">
        <v>37210</v>
      </c>
    </row>
    <row r="63" spans="1:3">
      <c r="A63">
        <v>62</v>
      </c>
      <c r="B63">
        <v>38440</v>
      </c>
      <c r="C63">
        <v>38440</v>
      </c>
    </row>
    <row r="64" spans="1:3">
      <c r="A64">
        <v>63</v>
      </c>
      <c r="B64">
        <v>39690</v>
      </c>
      <c r="C64">
        <v>39690</v>
      </c>
    </row>
    <row r="65" spans="1:3">
      <c r="A65">
        <v>64</v>
      </c>
      <c r="B65">
        <v>40960</v>
      </c>
      <c r="C65">
        <v>40960</v>
      </c>
    </row>
    <row r="66" spans="1:3">
      <c r="A66">
        <v>65</v>
      </c>
      <c r="B66">
        <v>42250</v>
      </c>
      <c r="C66">
        <v>42250</v>
      </c>
    </row>
    <row r="67" spans="1:3">
      <c r="A67">
        <v>66</v>
      </c>
      <c r="B67">
        <v>43560</v>
      </c>
      <c r="C67">
        <v>43560</v>
      </c>
    </row>
    <row r="68" spans="1:3">
      <c r="A68">
        <v>67</v>
      </c>
      <c r="B68">
        <v>44890</v>
      </c>
      <c r="C68">
        <v>44890</v>
      </c>
    </row>
    <row r="69" spans="1:3">
      <c r="A69">
        <v>68</v>
      </c>
      <c r="B69">
        <v>46240</v>
      </c>
      <c r="C69">
        <v>46240</v>
      </c>
    </row>
    <row r="70" spans="1:3">
      <c r="A70">
        <v>69</v>
      </c>
      <c r="B70">
        <v>47610</v>
      </c>
      <c r="C70">
        <v>47610</v>
      </c>
    </row>
    <row r="71" spans="1:3">
      <c r="A71">
        <v>70</v>
      </c>
      <c r="B71">
        <v>49000</v>
      </c>
      <c r="C71">
        <v>49000</v>
      </c>
    </row>
    <row r="72" spans="1:3">
      <c r="A72">
        <v>71</v>
      </c>
      <c r="B72">
        <v>50410</v>
      </c>
      <c r="C72">
        <v>50410</v>
      </c>
    </row>
    <row r="73" spans="1:3">
      <c r="A73">
        <v>72</v>
      </c>
      <c r="B73">
        <v>51840</v>
      </c>
      <c r="C73">
        <v>51840</v>
      </c>
    </row>
    <row r="74" spans="1:3">
      <c r="A74">
        <v>73</v>
      </c>
      <c r="B74">
        <v>53290</v>
      </c>
      <c r="C74">
        <v>53290</v>
      </c>
    </row>
    <row r="75" spans="1:3">
      <c r="A75">
        <v>74</v>
      </c>
      <c r="B75">
        <v>54760</v>
      </c>
      <c r="C75">
        <v>54760</v>
      </c>
    </row>
    <row r="76" spans="1:3">
      <c r="A76">
        <v>75</v>
      </c>
      <c r="B76">
        <v>56250</v>
      </c>
      <c r="C76">
        <v>56250</v>
      </c>
    </row>
    <row r="77" spans="1:3">
      <c r="A77">
        <v>76</v>
      </c>
      <c r="B77">
        <v>57760</v>
      </c>
      <c r="C77">
        <v>57760</v>
      </c>
    </row>
    <row r="78" spans="1:3">
      <c r="A78">
        <v>77</v>
      </c>
      <c r="B78">
        <v>59290</v>
      </c>
      <c r="C78">
        <v>59290</v>
      </c>
    </row>
    <row r="79" spans="1:3">
      <c r="A79">
        <v>78</v>
      </c>
      <c r="B79">
        <v>60840</v>
      </c>
      <c r="C79">
        <v>60840</v>
      </c>
    </row>
    <row r="80" spans="1:3">
      <c r="A80">
        <v>79</v>
      </c>
      <c r="B80">
        <v>62410</v>
      </c>
      <c r="C80">
        <v>62410</v>
      </c>
    </row>
    <row r="81" spans="1:3">
      <c r="A81">
        <v>80</v>
      </c>
      <c r="B81">
        <v>64000</v>
      </c>
      <c r="C81">
        <v>64000</v>
      </c>
    </row>
    <row r="82" spans="1:3">
      <c r="A82">
        <v>81</v>
      </c>
      <c r="B82">
        <v>65610</v>
      </c>
      <c r="C82">
        <v>65610</v>
      </c>
    </row>
    <row r="83" spans="1:3">
      <c r="A83">
        <v>82</v>
      </c>
      <c r="B83">
        <v>67240</v>
      </c>
      <c r="C83">
        <v>67240</v>
      </c>
    </row>
    <row r="84" spans="1:3">
      <c r="A84">
        <v>83</v>
      </c>
      <c r="B84">
        <v>68890</v>
      </c>
      <c r="C84">
        <v>68890</v>
      </c>
    </row>
    <row r="85" spans="1:3">
      <c r="A85">
        <v>84</v>
      </c>
      <c r="B85">
        <v>70560</v>
      </c>
      <c r="C85">
        <v>70560</v>
      </c>
    </row>
    <row r="86" spans="1:3">
      <c r="A86">
        <v>85</v>
      </c>
      <c r="B86">
        <v>72250</v>
      </c>
      <c r="C86">
        <v>72250</v>
      </c>
    </row>
    <row r="87" spans="1:3">
      <c r="A87">
        <v>86</v>
      </c>
      <c r="B87">
        <v>73960</v>
      </c>
      <c r="C87">
        <v>73960</v>
      </c>
    </row>
    <row r="88" spans="1:3">
      <c r="A88">
        <v>87</v>
      </c>
      <c r="B88">
        <v>75690</v>
      </c>
      <c r="C88">
        <v>75690</v>
      </c>
    </row>
    <row r="89" spans="1:3">
      <c r="A89">
        <v>88</v>
      </c>
      <c r="B89">
        <v>77440</v>
      </c>
      <c r="C89">
        <v>77440</v>
      </c>
    </row>
    <row r="90" spans="1:3">
      <c r="A90">
        <v>89</v>
      </c>
      <c r="B90">
        <v>79210</v>
      </c>
      <c r="C90">
        <v>79210</v>
      </c>
    </row>
    <row r="91" spans="1:3">
      <c r="A91">
        <v>90</v>
      </c>
      <c r="B91">
        <v>81000</v>
      </c>
      <c r="C91">
        <v>81000</v>
      </c>
    </row>
    <row r="92" spans="1:3">
      <c r="A92">
        <v>91</v>
      </c>
      <c r="B92">
        <v>82810</v>
      </c>
      <c r="C92">
        <v>82810</v>
      </c>
    </row>
    <row r="93" spans="1:3">
      <c r="A93">
        <v>92</v>
      </c>
      <c r="B93">
        <v>84640</v>
      </c>
      <c r="C93">
        <v>84640</v>
      </c>
    </row>
    <row r="94" spans="1:3">
      <c r="A94">
        <v>93</v>
      </c>
      <c r="B94">
        <v>86490</v>
      </c>
      <c r="C94">
        <v>86490</v>
      </c>
    </row>
    <row r="95" spans="1:3">
      <c r="A95">
        <v>94</v>
      </c>
      <c r="B95">
        <v>88360</v>
      </c>
      <c r="C95">
        <v>88360</v>
      </c>
    </row>
    <row r="96" spans="1:3">
      <c r="A96">
        <v>95</v>
      </c>
      <c r="B96">
        <v>90250</v>
      </c>
      <c r="C96">
        <v>90250</v>
      </c>
    </row>
    <row r="97" spans="1:3">
      <c r="A97">
        <v>96</v>
      </c>
      <c r="B97">
        <v>92160</v>
      </c>
      <c r="C97">
        <v>92160</v>
      </c>
    </row>
    <row r="98" spans="1:3">
      <c r="A98">
        <v>97</v>
      </c>
      <c r="B98">
        <v>94090</v>
      </c>
      <c r="C98">
        <v>94090</v>
      </c>
    </row>
    <row r="99" spans="1:3">
      <c r="A99">
        <v>98</v>
      </c>
      <c r="B99">
        <v>96040</v>
      </c>
      <c r="C99">
        <v>96040</v>
      </c>
    </row>
    <row r="100" spans="1:3">
      <c r="A100">
        <v>99</v>
      </c>
      <c r="B100">
        <v>98010</v>
      </c>
      <c r="C100">
        <v>98010</v>
      </c>
    </row>
    <row r="101" spans="1:3">
      <c r="A101">
        <v>100</v>
      </c>
      <c r="B101">
        <v>100000</v>
      </c>
      <c r="C101">
        <v>100000</v>
      </c>
    </row>
    <row r="102" spans="1:3">
      <c r="A102">
        <v>101</v>
      </c>
      <c r="B102">
        <v>102010</v>
      </c>
      <c r="C102">
        <v>102010</v>
      </c>
    </row>
    <row r="103" spans="1:3">
      <c r="A103">
        <v>102</v>
      </c>
      <c r="B103">
        <v>104040</v>
      </c>
      <c r="C103">
        <v>104040</v>
      </c>
    </row>
    <row r="104" spans="1:3">
      <c r="A104">
        <v>103</v>
      </c>
      <c r="B104">
        <v>106090</v>
      </c>
      <c r="C104">
        <v>106090</v>
      </c>
    </row>
    <row r="105" spans="1:3">
      <c r="A105">
        <v>104</v>
      </c>
      <c r="B105">
        <v>108160</v>
      </c>
      <c r="C105">
        <v>108160</v>
      </c>
    </row>
    <row r="106" spans="1:3">
      <c r="A106">
        <v>105</v>
      </c>
      <c r="B106">
        <v>110250</v>
      </c>
      <c r="C106">
        <v>110250</v>
      </c>
    </row>
    <row r="107" spans="1:3">
      <c r="A107">
        <v>106</v>
      </c>
      <c r="B107">
        <v>112360</v>
      </c>
      <c r="C107">
        <v>112360</v>
      </c>
    </row>
    <row r="108" spans="1:3">
      <c r="A108">
        <v>107</v>
      </c>
      <c r="B108">
        <v>114490</v>
      </c>
      <c r="C108">
        <v>114490</v>
      </c>
    </row>
    <row r="109" spans="1:3">
      <c r="A109">
        <v>108</v>
      </c>
      <c r="B109">
        <v>116640</v>
      </c>
      <c r="C109">
        <v>116640</v>
      </c>
    </row>
    <row r="110" spans="1:3">
      <c r="A110">
        <v>109</v>
      </c>
      <c r="B110">
        <v>118810</v>
      </c>
      <c r="C110">
        <v>118810</v>
      </c>
    </row>
    <row r="111" spans="1:3">
      <c r="A111">
        <v>110</v>
      </c>
      <c r="B111">
        <v>121000</v>
      </c>
      <c r="C111">
        <v>121000</v>
      </c>
    </row>
    <row r="112" spans="1:3">
      <c r="A112">
        <v>111</v>
      </c>
      <c r="B112">
        <v>123210</v>
      </c>
      <c r="C112">
        <v>123210</v>
      </c>
    </row>
    <row r="113" spans="1:3">
      <c r="A113">
        <v>112</v>
      </c>
      <c r="B113">
        <v>125440</v>
      </c>
      <c r="C113">
        <v>125440</v>
      </c>
    </row>
    <row r="114" spans="1:3">
      <c r="A114">
        <v>113</v>
      </c>
      <c r="B114">
        <v>127690</v>
      </c>
      <c r="C114">
        <v>127690</v>
      </c>
    </row>
    <row r="115" spans="1:3">
      <c r="A115">
        <v>114</v>
      </c>
      <c r="B115">
        <v>129960</v>
      </c>
      <c r="C115">
        <v>129960</v>
      </c>
    </row>
    <row r="116" spans="1:3">
      <c r="A116">
        <v>115</v>
      </c>
      <c r="B116">
        <v>132250</v>
      </c>
      <c r="C116">
        <v>132250</v>
      </c>
    </row>
    <row r="117" spans="1:3">
      <c r="A117">
        <v>116</v>
      </c>
      <c r="B117">
        <v>134560</v>
      </c>
      <c r="C117">
        <v>134560</v>
      </c>
    </row>
    <row r="118" spans="1:3">
      <c r="A118">
        <v>117</v>
      </c>
      <c r="B118">
        <v>136890</v>
      </c>
      <c r="C118">
        <v>136890</v>
      </c>
    </row>
    <row r="119" spans="1:3">
      <c r="A119">
        <v>118</v>
      </c>
      <c r="B119">
        <v>139240</v>
      </c>
      <c r="C119">
        <v>139240</v>
      </c>
    </row>
    <row r="120" spans="1:3">
      <c r="A120">
        <v>119</v>
      </c>
      <c r="B120">
        <v>141610</v>
      </c>
      <c r="C120">
        <v>141610</v>
      </c>
    </row>
    <row r="121" spans="1:3">
      <c r="A121">
        <v>120</v>
      </c>
      <c r="B121">
        <v>144000</v>
      </c>
      <c r="C121">
        <v>144000</v>
      </c>
    </row>
    <row r="122" spans="1:3">
      <c r="A122">
        <v>121</v>
      </c>
      <c r="B122">
        <v>146410</v>
      </c>
      <c r="C122">
        <v>146410</v>
      </c>
    </row>
    <row r="123" spans="1:3">
      <c r="A123">
        <v>122</v>
      </c>
      <c r="B123">
        <v>148840</v>
      </c>
      <c r="C123">
        <v>148840</v>
      </c>
    </row>
    <row r="124" spans="1:3">
      <c r="A124">
        <v>123</v>
      </c>
      <c r="B124">
        <v>151290</v>
      </c>
      <c r="C124">
        <v>151290</v>
      </c>
    </row>
    <row r="125" spans="1:3">
      <c r="A125">
        <v>124</v>
      </c>
      <c r="B125">
        <v>153760</v>
      </c>
      <c r="C125">
        <v>153760</v>
      </c>
    </row>
    <row r="126" spans="1:3">
      <c r="A126">
        <v>125</v>
      </c>
      <c r="B126">
        <v>156250</v>
      </c>
      <c r="C126">
        <v>156250</v>
      </c>
    </row>
    <row r="127" spans="1:3">
      <c r="A127">
        <v>126</v>
      </c>
      <c r="B127">
        <v>158760</v>
      </c>
      <c r="C127">
        <v>158760</v>
      </c>
    </row>
    <row r="128" spans="1:3">
      <c r="A128">
        <v>127</v>
      </c>
      <c r="B128">
        <v>161290</v>
      </c>
      <c r="C128">
        <v>161290</v>
      </c>
    </row>
    <row r="129" spans="1:3">
      <c r="A129">
        <v>128</v>
      </c>
      <c r="B129">
        <v>163840</v>
      </c>
      <c r="C129">
        <v>163840</v>
      </c>
    </row>
    <row r="130" spans="1:3">
      <c r="A130">
        <v>129</v>
      </c>
      <c r="B130">
        <v>166410</v>
      </c>
      <c r="C130">
        <v>166410</v>
      </c>
    </row>
    <row r="131" spans="1:3">
      <c r="A131">
        <v>130</v>
      </c>
      <c r="B131">
        <v>169000</v>
      </c>
      <c r="C131">
        <v>169000</v>
      </c>
    </row>
    <row r="132" spans="1:3">
      <c r="A132">
        <v>131</v>
      </c>
      <c r="B132">
        <v>171610</v>
      </c>
      <c r="C132">
        <v>171610</v>
      </c>
    </row>
    <row r="133" spans="1:3">
      <c r="A133">
        <v>132</v>
      </c>
      <c r="B133">
        <v>174240</v>
      </c>
      <c r="C133">
        <v>174240</v>
      </c>
    </row>
    <row r="134" spans="1:3">
      <c r="A134">
        <v>133</v>
      </c>
      <c r="B134">
        <v>176890</v>
      </c>
      <c r="C134">
        <v>176890</v>
      </c>
    </row>
    <row r="135" spans="1:3">
      <c r="A135">
        <v>134</v>
      </c>
      <c r="B135">
        <v>179560</v>
      </c>
      <c r="C135">
        <v>179560</v>
      </c>
    </row>
    <row r="136" spans="1:3">
      <c r="A136">
        <v>135</v>
      </c>
      <c r="B136">
        <v>182250</v>
      </c>
      <c r="C136">
        <v>182250</v>
      </c>
    </row>
    <row r="137" spans="1:3">
      <c r="A137">
        <v>136</v>
      </c>
      <c r="B137">
        <v>184960</v>
      </c>
      <c r="C137">
        <v>184960</v>
      </c>
    </row>
    <row r="138" spans="1:3">
      <c r="A138">
        <v>137</v>
      </c>
      <c r="B138">
        <v>187690</v>
      </c>
      <c r="C138">
        <v>187690</v>
      </c>
    </row>
    <row r="139" spans="1:3">
      <c r="A139">
        <v>138</v>
      </c>
      <c r="B139">
        <v>190440</v>
      </c>
      <c r="C139">
        <v>190440</v>
      </c>
    </row>
    <row r="140" spans="1:3">
      <c r="A140">
        <v>139</v>
      </c>
      <c r="B140">
        <v>193210</v>
      </c>
      <c r="C140">
        <v>193210</v>
      </c>
    </row>
    <row r="141" spans="1:3">
      <c r="A141">
        <v>140</v>
      </c>
      <c r="B141">
        <v>196000</v>
      </c>
      <c r="C141">
        <v>196000</v>
      </c>
    </row>
    <row r="142" spans="1:3">
      <c r="A142">
        <v>141</v>
      </c>
      <c r="B142">
        <v>198810</v>
      </c>
      <c r="C142">
        <v>198810</v>
      </c>
    </row>
    <row r="143" spans="1:3">
      <c r="A143">
        <v>142</v>
      </c>
      <c r="B143">
        <v>201640</v>
      </c>
      <c r="C143">
        <v>201640</v>
      </c>
    </row>
    <row r="144" spans="1:3">
      <c r="A144">
        <v>143</v>
      </c>
      <c r="B144">
        <v>204490</v>
      </c>
      <c r="C144">
        <v>204490</v>
      </c>
    </row>
    <row r="145" spans="1:3">
      <c r="A145">
        <v>144</v>
      </c>
      <c r="B145">
        <v>207360</v>
      </c>
      <c r="C145">
        <v>207360</v>
      </c>
    </row>
    <row r="146" spans="1:3">
      <c r="A146">
        <v>145</v>
      </c>
      <c r="B146">
        <v>210250</v>
      </c>
      <c r="C146">
        <v>210250</v>
      </c>
    </row>
    <row r="147" spans="1:3">
      <c r="A147">
        <v>146</v>
      </c>
      <c r="B147">
        <v>213160</v>
      </c>
      <c r="C147">
        <v>213160</v>
      </c>
    </row>
    <row r="148" spans="1:3">
      <c r="A148">
        <v>147</v>
      </c>
      <c r="B148">
        <v>216090</v>
      </c>
      <c r="C148">
        <v>216090</v>
      </c>
    </row>
    <row r="149" spans="1:3">
      <c r="A149">
        <v>148</v>
      </c>
      <c r="B149">
        <v>219040</v>
      </c>
      <c r="C149">
        <v>219040</v>
      </c>
    </row>
    <row r="150" spans="1:3">
      <c r="A150">
        <v>149</v>
      </c>
      <c r="B150">
        <v>222010</v>
      </c>
      <c r="C150">
        <v>222010</v>
      </c>
    </row>
    <row r="151" spans="1:3">
      <c r="A151">
        <v>150</v>
      </c>
      <c r="B151">
        <v>225000</v>
      </c>
      <c r="C151">
        <v>225000</v>
      </c>
    </row>
    <row r="152" spans="1:3">
      <c r="A152">
        <v>151</v>
      </c>
      <c r="B152">
        <v>228010</v>
      </c>
      <c r="C152">
        <v>228010</v>
      </c>
    </row>
    <row r="153" spans="1:3">
      <c r="A153">
        <v>152</v>
      </c>
      <c r="B153">
        <v>231040</v>
      </c>
      <c r="C153">
        <v>231040</v>
      </c>
    </row>
    <row r="154" spans="1:3">
      <c r="A154">
        <v>153</v>
      </c>
      <c r="B154">
        <v>234090</v>
      </c>
      <c r="C154">
        <v>234090</v>
      </c>
    </row>
    <row r="155" spans="1:3">
      <c r="A155">
        <v>154</v>
      </c>
      <c r="B155">
        <v>237160</v>
      </c>
      <c r="C155">
        <v>237160</v>
      </c>
    </row>
    <row r="156" spans="1:3">
      <c r="A156">
        <v>155</v>
      </c>
      <c r="B156">
        <v>240250</v>
      </c>
      <c r="C156">
        <v>240250</v>
      </c>
    </row>
    <row r="157" spans="1:3">
      <c r="A157">
        <v>156</v>
      </c>
      <c r="B157">
        <v>243360</v>
      </c>
      <c r="C157">
        <v>243360</v>
      </c>
    </row>
    <row r="158" spans="1:3">
      <c r="A158">
        <v>157</v>
      </c>
      <c r="B158">
        <v>246490</v>
      </c>
      <c r="C158">
        <v>246490</v>
      </c>
    </row>
    <row r="159" spans="1:3">
      <c r="A159">
        <v>158</v>
      </c>
      <c r="B159">
        <v>249640</v>
      </c>
      <c r="C159">
        <v>249640</v>
      </c>
    </row>
    <row r="160" spans="1:3">
      <c r="A160">
        <v>159</v>
      </c>
      <c r="B160">
        <v>252810</v>
      </c>
      <c r="C160">
        <v>252810</v>
      </c>
    </row>
    <row r="161" spans="1:3">
      <c r="A161">
        <v>160</v>
      </c>
      <c r="B161">
        <v>256000</v>
      </c>
      <c r="C161">
        <v>256000</v>
      </c>
    </row>
    <row r="162" spans="1:3">
      <c r="A162">
        <v>161</v>
      </c>
      <c r="B162">
        <v>259210</v>
      </c>
      <c r="C162">
        <v>259210</v>
      </c>
    </row>
    <row r="163" spans="1:3">
      <c r="A163">
        <v>162</v>
      </c>
      <c r="B163">
        <v>262440</v>
      </c>
      <c r="C163">
        <v>262440</v>
      </c>
    </row>
    <row r="164" spans="1:3">
      <c r="A164">
        <v>163</v>
      </c>
      <c r="B164">
        <v>265690</v>
      </c>
      <c r="C164">
        <v>265690</v>
      </c>
    </row>
    <row r="165" spans="1:3">
      <c r="A165">
        <v>164</v>
      </c>
      <c r="B165">
        <v>268960</v>
      </c>
      <c r="C165">
        <v>268960</v>
      </c>
    </row>
    <row r="166" spans="1:3">
      <c r="A166">
        <v>165</v>
      </c>
      <c r="B166">
        <v>272250</v>
      </c>
      <c r="C166">
        <v>272250</v>
      </c>
    </row>
    <row r="167" spans="1:3">
      <c r="A167">
        <v>166</v>
      </c>
      <c r="B167">
        <v>275560</v>
      </c>
      <c r="C167">
        <v>275560</v>
      </c>
    </row>
    <row r="168" spans="1:3">
      <c r="A168">
        <v>167</v>
      </c>
      <c r="B168">
        <v>278890</v>
      </c>
      <c r="C168">
        <v>278890</v>
      </c>
    </row>
    <row r="169" spans="1:3">
      <c r="A169">
        <v>168</v>
      </c>
      <c r="B169">
        <v>282240</v>
      </c>
      <c r="C169">
        <v>282240</v>
      </c>
    </row>
    <row r="170" spans="1:3">
      <c r="A170">
        <v>169</v>
      </c>
      <c r="B170">
        <v>285610</v>
      </c>
      <c r="C170">
        <v>285610</v>
      </c>
    </row>
    <row r="171" spans="1:3">
      <c r="A171">
        <v>170</v>
      </c>
      <c r="B171">
        <v>289000</v>
      </c>
      <c r="C171">
        <v>289000</v>
      </c>
    </row>
    <row r="172" spans="1:3">
      <c r="A172">
        <v>171</v>
      </c>
      <c r="B172">
        <v>292410</v>
      </c>
      <c r="C172">
        <v>292410</v>
      </c>
    </row>
    <row r="173" spans="1:3">
      <c r="A173">
        <v>172</v>
      </c>
      <c r="B173">
        <v>295840</v>
      </c>
      <c r="C173">
        <v>295840</v>
      </c>
    </row>
    <row r="174" spans="1:3">
      <c r="A174">
        <v>173</v>
      </c>
      <c r="B174">
        <v>299290</v>
      </c>
      <c r="C174">
        <v>299290</v>
      </c>
    </row>
    <row r="175" spans="1:3">
      <c r="A175">
        <v>174</v>
      </c>
      <c r="B175">
        <v>302760</v>
      </c>
      <c r="C175">
        <v>302760</v>
      </c>
    </row>
    <row r="176" spans="1:3">
      <c r="A176">
        <v>175</v>
      </c>
      <c r="B176">
        <v>306250</v>
      </c>
      <c r="C176">
        <v>306250</v>
      </c>
    </row>
    <row r="177" spans="1:3">
      <c r="A177">
        <v>176</v>
      </c>
      <c r="B177">
        <v>309760</v>
      </c>
      <c r="C177">
        <v>309760</v>
      </c>
    </row>
    <row r="178" spans="1:3">
      <c r="A178">
        <v>177</v>
      </c>
      <c r="B178">
        <v>313290</v>
      </c>
      <c r="C178">
        <v>313290</v>
      </c>
    </row>
    <row r="179" spans="1:3">
      <c r="A179">
        <v>178</v>
      </c>
      <c r="B179">
        <v>316840</v>
      </c>
      <c r="C179">
        <v>316840</v>
      </c>
    </row>
    <row r="180" spans="1:3">
      <c r="A180">
        <v>179</v>
      </c>
      <c r="B180">
        <v>320410</v>
      </c>
      <c r="C180">
        <v>320410</v>
      </c>
    </row>
    <row r="181" spans="1:3">
      <c r="A181">
        <v>180</v>
      </c>
      <c r="B181">
        <v>324000</v>
      </c>
      <c r="C181">
        <v>324000</v>
      </c>
    </row>
    <row r="182" spans="1:3">
      <c r="A182">
        <v>181</v>
      </c>
      <c r="B182">
        <v>327610</v>
      </c>
      <c r="C182">
        <v>327610</v>
      </c>
    </row>
    <row r="183" spans="1:3">
      <c r="A183">
        <v>182</v>
      </c>
      <c r="B183">
        <v>331240</v>
      </c>
      <c r="C183">
        <v>331240</v>
      </c>
    </row>
    <row r="184" spans="1:3">
      <c r="A184">
        <v>183</v>
      </c>
      <c r="B184">
        <v>334890</v>
      </c>
      <c r="C184">
        <v>334890</v>
      </c>
    </row>
    <row r="185" spans="1:3">
      <c r="A185">
        <v>184</v>
      </c>
      <c r="B185">
        <v>338560</v>
      </c>
      <c r="C185">
        <v>338560</v>
      </c>
    </row>
    <row r="186" spans="1:3">
      <c r="A186">
        <v>185</v>
      </c>
      <c r="B186">
        <v>342250</v>
      </c>
      <c r="C186">
        <v>342250</v>
      </c>
    </row>
    <row r="187" spans="1:3">
      <c r="A187">
        <v>186</v>
      </c>
      <c r="B187">
        <v>345960</v>
      </c>
      <c r="C187">
        <v>345960</v>
      </c>
    </row>
    <row r="188" spans="1:3">
      <c r="A188">
        <v>187</v>
      </c>
      <c r="B188">
        <v>349690</v>
      </c>
      <c r="C188">
        <v>349690</v>
      </c>
    </row>
    <row r="189" spans="1:3">
      <c r="A189">
        <v>188</v>
      </c>
      <c r="B189">
        <v>353440</v>
      </c>
      <c r="C189">
        <v>353440</v>
      </c>
    </row>
    <row r="190" spans="1:3">
      <c r="A190">
        <v>189</v>
      </c>
      <c r="B190">
        <v>357210</v>
      </c>
      <c r="C190">
        <v>357210</v>
      </c>
    </row>
    <row r="191" spans="1:3">
      <c r="A191">
        <v>190</v>
      </c>
      <c r="B191">
        <v>361000</v>
      </c>
      <c r="C191">
        <v>361000</v>
      </c>
    </row>
    <row r="192" spans="1:3">
      <c r="A192">
        <v>191</v>
      </c>
      <c r="B192">
        <v>364810</v>
      </c>
      <c r="C192">
        <v>364810</v>
      </c>
    </row>
    <row r="193" spans="1:3">
      <c r="A193">
        <v>192</v>
      </c>
      <c r="B193">
        <v>368640</v>
      </c>
      <c r="C193">
        <v>368640</v>
      </c>
    </row>
    <row r="194" spans="1:3">
      <c r="A194">
        <v>193</v>
      </c>
      <c r="B194">
        <v>372490</v>
      </c>
      <c r="C194">
        <v>372490</v>
      </c>
    </row>
    <row r="195" spans="1:3">
      <c r="A195">
        <v>194</v>
      </c>
      <c r="B195">
        <v>376360</v>
      </c>
      <c r="C195">
        <v>376360</v>
      </c>
    </row>
    <row r="196" spans="1:3">
      <c r="A196">
        <v>195</v>
      </c>
      <c r="B196">
        <v>380250</v>
      </c>
      <c r="C196">
        <v>380250</v>
      </c>
    </row>
    <row r="197" spans="1:3">
      <c r="A197">
        <v>196</v>
      </c>
      <c r="B197">
        <v>384160</v>
      </c>
      <c r="C197">
        <v>384160</v>
      </c>
    </row>
    <row r="198" spans="1:3">
      <c r="A198">
        <v>197</v>
      </c>
      <c r="B198">
        <v>388090</v>
      </c>
      <c r="C198">
        <v>388090</v>
      </c>
    </row>
    <row r="199" spans="1:3">
      <c r="A199">
        <v>198</v>
      </c>
      <c r="B199">
        <v>392040</v>
      </c>
      <c r="C199">
        <v>392040</v>
      </c>
    </row>
    <row r="200" spans="1:3">
      <c r="A200">
        <v>199</v>
      </c>
      <c r="B200">
        <v>396010</v>
      </c>
      <c r="C200">
        <v>396010</v>
      </c>
    </row>
    <row r="201" spans="1:3">
      <c r="A201">
        <v>200</v>
      </c>
      <c r="B201">
        <v>400000</v>
      </c>
      <c r="C201">
        <v>400000</v>
      </c>
    </row>
    <row r="202" spans="1:3">
      <c r="A202">
        <v>201</v>
      </c>
      <c r="B202">
        <v>404010</v>
      </c>
      <c r="C202">
        <v>404010</v>
      </c>
    </row>
    <row r="203" spans="1:3">
      <c r="A203">
        <v>202</v>
      </c>
      <c r="B203">
        <v>408040</v>
      </c>
      <c r="C203">
        <v>408040</v>
      </c>
    </row>
    <row r="204" spans="1:3">
      <c r="A204">
        <v>203</v>
      </c>
      <c r="B204">
        <v>412090</v>
      </c>
      <c r="C204">
        <v>412090</v>
      </c>
    </row>
    <row r="205" spans="1:3">
      <c r="A205">
        <v>204</v>
      </c>
      <c r="B205">
        <v>416160</v>
      </c>
      <c r="C205">
        <v>416160</v>
      </c>
    </row>
    <row r="206" spans="1:3">
      <c r="A206">
        <v>205</v>
      </c>
      <c r="B206">
        <v>420250</v>
      </c>
      <c r="C206">
        <v>420250</v>
      </c>
    </row>
    <row r="207" spans="1:3">
      <c r="A207">
        <v>206</v>
      </c>
      <c r="B207">
        <v>424360</v>
      </c>
      <c r="C207">
        <v>424360</v>
      </c>
    </row>
    <row r="208" spans="1:3">
      <c r="A208">
        <v>207</v>
      </c>
      <c r="B208">
        <v>428490</v>
      </c>
      <c r="C208">
        <v>428490</v>
      </c>
    </row>
    <row r="209" spans="1:3">
      <c r="A209">
        <v>208</v>
      </c>
      <c r="B209">
        <v>432640</v>
      </c>
      <c r="C209">
        <v>432640</v>
      </c>
    </row>
    <row r="210" spans="1:3">
      <c r="A210">
        <v>209</v>
      </c>
      <c r="B210">
        <v>436810</v>
      </c>
      <c r="C210">
        <v>436810</v>
      </c>
    </row>
    <row r="211" spans="1:3">
      <c r="A211">
        <v>210</v>
      </c>
      <c r="B211">
        <v>441000</v>
      </c>
      <c r="C211">
        <v>441000</v>
      </c>
    </row>
    <row r="212" spans="1:3">
      <c r="A212">
        <v>211</v>
      </c>
      <c r="B212">
        <v>445210</v>
      </c>
      <c r="C212">
        <v>445210</v>
      </c>
    </row>
    <row r="213" spans="1:3">
      <c r="A213">
        <v>212</v>
      </c>
      <c r="B213">
        <v>449440</v>
      </c>
      <c r="C213">
        <v>449440</v>
      </c>
    </row>
    <row r="214" spans="1:3">
      <c r="A214">
        <v>213</v>
      </c>
      <c r="B214">
        <v>453690</v>
      </c>
      <c r="C214">
        <v>453690</v>
      </c>
    </row>
    <row r="215" spans="1:3">
      <c r="A215">
        <v>214</v>
      </c>
      <c r="B215">
        <v>457960</v>
      </c>
      <c r="C215">
        <v>457960</v>
      </c>
    </row>
    <row r="216" spans="1:3">
      <c r="A216">
        <v>215</v>
      </c>
      <c r="B216">
        <v>462250</v>
      </c>
      <c r="C216">
        <v>462250</v>
      </c>
    </row>
    <row r="217" spans="1:3">
      <c r="A217">
        <v>216</v>
      </c>
      <c r="B217">
        <v>466560</v>
      </c>
      <c r="C217">
        <v>466560</v>
      </c>
    </row>
    <row r="218" spans="1:3">
      <c r="A218">
        <v>217</v>
      </c>
      <c r="B218">
        <v>470890</v>
      </c>
      <c r="C218">
        <v>470890</v>
      </c>
    </row>
    <row r="219" spans="1:3">
      <c r="A219">
        <v>218</v>
      </c>
      <c r="B219">
        <v>475240</v>
      </c>
      <c r="C219">
        <v>475240</v>
      </c>
    </row>
    <row r="220" spans="1:3">
      <c r="A220">
        <v>219</v>
      </c>
      <c r="B220">
        <v>479610</v>
      </c>
      <c r="C220">
        <v>479610</v>
      </c>
    </row>
    <row r="221" spans="1:3">
      <c r="A221">
        <v>220</v>
      </c>
      <c r="B221">
        <v>484000</v>
      </c>
      <c r="C221">
        <v>484000</v>
      </c>
    </row>
    <row r="222" spans="1:3">
      <c r="A222">
        <v>221</v>
      </c>
      <c r="B222">
        <v>488410</v>
      </c>
      <c r="C222">
        <v>488410</v>
      </c>
    </row>
    <row r="223" spans="1:3">
      <c r="A223">
        <v>222</v>
      </c>
      <c r="B223">
        <v>492840</v>
      </c>
      <c r="C223">
        <v>492840</v>
      </c>
    </row>
    <row r="224" spans="1:3">
      <c r="A224">
        <v>223</v>
      </c>
      <c r="B224">
        <v>497290</v>
      </c>
      <c r="C224">
        <v>497290</v>
      </c>
    </row>
    <row r="225" spans="1:3">
      <c r="A225">
        <v>224</v>
      </c>
      <c r="B225">
        <v>501760</v>
      </c>
      <c r="C225">
        <v>501760</v>
      </c>
    </row>
    <row r="226" spans="1:3">
      <c r="A226">
        <v>225</v>
      </c>
      <c r="B226">
        <v>506250</v>
      </c>
      <c r="C226">
        <v>506250</v>
      </c>
    </row>
    <row r="227" spans="1:3">
      <c r="A227">
        <v>226</v>
      </c>
      <c r="B227">
        <v>510760</v>
      </c>
      <c r="C227">
        <v>510760</v>
      </c>
    </row>
    <row r="228" spans="1:3">
      <c r="A228">
        <v>227</v>
      </c>
      <c r="B228">
        <v>515290</v>
      </c>
      <c r="C228">
        <v>515290</v>
      </c>
    </row>
    <row r="229" spans="1:3">
      <c r="A229">
        <v>228</v>
      </c>
      <c r="B229">
        <v>519840</v>
      </c>
      <c r="C229">
        <v>519840</v>
      </c>
    </row>
    <row r="230" spans="1:3">
      <c r="A230">
        <v>229</v>
      </c>
      <c r="B230">
        <v>524410</v>
      </c>
      <c r="C230">
        <v>524410</v>
      </c>
    </row>
    <row r="231" spans="1:3">
      <c r="A231">
        <v>230</v>
      </c>
      <c r="B231">
        <v>529000</v>
      </c>
      <c r="C231">
        <v>529000</v>
      </c>
    </row>
    <row r="232" spans="1:3">
      <c r="A232">
        <v>231</v>
      </c>
      <c r="B232">
        <v>533610</v>
      </c>
      <c r="C232">
        <v>533610</v>
      </c>
    </row>
    <row r="233" spans="1:3">
      <c r="A233">
        <v>232</v>
      </c>
      <c r="B233">
        <v>538240</v>
      </c>
      <c r="C233">
        <v>538240</v>
      </c>
    </row>
    <row r="234" spans="1:3">
      <c r="A234">
        <v>233</v>
      </c>
      <c r="B234">
        <v>542890</v>
      </c>
      <c r="C234">
        <v>542890</v>
      </c>
    </row>
    <row r="235" spans="1:3">
      <c r="A235">
        <v>234</v>
      </c>
      <c r="B235">
        <v>547560</v>
      </c>
      <c r="C235">
        <v>547560</v>
      </c>
    </row>
    <row r="236" spans="1:3">
      <c r="A236">
        <v>235</v>
      </c>
      <c r="B236">
        <v>552250</v>
      </c>
      <c r="C236">
        <v>552250</v>
      </c>
    </row>
    <row r="237" spans="1:3">
      <c r="A237">
        <v>236</v>
      </c>
      <c r="B237">
        <v>556960</v>
      </c>
      <c r="C237">
        <v>556960</v>
      </c>
    </row>
    <row r="238" spans="1:3">
      <c r="A238">
        <v>237</v>
      </c>
      <c r="B238">
        <v>561690</v>
      </c>
      <c r="C238">
        <v>561690</v>
      </c>
    </row>
    <row r="239" spans="1:3">
      <c r="A239">
        <v>238</v>
      </c>
      <c r="B239">
        <v>566440</v>
      </c>
      <c r="C239">
        <v>566440</v>
      </c>
    </row>
    <row r="240" spans="1:3">
      <c r="A240">
        <v>239</v>
      </c>
      <c r="B240">
        <v>571210</v>
      </c>
      <c r="C240">
        <v>571210</v>
      </c>
    </row>
    <row r="241" spans="1:3">
      <c r="A241">
        <v>240</v>
      </c>
      <c r="B241">
        <v>576000</v>
      </c>
      <c r="C241">
        <v>576000</v>
      </c>
    </row>
    <row r="242" spans="1:3">
      <c r="A242">
        <v>241</v>
      </c>
      <c r="B242">
        <v>580810</v>
      </c>
      <c r="C242">
        <v>580810</v>
      </c>
    </row>
    <row r="243" spans="1:3">
      <c r="A243">
        <v>242</v>
      </c>
      <c r="B243">
        <v>585640</v>
      </c>
      <c r="C243">
        <v>585640</v>
      </c>
    </row>
    <row r="244" spans="1:3">
      <c r="A244">
        <v>243</v>
      </c>
      <c r="B244">
        <v>590490</v>
      </c>
      <c r="C244">
        <v>590490</v>
      </c>
    </row>
    <row r="245" spans="1:3">
      <c r="A245">
        <v>244</v>
      </c>
      <c r="B245">
        <v>595360</v>
      </c>
      <c r="C245">
        <v>595360</v>
      </c>
    </row>
    <row r="246" spans="1:3">
      <c r="A246">
        <v>245</v>
      </c>
      <c r="B246">
        <v>600250</v>
      </c>
      <c r="C246">
        <v>600250</v>
      </c>
    </row>
    <row r="247" spans="1:3">
      <c r="A247">
        <v>246</v>
      </c>
      <c r="B247">
        <v>605160</v>
      </c>
      <c r="C247">
        <v>605160</v>
      </c>
    </row>
    <row r="248" spans="1:3">
      <c r="A248">
        <v>247</v>
      </c>
      <c r="B248">
        <v>610090</v>
      </c>
      <c r="C248">
        <v>610090</v>
      </c>
    </row>
    <row r="249" spans="1:3">
      <c r="A249">
        <v>248</v>
      </c>
      <c r="B249">
        <v>615040</v>
      </c>
      <c r="C249">
        <v>615040</v>
      </c>
    </row>
    <row r="250" spans="1:3">
      <c r="A250">
        <v>249</v>
      </c>
      <c r="B250">
        <v>620010</v>
      </c>
      <c r="C250">
        <v>620010</v>
      </c>
    </row>
    <row r="251" spans="1:3">
      <c r="A251">
        <v>250</v>
      </c>
      <c r="B251">
        <v>625000</v>
      </c>
      <c r="C251">
        <v>625000</v>
      </c>
    </row>
    <row r="252" spans="1:3">
      <c r="A252">
        <v>251</v>
      </c>
      <c r="B252">
        <v>630010</v>
      </c>
      <c r="C252">
        <v>630010</v>
      </c>
    </row>
    <row r="253" spans="1:3">
      <c r="A253">
        <v>252</v>
      </c>
      <c r="B253">
        <v>635040</v>
      </c>
      <c r="C253">
        <v>635040</v>
      </c>
    </row>
    <row r="254" spans="1:3">
      <c r="A254">
        <v>253</v>
      </c>
      <c r="B254">
        <v>640090</v>
      </c>
      <c r="C254">
        <v>640090</v>
      </c>
    </row>
    <row r="255" spans="1:3">
      <c r="A255">
        <v>254</v>
      </c>
      <c r="B255">
        <v>645160</v>
      </c>
      <c r="C255">
        <v>645160</v>
      </c>
    </row>
    <row r="256" spans="1:3">
      <c r="A256">
        <v>255</v>
      </c>
      <c r="B256">
        <v>650250</v>
      </c>
      <c r="C256">
        <v>650250</v>
      </c>
    </row>
    <row r="257" spans="1:3">
      <c r="A257">
        <v>256</v>
      </c>
      <c r="B257">
        <v>655360</v>
      </c>
      <c r="C257">
        <v>655360</v>
      </c>
    </row>
    <row r="258" spans="1:3">
      <c r="A258">
        <v>257</v>
      </c>
      <c r="B258">
        <v>660490</v>
      </c>
      <c r="C258">
        <v>660490</v>
      </c>
    </row>
    <row r="259" spans="1:3">
      <c r="A259">
        <v>258</v>
      </c>
      <c r="B259">
        <v>665640</v>
      </c>
      <c r="C259">
        <v>665640</v>
      </c>
    </row>
    <row r="260" spans="1:3">
      <c r="A260">
        <v>259</v>
      </c>
      <c r="B260">
        <v>670810</v>
      </c>
      <c r="C260">
        <v>670810</v>
      </c>
    </row>
    <row r="261" spans="1:3">
      <c r="A261">
        <v>260</v>
      </c>
      <c r="B261">
        <v>676000</v>
      </c>
      <c r="C261">
        <v>676000</v>
      </c>
    </row>
    <row r="262" spans="1:3">
      <c r="A262">
        <v>261</v>
      </c>
      <c r="B262">
        <v>681210</v>
      </c>
      <c r="C262">
        <v>681210</v>
      </c>
    </row>
    <row r="263" spans="1:3">
      <c r="A263">
        <v>262</v>
      </c>
      <c r="B263">
        <v>686440</v>
      </c>
      <c r="C263">
        <v>686440</v>
      </c>
    </row>
    <row r="264" spans="1:3">
      <c r="A264">
        <v>263</v>
      </c>
      <c r="B264">
        <v>691690</v>
      </c>
      <c r="C264">
        <v>691690</v>
      </c>
    </row>
    <row r="265" spans="1:3">
      <c r="A265">
        <v>264</v>
      </c>
      <c r="B265">
        <v>696960</v>
      </c>
      <c r="C265">
        <v>696960</v>
      </c>
    </row>
    <row r="266" spans="1:3">
      <c r="A266">
        <v>265</v>
      </c>
      <c r="B266">
        <v>702250</v>
      </c>
      <c r="C266">
        <v>702250</v>
      </c>
    </row>
    <row r="267" spans="1:3">
      <c r="A267">
        <v>266</v>
      </c>
      <c r="B267">
        <v>707560</v>
      </c>
      <c r="C267">
        <v>707560</v>
      </c>
    </row>
    <row r="268" spans="1:3">
      <c r="A268">
        <v>267</v>
      </c>
      <c r="B268">
        <v>712890</v>
      </c>
      <c r="C268">
        <v>712890</v>
      </c>
    </row>
    <row r="269" spans="1:3">
      <c r="A269">
        <v>268</v>
      </c>
      <c r="B269">
        <v>718240</v>
      </c>
      <c r="C269">
        <v>718240</v>
      </c>
    </row>
    <row r="270" spans="1:3">
      <c r="A270">
        <v>269</v>
      </c>
      <c r="B270">
        <v>723610</v>
      </c>
      <c r="C270">
        <v>723610</v>
      </c>
    </row>
    <row r="271" spans="1:3">
      <c r="A271">
        <v>270</v>
      </c>
      <c r="B271">
        <v>729000</v>
      </c>
      <c r="C271">
        <v>729000</v>
      </c>
    </row>
    <row r="272" spans="1:3">
      <c r="A272">
        <v>271</v>
      </c>
      <c r="B272">
        <v>734410</v>
      </c>
      <c r="C272">
        <v>734410</v>
      </c>
    </row>
    <row r="273" spans="1:3">
      <c r="A273">
        <v>272</v>
      </c>
      <c r="B273">
        <v>739840</v>
      </c>
      <c r="C273">
        <v>739840</v>
      </c>
    </row>
    <row r="274" spans="1:3">
      <c r="A274">
        <v>273</v>
      </c>
      <c r="B274">
        <v>745290</v>
      </c>
      <c r="C274">
        <v>745290</v>
      </c>
    </row>
    <row r="275" spans="1:3">
      <c r="A275">
        <v>274</v>
      </c>
      <c r="B275">
        <v>750760</v>
      </c>
      <c r="C275">
        <v>750760</v>
      </c>
    </row>
    <row r="276" spans="1:3">
      <c r="A276">
        <v>275</v>
      </c>
      <c r="B276">
        <v>756250</v>
      </c>
      <c r="C276">
        <v>756250</v>
      </c>
    </row>
    <row r="277" spans="1:3">
      <c r="A277">
        <v>276</v>
      </c>
      <c r="B277">
        <v>761760</v>
      </c>
      <c r="C277">
        <v>761760</v>
      </c>
    </row>
    <row r="278" spans="1:3">
      <c r="A278">
        <v>277</v>
      </c>
      <c r="B278">
        <v>767290</v>
      </c>
      <c r="C278">
        <v>767290</v>
      </c>
    </row>
    <row r="279" spans="1:3">
      <c r="A279">
        <v>278</v>
      </c>
      <c r="B279">
        <v>772840</v>
      </c>
      <c r="C279">
        <v>772840</v>
      </c>
    </row>
    <row r="280" spans="1:3">
      <c r="A280">
        <v>279</v>
      </c>
      <c r="B280">
        <v>778410</v>
      </c>
      <c r="C280">
        <v>778410</v>
      </c>
    </row>
    <row r="281" spans="1:3">
      <c r="A281">
        <v>280</v>
      </c>
      <c r="B281">
        <v>784000</v>
      </c>
      <c r="C281">
        <v>784000</v>
      </c>
    </row>
    <row r="282" spans="1:3">
      <c r="A282">
        <v>281</v>
      </c>
      <c r="B282">
        <v>789610</v>
      </c>
      <c r="C282">
        <v>789610</v>
      </c>
    </row>
    <row r="283" spans="1:3">
      <c r="A283">
        <v>282</v>
      </c>
      <c r="B283">
        <v>795240</v>
      </c>
      <c r="C283">
        <v>795240</v>
      </c>
    </row>
    <row r="284" spans="1:3">
      <c r="A284">
        <v>283</v>
      </c>
      <c r="B284">
        <v>800890</v>
      </c>
      <c r="C284">
        <v>800890</v>
      </c>
    </row>
    <row r="285" spans="1:3">
      <c r="A285">
        <v>284</v>
      </c>
      <c r="B285">
        <v>806560</v>
      </c>
      <c r="C285">
        <v>806560</v>
      </c>
    </row>
    <row r="286" spans="1:3">
      <c r="A286">
        <v>285</v>
      </c>
      <c r="B286">
        <v>812250</v>
      </c>
      <c r="C286">
        <v>812250</v>
      </c>
    </row>
    <row r="287" spans="1:3">
      <c r="A287">
        <v>286</v>
      </c>
      <c r="B287">
        <v>817960</v>
      </c>
      <c r="C287">
        <v>817960</v>
      </c>
    </row>
    <row r="288" spans="1:3">
      <c r="A288">
        <v>287</v>
      </c>
      <c r="B288">
        <v>823690</v>
      </c>
      <c r="C288">
        <v>823690</v>
      </c>
    </row>
    <row r="289" spans="1:3">
      <c r="A289">
        <v>288</v>
      </c>
      <c r="B289">
        <v>829440</v>
      </c>
      <c r="C289">
        <v>829440</v>
      </c>
    </row>
    <row r="290" spans="1:3">
      <c r="A290">
        <v>289</v>
      </c>
      <c r="B290">
        <v>835210</v>
      </c>
      <c r="C290">
        <v>835210</v>
      </c>
    </row>
    <row r="291" spans="1:3">
      <c r="A291">
        <v>290</v>
      </c>
      <c r="B291">
        <v>841000</v>
      </c>
      <c r="C291">
        <v>841000</v>
      </c>
    </row>
    <row r="292" spans="1:3">
      <c r="A292">
        <v>291</v>
      </c>
      <c r="B292">
        <v>846810</v>
      </c>
      <c r="C292">
        <v>846810</v>
      </c>
    </row>
    <row r="293" spans="1:3">
      <c r="A293">
        <v>292</v>
      </c>
      <c r="B293">
        <v>852640</v>
      </c>
      <c r="C293">
        <v>852640</v>
      </c>
    </row>
    <row r="294" spans="1:3">
      <c r="A294">
        <v>293</v>
      </c>
      <c r="B294">
        <v>858490</v>
      </c>
      <c r="C294">
        <v>858490</v>
      </c>
    </row>
    <row r="295" spans="1:3">
      <c r="A295">
        <v>294</v>
      </c>
      <c r="B295">
        <v>864360</v>
      </c>
      <c r="C295">
        <v>864360</v>
      </c>
    </row>
    <row r="296" spans="1:3">
      <c r="A296">
        <v>295</v>
      </c>
      <c r="B296">
        <v>870250</v>
      </c>
      <c r="C296">
        <v>870250</v>
      </c>
    </row>
    <row r="297" spans="1:3">
      <c r="A297">
        <v>296</v>
      </c>
      <c r="B297">
        <v>876160</v>
      </c>
      <c r="C297">
        <v>876160</v>
      </c>
    </row>
    <row r="298" spans="1:3">
      <c r="A298">
        <v>297</v>
      </c>
      <c r="B298">
        <v>882090</v>
      </c>
      <c r="C298">
        <v>882090</v>
      </c>
    </row>
    <row r="299" spans="1:3">
      <c r="A299">
        <v>298</v>
      </c>
      <c r="B299">
        <v>888040</v>
      </c>
      <c r="C299">
        <v>888040</v>
      </c>
    </row>
    <row r="300" spans="1:3">
      <c r="A300">
        <v>299</v>
      </c>
      <c r="B300">
        <v>894010</v>
      </c>
      <c r="C300">
        <v>894010</v>
      </c>
    </row>
    <row r="301" spans="1:3">
      <c r="A301">
        <v>300</v>
      </c>
      <c r="B301">
        <v>900000</v>
      </c>
      <c r="C301">
        <v>900000</v>
      </c>
    </row>
    <row r="302" spans="1:3">
      <c r="A302">
        <v>301</v>
      </c>
      <c r="B302">
        <v>906010</v>
      </c>
      <c r="C302">
        <v>906010</v>
      </c>
    </row>
    <row r="303" spans="1:3">
      <c r="A303">
        <v>302</v>
      </c>
      <c r="B303">
        <v>912040</v>
      </c>
      <c r="C303">
        <v>912040</v>
      </c>
    </row>
    <row r="304" spans="1:3">
      <c r="A304">
        <v>303</v>
      </c>
      <c r="B304">
        <v>918090</v>
      </c>
      <c r="C304">
        <v>918090</v>
      </c>
    </row>
    <row r="305" spans="1:3">
      <c r="A305">
        <v>304</v>
      </c>
      <c r="B305">
        <v>924160</v>
      </c>
      <c r="C305">
        <v>924160</v>
      </c>
    </row>
    <row r="306" spans="1:3">
      <c r="A306">
        <v>305</v>
      </c>
      <c r="B306">
        <v>930250</v>
      </c>
      <c r="C306">
        <v>930250</v>
      </c>
    </row>
    <row r="307" spans="1:3">
      <c r="A307">
        <v>306</v>
      </c>
      <c r="B307">
        <v>936360</v>
      </c>
      <c r="C307">
        <v>936360</v>
      </c>
    </row>
    <row r="308" spans="1:3">
      <c r="A308">
        <v>307</v>
      </c>
      <c r="B308">
        <v>942490</v>
      </c>
      <c r="C308">
        <v>942490</v>
      </c>
    </row>
    <row r="309" spans="1:3">
      <c r="A309">
        <v>308</v>
      </c>
      <c r="B309">
        <v>948640</v>
      </c>
      <c r="C309">
        <v>948640</v>
      </c>
    </row>
    <row r="310" spans="1:3">
      <c r="A310">
        <v>309</v>
      </c>
      <c r="B310">
        <v>954810</v>
      </c>
      <c r="C310">
        <v>954810</v>
      </c>
    </row>
    <row r="311" spans="1:3">
      <c r="A311">
        <v>310</v>
      </c>
      <c r="B311">
        <v>961000</v>
      </c>
      <c r="C311">
        <v>961000</v>
      </c>
    </row>
    <row r="312" spans="1:3">
      <c r="A312">
        <v>311</v>
      </c>
      <c r="B312">
        <v>967210</v>
      </c>
      <c r="C312">
        <v>967210</v>
      </c>
    </row>
    <row r="313" spans="1:3">
      <c r="A313">
        <v>312</v>
      </c>
      <c r="B313">
        <v>973440</v>
      </c>
      <c r="C313">
        <v>973440</v>
      </c>
    </row>
    <row r="314" spans="1:3">
      <c r="A314">
        <v>313</v>
      </c>
      <c r="B314">
        <v>979690</v>
      </c>
      <c r="C314">
        <v>979690</v>
      </c>
    </row>
    <row r="315" spans="1:3">
      <c r="A315">
        <v>314</v>
      </c>
      <c r="B315">
        <v>985960</v>
      </c>
      <c r="C315">
        <v>985960</v>
      </c>
    </row>
    <row r="316" spans="1:3">
      <c r="A316">
        <v>315</v>
      </c>
      <c r="B316">
        <v>992250</v>
      </c>
      <c r="C316">
        <v>992250</v>
      </c>
    </row>
    <row r="317" spans="1:3">
      <c r="A317">
        <v>316</v>
      </c>
      <c r="B317">
        <v>998560</v>
      </c>
      <c r="C317">
        <v>998560</v>
      </c>
    </row>
    <row r="318" spans="1:3">
      <c r="A318">
        <v>317</v>
      </c>
      <c r="B318">
        <v>1004890</v>
      </c>
      <c r="C318">
        <v>1004890</v>
      </c>
    </row>
    <row r="319" spans="1:3">
      <c r="A319">
        <v>318</v>
      </c>
      <c r="B319">
        <v>1011240</v>
      </c>
      <c r="C319">
        <v>1011240</v>
      </c>
    </row>
    <row r="320" spans="1:3">
      <c r="A320">
        <v>319</v>
      </c>
      <c r="B320">
        <v>1017610</v>
      </c>
      <c r="C320">
        <v>1017610</v>
      </c>
    </row>
    <row r="321" spans="1:3">
      <c r="A321">
        <v>320</v>
      </c>
      <c r="B321">
        <v>1024000</v>
      </c>
      <c r="C321">
        <v>1024000</v>
      </c>
    </row>
    <row r="322" spans="1:3">
      <c r="A322">
        <v>321</v>
      </c>
      <c r="B322">
        <v>1030410</v>
      </c>
      <c r="C322">
        <v>1030410</v>
      </c>
    </row>
    <row r="323" spans="1:3">
      <c r="A323">
        <v>322</v>
      </c>
      <c r="B323">
        <v>1036840</v>
      </c>
      <c r="C323">
        <v>1036840</v>
      </c>
    </row>
    <row r="324" spans="1:3">
      <c r="A324">
        <v>323</v>
      </c>
      <c r="B324">
        <v>1043290</v>
      </c>
      <c r="C324">
        <v>1043290</v>
      </c>
    </row>
    <row r="325" spans="1:3">
      <c r="A325">
        <v>324</v>
      </c>
      <c r="B325">
        <v>1049760</v>
      </c>
      <c r="C325">
        <v>1049760</v>
      </c>
    </row>
    <row r="326" spans="1:3">
      <c r="A326">
        <v>325</v>
      </c>
      <c r="B326">
        <v>1056250</v>
      </c>
      <c r="C326">
        <v>1056250</v>
      </c>
    </row>
    <row r="327" spans="1:3">
      <c r="A327">
        <v>326</v>
      </c>
      <c r="B327">
        <v>1062760</v>
      </c>
      <c r="C327">
        <v>1062760</v>
      </c>
    </row>
    <row r="328" spans="1:3">
      <c r="A328">
        <v>327</v>
      </c>
      <c r="B328">
        <v>1069290</v>
      </c>
      <c r="C328">
        <v>1069290</v>
      </c>
    </row>
    <row r="329" spans="1:3">
      <c r="A329">
        <v>328</v>
      </c>
      <c r="B329">
        <v>1075840</v>
      </c>
      <c r="C329">
        <v>1075840</v>
      </c>
    </row>
    <row r="330" spans="1:3">
      <c r="A330">
        <v>329</v>
      </c>
      <c r="B330">
        <v>1082410</v>
      </c>
      <c r="C330">
        <v>1082410</v>
      </c>
    </row>
    <row r="331" spans="1:3">
      <c r="A331">
        <v>330</v>
      </c>
      <c r="B331">
        <v>1089000</v>
      </c>
      <c r="C331">
        <v>1089000</v>
      </c>
    </row>
    <row r="332" spans="1:3">
      <c r="A332">
        <v>331</v>
      </c>
      <c r="B332">
        <v>1095610</v>
      </c>
      <c r="C332">
        <v>1095610</v>
      </c>
    </row>
    <row r="333" spans="1:3">
      <c r="A333">
        <v>332</v>
      </c>
      <c r="B333">
        <v>1102240</v>
      </c>
      <c r="C333">
        <v>1102240</v>
      </c>
    </row>
    <row r="334" spans="1:3">
      <c r="A334">
        <v>333</v>
      </c>
      <c r="B334">
        <v>1108890</v>
      </c>
      <c r="C334">
        <v>1108890</v>
      </c>
    </row>
    <row r="335" spans="1:3">
      <c r="A335">
        <v>334</v>
      </c>
      <c r="B335">
        <v>1115560</v>
      </c>
      <c r="C335">
        <v>1115560</v>
      </c>
    </row>
    <row r="336" spans="1:3">
      <c r="A336">
        <v>335</v>
      </c>
      <c r="B336">
        <v>1122250</v>
      </c>
      <c r="C336">
        <v>1122250</v>
      </c>
    </row>
    <row r="337" spans="1:3">
      <c r="A337">
        <v>336</v>
      </c>
      <c r="B337">
        <v>1128960</v>
      </c>
      <c r="C337">
        <v>1128960</v>
      </c>
    </row>
    <row r="338" spans="1:3">
      <c r="A338">
        <v>337</v>
      </c>
      <c r="B338">
        <v>1135690</v>
      </c>
      <c r="C338">
        <v>1135690</v>
      </c>
    </row>
    <row r="339" spans="1:3">
      <c r="A339">
        <v>338</v>
      </c>
      <c r="B339">
        <v>1142440</v>
      </c>
      <c r="C339">
        <v>1142440</v>
      </c>
    </row>
    <row r="340" spans="1:3">
      <c r="A340">
        <v>339</v>
      </c>
      <c r="B340">
        <v>1149210</v>
      </c>
      <c r="C340">
        <v>1149210</v>
      </c>
    </row>
    <row r="341" spans="1:3">
      <c r="A341">
        <v>340</v>
      </c>
      <c r="B341">
        <v>1156000</v>
      </c>
      <c r="C341">
        <v>1156000</v>
      </c>
    </row>
    <row r="342" spans="1:3">
      <c r="A342">
        <v>341</v>
      </c>
      <c r="B342">
        <v>1162810</v>
      </c>
      <c r="C342">
        <v>1162810</v>
      </c>
    </row>
    <row r="343" spans="1:3">
      <c r="A343">
        <v>342</v>
      </c>
      <c r="B343">
        <v>1169640</v>
      </c>
      <c r="C343">
        <v>1169640</v>
      </c>
    </row>
    <row r="344" spans="1:3">
      <c r="A344">
        <v>343</v>
      </c>
      <c r="B344">
        <v>1176490</v>
      </c>
      <c r="C344">
        <v>1176490</v>
      </c>
    </row>
    <row r="345" spans="1:3">
      <c r="A345">
        <v>344</v>
      </c>
      <c r="B345">
        <v>1183360</v>
      </c>
      <c r="C345">
        <v>1183360</v>
      </c>
    </row>
    <row r="346" spans="1:3">
      <c r="A346">
        <v>345</v>
      </c>
      <c r="B346">
        <v>1190250</v>
      </c>
      <c r="C346">
        <v>1190250</v>
      </c>
    </row>
    <row r="347" spans="1:3">
      <c r="A347">
        <v>346</v>
      </c>
      <c r="B347">
        <v>1197160</v>
      </c>
      <c r="C347">
        <v>1197160</v>
      </c>
    </row>
    <row r="348" spans="1:3">
      <c r="A348">
        <v>347</v>
      </c>
      <c r="B348">
        <v>1204090</v>
      </c>
      <c r="C348">
        <v>1204090</v>
      </c>
    </row>
    <row r="349" spans="1:3">
      <c r="A349">
        <v>348</v>
      </c>
      <c r="B349">
        <v>1211040</v>
      </c>
      <c r="C349">
        <v>1211040</v>
      </c>
    </row>
    <row r="350" spans="1:3">
      <c r="A350">
        <v>349</v>
      </c>
      <c r="B350">
        <v>1218010</v>
      </c>
      <c r="C350">
        <v>1218010</v>
      </c>
    </row>
    <row r="351" spans="1:3">
      <c r="A351">
        <v>350</v>
      </c>
      <c r="B351">
        <v>1225000</v>
      </c>
      <c r="C351">
        <v>1225000</v>
      </c>
    </row>
    <row r="352" spans="1:3">
      <c r="A352">
        <v>351</v>
      </c>
      <c r="B352">
        <v>1232010</v>
      </c>
      <c r="C352">
        <v>1232010</v>
      </c>
    </row>
    <row r="353" spans="1:3">
      <c r="A353">
        <v>352</v>
      </c>
      <c r="B353">
        <v>1239040</v>
      </c>
      <c r="C353">
        <v>1239040</v>
      </c>
    </row>
    <row r="354" spans="1:3">
      <c r="A354">
        <v>353</v>
      </c>
      <c r="B354">
        <v>1246090</v>
      </c>
      <c r="C354">
        <v>1246090</v>
      </c>
    </row>
    <row r="355" spans="1:3">
      <c r="A355">
        <v>354</v>
      </c>
      <c r="B355">
        <v>1253160</v>
      </c>
      <c r="C355">
        <v>1253160</v>
      </c>
    </row>
    <row r="356" spans="1:3">
      <c r="A356">
        <v>355</v>
      </c>
      <c r="B356">
        <v>1260250</v>
      </c>
      <c r="C356">
        <v>1260250</v>
      </c>
    </row>
    <row r="357" spans="1:3">
      <c r="A357">
        <v>356</v>
      </c>
      <c r="B357">
        <v>1267360</v>
      </c>
      <c r="C357">
        <v>1267360</v>
      </c>
    </row>
    <row r="358" spans="1:3">
      <c r="A358">
        <v>357</v>
      </c>
      <c r="B358">
        <v>1274490</v>
      </c>
      <c r="C358">
        <v>1274490</v>
      </c>
    </row>
    <row r="359" spans="1:3">
      <c r="A359">
        <v>358</v>
      </c>
      <c r="B359">
        <v>1281640</v>
      </c>
      <c r="C359">
        <v>1281640</v>
      </c>
    </row>
    <row r="360" spans="1:3">
      <c r="A360">
        <v>359</v>
      </c>
      <c r="B360">
        <v>1288810</v>
      </c>
      <c r="C360">
        <v>1288810</v>
      </c>
    </row>
    <row r="361" spans="1:3">
      <c r="A361">
        <v>360</v>
      </c>
      <c r="B361">
        <v>1296000</v>
      </c>
      <c r="C361">
        <v>1296000</v>
      </c>
    </row>
    <row r="362" spans="1:3">
      <c r="A362">
        <v>361</v>
      </c>
      <c r="B362">
        <v>1303210</v>
      </c>
      <c r="C362">
        <v>1303210</v>
      </c>
    </row>
    <row r="363" spans="1:3">
      <c r="A363">
        <v>362</v>
      </c>
      <c r="B363">
        <v>1310440</v>
      </c>
      <c r="C363">
        <v>1310440</v>
      </c>
    </row>
    <row r="364" spans="1:3">
      <c r="A364">
        <v>363</v>
      </c>
      <c r="B364">
        <v>1317690</v>
      </c>
      <c r="C364">
        <v>1317690</v>
      </c>
    </row>
    <row r="365" spans="1:3">
      <c r="A365">
        <v>364</v>
      </c>
      <c r="B365">
        <v>1324960</v>
      </c>
      <c r="C365">
        <v>1324960</v>
      </c>
    </row>
    <row r="366" spans="1:3">
      <c r="A366">
        <v>365</v>
      </c>
      <c r="B366">
        <v>1332250</v>
      </c>
      <c r="C366">
        <v>1332250</v>
      </c>
    </row>
    <row r="367" spans="1:3">
      <c r="A367">
        <v>366</v>
      </c>
      <c r="B367">
        <v>1339560</v>
      </c>
      <c r="C367">
        <v>1339560</v>
      </c>
    </row>
    <row r="368" spans="1:3">
      <c r="A368">
        <v>367</v>
      </c>
      <c r="B368">
        <v>1346890</v>
      </c>
      <c r="C368">
        <v>1346890</v>
      </c>
    </row>
    <row r="369" spans="1:3">
      <c r="A369">
        <v>368</v>
      </c>
      <c r="B369">
        <v>1354240</v>
      </c>
      <c r="C369">
        <v>1354240</v>
      </c>
    </row>
    <row r="370" spans="1:3">
      <c r="A370">
        <v>369</v>
      </c>
      <c r="B370">
        <v>1361610</v>
      </c>
      <c r="C370">
        <v>1361610</v>
      </c>
    </row>
    <row r="371" spans="1:3">
      <c r="A371">
        <v>370</v>
      </c>
      <c r="B371">
        <v>1369000</v>
      </c>
      <c r="C371">
        <v>1369000</v>
      </c>
    </row>
    <row r="372" spans="1:3">
      <c r="A372">
        <v>371</v>
      </c>
      <c r="B372">
        <v>1376410</v>
      </c>
      <c r="C372">
        <v>1376410</v>
      </c>
    </row>
    <row r="373" spans="1:3">
      <c r="A373">
        <v>372</v>
      </c>
      <c r="B373">
        <v>1383840</v>
      </c>
      <c r="C373">
        <v>1383840</v>
      </c>
    </row>
    <row r="374" spans="1:3">
      <c r="A374">
        <v>373</v>
      </c>
      <c r="B374">
        <v>1391290</v>
      </c>
      <c r="C374">
        <v>1391290</v>
      </c>
    </row>
    <row r="375" spans="1:3">
      <c r="A375">
        <v>374</v>
      </c>
      <c r="B375">
        <v>1398760</v>
      </c>
      <c r="C375">
        <v>1398760</v>
      </c>
    </row>
    <row r="376" spans="1:3">
      <c r="A376">
        <v>375</v>
      </c>
      <c r="B376">
        <v>1406250</v>
      </c>
      <c r="C376">
        <v>1406250</v>
      </c>
    </row>
    <row r="377" spans="1:3">
      <c r="A377">
        <v>376</v>
      </c>
      <c r="B377">
        <v>1413760</v>
      </c>
      <c r="C377">
        <v>1413760</v>
      </c>
    </row>
    <row r="378" spans="1:3">
      <c r="A378">
        <v>377</v>
      </c>
      <c r="B378">
        <v>1421290</v>
      </c>
      <c r="C378">
        <v>1421290</v>
      </c>
    </row>
    <row r="379" spans="1:3">
      <c r="A379">
        <v>378</v>
      </c>
      <c r="B379">
        <v>1428840</v>
      </c>
      <c r="C379">
        <v>1428840</v>
      </c>
    </row>
    <row r="380" spans="1:3">
      <c r="A380">
        <v>379</v>
      </c>
      <c r="B380">
        <v>1436410</v>
      </c>
      <c r="C380">
        <v>1436410</v>
      </c>
    </row>
    <row r="381" spans="1:3">
      <c r="A381">
        <v>380</v>
      </c>
      <c r="B381">
        <v>1444000</v>
      </c>
      <c r="C381">
        <v>1444000</v>
      </c>
    </row>
    <row r="382" spans="1:3">
      <c r="A382">
        <v>381</v>
      </c>
      <c r="B382">
        <v>1451610</v>
      </c>
      <c r="C382">
        <v>1451610</v>
      </c>
    </row>
    <row r="383" spans="1:3">
      <c r="A383">
        <v>382</v>
      </c>
      <c r="B383">
        <v>1459240</v>
      </c>
      <c r="C383">
        <v>1459240</v>
      </c>
    </row>
    <row r="384" spans="1:3">
      <c r="A384">
        <v>383</v>
      </c>
      <c r="B384">
        <v>1466890</v>
      </c>
      <c r="C384">
        <v>1466890</v>
      </c>
    </row>
    <row r="385" spans="1:3">
      <c r="A385">
        <v>384</v>
      </c>
      <c r="B385">
        <v>1474560</v>
      </c>
      <c r="C385">
        <v>1474560</v>
      </c>
    </row>
    <row r="386" spans="1:3">
      <c r="A386">
        <v>385</v>
      </c>
      <c r="B386">
        <v>1482250</v>
      </c>
      <c r="C386">
        <v>1482250</v>
      </c>
    </row>
    <row r="387" spans="1:3">
      <c r="A387">
        <v>386</v>
      </c>
      <c r="B387">
        <v>1489960</v>
      </c>
      <c r="C387">
        <v>1489960</v>
      </c>
    </row>
    <row r="388" spans="1:3">
      <c r="A388">
        <v>387</v>
      </c>
      <c r="B388">
        <v>1497690</v>
      </c>
      <c r="C388">
        <v>1497690</v>
      </c>
    </row>
    <row r="389" spans="1:3">
      <c r="A389">
        <v>388</v>
      </c>
      <c r="B389">
        <v>1505440</v>
      </c>
      <c r="C389">
        <v>1505440</v>
      </c>
    </row>
    <row r="390" spans="1:3">
      <c r="A390">
        <v>389</v>
      </c>
      <c r="B390">
        <v>1513210</v>
      </c>
      <c r="C390">
        <v>1513210</v>
      </c>
    </row>
    <row r="391" spans="1:3">
      <c r="A391">
        <v>390</v>
      </c>
      <c r="B391">
        <v>1521000</v>
      </c>
      <c r="C391">
        <v>1521000</v>
      </c>
    </row>
    <row r="392" spans="1:3">
      <c r="A392">
        <v>391</v>
      </c>
      <c r="B392">
        <v>1528810</v>
      </c>
      <c r="C392">
        <v>1528810</v>
      </c>
    </row>
    <row r="393" spans="1:3">
      <c r="A393">
        <v>392</v>
      </c>
      <c r="B393">
        <v>1536640</v>
      </c>
      <c r="C393">
        <v>1536640</v>
      </c>
    </row>
    <row r="394" spans="1:3">
      <c r="A394">
        <v>393</v>
      </c>
      <c r="B394">
        <v>1544490</v>
      </c>
      <c r="C394">
        <v>1544490</v>
      </c>
    </row>
    <row r="395" spans="1:3">
      <c r="A395">
        <v>394</v>
      </c>
      <c r="B395">
        <v>1552360</v>
      </c>
      <c r="C395">
        <v>1552360</v>
      </c>
    </row>
    <row r="396" spans="1:3">
      <c r="A396">
        <v>395</v>
      </c>
      <c r="B396">
        <v>1560250</v>
      </c>
      <c r="C396">
        <v>1560250</v>
      </c>
    </row>
    <row r="397" spans="1:3">
      <c r="A397">
        <v>396</v>
      </c>
      <c r="B397">
        <v>1568160</v>
      </c>
      <c r="C397">
        <v>1568160</v>
      </c>
    </row>
    <row r="398" spans="1:3">
      <c r="A398">
        <v>397</v>
      </c>
      <c r="B398">
        <v>1576090</v>
      </c>
      <c r="C398">
        <v>1576090</v>
      </c>
    </row>
    <row r="399" spans="1:3">
      <c r="A399">
        <v>398</v>
      </c>
      <c r="B399">
        <v>1584040</v>
      </c>
      <c r="C399">
        <v>1584040</v>
      </c>
    </row>
    <row r="400" spans="1:3">
      <c r="A400">
        <v>399</v>
      </c>
      <c r="B400">
        <v>1592010</v>
      </c>
      <c r="C400">
        <v>1592010</v>
      </c>
    </row>
    <row r="401" spans="1:3">
      <c r="A401">
        <v>400</v>
      </c>
      <c r="B401">
        <v>1600000</v>
      </c>
      <c r="C401">
        <v>1600000</v>
      </c>
    </row>
    <row r="402" spans="1:3">
      <c r="A402">
        <v>401</v>
      </c>
      <c r="B402">
        <v>1608010</v>
      </c>
      <c r="C402">
        <v>1608010</v>
      </c>
    </row>
    <row r="403" spans="1:3">
      <c r="A403">
        <v>402</v>
      </c>
      <c r="B403">
        <v>1616040</v>
      </c>
      <c r="C403">
        <v>1616040</v>
      </c>
    </row>
    <row r="404" spans="1:3">
      <c r="A404">
        <v>403</v>
      </c>
      <c r="B404">
        <v>1624090</v>
      </c>
      <c r="C404">
        <v>1624090</v>
      </c>
    </row>
    <row r="405" spans="1:3">
      <c r="A405">
        <v>404</v>
      </c>
      <c r="B405">
        <v>1632160</v>
      </c>
      <c r="C405">
        <v>1632160</v>
      </c>
    </row>
    <row r="406" spans="1:3">
      <c r="A406">
        <v>405</v>
      </c>
      <c r="B406">
        <v>1640250</v>
      </c>
      <c r="C406">
        <v>1640250</v>
      </c>
    </row>
    <row r="407" spans="1:3">
      <c r="A407">
        <v>406</v>
      </c>
      <c r="B407">
        <v>1648360</v>
      </c>
      <c r="C407">
        <v>1648360</v>
      </c>
    </row>
    <row r="408" spans="1:3">
      <c r="A408">
        <v>407</v>
      </c>
      <c r="B408">
        <v>1656490</v>
      </c>
      <c r="C408">
        <v>1656490</v>
      </c>
    </row>
    <row r="409" spans="1:3">
      <c r="A409">
        <v>408</v>
      </c>
      <c r="B409">
        <v>1664640</v>
      </c>
      <c r="C409">
        <v>1664640</v>
      </c>
    </row>
    <row r="410" spans="1:3">
      <c r="A410">
        <v>409</v>
      </c>
      <c r="B410">
        <v>1672810</v>
      </c>
      <c r="C410">
        <v>1672810</v>
      </c>
    </row>
    <row r="411" spans="1:3">
      <c r="A411">
        <v>410</v>
      </c>
      <c r="B411">
        <v>1681000</v>
      </c>
      <c r="C411">
        <v>1681000</v>
      </c>
    </row>
    <row r="412" spans="1:3">
      <c r="A412">
        <v>411</v>
      </c>
      <c r="B412">
        <v>1689210</v>
      </c>
      <c r="C412">
        <v>1689210</v>
      </c>
    </row>
    <row r="413" spans="1:3">
      <c r="A413">
        <v>412</v>
      </c>
      <c r="B413">
        <v>1697440</v>
      </c>
      <c r="C413">
        <v>1697440</v>
      </c>
    </row>
    <row r="414" spans="1:3">
      <c r="A414">
        <v>413</v>
      </c>
      <c r="B414">
        <v>1705690</v>
      </c>
      <c r="C414">
        <v>1705690</v>
      </c>
    </row>
    <row r="415" spans="1:3">
      <c r="A415">
        <v>414</v>
      </c>
      <c r="B415">
        <v>1713960</v>
      </c>
      <c r="C415">
        <v>1713960</v>
      </c>
    </row>
    <row r="416" spans="1:3">
      <c r="A416">
        <v>415</v>
      </c>
      <c r="B416">
        <v>1722250</v>
      </c>
      <c r="C416">
        <v>1722250</v>
      </c>
    </row>
    <row r="417" spans="1:3">
      <c r="A417">
        <v>416</v>
      </c>
      <c r="B417">
        <v>1730560</v>
      </c>
      <c r="C417">
        <v>1730560</v>
      </c>
    </row>
    <row r="418" spans="1:3">
      <c r="A418">
        <v>417</v>
      </c>
      <c r="B418">
        <v>1738890</v>
      </c>
      <c r="C418">
        <v>1738890</v>
      </c>
    </row>
    <row r="419" spans="1:3">
      <c r="A419">
        <v>418</v>
      </c>
      <c r="B419">
        <v>1747240</v>
      </c>
      <c r="C419">
        <v>1747240</v>
      </c>
    </row>
    <row r="420" spans="1:3">
      <c r="A420">
        <v>419</v>
      </c>
      <c r="B420">
        <v>1755610</v>
      </c>
      <c r="C420">
        <v>1755610</v>
      </c>
    </row>
    <row r="421" spans="1:3">
      <c r="A421">
        <v>420</v>
      </c>
      <c r="B421">
        <v>1764000</v>
      </c>
      <c r="C421">
        <v>1764000</v>
      </c>
    </row>
    <row r="422" spans="1:3">
      <c r="A422">
        <v>421</v>
      </c>
      <c r="B422">
        <v>1772410</v>
      </c>
      <c r="C422">
        <v>1772410</v>
      </c>
    </row>
    <row r="423" spans="1:3">
      <c r="A423">
        <v>422</v>
      </c>
      <c r="B423">
        <v>1780840</v>
      </c>
      <c r="C423">
        <v>1780840</v>
      </c>
    </row>
    <row r="424" spans="1:3">
      <c r="A424">
        <v>423</v>
      </c>
      <c r="B424">
        <v>1789290</v>
      </c>
      <c r="C424">
        <v>1789290</v>
      </c>
    </row>
    <row r="425" spans="1:3">
      <c r="A425">
        <v>424</v>
      </c>
      <c r="B425">
        <v>1797760</v>
      </c>
      <c r="C425">
        <v>1797760</v>
      </c>
    </row>
    <row r="426" spans="1:3">
      <c r="A426">
        <v>425</v>
      </c>
      <c r="B426">
        <v>1806250</v>
      </c>
      <c r="C426">
        <v>1806250</v>
      </c>
    </row>
    <row r="427" spans="1:3">
      <c r="A427">
        <v>426</v>
      </c>
      <c r="B427">
        <v>1814760</v>
      </c>
      <c r="C427">
        <v>1814760</v>
      </c>
    </row>
    <row r="428" spans="1:3">
      <c r="A428">
        <v>427</v>
      </c>
      <c r="B428">
        <v>1823290</v>
      </c>
      <c r="C428">
        <v>1823290</v>
      </c>
    </row>
    <row r="429" spans="1:3">
      <c r="A429">
        <v>428</v>
      </c>
      <c r="B429">
        <v>1831840</v>
      </c>
      <c r="C429">
        <v>1831840</v>
      </c>
    </row>
    <row r="430" spans="1:3">
      <c r="A430">
        <v>429</v>
      </c>
      <c r="B430">
        <v>1840410</v>
      </c>
      <c r="C430">
        <v>1840410</v>
      </c>
    </row>
    <row r="431" spans="1:3">
      <c r="A431">
        <v>430</v>
      </c>
      <c r="B431">
        <v>1849000</v>
      </c>
      <c r="C431">
        <v>1849000</v>
      </c>
    </row>
    <row r="432" spans="1:3">
      <c r="A432">
        <v>431</v>
      </c>
      <c r="B432">
        <v>1857610</v>
      </c>
      <c r="C432">
        <v>1857610</v>
      </c>
    </row>
    <row r="433" spans="1:3">
      <c r="A433">
        <v>432</v>
      </c>
      <c r="B433">
        <v>1866240</v>
      </c>
      <c r="C433">
        <v>1866240</v>
      </c>
    </row>
    <row r="434" spans="1:3">
      <c r="A434">
        <v>433</v>
      </c>
      <c r="B434">
        <v>1874890</v>
      </c>
      <c r="C434">
        <v>1874890</v>
      </c>
    </row>
    <row r="435" spans="1:3">
      <c r="A435">
        <v>434</v>
      </c>
      <c r="B435">
        <v>1883560</v>
      </c>
      <c r="C435">
        <v>1883560</v>
      </c>
    </row>
    <row r="436" spans="1:3">
      <c r="A436">
        <v>435</v>
      </c>
      <c r="B436">
        <v>1892250</v>
      </c>
      <c r="C436">
        <v>1892250</v>
      </c>
    </row>
    <row r="437" spans="1:3">
      <c r="A437">
        <v>436</v>
      </c>
      <c r="B437">
        <v>1900960</v>
      </c>
      <c r="C437">
        <v>1900960</v>
      </c>
    </row>
    <row r="438" spans="1:3">
      <c r="A438">
        <v>437</v>
      </c>
      <c r="B438">
        <v>1909690</v>
      </c>
      <c r="C438">
        <v>1909690</v>
      </c>
    </row>
    <row r="439" spans="1:3">
      <c r="A439">
        <v>438</v>
      </c>
      <c r="B439">
        <v>1918440</v>
      </c>
      <c r="C439">
        <v>1918440</v>
      </c>
    </row>
    <row r="440" spans="1:3">
      <c r="A440">
        <v>439</v>
      </c>
      <c r="B440">
        <v>1927210</v>
      </c>
      <c r="C440">
        <v>1927210</v>
      </c>
    </row>
    <row r="441" spans="1:3">
      <c r="A441">
        <v>440</v>
      </c>
      <c r="B441">
        <v>1936000</v>
      </c>
      <c r="C441">
        <v>1936000</v>
      </c>
    </row>
    <row r="442" spans="1:3">
      <c r="A442">
        <v>441</v>
      </c>
      <c r="B442">
        <v>1944810</v>
      </c>
      <c r="C442">
        <v>1944810</v>
      </c>
    </row>
    <row r="443" spans="1:3">
      <c r="A443">
        <v>442</v>
      </c>
      <c r="B443">
        <v>1953640</v>
      </c>
      <c r="C443">
        <v>1953640</v>
      </c>
    </row>
    <row r="444" spans="1:3">
      <c r="A444">
        <v>443</v>
      </c>
      <c r="B444">
        <v>1962490</v>
      </c>
      <c r="C444">
        <v>1962490</v>
      </c>
    </row>
    <row r="445" spans="1:3">
      <c r="A445">
        <v>444</v>
      </c>
      <c r="B445">
        <v>1971360</v>
      </c>
      <c r="C445">
        <v>1971360</v>
      </c>
    </row>
    <row r="446" spans="1:3">
      <c r="A446">
        <v>445</v>
      </c>
      <c r="B446">
        <v>1980250</v>
      </c>
      <c r="C446">
        <v>1980250</v>
      </c>
    </row>
    <row r="447" spans="1:3">
      <c r="A447">
        <v>446</v>
      </c>
      <c r="B447">
        <v>1989160</v>
      </c>
      <c r="C447">
        <v>1989160</v>
      </c>
    </row>
    <row r="448" spans="1:3">
      <c r="A448">
        <v>447</v>
      </c>
      <c r="B448">
        <v>1998090</v>
      </c>
      <c r="C448">
        <v>1998090</v>
      </c>
    </row>
    <row r="449" spans="1:3">
      <c r="A449">
        <v>448</v>
      </c>
      <c r="B449">
        <v>2007040</v>
      </c>
      <c r="C449">
        <v>2007040</v>
      </c>
    </row>
    <row r="450" spans="1:3">
      <c r="A450">
        <v>449</v>
      </c>
      <c r="B450">
        <v>2016010</v>
      </c>
      <c r="C450">
        <v>2016010</v>
      </c>
    </row>
    <row r="451" spans="1:3">
      <c r="A451">
        <v>450</v>
      </c>
      <c r="B451">
        <v>2025000</v>
      </c>
      <c r="C451">
        <v>2025000</v>
      </c>
    </row>
    <row r="452" spans="1:3">
      <c r="A452">
        <v>451</v>
      </c>
      <c r="B452">
        <v>2034010</v>
      </c>
      <c r="C452">
        <v>2034010</v>
      </c>
    </row>
    <row r="453" spans="1:3">
      <c r="A453">
        <v>452</v>
      </c>
      <c r="B453">
        <v>2043040</v>
      </c>
      <c r="C453">
        <v>2043040</v>
      </c>
    </row>
    <row r="454" spans="1:3">
      <c r="A454">
        <v>453</v>
      </c>
      <c r="B454">
        <v>2052090</v>
      </c>
      <c r="C454">
        <v>2052090</v>
      </c>
    </row>
    <row r="455" spans="1:3">
      <c r="A455">
        <v>454</v>
      </c>
      <c r="B455">
        <v>2061160</v>
      </c>
      <c r="C455">
        <v>2061160</v>
      </c>
    </row>
    <row r="456" spans="1:3">
      <c r="A456">
        <v>455</v>
      </c>
      <c r="B456">
        <v>2070250</v>
      </c>
      <c r="C456">
        <v>2070250</v>
      </c>
    </row>
    <row r="457" spans="1:3">
      <c r="A457">
        <v>456</v>
      </c>
      <c r="B457">
        <v>2079360</v>
      </c>
      <c r="C457">
        <v>2079360</v>
      </c>
    </row>
    <row r="458" spans="1:3">
      <c r="A458">
        <v>457</v>
      </c>
      <c r="B458">
        <v>2088490</v>
      </c>
      <c r="C458">
        <v>2088490</v>
      </c>
    </row>
    <row r="459" spans="1:3">
      <c r="A459">
        <v>458</v>
      </c>
      <c r="B459">
        <v>2097640</v>
      </c>
      <c r="C459">
        <v>2097640</v>
      </c>
    </row>
    <row r="460" spans="1:3">
      <c r="A460">
        <v>459</v>
      </c>
      <c r="B460">
        <v>2106810</v>
      </c>
      <c r="C460">
        <v>2106810</v>
      </c>
    </row>
    <row r="461" spans="1:3">
      <c r="A461">
        <v>460</v>
      </c>
      <c r="B461">
        <v>2116000</v>
      </c>
      <c r="C461">
        <v>2116000</v>
      </c>
    </row>
    <row r="462" spans="1:3">
      <c r="A462">
        <v>461</v>
      </c>
      <c r="B462">
        <v>2125210</v>
      </c>
      <c r="C462">
        <v>2125210</v>
      </c>
    </row>
    <row r="463" spans="1:3">
      <c r="A463">
        <v>462</v>
      </c>
      <c r="B463">
        <v>2134440</v>
      </c>
      <c r="C463">
        <v>2134440</v>
      </c>
    </row>
    <row r="464" spans="1:3">
      <c r="A464">
        <v>463</v>
      </c>
      <c r="B464">
        <v>2143690</v>
      </c>
      <c r="C464">
        <v>2143690</v>
      </c>
    </row>
    <row r="465" spans="1:3">
      <c r="A465">
        <v>464</v>
      </c>
      <c r="B465">
        <v>2152960</v>
      </c>
      <c r="C465">
        <v>2152960</v>
      </c>
    </row>
    <row r="466" spans="1:3">
      <c r="A466">
        <v>465</v>
      </c>
      <c r="B466">
        <v>2162250</v>
      </c>
      <c r="C466">
        <v>2162250</v>
      </c>
    </row>
    <row r="467" spans="1:3">
      <c r="A467">
        <v>466</v>
      </c>
      <c r="B467">
        <v>2171560</v>
      </c>
      <c r="C467">
        <v>2171560</v>
      </c>
    </row>
    <row r="468" spans="1:3">
      <c r="A468">
        <v>467</v>
      </c>
      <c r="B468">
        <v>2180890</v>
      </c>
      <c r="C468">
        <v>2180890</v>
      </c>
    </row>
    <row r="469" spans="1:3">
      <c r="A469">
        <v>468</v>
      </c>
      <c r="B469">
        <v>2190240</v>
      </c>
      <c r="C469">
        <v>2190240</v>
      </c>
    </row>
    <row r="470" spans="1:3">
      <c r="A470">
        <v>469</v>
      </c>
      <c r="B470">
        <v>2199610</v>
      </c>
      <c r="C470">
        <v>2199610</v>
      </c>
    </row>
    <row r="471" spans="1:3">
      <c r="A471">
        <v>470</v>
      </c>
      <c r="B471">
        <v>2209000</v>
      </c>
      <c r="C471">
        <v>2209000</v>
      </c>
    </row>
    <row r="472" spans="1:3">
      <c r="A472">
        <v>471</v>
      </c>
      <c r="B472">
        <v>2218410</v>
      </c>
      <c r="C472">
        <v>2218410</v>
      </c>
    </row>
    <row r="473" spans="1:3">
      <c r="A473">
        <v>472</v>
      </c>
      <c r="B473">
        <v>2227840</v>
      </c>
      <c r="C473">
        <v>2227840</v>
      </c>
    </row>
    <row r="474" spans="1:3">
      <c r="A474">
        <v>473</v>
      </c>
      <c r="B474">
        <v>2237290</v>
      </c>
      <c r="C474">
        <v>2237290</v>
      </c>
    </row>
    <row r="475" spans="1:3">
      <c r="A475">
        <v>474</v>
      </c>
      <c r="B475">
        <v>2246760</v>
      </c>
      <c r="C475">
        <v>2246760</v>
      </c>
    </row>
    <row r="476" spans="1:3">
      <c r="A476">
        <v>475</v>
      </c>
      <c r="B476">
        <v>2256250</v>
      </c>
      <c r="C476">
        <v>2256250</v>
      </c>
    </row>
    <row r="477" spans="1:3">
      <c r="A477">
        <v>476</v>
      </c>
      <c r="B477">
        <v>2265760</v>
      </c>
      <c r="C477">
        <v>2265760</v>
      </c>
    </row>
    <row r="478" spans="1:3">
      <c r="A478">
        <v>477</v>
      </c>
      <c r="B478">
        <v>2275290</v>
      </c>
      <c r="C478">
        <v>2275290</v>
      </c>
    </row>
    <row r="479" spans="1:3">
      <c r="A479">
        <v>478</v>
      </c>
      <c r="B479">
        <v>2284840</v>
      </c>
      <c r="C479">
        <v>2284840</v>
      </c>
    </row>
    <row r="480" spans="1:3">
      <c r="A480">
        <v>479</v>
      </c>
      <c r="B480">
        <v>2294410</v>
      </c>
      <c r="C480">
        <v>2294410</v>
      </c>
    </row>
    <row r="481" spans="1:3">
      <c r="A481">
        <v>480</v>
      </c>
      <c r="B481">
        <v>2304000</v>
      </c>
      <c r="C481">
        <v>2304000</v>
      </c>
    </row>
    <row r="482" spans="1:3">
      <c r="A482">
        <v>481</v>
      </c>
      <c r="B482">
        <v>2313610</v>
      </c>
      <c r="C482">
        <v>2313610</v>
      </c>
    </row>
    <row r="483" spans="1:3">
      <c r="A483">
        <v>482</v>
      </c>
      <c r="B483">
        <v>2323240</v>
      </c>
      <c r="C483">
        <v>2323240</v>
      </c>
    </row>
    <row r="484" spans="1:3">
      <c r="A484">
        <v>483</v>
      </c>
      <c r="B484">
        <v>2332890</v>
      </c>
      <c r="C484">
        <v>2332890</v>
      </c>
    </row>
    <row r="485" spans="1:3">
      <c r="A485">
        <v>484</v>
      </c>
      <c r="B485">
        <v>2342560</v>
      </c>
      <c r="C485">
        <v>2342560</v>
      </c>
    </row>
    <row r="486" spans="1:3">
      <c r="A486">
        <v>485</v>
      </c>
      <c r="B486">
        <v>2352250</v>
      </c>
      <c r="C486">
        <v>2352250</v>
      </c>
    </row>
    <row r="487" spans="1:3">
      <c r="A487">
        <v>486</v>
      </c>
      <c r="B487">
        <v>2361960</v>
      </c>
      <c r="C487">
        <v>2361960</v>
      </c>
    </row>
    <row r="488" spans="1:3">
      <c r="A488">
        <v>487</v>
      </c>
      <c r="B488">
        <v>2371690</v>
      </c>
      <c r="C488">
        <v>2371690</v>
      </c>
    </row>
    <row r="489" spans="1:3">
      <c r="A489">
        <v>488</v>
      </c>
      <c r="B489">
        <v>2381440</v>
      </c>
      <c r="C489">
        <v>2381440</v>
      </c>
    </row>
    <row r="490" spans="1:3">
      <c r="A490">
        <v>489</v>
      </c>
      <c r="B490">
        <v>2391210</v>
      </c>
      <c r="C490">
        <v>2391210</v>
      </c>
    </row>
    <row r="491" spans="1:3">
      <c r="A491">
        <v>490</v>
      </c>
      <c r="B491">
        <v>2401000</v>
      </c>
      <c r="C491">
        <v>2401000</v>
      </c>
    </row>
    <row r="492" spans="1:3">
      <c r="A492">
        <v>491</v>
      </c>
      <c r="B492">
        <v>2410810</v>
      </c>
      <c r="C492">
        <v>2410810</v>
      </c>
    </row>
    <row r="493" spans="1:3">
      <c r="A493">
        <v>492</v>
      </c>
      <c r="B493">
        <v>2420640</v>
      </c>
      <c r="C493">
        <v>2420640</v>
      </c>
    </row>
    <row r="494" spans="1:3">
      <c r="A494">
        <v>493</v>
      </c>
      <c r="B494">
        <v>2430490</v>
      </c>
      <c r="C494">
        <v>2430490</v>
      </c>
    </row>
    <row r="495" spans="1:3">
      <c r="A495">
        <v>494</v>
      </c>
      <c r="B495">
        <v>2440360</v>
      </c>
      <c r="C495">
        <v>2440360</v>
      </c>
    </row>
    <row r="496" spans="1:3">
      <c r="A496">
        <v>495</v>
      </c>
      <c r="B496">
        <v>2450250</v>
      </c>
      <c r="C496">
        <v>2450250</v>
      </c>
    </row>
    <row r="497" spans="1:3">
      <c r="A497">
        <v>496</v>
      </c>
      <c r="B497">
        <v>2460160</v>
      </c>
      <c r="C497">
        <v>2460160</v>
      </c>
    </row>
    <row r="498" spans="1:3">
      <c r="A498">
        <v>497</v>
      </c>
      <c r="B498">
        <v>2470090</v>
      </c>
      <c r="C498">
        <v>2470090</v>
      </c>
    </row>
    <row r="499" spans="1:3">
      <c r="A499">
        <v>498</v>
      </c>
      <c r="B499">
        <v>2480040</v>
      </c>
      <c r="C499">
        <v>2480040</v>
      </c>
    </row>
    <row r="500" spans="1:3">
      <c r="A500">
        <v>499</v>
      </c>
      <c r="B500">
        <v>2490010</v>
      </c>
      <c r="C500">
        <v>2490010</v>
      </c>
    </row>
    <row r="501" spans="1:3">
      <c r="A501">
        <v>500</v>
      </c>
      <c r="B501">
        <v>2500000</v>
      </c>
      <c r="C501">
        <v>2500000</v>
      </c>
    </row>
    <row r="502" spans="1:3">
      <c r="A502">
        <v>501</v>
      </c>
      <c r="B502">
        <v>2510010</v>
      </c>
      <c r="C502">
        <v>2510010</v>
      </c>
    </row>
    <row r="503" spans="1:3">
      <c r="A503">
        <v>502</v>
      </c>
      <c r="B503">
        <v>2520040</v>
      </c>
      <c r="C503">
        <v>2520040</v>
      </c>
    </row>
    <row r="504" spans="1:3">
      <c r="A504">
        <v>503</v>
      </c>
      <c r="B504">
        <v>2530090</v>
      </c>
      <c r="C504">
        <v>2530090</v>
      </c>
    </row>
    <row r="505" spans="1:3">
      <c r="A505">
        <v>504</v>
      </c>
      <c r="B505">
        <v>2540160</v>
      </c>
      <c r="C505">
        <v>2540160</v>
      </c>
    </row>
    <row r="506" spans="1:3">
      <c r="A506">
        <v>505</v>
      </c>
      <c r="B506">
        <v>2550250</v>
      </c>
      <c r="C506">
        <v>2550250</v>
      </c>
    </row>
    <row r="507" spans="1:3">
      <c r="A507">
        <v>506</v>
      </c>
      <c r="B507">
        <v>2560360</v>
      </c>
      <c r="C507">
        <v>2560360</v>
      </c>
    </row>
    <row r="508" spans="1:3">
      <c r="A508">
        <v>507</v>
      </c>
      <c r="B508">
        <v>2570490</v>
      </c>
      <c r="C508">
        <v>2570490</v>
      </c>
    </row>
    <row r="509" spans="1:3">
      <c r="A509">
        <v>508</v>
      </c>
      <c r="B509">
        <v>2580640</v>
      </c>
      <c r="C509">
        <v>2580640</v>
      </c>
    </row>
    <row r="510" spans="1:3">
      <c r="A510">
        <v>509</v>
      </c>
      <c r="B510">
        <v>2590810</v>
      </c>
      <c r="C510">
        <v>2590810</v>
      </c>
    </row>
    <row r="511" spans="1:3">
      <c r="A511">
        <v>510</v>
      </c>
      <c r="B511">
        <v>2601000</v>
      </c>
      <c r="C511">
        <v>2601000</v>
      </c>
    </row>
    <row r="512" spans="1:3">
      <c r="A512">
        <v>511</v>
      </c>
      <c r="B512">
        <v>2611210</v>
      </c>
      <c r="C512">
        <v>2611210</v>
      </c>
    </row>
    <row r="513" spans="1:3">
      <c r="A513">
        <v>512</v>
      </c>
      <c r="B513">
        <v>2621440</v>
      </c>
      <c r="C513">
        <v>2621440</v>
      </c>
    </row>
    <row r="514" spans="1:3">
      <c r="A514">
        <v>513</v>
      </c>
      <c r="B514">
        <v>2631690</v>
      </c>
      <c r="C514">
        <v>2631690</v>
      </c>
    </row>
    <row r="515" spans="1:3">
      <c r="A515">
        <v>514</v>
      </c>
      <c r="B515">
        <v>2641960</v>
      </c>
      <c r="C515">
        <v>2641960</v>
      </c>
    </row>
    <row r="516" spans="1:3">
      <c r="A516">
        <v>515</v>
      </c>
      <c r="B516">
        <v>2652250</v>
      </c>
      <c r="C516">
        <v>2652250</v>
      </c>
    </row>
    <row r="517" spans="1:3">
      <c r="A517">
        <v>516</v>
      </c>
      <c r="B517">
        <v>2662560</v>
      </c>
      <c r="C517">
        <v>2662560</v>
      </c>
    </row>
    <row r="518" spans="1:3">
      <c r="A518">
        <v>517</v>
      </c>
      <c r="B518">
        <v>2672890</v>
      </c>
      <c r="C518">
        <v>2672890</v>
      </c>
    </row>
    <row r="519" spans="1:3">
      <c r="A519">
        <v>518</v>
      </c>
      <c r="B519">
        <v>2683240</v>
      </c>
      <c r="C519">
        <v>2683240</v>
      </c>
    </row>
    <row r="520" spans="1:3">
      <c r="A520">
        <v>519</v>
      </c>
      <c r="B520">
        <v>2693610</v>
      </c>
      <c r="C520">
        <v>2693610</v>
      </c>
    </row>
    <row r="521" spans="1:3">
      <c r="A521">
        <v>520</v>
      </c>
      <c r="B521">
        <v>2704000</v>
      </c>
      <c r="C521">
        <v>2704000</v>
      </c>
    </row>
    <row r="522" spans="1:3">
      <c r="A522">
        <v>521</v>
      </c>
      <c r="B522">
        <v>2714410</v>
      </c>
      <c r="C522">
        <v>2714410</v>
      </c>
    </row>
    <row r="523" spans="1:3">
      <c r="A523">
        <v>522</v>
      </c>
      <c r="B523">
        <v>2724840</v>
      </c>
      <c r="C523">
        <v>2724840</v>
      </c>
    </row>
    <row r="524" spans="1:3">
      <c r="A524">
        <v>523</v>
      </c>
      <c r="B524">
        <v>2735290</v>
      </c>
      <c r="C524">
        <v>2735290</v>
      </c>
    </row>
    <row r="525" spans="1:3">
      <c r="A525">
        <v>524</v>
      </c>
      <c r="B525">
        <v>2745760</v>
      </c>
      <c r="C525">
        <v>2745760</v>
      </c>
    </row>
    <row r="526" spans="1:3">
      <c r="A526">
        <v>525</v>
      </c>
      <c r="B526">
        <v>2756250</v>
      </c>
      <c r="C526">
        <v>2756250</v>
      </c>
    </row>
    <row r="527" spans="1:3">
      <c r="A527">
        <v>526</v>
      </c>
      <c r="B527">
        <v>2766760</v>
      </c>
      <c r="C527">
        <v>2766760</v>
      </c>
    </row>
    <row r="528" spans="1:3">
      <c r="A528">
        <v>527</v>
      </c>
      <c r="B528">
        <v>2777290</v>
      </c>
      <c r="C528">
        <v>2777290</v>
      </c>
    </row>
    <row r="529" spans="1:3">
      <c r="A529">
        <v>528</v>
      </c>
      <c r="B529">
        <v>2787840</v>
      </c>
      <c r="C529">
        <v>2787840</v>
      </c>
    </row>
    <row r="530" spans="1:3">
      <c r="A530">
        <v>529</v>
      </c>
      <c r="B530">
        <v>2798410</v>
      </c>
      <c r="C530">
        <v>2798410</v>
      </c>
    </row>
    <row r="531" spans="1:3">
      <c r="A531">
        <v>530</v>
      </c>
      <c r="B531">
        <v>2809000</v>
      </c>
      <c r="C531">
        <v>2809000</v>
      </c>
    </row>
    <row r="532" spans="1:3">
      <c r="A532">
        <v>531</v>
      </c>
      <c r="B532">
        <v>2819610</v>
      </c>
      <c r="C532">
        <v>2819610</v>
      </c>
    </row>
    <row r="533" spans="1:3">
      <c r="A533">
        <v>532</v>
      </c>
      <c r="B533">
        <v>2830240</v>
      </c>
      <c r="C533">
        <v>2830240</v>
      </c>
    </row>
    <row r="534" spans="1:3">
      <c r="A534">
        <v>533</v>
      </c>
      <c r="B534">
        <v>2840890</v>
      </c>
      <c r="C534">
        <v>2840890</v>
      </c>
    </row>
    <row r="535" spans="1:3">
      <c r="A535">
        <v>534</v>
      </c>
      <c r="B535">
        <v>2851560</v>
      </c>
      <c r="C535">
        <v>2851560</v>
      </c>
    </row>
    <row r="536" spans="1:3">
      <c r="A536">
        <v>535</v>
      </c>
      <c r="B536">
        <v>2862250</v>
      </c>
      <c r="C536">
        <v>2862250</v>
      </c>
    </row>
    <row r="537" spans="1:3">
      <c r="A537">
        <v>536</v>
      </c>
      <c r="B537">
        <v>2872960</v>
      </c>
      <c r="C537">
        <v>2872960</v>
      </c>
    </row>
    <row r="538" spans="1:3">
      <c r="A538">
        <v>537</v>
      </c>
      <c r="B538">
        <v>2883690</v>
      </c>
      <c r="C538">
        <v>2883690</v>
      </c>
    </row>
    <row r="539" spans="1:3">
      <c r="A539">
        <v>538</v>
      </c>
      <c r="B539">
        <v>2894440</v>
      </c>
      <c r="C539">
        <v>2894440</v>
      </c>
    </row>
    <row r="540" spans="1:3">
      <c r="A540">
        <v>539</v>
      </c>
      <c r="B540">
        <v>2905210</v>
      </c>
      <c r="C540">
        <v>2905210</v>
      </c>
    </row>
    <row r="541" spans="1:3">
      <c r="A541">
        <v>540</v>
      </c>
      <c r="B541">
        <v>2916000</v>
      </c>
      <c r="C541">
        <v>2916000</v>
      </c>
    </row>
    <row r="542" spans="1:3">
      <c r="A542">
        <v>541</v>
      </c>
      <c r="B542">
        <v>2926810</v>
      </c>
      <c r="C542">
        <v>2926810</v>
      </c>
    </row>
    <row r="543" spans="1:3">
      <c r="A543">
        <v>542</v>
      </c>
      <c r="B543">
        <v>2937640</v>
      </c>
      <c r="C543">
        <v>2937640</v>
      </c>
    </row>
    <row r="544" spans="1:3">
      <c r="A544">
        <v>543</v>
      </c>
      <c r="B544">
        <v>2948490</v>
      </c>
      <c r="C544">
        <v>2948490</v>
      </c>
    </row>
    <row r="545" spans="1:3">
      <c r="A545">
        <v>544</v>
      </c>
      <c r="B545">
        <v>2959360</v>
      </c>
      <c r="C545">
        <v>2959360</v>
      </c>
    </row>
    <row r="546" spans="1:3">
      <c r="A546">
        <v>545</v>
      </c>
      <c r="B546">
        <v>2970250</v>
      </c>
      <c r="C546">
        <v>2970250</v>
      </c>
    </row>
    <row r="547" spans="1:3">
      <c r="A547">
        <v>546</v>
      </c>
      <c r="B547">
        <v>2981160</v>
      </c>
      <c r="C547">
        <v>2981160</v>
      </c>
    </row>
    <row r="548" spans="1:3">
      <c r="A548">
        <v>547</v>
      </c>
      <c r="B548">
        <v>2992090</v>
      </c>
      <c r="C548">
        <v>2992090</v>
      </c>
    </row>
    <row r="549" spans="1:3">
      <c r="A549">
        <v>548</v>
      </c>
      <c r="B549">
        <v>3003040</v>
      </c>
      <c r="C549">
        <v>3003040</v>
      </c>
    </row>
    <row r="550" spans="1:3">
      <c r="A550">
        <v>549</v>
      </c>
      <c r="B550">
        <v>3014010</v>
      </c>
      <c r="C550">
        <v>3014010</v>
      </c>
    </row>
    <row r="551" spans="1:3">
      <c r="A551">
        <v>550</v>
      </c>
      <c r="B551">
        <v>3025000</v>
      </c>
      <c r="C551">
        <v>3025000</v>
      </c>
    </row>
    <row r="552" spans="1:3">
      <c r="A552">
        <v>551</v>
      </c>
      <c r="B552">
        <v>3036010</v>
      </c>
      <c r="C552">
        <v>3036010</v>
      </c>
    </row>
    <row r="553" spans="1:3">
      <c r="A553">
        <v>552</v>
      </c>
      <c r="B553">
        <v>3047040</v>
      </c>
      <c r="C553">
        <v>3047040</v>
      </c>
    </row>
    <row r="554" spans="1:3">
      <c r="A554">
        <v>553</v>
      </c>
      <c r="B554">
        <v>3058090</v>
      </c>
      <c r="C554">
        <v>3058090</v>
      </c>
    </row>
    <row r="555" spans="1:3">
      <c r="A555">
        <v>554</v>
      </c>
      <c r="B555">
        <v>3069160</v>
      </c>
      <c r="C555">
        <v>3069160</v>
      </c>
    </row>
    <row r="556" spans="1:3">
      <c r="A556">
        <v>555</v>
      </c>
      <c r="B556">
        <v>3080250</v>
      </c>
      <c r="C556">
        <v>3080250</v>
      </c>
    </row>
    <row r="557" spans="1:3">
      <c r="A557">
        <v>556</v>
      </c>
      <c r="B557">
        <v>3091360</v>
      </c>
      <c r="C557">
        <v>3091360</v>
      </c>
    </row>
    <row r="558" spans="1:3">
      <c r="A558">
        <v>557</v>
      </c>
      <c r="B558">
        <v>3102490</v>
      </c>
      <c r="C558">
        <v>3102490</v>
      </c>
    </row>
    <row r="559" spans="1:3">
      <c r="A559">
        <v>558</v>
      </c>
      <c r="B559">
        <v>3113640</v>
      </c>
      <c r="C559">
        <v>3113640</v>
      </c>
    </row>
    <row r="560" spans="1:3">
      <c r="A560">
        <v>559</v>
      </c>
      <c r="B560">
        <v>3124810</v>
      </c>
      <c r="C560">
        <v>3124810</v>
      </c>
    </row>
    <row r="561" spans="1:3">
      <c r="A561">
        <v>560</v>
      </c>
      <c r="B561">
        <v>3136000</v>
      </c>
      <c r="C561">
        <v>3136000</v>
      </c>
    </row>
    <row r="562" spans="1:3">
      <c r="A562">
        <v>561</v>
      </c>
      <c r="B562">
        <v>3147210</v>
      </c>
      <c r="C562">
        <v>3147210</v>
      </c>
    </row>
    <row r="563" spans="1:3">
      <c r="A563">
        <v>562</v>
      </c>
      <c r="B563">
        <v>3158440</v>
      </c>
      <c r="C563">
        <v>3158440</v>
      </c>
    </row>
    <row r="564" spans="1:3">
      <c r="A564">
        <v>563</v>
      </c>
      <c r="B564">
        <v>3169690</v>
      </c>
      <c r="C564">
        <v>3169690</v>
      </c>
    </row>
    <row r="565" spans="1:3">
      <c r="A565">
        <v>564</v>
      </c>
      <c r="B565">
        <v>3180960</v>
      </c>
      <c r="C565">
        <v>3180960</v>
      </c>
    </row>
    <row r="566" spans="1:3">
      <c r="A566">
        <v>565</v>
      </c>
      <c r="B566">
        <v>3192250</v>
      </c>
      <c r="C566">
        <v>3192250</v>
      </c>
    </row>
    <row r="567" spans="1:3">
      <c r="A567">
        <v>566</v>
      </c>
      <c r="B567">
        <v>3203560</v>
      </c>
      <c r="C567">
        <v>3203560</v>
      </c>
    </row>
    <row r="568" spans="1:3">
      <c r="A568">
        <v>567</v>
      </c>
      <c r="B568">
        <v>3214890</v>
      </c>
      <c r="C568">
        <v>3214890</v>
      </c>
    </row>
    <row r="569" spans="1:3">
      <c r="A569">
        <v>568</v>
      </c>
      <c r="B569">
        <v>3226240</v>
      </c>
      <c r="C569">
        <v>3226240</v>
      </c>
    </row>
    <row r="570" spans="1:3">
      <c r="A570">
        <v>569</v>
      </c>
      <c r="B570">
        <v>3237610</v>
      </c>
      <c r="C570">
        <v>3237610</v>
      </c>
    </row>
    <row r="571" spans="1:3">
      <c r="A571">
        <v>570</v>
      </c>
      <c r="B571">
        <v>3249000</v>
      </c>
      <c r="C571">
        <v>3249000</v>
      </c>
    </row>
    <row r="572" spans="1:3">
      <c r="A572">
        <v>571</v>
      </c>
      <c r="B572">
        <v>3260410</v>
      </c>
      <c r="C572">
        <v>3260410</v>
      </c>
    </row>
    <row r="573" spans="1:3">
      <c r="A573">
        <v>572</v>
      </c>
      <c r="B573">
        <v>3271840</v>
      </c>
      <c r="C573">
        <v>3271840</v>
      </c>
    </row>
    <row r="574" spans="1:3">
      <c r="A574">
        <v>573</v>
      </c>
      <c r="B574">
        <v>3283290</v>
      </c>
      <c r="C574">
        <v>3283290</v>
      </c>
    </row>
    <row r="575" spans="1:3">
      <c r="A575">
        <v>574</v>
      </c>
      <c r="B575">
        <v>3294760</v>
      </c>
      <c r="C575">
        <v>3294760</v>
      </c>
    </row>
    <row r="576" spans="1:3">
      <c r="A576">
        <v>575</v>
      </c>
      <c r="B576">
        <v>3306250</v>
      </c>
      <c r="C576">
        <v>3306250</v>
      </c>
    </row>
    <row r="577" spans="1:3">
      <c r="A577">
        <v>576</v>
      </c>
      <c r="B577">
        <v>3317760</v>
      </c>
      <c r="C577">
        <v>3317760</v>
      </c>
    </row>
    <row r="578" spans="1:3">
      <c r="A578">
        <v>577</v>
      </c>
      <c r="B578">
        <v>3329290</v>
      </c>
      <c r="C578">
        <v>3329290</v>
      </c>
    </row>
    <row r="579" spans="1:3">
      <c r="A579">
        <v>578</v>
      </c>
      <c r="B579">
        <v>3340840</v>
      </c>
      <c r="C579">
        <v>3340840</v>
      </c>
    </row>
    <row r="580" spans="1:3">
      <c r="A580">
        <v>579</v>
      </c>
      <c r="B580">
        <v>3352410</v>
      </c>
      <c r="C580">
        <v>3352410</v>
      </c>
    </row>
    <row r="581" spans="1:3">
      <c r="A581">
        <v>580</v>
      </c>
      <c r="B581">
        <v>3364000</v>
      </c>
      <c r="C581">
        <v>3364000</v>
      </c>
    </row>
    <row r="582" spans="1:3">
      <c r="A582">
        <v>581</v>
      </c>
      <c r="B582">
        <v>3375610</v>
      </c>
      <c r="C582">
        <v>3375610</v>
      </c>
    </row>
    <row r="583" spans="1:3">
      <c r="A583">
        <v>582</v>
      </c>
      <c r="B583">
        <v>3387240</v>
      </c>
      <c r="C583">
        <v>3387240</v>
      </c>
    </row>
    <row r="584" spans="1:3">
      <c r="A584">
        <v>583</v>
      </c>
      <c r="B584">
        <v>3398890</v>
      </c>
      <c r="C584">
        <v>3398890</v>
      </c>
    </row>
    <row r="585" spans="1:3">
      <c r="A585">
        <v>584</v>
      </c>
      <c r="B585">
        <v>3410560</v>
      </c>
      <c r="C585">
        <v>3410560</v>
      </c>
    </row>
    <row r="586" spans="1:3">
      <c r="A586">
        <v>585</v>
      </c>
      <c r="B586">
        <v>3422250</v>
      </c>
      <c r="C586">
        <v>3422250</v>
      </c>
    </row>
    <row r="587" spans="1:3">
      <c r="A587">
        <v>586</v>
      </c>
      <c r="B587">
        <v>3433960</v>
      </c>
      <c r="C587">
        <v>3433960</v>
      </c>
    </row>
    <row r="588" spans="1:3">
      <c r="A588">
        <v>587</v>
      </c>
      <c r="B588">
        <v>3445690</v>
      </c>
      <c r="C588">
        <v>3445690</v>
      </c>
    </row>
    <row r="589" spans="1:3">
      <c r="A589">
        <v>588</v>
      </c>
      <c r="B589">
        <v>3457440</v>
      </c>
      <c r="C589">
        <v>3457440</v>
      </c>
    </row>
    <row r="590" spans="1:3">
      <c r="A590">
        <v>589</v>
      </c>
      <c r="B590">
        <v>3469210</v>
      </c>
      <c r="C590">
        <v>3469210</v>
      </c>
    </row>
    <row r="591" spans="1:3">
      <c r="A591">
        <v>590</v>
      </c>
      <c r="B591">
        <v>3481000</v>
      </c>
      <c r="C591">
        <v>3481000</v>
      </c>
    </row>
    <row r="592" spans="1:3">
      <c r="A592">
        <v>591</v>
      </c>
      <c r="B592">
        <v>3492810</v>
      </c>
      <c r="C592">
        <v>3492810</v>
      </c>
    </row>
    <row r="593" spans="1:3">
      <c r="A593">
        <v>592</v>
      </c>
      <c r="B593">
        <v>3504640</v>
      </c>
      <c r="C593">
        <v>3504640</v>
      </c>
    </row>
    <row r="594" spans="1:3">
      <c r="A594">
        <v>593</v>
      </c>
      <c r="B594">
        <v>3516490</v>
      </c>
      <c r="C594">
        <v>3516490</v>
      </c>
    </row>
    <row r="595" spans="1:3">
      <c r="A595">
        <v>594</v>
      </c>
      <c r="B595">
        <v>3528360</v>
      </c>
      <c r="C595">
        <v>3528360</v>
      </c>
    </row>
    <row r="596" spans="1:3">
      <c r="A596">
        <v>595</v>
      </c>
      <c r="B596">
        <v>3540250</v>
      </c>
      <c r="C596">
        <v>3540250</v>
      </c>
    </row>
    <row r="597" spans="1:3">
      <c r="A597">
        <v>596</v>
      </c>
      <c r="B597">
        <v>3552160</v>
      </c>
      <c r="C597">
        <v>3552160</v>
      </c>
    </row>
    <row r="598" spans="1:3">
      <c r="A598">
        <v>597</v>
      </c>
      <c r="B598">
        <v>3564090</v>
      </c>
      <c r="C598">
        <v>3564090</v>
      </c>
    </row>
    <row r="599" spans="1:3">
      <c r="A599">
        <v>598</v>
      </c>
      <c r="B599">
        <v>3576040</v>
      </c>
      <c r="C599">
        <v>3576040</v>
      </c>
    </row>
    <row r="600" spans="1:3">
      <c r="A600">
        <v>599</v>
      </c>
      <c r="B600">
        <v>3588010</v>
      </c>
      <c r="C600">
        <v>3588010</v>
      </c>
    </row>
    <row r="601" spans="1:3">
      <c r="A601">
        <v>600</v>
      </c>
      <c r="B601">
        <v>3600000</v>
      </c>
      <c r="C601">
        <v>3600000</v>
      </c>
    </row>
    <row r="602" spans="1:3">
      <c r="A602">
        <v>601</v>
      </c>
      <c r="B602">
        <v>3612010</v>
      </c>
      <c r="C602">
        <v>3612010</v>
      </c>
    </row>
    <row r="603" spans="1:3">
      <c r="A603">
        <v>602</v>
      </c>
      <c r="B603">
        <v>3624040</v>
      </c>
      <c r="C603">
        <v>3624040</v>
      </c>
    </row>
    <row r="604" spans="1:3">
      <c r="A604">
        <v>603</v>
      </c>
      <c r="B604">
        <v>3636090</v>
      </c>
      <c r="C604">
        <v>3636090</v>
      </c>
    </row>
    <row r="605" spans="1:3">
      <c r="A605">
        <v>604</v>
      </c>
      <c r="B605">
        <v>3648160</v>
      </c>
      <c r="C605">
        <v>3648160</v>
      </c>
    </row>
    <row r="606" spans="1:3">
      <c r="A606">
        <v>605</v>
      </c>
      <c r="B606">
        <v>3660250</v>
      </c>
      <c r="C606">
        <v>3660250</v>
      </c>
    </row>
    <row r="607" spans="1:3">
      <c r="A607">
        <v>606</v>
      </c>
      <c r="B607">
        <v>3672360</v>
      </c>
      <c r="C607">
        <v>3672360</v>
      </c>
    </row>
    <row r="608" spans="1:3">
      <c r="A608">
        <v>607</v>
      </c>
      <c r="B608">
        <v>3684490</v>
      </c>
      <c r="C608">
        <v>3684490</v>
      </c>
    </row>
    <row r="609" spans="1:3">
      <c r="A609">
        <v>608</v>
      </c>
      <c r="B609">
        <v>3696640</v>
      </c>
      <c r="C609">
        <v>3696640</v>
      </c>
    </row>
    <row r="610" spans="1:3">
      <c r="A610">
        <v>609</v>
      </c>
      <c r="B610">
        <v>3708810</v>
      </c>
      <c r="C610">
        <v>3708810</v>
      </c>
    </row>
    <row r="611" spans="1:3">
      <c r="A611">
        <v>610</v>
      </c>
      <c r="B611">
        <v>3721000</v>
      </c>
      <c r="C611">
        <v>3721000</v>
      </c>
    </row>
    <row r="612" spans="1:3">
      <c r="A612">
        <v>611</v>
      </c>
      <c r="B612">
        <v>3733210</v>
      </c>
      <c r="C612">
        <v>3733210</v>
      </c>
    </row>
    <row r="613" spans="1:3">
      <c r="A613">
        <v>612</v>
      </c>
      <c r="B613">
        <v>3745440</v>
      </c>
      <c r="C613">
        <v>3745440</v>
      </c>
    </row>
    <row r="614" spans="1:3">
      <c r="A614">
        <v>613</v>
      </c>
      <c r="B614">
        <v>3757690</v>
      </c>
      <c r="C614">
        <v>3757690</v>
      </c>
    </row>
    <row r="615" spans="1:3">
      <c r="A615">
        <v>614</v>
      </c>
      <c r="B615">
        <v>3769960</v>
      </c>
      <c r="C615">
        <v>3769960</v>
      </c>
    </row>
    <row r="616" spans="1:3">
      <c r="A616">
        <v>615</v>
      </c>
      <c r="B616">
        <v>3782250</v>
      </c>
      <c r="C616">
        <v>3782250</v>
      </c>
    </row>
    <row r="617" spans="1:3">
      <c r="A617">
        <v>616</v>
      </c>
      <c r="B617">
        <v>3794560</v>
      </c>
      <c r="C617">
        <v>3794560</v>
      </c>
    </row>
    <row r="618" spans="1:3">
      <c r="A618">
        <v>617</v>
      </c>
      <c r="B618">
        <v>3806890</v>
      </c>
      <c r="C618">
        <v>3806890</v>
      </c>
    </row>
    <row r="619" spans="1:3">
      <c r="A619">
        <v>618</v>
      </c>
      <c r="B619">
        <v>3819240</v>
      </c>
      <c r="C619">
        <v>3819240</v>
      </c>
    </row>
    <row r="620" spans="1:3">
      <c r="A620">
        <v>619</v>
      </c>
      <c r="B620">
        <v>3831610</v>
      </c>
      <c r="C620">
        <v>3831610</v>
      </c>
    </row>
    <row r="621" spans="1:3">
      <c r="A621">
        <v>620</v>
      </c>
      <c r="B621">
        <v>3844000</v>
      </c>
      <c r="C621">
        <v>3844000</v>
      </c>
    </row>
    <row r="622" spans="1:3">
      <c r="A622">
        <v>621</v>
      </c>
      <c r="B622">
        <v>3856410</v>
      </c>
      <c r="C622">
        <v>3856410</v>
      </c>
    </row>
    <row r="623" spans="1:3">
      <c r="A623">
        <v>622</v>
      </c>
      <c r="B623">
        <v>3868840</v>
      </c>
      <c r="C623">
        <v>3868840</v>
      </c>
    </row>
    <row r="624" spans="1:3">
      <c r="A624">
        <v>623</v>
      </c>
      <c r="B624">
        <v>3881290</v>
      </c>
      <c r="C624">
        <v>3881290</v>
      </c>
    </row>
    <row r="625" spans="1:3">
      <c r="A625">
        <v>624</v>
      </c>
      <c r="B625">
        <v>3893760</v>
      </c>
      <c r="C625">
        <v>3893760</v>
      </c>
    </row>
    <row r="626" spans="1:3">
      <c r="A626">
        <v>625</v>
      </c>
      <c r="B626">
        <v>3906250</v>
      </c>
      <c r="C626">
        <v>3906250</v>
      </c>
    </row>
    <row r="627" spans="1:3">
      <c r="A627">
        <v>626</v>
      </c>
      <c r="B627">
        <v>3918760</v>
      </c>
      <c r="C627">
        <v>3918760</v>
      </c>
    </row>
    <row r="628" spans="1:3">
      <c r="A628">
        <v>627</v>
      </c>
      <c r="B628">
        <v>3931290</v>
      </c>
      <c r="C628">
        <v>3931290</v>
      </c>
    </row>
    <row r="629" spans="1:3">
      <c r="A629">
        <v>628</v>
      </c>
      <c r="B629">
        <v>3943840</v>
      </c>
      <c r="C629">
        <v>3943840</v>
      </c>
    </row>
    <row r="630" spans="1:3">
      <c r="A630">
        <v>629</v>
      </c>
      <c r="B630">
        <v>3956410</v>
      </c>
      <c r="C630">
        <v>3956410</v>
      </c>
    </row>
    <row r="631" spans="1:3">
      <c r="A631">
        <v>630</v>
      </c>
      <c r="B631">
        <v>3969000</v>
      </c>
      <c r="C631">
        <v>3969000</v>
      </c>
    </row>
    <row r="632" spans="1:3">
      <c r="A632">
        <v>631</v>
      </c>
      <c r="B632">
        <v>3981610</v>
      </c>
      <c r="C632">
        <v>3981610</v>
      </c>
    </row>
    <row r="633" spans="1:3">
      <c r="A633">
        <v>632</v>
      </c>
      <c r="B633">
        <v>3994240</v>
      </c>
      <c r="C633">
        <v>3994240</v>
      </c>
    </row>
    <row r="634" spans="1:3">
      <c r="A634">
        <v>633</v>
      </c>
      <c r="B634">
        <v>4006890</v>
      </c>
      <c r="C634">
        <v>4006890</v>
      </c>
    </row>
    <row r="635" spans="1:3">
      <c r="A635">
        <v>634</v>
      </c>
      <c r="B635">
        <v>4019560</v>
      </c>
      <c r="C635">
        <v>4019560</v>
      </c>
    </row>
    <row r="636" spans="1:3">
      <c r="A636">
        <v>635</v>
      </c>
      <c r="B636">
        <v>4032250</v>
      </c>
      <c r="C636">
        <v>4032250</v>
      </c>
    </row>
    <row r="637" spans="1:3">
      <c r="A637">
        <v>636</v>
      </c>
      <c r="B637">
        <v>4044960</v>
      </c>
      <c r="C637">
        <v>4044960</v>
      </c>
    </row>
    <row r="638" spans="1:3">
      <c r="A638">
        <v>637</v>
      </c>
      <c r="B638">
        <v>4057690</v>
      </c>
      <c r="C638">
        <v>4057690</v>
      </c>
    </row>
    <row r="639" spans="1:3">
      <c r="A639">
        <v>638</v>
      </c>
      <c r="B639">
        <v>4070440</v>
      </c>
      <c r="C639">
        <v>4070440</v>
      </c>
    </row>
    <row r="640" spans="1:3">
      <c r="A640">
        <v>639</v>
      </c>
      <c r="B640">
        <v>4083210</v>
      </c>
      <c r="C640">
        <v>4083210</v>
      </c>
    </row>
    <row r="641" spans="1:3">
      <c r="A641">
        <v>640</v>
      </c>
      <c r="B641">
        <v>4096000</v>
      </c>
      <c r="C641">
        <v>4096000</v>
      </c>
    </row>
    <row r="642" spans="1:3">
      <c r="A642">
        <v>641</v>
      </c>
      <c r="B642">
        <v>4108810</v>
      </c>
      <c r="C642">
        <v>4108810</v>
      </c>
    </row>
    <row r="643" spans="1:3">
      <c r="A643">
        <v>642</v>
      </c>
      <c r="B643">
        <v>4121640</v>
      </c>
      <c r="C643">
        <v>4121640</v>
      </c>
    </row>
    <row r="644" spans="1:3">
      <c r="A644">
        <v>643</v>
      </c>
      <c r="B644">
        <v>4134490</v>
      </c>
      <c r="C644">
        <v>4134490</v>
      </c>
    </row>
    <row r="645" spans="1:3">
      <c r="A645">
        <v>644</v>
      </c>
      <c r="B645">
        <v>4147360</v>
      </c>
      <c r="C645">
        <v>4147360</v>
      </c>
    </row>
    <row r="646" spans="1:3">
      <c r="A646">
        <v>645</v>
      </c>
      <c r="B646">
        <v>4160250</v>
      </c>
      <c r="C646">
        <v>4160250</v>
      </c>
    </row>
    <row r="647" spans="1:3">
      <c r="A647">
        <v>646</v>
      </c>
      <c r="B647">
        <v>4173160</v>
      </c>
      <c r="C647">
        <v>4173160</v>
      </c>
    </row>
    <row r="648" spans="1:3">
      <c r="A648">
        <v>647</v>
      </c>
      <c r="B648">
        <v>4186090</v>
      </c>
      <c r="C648">
        <v>4186090</v>
      </c>
    </row>
    <row r="649" spans="1:3">
      <c r="A649">
        <v>648</v>
      </c>
      <c r="B649">
        <v>4199040</v>
      </c>
      <c r="C649">
        <v>4199040</v>
      </c>
    </row>
    <row r="650" spans="1:3">
      <c r="A650">
        <v>649</v>
      </c>
      <c r="B650">
        <v>4212010</v>
      </c>
      <c r="C650">
        <v>4212010</v>
      </c>
    </row>
    <row r="651" spans="1:3">
      <c r="A651">
        <v>650</v>
      </c>
      <c r="B651">
        <v>4225000</v>
      </c>
      <c r="C651">
        <v>4225000</v>
      </c>
    </row>
    <row r="652" spans="1:3">
      <c r="A652">
        <v>651</v>
      </c>
      <c r="B652">
        <v>4238010</v>
      </c>
      <c r="C652">
        <v>4238010</v>
      </c>
    </row>
    <row r="653" spans="1:3">
      <c r="A653">
        <v>652</v>
      </c>
      <c r="B653">
        <v>4251040</v>
      </c>
      <c r="C653">
        <v>4251040</v>
      </c>
    </row>
    <row r="654" spans="1:3">
      <c r="A654">
        <v>653</v>
      </c>
      <c r="B654">
        <v>4264090</v>
      </c>
      <c r="C654">
        <v>4264090</v>
      </c>
    </row>
    <row r="655" spans="1:3">
      <c r="A655">
        <v>654</v>
      </c>
      <c r="B655">
        <v>4277160</v>
      </c>
      <c r="C655">
        <v>4277160</v>
      </c>
    </row>
    <row r="656" spans="1:3">
      <c r="A656">
        <v>655</v>
      </c>
      <c r="B656">
        <v>4290250</v>
      </c>
      <c r="C656">
        <v>4290250</v>
      </c>
    </row>
    <row r="657" spans="1:3">
      <c r="A657">
        <v>656</v>
      </c>
      <c r="B657">
        <v>4303360</v>
      </c>
      <c r="C657">
        <v>4303360</v>
      </c>
    </row>
    <row r="658" spans="1:3">
      <c r="A658">
        <v>657</v>
      </c>
      <c r="B658">
        <v>4316490</v>
      </c>
      <c r="C658">
        <v>4316490</v>
      </c>
    </row>
    <row r="659" spans="1:3">
      <c r="A659">
        <v>658</v>
      </c>
      <c r="B659">
        <v>4329640</v>
      </c>
      <c r="C659">
        <v>4329640</v>
      </c>
    </row>
    <row r="660" spans="1:3">
      <c r="A660">
        <v>659</v>
      </c>
      <c r="B660">
        <v>4342810</v>
      </c>
      <c r="C660">
        <v>4342810</v>
      </c>
    </row>
    <row r="661" spans="1:3">
      <c r="A661">
        <v>660</v>
      </c>
      <c r="B661">
        <v>4356000</v>
      </c>
      <c r="C661">
        <v>4356000</v>
      </c>
    </row>
    <row r="662" spans="1:3">
      <c r="A662">
        <v>661</v>
      </c>
      <c r="B662">
        <v>4369210</v>
      </c>
      <c r="C662">
        <v>4369210</v>
      </c>
    </row>
    <row r="663" spans="1:3">
      <c r="A663">
        <v>662</v>
      </c>
      <c r="B663">
        <v>4382440</v>
      </c>
      <c r="C663">
        <v>4382440</v>
      </c>
    </row>
    <row r="664" spans="1:3">
      <c r="A664">
        <v>663</v>
      </c>
      <c r="B664">
        <v>4395690</v>
      </c>
      <c r="C664">
        <v>4395690</v>
      </c>
    </row>
    <row r="665" spans="1:3">
      <c r="A665">
        <v>664</v>
      </c>
      <c r="B665">
        <v>4408960</v>
      </c>
      <c r="C665">
        <v>4408960</v>
      </c>
    </row>
    <row r="666" spans="1:3">
      <c r="A666">
        <v>665</v>
      </c>
      <c r="B666">
        <v>4422250</v>
      </c>
      <c r="C666">
        <v>4422250</v>
      </c>
    </row>
    <row r="667" spans="1:3">
      <c r="A667">
        <v>666</v>
      </c>
      <c r="B667">
        <v>4435560</v>
      </c>
      <c r="C667">
        <v>4435560</v>
      </c>
    </row>
    <row r="668" spans="1:3">
      <c r="A668">
        <v>667</v>
      </c>
      <c r="B668">
        <v>4448890</v>
      </c>
      <c r="C668">
        <v>4448890</v>
      </c>
    </row>
    <row r="669" spans="1:3">
      <c r="A669">
        <v>668</v>
      </c>
      <c r="B669">
        <v>4462240</v>
      </c>
      <c r="C669">
        <v>4462240</v>
      </c>
    </row>
    <row r="670" spans="1:3">
      <c r="A670">
        <v>669</v>
      </c>
      <c r="B670">
        <v>4475610</v>
      </c>
      <c r="C670">
        <v>4475610</v>
      </c>
    </row>
    <row r="671" spans="1:3">
      <c r="A671">
        <v>670</v>
      </c>
      <c r="B671">
        <v>4489000</v>
      </c>
      <c r="C671">
        <v>4489000</v>
      </c>
    </row>
    <row r="672" spans="1:3">
      <c r="A672">
        <v>671</v>
      </c>
      <c r="B672">
        <v>4502410</v>
      </c>
      <c r="C672">
        <v>4502410</v>
      </c>
    </row>
    <row r="673" spans="1:3">
      <c r="A673">
        <v>672</v>
      </c>
      <c r="B673">
        <v>4515840</v>
      </c>
      <c r="C673">
        <v>4515840</v>
      </c>
    </row>
    <row r="674" spans="1:3">
      <c r="A674">
        <v>673</v>
      </c>
      <c r="B674">
        <v>4529290</v>
      </c>
      <c r="C674">
        <v>4529290</v>
      </c>
    </row>
    <row r="675" spans="1:3">
      <c r="A675">
        <v>674</v>
      </c>
      <c r="B675">
        <v>4542760</v>
      </c>
      <c r="C675">
        <v>4542760</v>
      </c>
    </row>
    <row r="676" spans="1:3">
      <c r="A676">
        <v>675</v>
      </c>
      <c r="B676">
        <v>4556250</v>
      </c>
      <c r="C676">
        <v>4556250</v>
      </c>
    </row>
    <row r="677" spans="1:3">
      <c r="A677">
        <v>676</v>
      </c>
      <c r="B677">
        <v>4569760</v>
      </c>
      <c r="C677">
        <v>4569760</v>
      </c>
    </row>
    <row r="678" spans="1:3">
      <c r="A678">
        <v>677</v>
      </c>
      <c r="B678">
        <v>4583290</v>
      </c>
      <c r="C678">
        <v>4583290</v>
      </c>
    </row>
    <row r="679" spans="1:3">
      <c r="A679">
        <v>678</v>
      </c>
      <c r="B679">
        <v>4596840</v>
      </c>
      <c r="C679">
        <v>4596840</v>
      </c>
    </row>
    <row r="680" spans="1:3">
      <c r="A680">
        <v>679</v>
      </c>
      <c r="B680">
        <v>4610410</v>
      </c>
      <c r="C680">
        <v>4610410</v>
      </c>
    </row>
    <row r="681" spans="1:3">
      <c r="A681">
        <v>680</v>
      </c>
      <c r="B681">
        <v>4624000</v>
      </c>
      <c r="C681">
        <v>4624000</v>
      </c>
    </row>
    <row r="682" spans="1:3">
      <c r="A682">
        <v>681</v>
      </c>
      <c r="B682">
        <v>4637610</v>
      </c>
      <c r="C682">
        <v>4637610</v>
      </c>
    </row>
    <row r="683" spans="1:3">
      <c r="A683">
        <v>682</v>
      </c>
      <c r="B683">
        <v>4651240</v>
      </c>
      <c r="C683">
        <v>4651240</v>
      </c>
    </row>
    <row r="684" spans="1:3">
      <c r="A684">
        <v>683</v>
      </c>
      <c r="B684">
        <v>4664890</v>
      </c>
      <c r="C684">
        <v>4664890</v>
      </c>
    </row>
    <row r="685" spans="1:3">
      <c r="A685">
        <v>684</v>
      </c>
      <c r="B685">
        <v>4678560</v>
      </c>
      <c r="C685">
        <v>4678560</v>
      </c>
    </row>
    <row r="686" spans="1:3">
      <c r="A686">
        <v>685</v>
      </c>
      <c r="B686">
        <v>4692250</v>
      </c>
      <c r="C686">
        <v>4692250</v>
      </c>
    </row>
    <row r="687" spans="1:3">
      <c r="A687">
        <v>686</v>
      </c>
      <c r="B687">
        <v>4705960</v>
      </c>
      <c r="C687">
        <v>4705960</v>
      </c>
    </row>
    <row r="688" spans="1:3">
      <c r="A688">
        <v>687</v>
      </c>
      <c r="B688">
        <v>4719690</v>
      </c>
      <c r="C688">
        <v>4719690</v>
      </c>
    </row>
    <row r="689" spans="1:3">
      <c r="A689">
        <v>688</v>
      </c>
      <c r="B689">
        <v>4733440</v>
      </c>
      <c r="C689">
        <v>4733440</v>
      </c>
    </row>
    <row r="690" spans="1:3">
      <c r="A690">
        <v>689</v>
      </c>
      <c r="B690">
        <v>4747210</v>
      </c>
      <c r="C690">
        <v>4747210</v>
      </c>
    </row>
    <row r="691" spans="1:3">
      <c r="A691">
        <v>690</v>
      </c>
      <c r="B691">
        <v>4761000</v>
      </c>
      <c r="C691">
        <v>4761000</v>
      </c>
    </row>
    <row r="692" spans="1:3">
      <c r="A692">
        <v>691</v>
      </c>
      <c r="B692">
        <v>4774810</v>
      </c>
      <c r="C692">
        <v>4774810</v>
      </c>
    </row>
    <row r="693" spans="1:3">
      <c r="A693">
        <v>692</v>
      </c>
      <c r="B693">
        <v>4788640</v>
      </c>
      <c r="C693">
        <v>4788640</v>
      </c>
    </row>
    <row r="694" spans="1:3">
      <c r="A694">
        <v>693</v>
      </c>
      <c r="B694">
        <v>4802490</v>
      </c>
      <c r="C694">
        <v>4802490</v>
      </c>
    </row>
    <row r="695" spans="1:3">
      <c r="A695">
        <v>694</v>
      </c>
      <c r="B695">
        <v>4816360</v>
      </c>
      <c r="C695">
        <v>4816360</v>
      </c>
    </row>
    <row r="696" spans="1:3">
      <c r="A696">
        <v>695</v>
      </c>
      <c r="B696">
        <v>4830250</v>
      </c>
      <c r="C696">
        <v>4830250</v>
      </c>
    </row>
    <row r="697" spans="1:3">
      <c r="A697">
        <v>696</v>
      </c>
      <c r="B697">
        <v>4844160</v>
      </c>
      <c r="C697">
        <v>4844160</v>
      </c>
    </row>
    <row r="698" spans="1:3">
      <c r="A698">
        <v>697</v>
      </c>
      <c r="B698">
        <v>4858090</v>
      </c>
      <c r="C698">
        <v>4858090</v>
      </c>
    </row>
    <row r="699" spans="1:3">
      <c r="A699">
        <v>698</v>
      </c>
      <c r="B699">
        <v>4872040</v>
      </c>
      <c r="C699">
        <v>4872040</v>
      </c>
    </row>
    <row r="700" spans="1:3">
      <c r="A700">
        <v>699</v>
      </c>
      <c r="B700">
        <v>4886010</v>
      </c>
      <c r="C700">
        <v>4886010</v>
      </c>
    </row>
    <row r="701" spans="1:3">
      <c r="A701">
        <v>700</v>
      </c>
      <c r="B701">
        <v>4900000</v>
      </c>
      <c r="C701">
        <v>4900000</v>
      </c>
    </row>
    <row r="702" spans="1:3">
      <c r="A702">
        <v>701</v>
      </c>
      <c r="B702">
        <v>4914010</v>
      </c>
      <c r="C702">
        <v>4914010</v>
      </c>
    </row>
    <row r="703" spans="1:3">
      <c r="A703">
        <v>702</v>
      </c>
      <c r="B703">
        <v>4928040</v>
      </c>
      <c r="C703">
        <v>4928040</v>
      </c>
    </row>
    <row r="704" spans="1:3">
      <c r="A704">
        <v>703</v>
      </c>
      <c r="B704">
        <v>4942090</v>
      </c>
      <c r="C704">
        <v>4942090</v>
      </c>
    </row>
    <row r="705" spans="1:3">
      <c r="A705">
        <v>704</v>
      </c>
      <c r="B705">
        <v>4956160</v>
      </c>
      <c r="C705">
        <v>4956160</v>
      </c>
    </row>
    <row r="706" spans="1:3">
      <c r="A706">
        <v>705</v>
      </c>
      <c r="B706">
        <v>4970250</v>
      </c>
      <c r="C706">
        <v>4970250</v>
      </c>
    </row>
    <row r="707" spans="1:3">
      <c r="A707">
        <v>706</v>
      </c>
      <c r="B707">
        <v>4984360</v>
      </c>
      <c r="C707">
        <v>4984360</v>
      </c>
    </row>
    <row r="708" spans="1:3">
      <c r="A708">
        <v>707</v>
      </c>
      <c r="B708">
        <v>4998490</v>
      </c>
      <c r="C708">
        <v>4998490</v>
      </c>
    </row>
    <row r="709" spans="1:3">
      <c r="A709">
        <v>708</v>
      </c>
      <c r="B709">
        <v>5012640</v>
      </c>
      <c r="C709">
        <v>5012640</v>
      </c>
    </row>
    <row r="710" spans="1:3">
      <c r="A710">
        <v>709</v>
      </c>
      <c r="B710">
        <v>5026810</v>
      </c>
      <c r="C710">
        <v>5026810</v>
      </c>
    </row>
    <row r="711" spans="1:3">
      <c r="A711">
        <v>710</v>
      </c>
      <c r="B711">
        <v>5041000</v>
      </c>
      <c r="C711">
        <v>5041000</v>
      </c>
    </row>
    <row r="712" spans="1:3">
      <c r="A712">
        <v>711</v>
      </c>
      <c r="B712">
        <v>5055210</v>
      </c>
      <c r="C712">
        <v>5055210</v>
      </c>
    </row>
    <row r="713" spans="1:3">
      <c r="A713">
        <v>712</v>
      </c>
      <c r="B713">
        <v>5069440</v>
      </c>
      <c r="C713">
        <v>5069440</v>
      </c>
    </row>
    <row r="714" spans="1:3">
      <c r="A714">
        <v>713</v>
      </c>
      <c r="B714">
        <v>5083690</v>
      </c>
      <c r="C714">
        <v>5083690</v>
      </c>
    </row>
    <row r="715" spans="1:3">
      <c r="A715">
        <v>714</v>
      </c>
      <c r="B715">
        <v>5097960</v>
      </c>
      <c r="C715">
        <v>5097960</v>
      </c>
    </row>
    <row r="716" spans="1:3">
      <c r="A716">
        <v>715</v>
      </c>
      <c r="B716">
        <v>5112250</v>
      </c>
      <c r="C716">
        <v>5112250</v>
      </c>
    </row>
    <row r="717" spans="1:3">
      <c r="A717">
        <v>716</v>
      </c>
      <c r="B717">
        <v>5126560</v>
      </c>
      <c r="C717">
        <v>5126560</v>
      </c>
    </row>
    <row r="718" spans="1:3">
      <c r="A718">
        <v>717</v>
      </c>
      <c r="B718">
        <v>5140890</v>
      </c>
      <c r="C718">
        <v>5140890</v>
      </c>
    </row>
    <row r="719" spans="1:3">
      <c r="A719">
        <v>718</v>
      </c>
      <c r="B719">
        <v>5155240</v>
      </c>
      <c r="C719">
        <v>5155240</v>
      </c>
    </row>
    <row r="720" spans="1:3">
      <c r="A720">
        <v>719</v>
      </c>
      <c r="B720">
        <v>5169610</v>
      </c>
      <c r="C720">
        <v>5169610</v>
      </c>
    </row>
    <row r="721" spans="1:3">
      <c r="A721">
        <v>720</v>
      </c>
      <c r="B721">
        <v>5184000</v>
      </c>
      <c r="C721">
        <v>5184000</v>
      </c>
    </row>
    <row r="722" spans="1:3">
      <c r="A722">
        <v>721</v>
      </c>
      <c r="B722">
        <v>5198410</v>
      </c>
      <c r="C722">
        <v>5198410</v>
      </c>
    </row>
    <row r="723" spans="1:3">
      <c r="A723">
        <v>722</v>
      </c>
      <c r="B723">
        <v>5212840</v>
      </c>
      <c r="C723">
        <v>5212840</v>
      </c>
    </row>
    <row r="724" spans="1:3">
      <c r="A724">
        <v>723</v>
      </c>
      <c r="B724">
        <v>5227290</v>
      </c>
      <c r="C724">
        <v>5227290</v>
      </c>
    </row>
    <row r="725" spans="1:3">
      <c r="A725">
        <v>724</v>
      </c>
      <c r="B725">
        <v>5241760</v>
      </c>
      <c r="C725">
        <v>5241760</v>
      </c>
    </row>
    <row r="726" spans="1:3">
      <c r="A726">
        <v>725</v>
      </c>
      <c r="B726">
        <v>5256250</v>
      </c>
      <c r="C726">
        <v>5256250</v>
      </c>
    </row>
    <row r="727" spans="1:3">
      <c r="A727">
        <v>726</v>
      </c>
      <c r="B727">
        <v>5270760</v>
      </c>
      <c r="C727">
        <v>5270760</v>
      </c>
    </row>
    <row r="728" spans="1:3">
      <c r="A728">
        <v>727</v>
      </c>
      <c r="B728">
        <v>5285290</v>
      </c>
      <c r="C728">
        <v>5285290</v>
      </c>
    </row>
    <row r="729" spans="1:3">
      <c r="A729">
        <v>728</v>
      </c>
      <c r="B729">
        <v>5299840</v>
      </c>
      <c r="C729">
        <v>5299840</v>
      </c>
    </row>
    <row r="730" spans="1:3">
      <c r="A730">
        <v>729</v>
      </c>
      <c r="B730">
        <v>5314410</v>
      </c>
      <c r="C730">
        <v>5314410</v>
      </c>
    </row>
    <row r="731" spans="1:3">
      <c r="A731">
        <v>730</v>
      </c>
      <c r="B731">
        <v>5329000</v>
      </c>
      <c r="C731">
        <v>5329000</v>
      </c>
    </row>
    <row r="732" spans="1:3">
      <c r="A732">
        <v>731</v>
      </c>
      <c r="B732">
        <v>5343610</v>
      </c>
      <c r="C732">
        <v>5343610</v>
      </c>
    </row>
    <row r="733" spans="1:3">
      <c r="A733">
        <v>732</v>
      </c>
      <c r="B733">
        <v>5358240</v>
      </c>
      <c r="C733">
        <v>5358240</v>
      </c>
    </row>
    <row r="734" spans="1:3">
      <c r="A734">
        <v>733</v>
      </c>
      <c r="B734">
        <v>5372890</v>
      </c>
      <c r="C734">
        <v>5372890</v>
      </c>
    </row>
    <row r="735" spans="1:3">
      <c r="A735">
        <v>734</v>
      </c>
      <c r="B735">
        <v>5387560</v>
      </c>
      <c r="C735">
        <v>5387560</v>
      </c>
    </row>
    <row r="736" spans="1:3">
      <c r="A736">
        <v>735</v>
      </c>
      <c r="B736">
        <v>5402250</v>
      </c>
      <c r="C736">
        <v>5402250</v>
      </c>
    </row>
    <row r="737" spans="1:3">
      <c r="A737">
        <v>736</v>
      </c>
      <c r="B737">
        <v>5416960</v>
      </c>
      <c r="C737">
        <v>5416960</v>
      </c>
    </row>
    <row r="738" spans="1:3">
      <c r="A738">
        <v>737</v>
      </c>
      <c r="B738">
        <v>5431690</v>
      </c>
      <c r="C738">
        <v>5431690</v>
      </c>
    </row>
    <row r="739" spans="1:3">
      <c r="A739">
        <v>738</v>
      </c>
      <c r="B739">
        <v>5446440</v>
      </c>
      <c r="C739">
        <v>5446440</v>
      </c>
    </row>
    <row r="740" spans="1:3">
      <c r="A740">
        <v>739</v>
      </c>
      <c r="B740">
        <v>5461210</v>
      </c>
      <c r="C740">
        <v>5461210</v>
      </c>
    </row>
    <row r="741" spans="1:3">
      <c r="A741">
        <v>740</v>
      </c>
      <c r="B741">
        <v>5476000</v>
      </c>
      <c r="C741">
        <v>5476000</v>
      </c>
    </row>
    <row r="742" spans="1:3">
      <c r="A742">
        <v>741</v>
      </c>
      <c r="B742">
        <v>5490810</v>
      </c>
      <c r="C742">
        <v>5490810</v>
      </c>
    </row>
    <row r="743" spans="1:3">
      <c r="A743">
        <v>742</v>
      </c>
      <c r="B743">
        <v>5505640</v>
      </c>
      <c r="C743">
        <v>5505640</v>
      </c>
    </row>
    <row r="744" spans="1:3">
      <c r="A744">
        <v>743</v>
      </c>
      <c r="B744">
        <v>5520490</v>
      </c>
      <c r="C744">
        <v>5520490</v>
      </c>
    </row>
    <row r="745" spans="1:3">
      <c r="A745">
        <v>744</v>
      </c>
      <c r="B745">
        <v>5535360</v>
      </c>
      <c r="C745">
        <v>5535360</v>
      </c>
    </row>
    <row r="746" spans="1:3">
      <c r="A746">
        <v>745</v>
      </c>
      <c r="B746">
        <v>5550250</v>
      </c>
      <c r="C746">
        <v>5550250</v>
      </c>
    </row>
    <row r="747" spans="1:3">
      <c r="A747">
        <v>746</v>
      </c>
      <c r="B747">
        <v>5565160</v>
      </c>
      <c r="C747">
        <v>5565160</v>
      </c>
    </row>
    <row r="748" spans="1:3">
      <c r="A748">
        <v>747</v>
      </c>
      <c r="B748">
        <v>5580090</v>
      </c>
      <c r="C748">
        <v>5580090</v>
      </c>
    </row>
    <row r="749" spans="1:3">
      <c r="A749">
        <v>748</v>
      </c>
      <c r="B749">
        <v>5595040</v>
      </c>
      <c r="C749">
        <v>5595040</v>
      </c>
    </row>
    <row r="750" spans="1:3">
      <c r="A750">
        <v>749</v>
      </c>
      <c r="B750">
        <v>5610010</v>
      </c>
      <c r="C750">
        <v>5610010</v>
      </c>
    </row>
    <row r="751" spans="1:3">
      <c r="A751">
        <v>750</v>
      </c>
      <c r="B751">
        <v>5625000</v>
      </c>
      <c r="C751">
        <v>5625000</v>
      </c>
    </row>
    <row r="752" spans="1:3">
      <c r="A752">
        <v>751</v>
      </c>
      <c r="B752">
        <v>5640010</v>
      </c>
      <c r="C752">
        <v>5640010</v>
      </c>
    </row>
    <row r="753" spans="1:3">
      <c r="A753">
        <v>752</v>
      </c>
      <c r="B753">
        <v>5655040</v>
      </c>
      <c r="C753">
        <v>5655040</v>
      </c>
    </row>
    <row r="754" spans="1:3">
      <c r="A754">
        <v>753</v>
      </c>
      <c r="B754">
        <v>5670090</v>
      </c>
      <c r="C754">
        <v>5670090</v>
      </c>
    </row>
    <row r="755" spans="1:3">
      <c r="A755">
        <v>754</v>
      </c>
      <c r="B755">
        <v>5685160</v>
      </c>
      <c r="C755">
        <v>5685160</v>
      </c>
    </row>
    <row r="756" spans="1:3">
      <c r="A756">
        <v>755</v>
      </c>
      <c r="B756">
        <v>5700250</v>
      </c>
      <c r="C756">
        <v>5700250</v>
      </c>
    </row>
    <row r="757" spans="1:3">
      <c r="A757">
        <v>756</v>
      </c>
      <c r="B757">
        <v>5715360</v>
      </c>
      <c r="C757">
        <v>5715360</v>
      </c>
    </row>
    <row r="758" spans="1:3">
      <c r="A758">
        <v>757</v>
      </c>
      <c r="B758">
        <v>5730490</v>
      </c>
      <c r="C758">
        <v>5730490</v>
      </c>
    </row>
    <row r="759" spans="1:3">
      <c r="A759">
        <v>758</v>
      </c>
      <c r="B759">
        <v>5745640</v>
      </c>
      <c r="C759">
        <v>5745640</v>
      </c>
    </row>
    <row r="760" spans="1:3">
      <c r="A760">
        <v>759</v>
      </c>
      <c r="B760">
        <v>5760810</v>
      </c>
      <c r="C760">
        <v>5760810</v>
      </c>
    </row>
    <row r="761" spans="1:3">
      <c r="A761">
        <v>760</v>
      </c>
      <c r="B761">
        <v>5776000</v>
      </c>
      <c r="C761">
        <v>5776000</v>
      </c>
    </row>
    <row r="762" spans="1:3">
      <c r="A762">
        <v>761</v>
      </c>
      <c r="B762">
        <v>5791210</v>
      </c>
      <c r="C762">
        <v>5791210</v>
      </c>
    </row>
    <row r="763" spans="1:3">
      <c r="A763">
        <v>762</v>
      </c>
      <c r="B763">
        <v>5806440</v>
      </c>
      <c r="C763">
        <v>5806440</v>
      </c>
    </row>
    <row r="764" spans="1:3">
      <c r="A764">
        <v>763</v>
      </c>
      <c r="B764">
        <v>5821690</v>
      </c>
      <c r="C764">
        <v>5821690</v>
      </c>
    </row>
    <row r="765" spans="1:3">
      <c r="A765">
        <v>764</v>
      </c>
      <c r="B765">
        <v>5836960</v>
      </c>
      <c r="C765">
        <v>5836960</v>
      </c>
    </row>
    <row r="766" spans="1:3">
      <c r="A766">
        <v>765</v>
      </c>
      <c r="B766">
        <v>5852250</v>
      </c>
      <c r="C766">
        <v>5852250</v>
      </c>
    </row>
    <row r="767" spans="1:3">
      <c r="A767">
        <v>766</v>
      </c>
      <c r="B767">
        <v>5867560</v>
      </c>
      <c r="C767">
        <v>5867560</v>
      </c>
    </row>
    <row r="768" spans="1:3">
      <c r="A768">
        <v>767</v>
      </c>
      <c r="B768">
        <v>5882890</v>
      </c>
      <c r="C768">
        <v>5882890</v>
      </c>
    </row>
    <row r="769" spans="1:3">
      <c r="A769">
        <v>768</v>
      </c>
      <c r="B769">
        <v>5898240</v>
      </c>
      <c r="C769">
        <v>5898240</v>
      </c>
    </row>
    <row r="770" spans="1:3">
      <c r="A770">
        <v>769</v>
      </c>
      <c r="B770">
        <v>5913610</v>
      </c>
      <c r="C770">
        <v>5913610</v>
      </c>
    </row>
    <row r="771" spans="1:3">
      <c r="A771">
        <v>770</v>
      </c>
      <c r="B771">
        <v>5929000</v>
      </c>
      <c r="C771">
        <v>5929000</v>
      </c>
    </row>
    <row r="772" spans="1:3">
      <c r="A772">
        <v>771</v>
      </c>
      <c r="B772">
        <v>5944410</v>
      </c>
      <c r="C772">
        <v>5944410</v>
      </c>
    </row>
    <row r="773" spans="1:3">
      <c r="A773">
        <v>772</v>
      </c>
      <c r="B773">
        <v>5959840</v>
      </c>
      <c r="C773">
        <v>5959840</v>
      </c>
    </row>
    <row r="774" spans="1:3">
      <c r="A774">
        <v>773</v>
      </c>
      <c r="B774">
        <v>5975290</v>
      </c>
      <c r="C774">
        <v>5975290</v>
      </c>
    </row>
    <row r="775" spans="1:3">
      <c r="A775">
        <v>774</v>
      </c>
      <c r="B775">
        <v>5990760</v>
      </c>
      <c r="C775">
        <v>5990760</v>
      </c>
    </row>
    <row r="776" spans="1:3">
      <c r="A776">
        <v>775</v>
      </c>
      <c r="B776">
        <v>6006250</v>
      </c>
      <c r="C776">
        <v>6006250</v>
      </c>
    </row>
    <row r="777" spans="1:3">
      <c r="A777">
        <v>776</v>
      </c>
      <c r="B777">
        <v>6021760</v>
      </c>
      <c r="C777">
        <v>6021760</v>
      </c>
    </row>
    <row r="778" spans="1:3">
      <c r="A778">
        <v>777</v>
      </c>
      <c r="B778">
        <v>6037290</v>
      </c>
      <c r="C778">
        <v>6037290</v>
      </c>
    </row>
    <row r="779" spans="1:3">
      <c r="A779">
        <v>778</v>
      </c>
      <c r="B779">
        <v>6052840</v>
      </c>
      <c r="C779">
        <v>6052840</v>
      </c>
    </row>
    <row r="780" spans="1:3">
      <c r="A780">
        <v>779</v>
      </c>
      <c r="B780">
        <v>6068410</v>
      </c>
      <c r="C780">
        <v>6068410</v>
      </c>
    </row>
    <row r="781" spans="1:3">
      <c r="A781">
        <v>780</v>
      </c>
      <c r="B781">
        <v>6084000</v>
      </c>
      <c r="C781">
        <v>6084000</v>
      </c>
    </row>
    <row r="782" spans="1:3">
      <c r="A782">
        <v>781</v>
      </c>
      <c r="B782">
        <v>6099610</v>
      </c>
      <c r="C782">
        <v>6099610</v>
      </c>
    </row>
    <row r="783" spans="1:3">
      <c r="A783">
        <v>782</v>
      </c>
      <c r="B783">
        <v>6115240</v>
      </c>
      <c r="C783">
        <v>6115240</v>
      </c>
    </row>
    <row r="784" spans="1:3">
      <c r="A784">
        <v>783</v>
      </c>
      <c r="B784">
        <v>6130890</v>
      </c>
      <c r="C784">
        <v>6130890</v>
      </c>
    </row>
    <row r="785" spans="1:3">
      <c r="A785">
        <v>784</v>
      </c>
      <c r="B785">
        <v>6146560</v>
      </c>
      <c r="C785">
        <v>6146560</v>
      </c>
    </row>
    <row r="786" spans="1:3">
      <c r="A786">
        <v>785</v>
      </c>
      <c r="B786">
        <v>6162250</v>
      </c>
      <c r="C786">
        <v>6162250</v>
      </c>
    </row>
    <row r="787" spans="1:3">
      <c r="A787">
        <v>786</v>
      </c>
      <c r="B787">
        <v>6177960</v>
      </c>
      <c r="C787">
        <v>6177960</v>
      </c>
    </row>
    <row r="788" spans="1:3">
      <c r="A788">
        <v>787</v>
      </c>
      <c r="B788">
        <v>6193690</v>
      </c>
      <c r="C788">
        <v>6193690</v>
      </c>
    </row>
    <row r="789" spans="1:3">
      <c r="A789">
        <v>788</v>
      </c>
      <c r="B789">
        <v>6209440</v>
      </c>
      <c r="C789">
        <v>6209440</v>
      </c>
    </row>
    <row r="790" spans="1:3">
      <c r="A790">
        <v>789</v>
      </c>
      <c r="B790">
        <v>6225210</v>
      </c>
      <c r="C790">
        <v>6225210</v>
      </c>
    </row>
    <row r="791" spans="1:3">
      <c r="A791">
        <v>790</v>
      </c>
      <c r="B791">
        <v>6241000</v>
      </c>
      <c r="C791">
        <v>6241000</v>
      </c>
    </row>
    <row r="792" spans="1:3">
      <c r="A792">
        <v>791</v>
      </c>
      <c r="B792">
        <v>6256810</v>
      </c>
      <c r="C792">
        <v>6256810</v>
      </c>
    </row>
    <row r="793" spans="1:3">
      <c r="A793">
        <v>792</v>
      </c>
      <c r="B793">
        <v>6272640</v>
      </c>
      <c r="C793">
        <v>6272640</v>
      </c>
    </row>
    <row r="794" spans="1:3">
      <c r="A794">
        <v>793</v>
      </c>
      <c r="B794">
        <v>6288490</v>
      </c>
      <c r="C794">
        <v>6288490</v>
      </c>
    </row>
    <row r="795" spans="1:3">
      <c r="A795">
        <v>794</v>
      </c>
      <c r="B795">
        <v>6304360</v>
      </c>
      <c r="C795">
        <v>6304360</v>
      </c>
    </row>
    <row r="796" spans="1:3">
      <c r="A796">
        <v>795</v>
      </c>
      <c r="B796">
        <v>6320250</v>
      </c>
      <c r="C796">
        <v>6320250</v>
      </c>
    </row>
    <row r="797" spans="1:3">
      <c r="A797">
        <v>796</v>
      </c>
      <c r="B797">
        <v>6336160</v>
      </c>
      <c r="C797">
        <v>6336160</v>
      </c>
    </row>
    <row r="798" spans="1:3">
      <c r="A798">
        <v>797</v>
      </c>
      <c r="B798">
        <v>6352090</v>
      </c>
      <c r="C798">
        <v>6352090</v>
      </c>
    </row>
    <row r="799" spans="1:3">
      <c r="A799">
        <v>798</v>
      </c>
      <c r="B799">
        <v>6368040</v>
      </c>
      <c r="C799">
        <v>6368040</v>
      </c>
    </row>
    <row r="800" spans="1:3">
      <c r="A800">
        <v>799</v>
      </c>
      <c r="B800">
        <v>6384010</v>
      </c>
      <c r="C800">
        <v>6384010</v>
      </c>
    </row>
    <row r="801" spans="1:3">
      <c r="A801">
        <v>800</v>
      </c>
      <c r="B801">
        <v>6400000</v>
      </c>
      <c r="C801">
        <v>6400000</v>
      </c>
    </row>
    <row r="802" spans="1:3">
      <c r="A802">
        <v>801</v>
      </c>
      <c r="B802">
        <v>6416010</v>
      </c>
      <c r="C802">
        <v>6416010</v>
      </c>
    </row>
    <row r="803" spans="1:3">
      <c r="A803">
        <v>802</v>
      </c>
      <c r="B803">
        <v>6432040</v>
      </c>
      <c r="C803">
        <v>6432040</v>
      </c>
    </row>
    <row r="804" spans="1:3">
      <c r="A804">
        <v>803</v>
      </c>
      <c r="B804">
        <v>6448090</v>
      </c>
      <c r="C804">
        <v>6448090</v>
      </c>
    </row>
    <row r="805" spans="1:3">
      <c r="A805">
        <v>804</v>
      </c>
      <c r="B805">
        <v>6464160</v>
      </c>
      <c r="C805">
        <v>6464160</v>
      </c>
    </row>
    <row r="806" spans="1:3">
      <c r="A806">
        <v>805</v>
      </c>
      <c r="B806">
        <v>6480250</v>
      </c>
      <c r="C806">
        <v>6480250</v>
      </c>
    </row>
    <row r="807" spans="1:3">
      <c r="A807">
        <v>806</v>
      </c>
      <c r="B807">
        <v>6496360</v>
      </c>
      <c r="C807">
        <v>6496360</v>
      </c>
    </row>
    <row r="808" spans="1:3">
      <c r="A808">
        <v>807</v>
      </c>
      <c r="B808">
        <v>6512490</v>
      </c>
      <c r="C808">
        <v>6512490</v>
      </c>
    </row>
    <row r="809" spans="1:3">
      <c r="A809">
        <v>808</v>
      </c>
      <c r="B809">
        <v>6528640</v>
      </c>
      <c r="C809">
        <v>6528640</v>
      </c>
    </row>
    <row r="810" spans="1:3">
      <c r="A810">
        <v>809</v>
      </c>
      <c r="B810">
        <v>6544810</v>
      </c>
      <c r="C810">
        <v>6544810</v>
      </c>
    </row>
    <row r="811" spans="1:3">
      <c r="A811">
        <v>810</v>
      </c>
      <c r="B811">
        <v>6561000</v>
      </c>
      <c r="C811">
        <v>6561000</v>
      </c>
    </row>
    <row r="812" spans="1:3">
      <c r="A812">
        <v>811</v>
      </c>
      <c r="B812">
        <v>6577210</v>
      </c>
      <c r="C812">
        <v>6577210</v>
      </c>
    </row>
    <row r="813" spans="1:3">
      <c r="A813">
        <v>812</v>
      </c>
      <c r="B813">
        <v>6593440</v>
      </c>
      <c r="C813">
        <v>6593440</v>
      </c>
    </row>
    <row r="814" spans="1:3">
      <c r="A814">
        <v>813</v>
      </c>
      <c r="B814">
        <v>6609690</v>
      </c>
      <c r="C814">
        <v>6609690</v>
      </c>
    </row>
    <row r="815" spans="1:3">
      <c r="A815">
        <v>814</v>
      </c>
      <c r="B815">
        <v>6625960</v>
      </c>
      <c r="C815">
        <v>6625960</v>
      </c>
    </row>
    <row r="816" spans="1:3">
      <c r="A816">
        <v>815</v>
      </c>
      <c r="B816">
        <v>6642250</v>
      </c>
      <c r="C816">
        <v>6642250</v>
      </c>
    </row>
    <row r="817" spans="1:3">
      <c r="A817">
        <v>816</v>
      </c>
      <c r="B817">
        <v>6658560</v>
      </c>
      <c r="C817">
        <v>6658560</v>
      </c>
    </row>
    <row r="818" spans="1:3">
      <c r="A818">
        <v>817</v>
      </c>
      <c r="B818">
        <v>6674890</v>
      </c>
      <c r="C818">
        <v>6674890</v>
      </c>
    </row>
    <row r="819" spans="1:3">
      <c r="A819">
        <v>818</v>
      </c>
      <c r="B819">
        <v>6691240</v>
      </c>
      <c r="C819">
        <v>6691240</v>
      </c>
    </row>
    <row r="820" spans="1:3">
      <c r="A820">
        <v>819</v>
      </c>
      <c r="B820">
        <v>6707610</v>
      </c>
      <c r="C820">
        <v>6707610</v>
      </c>
    </row>
    <row r="821" spans="1:3">
      <c r="A821">
        <v>820</v>
      </c>
      <c r="B821">
        <v>6724000</v>
      </c>
      <c r="C821">
        <v>6724000</v>
      </c>
    </row>
    <row r="822" spans="1:3">
      <c r="A822">
        <v>821</v>
      </c>
      <c r="B822">
        <v>6740410</v>
      </c>
      <c r="C822">
        <v>6740410</v>
      </c>
    </row>
    <row r="823" spans="1:3">
      <c r="A823">
        <v>822</v>
      </c>
      <c r="B823">
        <v>6756840</v>
      </c>
      <c r="C823">
        <v>6756840</v>
      </c>
    </row>
    <row r="824" spans="1:3">
      <c r="A824">
        <v>823</v>
      </c>
      <c r="B824">
        <v>6773290</v>
      </c>
      <c r="C824">
        <v>6773290</v>
      </c>
    </row>
    <row r="825" spans="1:3">
      <c r="A825">
        <v>824</v>
      </c>
      <c r="B825">
        <v>6789760</v>
      </c>
      <c r="C825">
        <v>6789760</v>
      </c>
    </row>
    <row r="826" spans="1:3">
      <c r="A826">
        <v>825</v>
      </c>
      <c r="B826">
        <v>6806250</v>
      </c>
      <c r="C826">
        <v>6806250</v>
      </c>
    </row>
    <row r="827" spans="1:3">
      <c r="A827">
        <v>826</v>
      </c>
      <c r="B827">
        <v>6822760</v>
      </c>
      <c r="C827">
        <v>6822760</v>
      </c>
    </row>
    <row r="828" spans="1:3">
      <c r="A828">
        <v>827</v>
      </c>
      <c r="B828">
        <v>6839290</v>
      </c>
      <c r="C828">
        <v>6839290</v>
      </c>
    </row>
    <row r="829" spans="1:3">
      <c r="A829">
        <v>828</v>
      </c>
      <c r="B829">
        <v>6855840</v>
      </c>
      <c r="C829">
        <v>6855840</v>
      </c>
    </row>
    <row r="830" spans="1:3">
      <c r="A830">
        <v>829</v>
      </c>
      <c r="B830">
        <v>6872410</v>
      </c>
      <c r="C830">
        <v>6872410</v>
      </c>
    </row>
    <row r="831" spans="1:3">
      <c r="A831">
        <v>830</v>
      </c>
      <c r="B831">
        <v>6889000</v>
      </c>
      <c r="C831">
        <v>6889000</v>
      </c>
    </row>
    <row r="832" spans="1:3">
      <c r="A832">
        <v>831</v>
      </c>
      <c r="B832">
        <v>6905610</v>
      </c>
      <c r="C832">
        <v>6905610</v>
      </c>
    </row>
    <row r="833" spans="1:3">
      <c r="A833">
        <v>832</v>
      </c>
      <c r="B833">
        <v>6922240</v>
      </c>
      <c r="C833">
        <v>6922240</v>
      </c>
    </row>
    <row r="834" spans="1:3">
      <c r="A834">
        <v>833</v>
      </c>
      <c r="B834">
        <v>6938890</v>
      </c>
      <c r="C834">
        <v>6938890</v>
      </c>
    </row>
    <row r="835" spans="1:3">
      <c r="A835">
        <v>834</v>
      </c>
      <c r="B835">
        <v>6955560</v>
      </c>
      <c r="C835">
        <v>6955560</v>
      </c>
    </row>
    <row r="836" spans="1:3">
      <c r="A836">
        <v>835</v>
      </c>
      <c r="B836">
        <v>6972250</v>
      </c>
      <c r="C836">
        <v>6972250</v>
      </c>
    </row>
    <row r="837" spans="1:3">
      <c r="A837">
        <v>836</v>
      </c>
      <c r="B837">
        <v>6988960</v>
      </c>
      <c r="C837">
        <v>6988960</v>
      </c>
    </row>
    <row r="838" spans="1:3">
      <c r="A838">
        <v>837</v>
      </c>
      <c r="B838">
        <v>7005690</v>
      </c>
      <c r="C838">
        <v>7005690</v>
      </c>
    </row>
    <row r="839" spans="1:3">
      <c r="A839">
        <v>838</v>
      </c>
      <c r="B839">
        <v>7022440</v>
      </c>
      <c r="C839">
        <v>7022440</v>
      </c>
    </row>
    <row r="840" spans="1:3">
      <c r="A840">
        <v>839</v>
      </c>
      <c r="B840">
        <v>7039210</v>
      </c>
      <c r="C840">
        <v>7039210</v>
      </c>
    </row>
    <row r="841" spans="1:3">
      <c r="A841">
        <v>840</v>
      </c>
      <c r="B841">
        <v>7056000</v>
      </c>
      <c r="C841">
        <v>7056000</v>
      </c>
    </row>
    <row r="842" spans="1:3">
      <c r="A842">
        <v>841</v>
      </c>
      <c r="B842">
        <v>7072810</v>
      </c>
      <c r="C842">
        <v>7072810</v>
      </c>
    </row>
    <row r="843" spans="1:3">
      <c r="A843">
        <v>842</v>
      </c>
      <c r="B843">
        <v>7089640</v>
      </c>
      <c r="C843">
        <v>7089640</v>
      </c>
    </row>
    <row r="844" spans="1:3">
      <c r="A844">
        <v>843</v>
      </c>
      <c r="B844">
        <v>7106490</v>
      </c>
      <c r="C844">
        <v>7106490</v>
      </c>
    </row>
    <row r="845" spans="1:3">
      <c r="A845">
        <v>844</v>
      </c>
      <c r="B845">
        <v>7123360</v>
      </c>
      <c r="C845">
        <v>7123360</v>
      </c>
    </row>
    <row r="846" spans="1:3">
      <c r="A846">
        <v>845</v>
      </c>
      <c r="B846">
        <v>7140250</v>
      </c>
      <c r="C846">
        <v>7140250</v>
      </c>
    </row>
    <row r="847" spans="1:3">
      <c r="A847">
        <v>846</v>
      </c>
      <c r="B847">
        <v>7157160</v>
      </c>
      <c r="C847">
        <v>7157160</v>
      </c>
    </row>
    <row r="848" spans="1:3">
      <c r="A848">
        <v>847</v>
      </c>
      <c r="B848">
        <v>7174090</v>
      </c>
      <c r="C848">
        <v>7174090</v>
      </c>
    </row>
    <row r="849" spans="1:3">
      <c r="A849">
        <v>848</v>
      </c>
      <c r="B849">
        <v>7191040</v>
      </c>
      <c r="C849">
        <v>7191040</v>
      </c>
    </row>
    <row r="850" spans="1:3">
      <c r="A850">
        <v>849</v>
      </c>
      <c r="B850">
        <v>7208010</v>
      </c>
      <c r="C850">
        <v>7208010</v>
      </c>
    </row>
    <row r="851" spans="1:3">
      <c r="A851">
        <v>850</v>
      </c>
      <c r="B851">
        <v>7225000</v>
      </c>
      <c r="C851">
        <v>7225000</v>
      </c>
    </row>
    <row r="852" spans="1:3">
      <c r="A852">
        <v>851</v>
      </c>
      <c r="B852">
        <v>7242010</v>
      </c>
      <c r="C852">
        <v>7242010</v>
      </c>
    </row>
    <row r="853" spans="1:3">
      <c r="A853">
        <v>852</v>
      </c>
      <c r="B853">
        <v>7259040</v>
      </c>
      <c r="C853">
        <v>7259040</v>
      </c>
    </row>
    <row r="854" spans="1:3">
      <c r="A854">
        <v>853</v>
      </c>
      <c r="B854">
        <v>7276090</v>
      </c>
      <c r="C854">
        <v>7276090</v>
      </c>
    </row>
    <row r="855" spans="1:3">
      <c r="A855">
        <v>854</v>
      </c>
      <c r="B855">
        <v>7293160</v>
      </c>
      <c r="C855">
        <v>7293160</v>
      </c>
    </row>
    <row r="856" spans="1:3">
      <c r="A856">
        <v>855</v>
      </c>
      <c r="B856">
        <v>7310250</v>
      </c>
      <c r="C856">
        <v>7310250</v>
      </c>
    </row>
    <row r="857" spans="1:3">
      <c r="A857">
        <v>856</v>
      </c>
      <c r="B857">
        <v>7327360</v>
      </c>
      <c r="C857">
        <v>7327360</v>
      </c>
    </row>
    <row r="858" spans="1:3">
      <c r="A858">
        <v>857</v>
      </c>
      <c r="B858">
        <v>7344490</v>
      </c>
      <c r="C858">
        <v>7344490</v>
      </c>
    </row>
    <row r="859" spans="1:3">
      <c r="A859">
        <v>858</v>
      </c>
      <c r="B859">
        <v>7361640</v>
      </c>
      <c r="C859">
        <v>7361640</v>
      </c>
    </row>
    <row r="860" spans="1:3">
      <c r="A860">
        <v>859</v>
      </c>
      <c r="B860">
        <v>7378810</v>
      </c>
      <c r="C860">
        <v>7378810</v>
      </c>
    </row>
    <row r="861" spans="1:3">
      <c r="A861">
        <v>860</v>
      </c>
      <c r="B861">
        <v>7396000</v>
      </c>
      <c r="C861">
        <v>7396000</v>
      </c>
    </row>
    <row r="862" spans="1:3">
      <c r="A862">
        <v>861</v>
      </c>
      <c r="B862">
        <v>7413210</v>
      </c>
      <c r="C862">
        <v>7413210</v>
      </c>
    </row>
    <row r="863" spans="1:3">
      <c r="A863">
        <v>862</v>
      </c>
      <c r="B863">
        <v>7430440</v>
      </c>
      <c r="C863">
        <v>7430440</v>
      </c>
    </row>
    <row r="864" spans="1:3">
      <c r="A864">
        <v>863</v>
      </c>
      <c r="B864">
        <v>7447690</v>
      </c>
      <c r="C864">
        <v>7447690</v>
      </c>
    </row>
    <row r="865" spans="1:3">
      <c r="A865">
        <v>864</v>
      </c>
      <c r="B865">
        <v>7464960</v>
      </c>
      <c r="C865">
        <v>7464960</v>
      </c>
    </row>
    <row r="866" spans="1:3">
      <c r="A866">
        <v>865</v>
      </c>
      <c r="B866">
        <v>7482250</v>
      </c>
      <c r="C866">
        <v>7482250</v>
      </c>
    </row>
    <row r="867" spans="1:3">
      <c r="A867">
        <v>866</v>
      </c>
      <c r="B867">
        <v>7499560</v>
      </c>
      <c r="C867">
        <v>7499560</v>
      </c>
    </row>
    <row r="868" spans="1:3">
      <c r="A868">
        <v>867</v>
      </c>
      <c r="B868">
        <v>7516890</v>
      </c>
      <c r="C868">
        <v>7516890</v>
      </c>
    </row>
    <row r="869" spans="1:3">
      <c r="A869">
        <v>868</v>
      </c>
      <c r="B869">
        <v>7534240</v>
      </c>
      <c r="C869">
        <v>7534240</v>
      </c>
    </row>
    <row r="870" spans="1:3">
      <c r="A870">
        <v>869</v>
      </c>
      <c r="B870">
        <v>7551610</v>
      </c>
      <c r="C870">
        <v>7551610</v>
      </c>
    </row>
    <row r="871" spans="1:3">
      <c r="A871">
        <v>870</v>
      </c>
      <c r="B871">
        <v>7569000</v>
      </c>
      <c r="C871">
        <v>7569000</v>
      </c>
    </row>
    <row r="872" spans="1:3">
      <c r="A872">
        <v>871</v>
      </c>
      <c r="B872">
        <v>7586410</v>
      </c>
      <c r="C872">
        <v>7586410</v>
      </c>
    </row>
    <row r="873" spans="1:3">
      <c r="A873">
        <v>872</v>
      </c>
      <c r="B873">
        <v>7603840</v>
      </c>
      <c r="C873">
        <v>7603840</v>
      </c>
    </row>
    <row r="874" spans="1:3">
      <c r="A874">
        <v>873</v>
      </c>
      <c r="B874">
        <v>7621290</v>
      </c>
      <c r="C874">
        <v>7621290</v>
      </c>
    </row>
    <row r="875" spans="1:3">
      <c r="A875">
        <v>874</v>
      </c>
      <c r="B875">
        <v>7638760</v>
      </c>
      <c r="C875">
        <v>7638760</v>
      </c>
    </row>
    <row r="876" spans="1:3">
      <c r="A876">
        <v>875</v>
      </c>
      <c r="B876">
        <v>7656250</v>
      </c>
      <c r="C876">
        <v>7656250</v>
      </c>
    </row>
    <row r="877" spans="1:3">
      <c r="A877">
        <v>876</v>
      </c>
      <c r="B877">
        <v>7673760</v>
      </c>
      <c r="C877">
        <v>7673760</v>
      </c>
    </row>
    <row r="878" spans="1:3">
      <c r="A878">
        <v>877</v>
      </c>
      <c r="B878">
        <v>7691290</v>
      </c>
      <c r="C878">
        <v>7691290</v>
      </c>
    </row>
    <row r="879" spans="1:3">
      <c r="A879">
        <v>878</v>
      </c>
      <c r="B879">
        <v>7708840</v>
      </c>
      <c r="C879">
        <v>7708840</v>
      </c>
    </row>
    <row r="880" spans="1:3">
      <c r="A880">
        <v>879</v>
      </c>
      <c r="B880">
        <v>7726410</v>
      </c>
      <c r="C880">
        <v>7726410</v>
      </c>
    </row>
    <row r="881" spans="1:3">
      <c r="A881">
        <v>880</v>
      </c>
      <c r="B881">
        <v>7744000</v>
      </c>
      <c r="C881">
        <v>7744000</v>
      </c>
    </row>
    <row r="882" spans="1:3">
      <c r="A882">
        <v>881</v>
      </c>
      <c r="B882">
        <v>7761610</v>
      </c>
      <c r="C882">
        <v>7761610</v>
      </c>
    </row>
    <row r="883" spans="1:3">
      <c r="A883">
        <v>882</v>
      </c>
      <c r="B883">
        <v>7779240</v>
      </c>
      <c r="C883">
        <v>7779240</v>
      </c>
    </row>
    <row r="884" spans="1:3">
      <c r="A884">
        <v>883</v>
      </c>
      <c r="B884">
        <v>7796890</v>
      </c>
      <c r="C884">
        <v>7796890</v>
      </c>
    </row>
    <row r="885" spans="1:3">
      <c r="A885">
        <v>884</v>
      </c>
      <c r="B885">
        <v>7814560</v>
      </c>
      <c r="C885">
        <v>7814560</v>
      </c>
    </row>
    <row r="886" spans="1:3">
      <c r="A886">
        <v>885</v>
      </c>
      <c r="B886">
        <v>7832250</v>
      </c>
      <c r="C886">
        <v>7832250</v>
      </c>
    </row>
    <row r="887" spans="1:3">
      <c r="A887">
        <v>886</v>
      </c>
      <c r="B887">
        <v>7849960</v>
      </c>
      <c r="C887">
        <v>7849960</v>
      </c>
    </row>
    <row r="888" spans="1:3">
      <c r="A888">
        <v>887</v>
      </c>
      <c r="B888">
        <v>7867690</v>
      </c>
      <c r="C888">
        <v>7867690</v>
      </c>
    </row>
    <row r="889" spans="1:3">
      <c r="A889">
        <v>888</v>
      </c>
      <c r="B889">
        <v>7885440</v>
      </c>
      <c r="C889">
        <v>7885440</v>
      </c>
    </row>
    <row r="890" spans="1:3">
      <c r="A890">
        <v>889</v>
      </c>
      <c r="B890">
        <v>7903210</v>
      </c>
      <c r="C890">
        <v>7903210</v>
      </c>
    </row>
    <row r="891" spans="1:3">
      <c r="A891">
        <v>890</v>
      </c>
      <c r="B891">
        <v>7921000</v>
      </c>
      <c r="C891">
        <v>7921000</v>
      </c>
    </row>
    <row r="892" spans="1:3">
      <c r="A892">
        <v>891</v>
      </c>
      <c r="B892">
        <v>7938810</v>
      </c>
      <c r="C892">
        <v>7938810</v>
      </c>
    </row>
    <row r="893" spans="1:3">
      <c r="A893">
        <v>892</v>
      </c>
      <c r="B893">
        <v>7956640</v>
      </c>
      <c r="C893">
        <v>7956640</v>
      </c>
    </row>
    <row r="894" spans="1:3">
      <c r="A894">
        <v>893</v>
      </c>
      <c r="B894">
        <v>7974490</v>
      </c>
      <c r="C894">
        <v>7974490</v>
      </c>
    </row>
    <row r="895" spans="1:3">
      <c r="A895">
        <v>894</v>
      </c>
      <c r="B895">
        <v>7992360</v>
      </c>
      <c r="C895">
        <v>7992360</v>
      </c>
    </row>
    <row r="896" spans="1:3">
      <c r="A896">
        <v>895</v>
      </c>
      <c r="B896">
        <v>8010250</v>
      </c>
      <c r="C896">
        <v>8010250</v>
      </c>
    </row>
    <row r="897" spans="1:3">
      <c r="A897">
        <v>896</v>
      </c>
      <c r="B897">
        <v>8028160</v>
      </c>
      <c r="C897">
        <v>8028160</v>
      </c>
    </row>
    <row r="898" spans="1:3">
      <c r="A898">
        <v>897</v>
      </c>
      <c r="B898">
        <v>8046090</v>
      </c>
      <c r="C898">
        <v>8046090</v>
      </c>
    </row>
    <row r="899" spans="1:3">
      <c r="A899">
        <v>898</v>
      </c>
      <c r="B899">
        <v>8064040</v>
      </c>
      <c r="C899">
        <v>8064040</v>
      </c>
    </row>
    <row r="900" spans="1:3">
      <c r="A900">
        <v>899</v>
      </c>
      <c r="B900">
        <v>8082010</v>
      </c>
      <c r="C900">
        <v>8082010</v>
      </c>
    </row>
    <row r="901" spans="1:3">
      <c r="A901">
        <v>900</v>
      </c>
      <c r="B901">
        <v>8100000</v>
      </c>
      <c r="C901">
        <v>8100000</v>
      </c>
    </row>
    <row r="902" spans="1:3">
      <c r="A902">
        <v>901</v>
      </c>
      <c r="B902">
        <v>8118010</v>
      </c>
      <c r="C902">
        <v>8118010</v>
      </c>
    </row>
    <row r="903" spans="1:3">
      <c r="A903">
        <v>902</v>
      </c>
      <c r="B903">
        <v>8136040</v>
      </c>
      <c r="C903">
        <v>8136040</v>
      </c>
    </row>
    <row r="904" spans="1:3">
      <c r="A904">
        <v>903</v>
      </c>
      <c r="B904">
        <v>8154090</v>
      </c>
      <c r="C904">
        <v>8154090</v>
      </c>
    </row>
    <row r="905" spans="1:3">
      <c r="A905">
        <v>904</v>
      </c>
      <c r="B905">
        <v>8172160</v>
      </c>
      <c r="C905">
        <v>8172160</v>
      </c>
    </row>
    <row r="906" spans="1:3">
      <c r="A906">
        <v>905</v>
      </c>
      <c r="B906">
        <v>8190250</v>
      </c>
      <c r="C906">
        <v>8190250</v>
      </c>
    </row>
    <row r="907" spans="1:3">
      <c r="A907">
        <v>906</v>
      </c>
      <c r="B907">
        <v>8208360</v>
      </c>
      <c r="C907">
        <v>8208360</v>
      </c>
    </row>
    <row r="908" spans="1:3">
      <c r="A908">
        <v>907</v>
      </c>
      <c r="B908">
        <v>8226490</v>
      </c>
      <c r="C908">
        <v>8226490</v>
      </c>
    </row>
    <row r="909" spans="1:3">
      <c r="A909">
        <v>908</v>
      </c>
      <c r="B909">
        <v>8244640</v>
      </c>
      <c r="C909">
        <v>8244640</v>
      </c>
    </row>
    <row r="910" spans="1:3">
      <c r="A910">
        <v>909</v>
      </c>
      <c r="B910">
        <v>8262810</v>
      </c>
      <c r="C910">
        <v>8262810</v>
      </c>
    </row>
    <row r="911" spans="1:3">
      <c r="A911">
        <v>910</v>
      </c>
      <c r="B911">
        <v>8281000</v>
      </c>
      <c r="C911">
        <v>8281000</v>
      </c>
    </row>
    <row r="912" spans="1:3">
      <c r="A912">
        <v>911</v>
      </c>
      <c r="B912">
        <v>8299210</v>
      </c>
      <c r="C912">
        <v>8299210</v>
      </c>
    </row>
    <row r="913" spans="1:3">
      <c r="A913">
        <v>912</v>
      </c>
      <c r="B913">
        <v>8317440</v>
      </c>
      <c r="C913">
        <v>8317440</v>
      </c>
    </row>
    <row r="914" spans="1:3">
      <c r="A914">
        <v>913</v>
      </c>
      <c r="B914">
        <v>8335690</v>
      </c>
      <c r="C914">
        <v>8335690</v>
      </c>
    </row>
    <row r="915" spans="1:3">
      <c r="A915">
        <v>914</v>
      </c>
      <c r="B915">
        <v>8353960</v>
      </c>
      <c r="C915">
        <v>8353960</v>
      </c>
    </row>
    <row r="916" spans="1:3">
      <c r="A916">
        <v>915</v>
      </c>
      <c r="B916">
        <v>8372250</v>
      </c>
      <c r="C916">
        <v>8372250</v>
      </c>
    </row>
    <row r="917" spans="1:3">
      <c r="A917">
        <v>916</v>
      </c>
      <c r="B917">
        <v>8390560</v>
      </c>
      <c r="C917">
        <v>8390560</v>
      </c>
    </row>
    <row r="918" spans="1:3">
      <c r="A918">
        <v>917</v>
      </c>
      <c r="B918">
        <v>8408890</v>
      </c>
      <c r="C918">
        <v>8408890</v>
      </c>
    </row>
    <row r="919" spans="1:3">
      <c r="A919">
        <v>918</v>
      </c>
      <c r="B919">
        <v>8427240</v>
      </c>
      <c r="C919">
        <v>8427240</v>
      </c>
    </row>
    <row r="920" spans="1:3">
      <c r="A920">
        <v>919</v>
      </c>
      <c r="B920">
        <v>8445610</v>
      </c>
      <c r="C920">
        <v>8445610</v>
      </c>
    </row>
    <row r="921" spans="1:3">
      <c r="A921">
        <v>920</v>
      </c>
      <c r="B921">
        <v>8464000</v>
      </c>
      <c r="C921">
        <v>8464000</v>
      </c>
    </row>
    <row r="922" spans="1:3">
      <c r="A922">
        <v>921</v>
      </c>
      <c r="B922">
        <v>8482410</v>
      </c>
      <c r="C922">
        <v>8482410</v>
      </c>
    </row>
    <row r="923" spans="1:3">
      <c r="A923">
        <v>922</v>
      </c>
      <c r="B923">
        <v>8500840</v>
      </c>
      <c r="C923">
        <v>8500840</v>
      </c>
    </row>
    <row r="924" spans="1:3">
      <c r="A924">
        <v>923</v>
      </c>
      <c r="B924">
        <v>8519290</v>
      </c>
      <c r="C924">
        <v>8519290</v>
      </c>
    </row>
    <row r="925" spans="1:3">
      <c r="A925">
        <v>924</v>
      </c>
      <c r="B925">
        <v>8537760</v>
      </c>
      <c r="C925">
        <v>8537760</v>
      </c>
    </row>
    <row r="926" spans="1:3">
      <c r="A926">
        <v>925</v>
      </c>
      <c r="B926">
        <v>8556250</v>
      </c>
      <c r="C926">
        <v>8556250</v>
      </c>
    </row>
    <row r="927" spans="1:3">
      <c r="A927">
        <v>926</v>
      </c>
      <c r="B927">
        <v>8574760</v>
      </c>
      <c r="C927">
        <v>8574760</v>
      </c>
    </row>
    <row r="928" spans="1:3">
      <c r="A928">
        <v>927</v>
      </c>
      <c r="B928">
        <v>8593290</v>
      </c>
      <c r="C928">
        <v>8593290</v>
      </c>
    </row>
    <row r="929" spans="1:3">
      <c r="A929">
        <v>928</v>
      </c>
      <c r="B929">
        <v>8611840</v>
      </c>
      <c r="C929">
        <v>8611840</v>
      </c>
    </row>
    <row r="930" spans="1:3">
      <c r="A930">
        <v>929</v>
      </c>
      <c r="B930">
        <v>8630410</v>
      </c>
      <c r="C930">
        <v>8630410</v>
      </c>
    </row>
    <row r="931" spans="1:3">
      <c r="A931">
        <v>930</v>
      </c>
      <c r="B931">
        <v>8649000</v>
      </c>
      <c r="C931">
        <v>8649000</v>
      </c>
    </row>
    <row r="932" spans="1:3">
      <c r="A932">
        <v>931</v>
      </c>
      <c r="B932">
        <v>8667610</v>
      </c>
      <c r="C932">
        <v>8667610</v>
      </c>
    </row>
    <row r="933" spans="1:3">
      <c r="A933">
        <v>932</v>
      </c>
      <c r="B933">
        <v>8686240</v>
      </c>
      <c r="C933">
        <v>8686240</v>
      </c>
    </row>
    <row r="934" spans="1:3">
      <c r="A934">
        <v>933</v>
      </c>
      <c r="B934">
        <v>8704890</v>
      </c>
      <c r="C934">
        <v>8704890</v>
      </c>
    </row>
    <row r="935" spans="1:3">
      <c r="A935">
        <v>934</v>
      </c>
      <c r="B935">
        <v>8723560</v>
      </c>
      <c r="C935">
        <v>8723560</v>
      </c>
    </row>
    <row r="936" spans="1:3">
      <c r="A936">
        <v>935</v>
      </c>
      <c r="B936">
        <v>8742250</v>
      </c>
      <c r="C936">
        <v>8742250</v>
      </c>
    </row>
    <row r="937" spans="1:3">
      <c r="A937">
        <v>936</v>
      </c>
      <c r="B937">
        <v>8760960</v>
      </c>
      <c r="C937">
        <v>8760960</v>
      </c>
    </row>
    <row r="938" spans="1:3">
      <c r="A938">
        <v>937</v>
      </c>
      <c r="B938">
        <v>8779690</v>
      </c>
      <c r="C938">
        <v>8779690</v>
      </c>
    </row>
    <row r="939" spans="1:3">
      <c r="A939">
        <v>938</v>
      </c>
      <c r="B939">
        <v>8798440</v>
      </c>
      <c r="C939">
        <v>8798440</v>
      </c>
    </row>
    <row r="940" spans="1:3">
      <c r="A940">
        <v>939</v>
      </c>
      <c r="B940">
        <v>8817210</v>
      </c>
      <c r="C940">
        <v>8817210</v>
      </c>
    </row>
    <row r="941" spans="1:3">
      <c r="A941">
        <v>940</v>
      </c>
      <c r="B941">
        <v>8836000</v>
      </c>
      <c r="C941">
        <v>8836000</v>
      </c>
    </row>
    <row r="942" spans="1:3">
      <c r="A942">
        <v>941</v>
      </c>
      <c r="B942">
        <v>8854810</v>
      </c>
      <c r="C942">
        <v>8854810</v>
      </c>
    </row>
    <row r="943" spans="1:3">
      <c r="A943">
        <v>942</v>
      </c>
      <c r="B943">
        <v>8873640</v>
      </c>
      <c r="C943">
        <v>8873640</v>
      </c>
    </row>
    <row r="944" spans="1:3">
      <c r="A944">
        <v>943</v>
      </c>
      <c r="B944">
        <v>8892490</v>
      </c>
      <c r="C944">
        <v>8892490</v>
      </c>
    </row>
    <row r="945" spans="1:3">
      <c r="A945">
        <v>944</v>
      </c>
      <c r="B945">
        <v>8911360</v>
      </c>
      <c r="C945">
        <v>8911360</v>
      </c>
    </row>
    <row r="946" spans="1:3">
      <c r="A946">
        <v>945</v>
      </c>
      <c r="B946">
        <v>8930250</v>
      </c>
      <c r="C946">
        <v>8930250</v>
      </c>
    </row>
    <row r="947" spans="1:3">
      <c r="A947">
        <v>946</v>
      </c>
      <c r="B947">
        <v>8949160</v>
      </c>
      <c r="C947">
        <v>8949160</v>
      </c>
    </row>
    <row r="948" spans="1:3">
      <c r="A948">
        <v>947</v>
      </c>
      <c r="B948">
        <v>8968090</v>
      </c>
      <c r="C948">
        <v>8968090</v>
      </c>
    </row>
    <row r="949" spans="1:3">
      <c r="A949">
        <v>948</v>
      </c>
      <c r="B949">
        <v>8987040</v>
      </c>
      <c r="C949">
        <v>8987040</v>
      </c>
    </row>
    <row r="950" spans="1:3">
      <c r="A950">
        <v>949</v>
      </c>
      <c r="B950">
        <v>9006010</v>
      </c>
      <c r="C950">
        <v>9006010</v>
      </c>
    </row>
    <row r="951" spans="1:3">
      <c r="A951">
        <v>950</v>
      </c>
      <c r="B951">
        <v>9025000</v>
      </c>
      <c r="C951">
        <v>9025000</v>
      </c>
    </row>
    <row r="952" spans="1:3">
      <c r="A952">
        <v>951</v>
      </c>
      <c r="B952">
        <v>9044010</v>
      </c>
      <c r="C952">
        <v>9044010</v>
      </c>
    </row>
    <row r="953" spans="1:3">
      <c r="A953">
        <v>952</v>
      </c>
      <c r="B953">
        <v>9063040</v>
      </c>
      <c r="C953">
        <v>9063040</v>
      </c>
    </row>
    <row r="954" spans="1:3">
      <c r="A954">
        <v>953</v>
      </c>
      <c r="B954">
        <v>9082090</v>
      </c>
      <c r="C954">
        <v>9082090</v>
      </c>
    </row>
    <row r="955" spans="1:3">
      <c r="A955">
        <v>954</v>
      </c>
      <c r="B955">
        <v>9101160</v>
      </c>
      <c r="C955">
        <v>9101160</v>
      </c>
    </row>
    <row r="956" spans="1:3">
      <c r="A956">
        <v>955</v>
      </c>
      <c r="B956">
        <v>9120250</v>
      </c>
      <c r="C956">
        <v>9120250</v>
      </c>
    </row>
    <row r="957" spans="1:3">
      <c r="A957">
        <v>956</v>
      </c>
      <c r="B957">
        <v>9139360</v>
      </c>
      <c r="C957">
        <v>9139360</v>
      </c>
    </row>
    <row r="958" spans="1:3">
      <c r="A958">
        <v>957</v>
      </c>
      <c r="B958">
        <v>9158490</v>
      </c>
      <c r="C958">
        <v>9158490</v>
      </c>
    </row>
    <row r="959" spans="1:3">
      <c r="A959">
        <v>958</v>
      </c>
      <c r="B959">
        <v>9177640</v>
      </c>
      <c r="C959">
        <v>9177640</v>
      </c>
    </row>
    <row r="960" spans="1:3">
      <c r="A960">
        <v>959</v>
      </c>
      <c r="B960">
        <v>9196810</v>
      </c>
      <c r="C960">
        <v>9196810</v>
      </c>
    </row>
    <row r="961" spans="1:3">
      <c r="A961">
        <v>960</v>
      </c>
      <c r="B961">
        <v>9216000</v>
      </c>
      <c r="C961">
        <v>9216000</v>
      </c>
    </row>
    <row r="962" spans="1:3">
      <c r="A962">
        <v>961</v>
      </c>
      <c r="B962">
        <v>9235210</v>
      </c>
      <c r="C962">
        <v>9235210</v>
      </c>
    </row>
    <row r="963" spans="1:3">
      <c r="A963">
        <v>962</v>
      </c>
      <c r="B963">
        <v>9254440</v>
      </c>
      <c r="C963">
        <v>9254440</v>
      </c>
    </row>
    <row r="964" spans="1:3">
      <c r="A964">
        <v>963</v>
      </c>
      <c r="B964">
        <v>9273690</v>
      </c>
      <c r="C964">
        <v>9273690</v>
      </c>
    </row>
    <row r="965" spans="1:3">
      <c r="A965">
        <v>964</v>
      </c>
      <c r="B965">
        <v>9292960</v>
      </c>
      <c r="C965">
        <v>9292960</v>
      </c>
    </row>
    <row r="966" spans="1:3">
      <c r="A966">
        <v>965</v>
      </c>
      <c r="B966">
        <v>9312250</v>
      </c>
      <c r="C966">
        <v>9312250</v>
      </c>
    </row>
    <row r="967" spans="1:3">
      <c r="A967">
        <v>966</v>
      </c>
      <c r="B967">
        <v>9331560</v>
      </c>
      <c r="C967">
        <v>9331560</v>
      </c>
    </row>
    <row r="968" spans="1:3">
      <c r="A968">
        <v>967</v>
      </c>
      <c r="B968">
        <v>9350890</v>
      </c>
      <c r="C968">
        <v>9350890</v>
      </c>
    </row>
    <row r="969" spans="1:3">
      <c r="A969">
        <v>968</v>
      </c>
      <c r="B969">
        <v>9370240</v>
      </c>
      <c r="C969">
        <v>9370240</v>
      </c>
    </row>
    <row r="970" spans="1:3">
      <c r="A970">
        <v>969</v>
      </c>
      <c r="B970">
        <v>9389610</v>
      </c>
      <c r="C970">
        <v>9389610</v>
      </c>
    </row>
    <row r="971" spans="1:3">
      <c r="A971">
        <v>970</v>
      </c>
      <c r="B971">
        <v>9409000</v>
      </c>
      <c r="C971">
        <v>9409000</v>
      </c>
    </row>
    <row r="972" spans="1:3">
      <c r="A972">
        <v>971</v>
      </c>
      <c r="B972">
        <v>9428410</v>
      </c>
      <c r="C972">
        <v>9428410</v>
      </c>
    </row>
    <row r="973" spans="1:3">
      <c r="A973">
        <v>972</v>
      </c>
      <c r="B973">
        <v>9447840</v>
      </c>
      <c r="C973">
        <v>9447840</v>
      </c>
    </row>
    <row r="974" spans="1:3">
      <c r="A974">
        <v>973</v>
      </c>
      <c r="B974">
        <v>9467290</v>
      </c>
      <c r="C974">
        <v>9467290</v>
      </c>
    </row>
    <row r="975" spans="1:3">
      <c r="A975">
        <v>974</v>
      </c>
      <c r="B975">
        <v>9486760</v>
      </c>
      <c r="C975">
        <v>9486760</v>
      </c>
    </row>
    <row r="976" spans="1:3">
      <c r="A976">
        <v>975</v>
      </c>
      <c r="B976">
        <v>9506250</v>
      </c>
      <c r="C976">
        <v>9506250</v>
      </c>
    </row>
    <row r="977" spans="1:3">
      <c r="A977">
        <v>976</v>
      </c>
      <c r="B977">
        <v>9525760</v>
      </c>
      <c r="C977">
        <v>9525760</v>
      </c>
    </row>
    <row r="978" spans="1:3">
      <c r="A978">
        <v>977</v>
      </c>
      <c r="B978">
        <v>9545290</v>
      </c>
      <c r="C978">
        <v>9545290</v>
      </c>
    </row>
    <row r="979" spans="1:3">
      <c r="A979">
        <v>978</v>
      </c>
      <c r="B979">
        <v>9564840</v>
      </c>
      <c r="C979">
        <v>9564840</v>
      </c>
    </row>
    <row r="980" spans="1:3">
      <c r="A980">
        <v>979</v>
      </c>
      <c r="B980">
        <v>9584410</v>
      </c>
      <c r="C980">
        <v>9584410</v>
      </c>
    </row>
    <row r="981" spans="1:3">
      <c r="A981">
        <v>980</v>
      </c>
      <c r="B981">
        <v>9604000</v>
      </c>
      <c r="C981">
        <v>9604000</v>
      </c>
    </row>
    <row r="982" spans="1:3">
      <c r="A982">
        <v>981</v>
      </c>
      <c r="B982">
        <v>9623610</v>
      </c>
      <c r="C982">
        <v>9623610</v>
      </c>
    </row>
    <row r="983" spans="1:3">
      <c r="A983">
        <v>982</v>
      </c>
      <c r="B983">
        <v>9643240</v>
      </c>
      <c r="C983">
        <v>9643240</v>
      </c>
    </row>
    <row r="984" spans="1:3">
      <c r="A984">
        <v>983</v>
      </c>
      <c r="B984">
        <v>9662890</v>
      </c>
      <c r="C984">
        <v>9662890</v>
      </c>
    </row>
    <row r="985" spans="1:3">
      <c r="A985">
        <v>984</v>
      </c>
      <c r="B985">
        <v>9682560</v>
      </c>
      <c r="C985">
        <v>9682560</v>
      </c>
    </row>
    <row r="986" spans="1:3">
      <c r="A986">
        <v>985</v>
      </c>
      <c r="B986">
        <v>9702250</v>
      </c>
      <c r="C986">
        <v>9702250</v>
      </c>
    </row>
    <row r="987" spans="1:3">
      <c r="A987">
        <v>986</v>
      </c>
      <c r="B987">
        <v>9721960</v>
      </c>
      <c r="C987">
        <v>9721960</v>
      </c>
    </row>
    <row r="988" spans="1:3">
      <c r="A988">
        <v>987</v>
      </c>
      <c r="B988">
        <v>9741690</v>
      </c>
      <c r="C988">
        <v>9741690</v>
      </c>
    </row>
    <row r="989" spans="1:3">
      <c r="A989">
        <v>988</v>
      </c>
      <c r="B989">
        <v>9761440</v>
      </c>
      <c r="C989">
        <v>9761440</v>
      </c>
    </row>
    <row r="990" spans="1:3">
      <c r="A990">
        <v>989</v>
      </c>
      <c r="B990">
        <v>9781210</v>
      </c>
      <c r="C990">
        <v>9781210</v>
      </c>
    </row>
    <row r="991" spans="1:3">
      <c r="A991">
        <v>990</v>
      </c>
      <c r="B991">
        <v>9801000</v>
      </c>
      <c r="C991">
        <v>9801000</v>
      </c>
    </row>
    <row r="992" spans="1:3">
      <c r="A992">
        <v>991</v>
      </c>
      <c r="B992">
        <v>9820810</v>
      </c>
      <c r="C992">
        <v>9820810</v>
      </c>
    </row>
    <row r="993" spans="1:3">
      <c r="A993">
        <v>992</v>
      </c>
      <c r="B993">
        <v>9840640</v>
      </c>
      <c r="C993">
        <v>9840640</v>
      </c>
    </row>
    <row r="994" spans="1:3">
      <c r="A994">
        <v>993</v>
      </c>
      <c r="B994">
        <v>9860490</v>
      </c>
      <c r="C994">
        <v>9860490</v>
      </c>
    </row>
    <row r="995" spans="1:3">
      <c r="A995">
        <v>994</v>
      </c>
      <c r="B995">
        <v>9880360</v>
      </c>
      <c r="C995">
        <v>9880360</v>
      </c>
    </row>
    <row r="996" spans="1:3">
      <c r="A996">
        <v>995</v>
      </c>
      <c r="B996">
        <v>9900250</v>
      </c>
      <c r="C996">
        <v>9900250</v>
      </c>
    </row>
    <row r="997" spans="1:3">
      <c r="A997">
        <v>996</v>
      </c>
      <c r="B997">
        <v>9920160</v>
      </c>
      <c r="C997">
        <v>9920160</v>
      </c>
    </row>
    <row r="998" spans="1:3">
      <c r="A998">
        <v>997</v>
      </c>
      <c r="B998">
        <v>9940090</v>
      </c>
      <c r="C998">
        <v>9940090</v>
      </c>
    </row>
    <row r="999" spans="1:3">
      <c r="A999">
        <v>998</v>
      </c>
      <c r="B999">
        <v>9960040</v>
      </c>
      <c r="C999">
        <v>9960040</v>
      </c>
    </row>
    <row r="1000" spans="1:3">
      <c r="A1000">
        <v>999</v>
      </c>
      <c r="B1000">
        <v>9980010</v>
      </c>
      <c r="C1000">
        <v>9980010</v>
      </c>
    </row>
    <row r="1001" spans="1:3">
      <c r="A1001">
        <v>1000</v>
      </c>
      <c r="B1001">
        <v>10000000</v>
      </c>
      <c r="C1001">
        <v>10000000</v>
      </c>
    </row>
    <row r="1002" spans="1:3">
      <c r="A1002">
        <v>1001</v>
      </c>
      <c r="B1002">
        <v>10020010</v>
      </c>
      <c r="C1002">
        <v>10020010</v>
      </c>
    </row>
    <row r="1003" spans="1:3">
      <c r="A1003">
        <v>1002</v>
      </c>
      <c r="B1003">
        <v>10040040</v>
      </c>
      <c r="C1003">
        <v>10040040</v>
      </c>
    </row>
    <row r="1004" spans="1:3">
      <c r="A1004">
        <v>1003</v>
      </c>
      <c r="B1004">
        <v>10060090</v>
      </c>
      <c r="C1004">
        <v>10060090</v>
      </c>
    </row>
    <row r="1005" spans="1:3">
      <c r="A1005">
        <v>1004</v>
      </c>
      <c r="B1005">
        <v>10080160</v>
      </c>
      <c r="C1005">
        <v>10080160</v>
      </c>
    </row>
    <row r="1006" spans="1:3">
      <c r="A1006">
        <v>1005</v>
      </c>
      <c r="B1006">
        <v>10100250</v>
      </c>
      <c r="C1006">
        <v>10100250</v>
      </c>
    </row>
    <row r="1007" spans="1:3">
      <c r="A1007">
        <v>1006</v>
      </c>
      <c r="B1007">
        <v>10120360</v>
      </c>
      <c r="C1007">
        <v>10120360</v>
      </c>
    </row>
    <row r="1008" spans="1:3">
      <c r="A1008">
        <v>1007</v>
      </c>
      <c r="B1008">
        <v>10140490</v>
      </c>
      <c r="C1008">
        <v>10140490</v>
      </c>
    </row>
    <row r="1009" spans="1:3">
      <c r="A1009">
        <v>1008</v>
      </c>
      <c r="B1009">
        <v>10160640</v>
      </c>
      <c r="C1009">
        <v>10160640</v>
      </c>
    </row>
    <row r="1010" spans="1:3">
      <c r="A1010">
        <v>1009</v>
      </c>
      <c r="B1010">
        <v>10180810</v>
      </c>
      <c r="C1010">
        <v>10180810</v>
      </c>
    </row>
    <row r="1011" spans="1:3">
      <c r="A1011">
        <v>1010</v>
      </c>
      <c r="B1011">
        <v>10201000</v>
      </c>
      <c r="C1011">
        <v>10201000</v>
      </c>
    </row>
    <row r="1012" spans="1:3">
      <c r="A1012">
        <v>1011</v>
      </c>
      <c r="B1012">
        <v>10221210</v>
      </c>
      <c r="C1012">
        <v>10221210</v>
      </c>
    </row>
    <row r="1013" spans="1:3">
      <c r="A1013">
        <v>1012</v>
      </c>
      <c r="B1013">
        <v>10241440</v>
      </c>
      <c r="C1013">
        <v>10241440</v>
      </c>
    </row>
    <row r="1014" spans="1:3">
      <c r="A1014">
        <v>1013</v>
      </c>
      <c r="B1014">
        <v>10261690</v>
      </c>
      <c r="C1014">
        <v>10261690</v>
      </c>
    </row>
    <row r="1015" spans="1:3">
      <c r="A1015">
        <v>1014</v>
      </c>
      <c r="B1015">
        <v>10281960</v>
      </c>
      <c r="C1015">
        <v>10281960</v>
      </c>
    </row>
    <row r="1016" spans="1:3">
      <c r="A1016">
        <v>1015</v>
      </c>
      <c r="B1016">
        <v>10302250</v>
      </c>
      <c r="C1016">
        <v>10302250</v>
      </c>
    </row>
    <row r="1017" spans="1:3">
      <c r="A1017">
        <v>1016</v>
      </c>
      <c r="B1017">
        <v>10322560</v>
      </c>
      <c r="C1017">
        <v>10322560</v>
      </c>
    </row>
    <row r="1018" spans="1:3">
      <c r="A1018">
        <v>1017</v>
      </c>
      <c r="B1018">
        <v>10342890</v>
      </c>
      <c r="C1018">
        <v>10342890</v>
      </c>
    </row>
    <row r="1019" spans="1:3">
      <c r="A1019">
        <v>1018</v>
      </c>
      <c r="B1019">
        <v>10363240</v>
      </c>
      <c r="C1019">
        <v>10363240</v>
      </c>
    </row>
    <row r="1020" spans="1:3">
      <c r="A1020">
        <v>1019</v>
      </c>
      <c r="B1020">
        <v>10383610</v>
      </c>
      <c r="C1020">
        <v>10383610</v>
      </c>
    </row>
    <row r="1021" spans="1:3">
      <c r="A1021">
        <v>1020</v>
      </c>
      <c r="B1021">
        <v>10404000</v>
      </c>
      <c r="C1021">
        <v>10404000</v>
      </c>
    </row>
    <row r="1022" spans="1:3">
      <c r="A1022">
        <v>1021</v>
      </c>
      <c r="B1022">
        <v>10424410</v>
      </c>
      <c r="C1022">
        <v>10424410</v>
      </c>
    </row>
    <row r="1023" spans="1:3">
      <c r="A1023">
        <v>1022</v>
      </c>
      <c r="B1023">
        <v>10444840</v>
      </c>
      <c r="C1023">
        <v>10444840</v>
      </c>
    </row>
    <row r="1024" spans="1:3">
      <c r="A1024">
        <v>1023</v>
      </c>
      <c r="B1024">
        <v>10465290</v>
      </c>
      <c r="C1024">
        <v>10465290</v>
      </c>
    </row>
    <row r="1025" spans="1:3">
      <c r="A1025">
        <v>1024</v>
      </c>
      <c r="B1025">
        <v>10485760</v>
      </c>
      <c r="C1025">
        <v>10485760</v>
      </c>
    </row>
    <row r="1026" spans="1:3">
      <c r="A1026">
        <v>1025</v>
      </c>
      <c r="B1026">
        <v>10506250</v>
      </c>
      <c r="C1026">
        <v>10506250</v>
      </c>
    </row>
    <row r="1027" spans="1:3">
      <c r="A1027">
        <v>1026</v>
      </c>
      <c r="B1027">
        <v>10526760</v>
      </c>
      <c r="C1027">
        <v>10526760</v>
      </c>
    </row>
    <row r="1028" spans="1:3">
      <c r="A1028">
        <v>1027</v>
      </c>
      <c r="B1028">
        <v>10547290</v>
      </c>
      <c r="C1028">
        <v>10547290</v>
      </c>
    </row>
    <row r="1029" spans="1:3">
      <c r="A1029">
        <v>1028</v>
      </c>
      <c r="B1029">
        <v>10567840</v>
      </c>
      <c r="C1029">
        <v>10567840</v>
      </c>
    </row>
    <row r="1030" spans="1:3">
      <c r="A1030">
        <v>1029</v>
      </c>
      <c r="B1030">
        <v>10588410</v>
      </c>
      <c r="C1030">
        <v>10588410</v>
      </c>
    </row>
    <row r="1031" spans="1:3">
      <c r="A1031">
        <v>1030</v>
      </c>
      <c r="B1031">
        <v>10609000</v>
      </c>
      <c r="C1031">
        <v>10609000</v>
      </c>
    </row>
    <row r="1032" spans="1:3">
      <c r="A1032">
        <v>1031</v>
      </c>
      <c r="B1032">
        <v>10629610</v>
      </c>
      <c r="C1032">
        <v>10629610</v>
      </c>
    </row>
    <row r="1033" spans="1:3">
      <c r="A1033">
        <v>1032</v>
      </c>
      <c r="B1033">
        <v>10650240</v>
      </c>
      <c r="C1033">
        <v>10650240</v>
      </c>
    </row>
    <row r="1034" spans="1:3">
      <c r="A1034">
        <v>1033</v>
      </c>
      <c r="B1034">
        <v>10670890</v>
      </c>
      <c r="C1034">
        <v>10670890</v>
      </c>
    </row>
    <row r="1035" spans="1:3">
      <c r="A1035">
        <v>1034</v>
      </c>
      <c r="B1035">
        <v>10691560</v>
      </c>
      <c r="C1035">
        <v>10691560</v>
      </c>
    </row>
    <row r="1036" spans="1:3">
      <c r="A1036">
        <v>1035</v>
      </c>
      <c r="B1036">
        <v>10712250</v>
      </c>
      <c r="C1036">
        <v>10712250</v>
      </c>
    </row>
    <row r="1037" spans="1:3">
      <c r="A1037">
        <v>1036</v>
      </c>
      <c r="B1037">
        <v>10732960</v>
      </c>
      <c r="C1037">
        <v>10732960</v>
      </c>
    </row>
    <row r="1038" spans="1:3">
      <c r="A1038">
        <v>1037</v>
      </c>
      <c r="B1038">
        <v>10753690</v>
      </c>
      <c r="C1038">
        <v>10753690</v>
      </c>
    </row>
    <row r="1039" spans="1:3">
      <c r="A1039">
        <v>1038</v>
      </c>
      <c r="B1039">
        <v>10774440</v>
      </c>
      <c r="C1039">
        <v>10774440</v>
      </c>
    </row>
    <row r="1040" spans="1:3">
      <c r="A1040">
        <v>1039</v>
      </c>
      <c r="B1040">
        <v>10795210</v>
      </c>
      <c r="C1040">
        <v>10795210</v>
      </c>
    </row>
    <row r="1041" spans="1:3">
      <c r="A1041">
        <v>1040</v>
      </c>
      <c r="B1041">
        <v>10816000</v>
      </c>
      <c r="C1041">
        <v>10816000</v>
      </c>
    </row>
    <row r="1042" spans="1:3">
      <c r="A1042">
        <v>1041</v>
      </c>
      <c r="B1042">
        <v>10836810</v>
      </c>
      <c r="C1042">
        <v>10836810</v>
      </c>
    </row>
    <row r="1043" spans="1:3">
      <c r="A1043">
        <v>1042</v>
      </c>
      <c r="B1043">
        <v>10857640</v>
      </c>
      <c r="C1043">
        <v>10857640</v>
      </c>
    </row>
    <row r="1044" spans="1:3">
      <c r="A1044">
        <v>1043</v>
      </c>
      <c r="B1044">
        <v>10878490</v>
      </c>
      <c r="C1044">
        <v>10878490</v>
      </c>
    </row>
    <row r="1045" spans="1:3">
      <c r="A1045">
        <v>1044</v>
      </c>
      <c r="B1045">
        <v>10899360</v>
      </c>
      <c r="C1045">
        <v>10899360</v>
      </c>
    </row>
    <row r="1046" spans="1:3">
      <c r="A1046">
        <v>1045</v>
      </c>
      <c r="B1046">
        <v>10920250</v>
      </c>
      <c r="C1046">
        <v>10920250</v>
      </c>
    </row>
    <row r="1047" spans="1:3">
      <c r="A1047">
        <v>1046</v>
      </c>
      <c r="B1047">
        <v>10941160</v>
      </c>
      <c r="C1047">
        <v>10941160</v>
      </c>
    </row>
    <row r="1048" spans="1:3">
      <c r="A1048">
        <v>1047</v>
      </c>
      <c r="B1048">
        <v>10962090</v>
      </c>
      <c r="C1048">
        <v>10962090</v>
      </c>
    </row>
    <row r="1049" spans="1:3">
      <c r="A1049">
        <v>1048</v>
      </c>
      <c r="B1049">
        <v>10983040</v>
      </c>
      <c r="C1049">
        <v>10983040</v>
      </c>
    </row>
    <row r="1050" spans="1:3">
      <c r="A1050">
        <v>1049</v>
      </c>
      <c r="B1050">
        <v>11004010</v>
      </c>
      <c r="C1050">
        <v>11004010</v>
      </c>
    </row>
    <row r="1051" spans="1:3">
      <c r="A1051">
        <v>1050</v>
      </c>
      <c r="B1051">
        <v>11025000</v>
      </c>
      <c r="C1051">
        <v>11025000</v>
      </c>
    </row>
    <row r="1052" spans="1:3">
      <c r="A1052">
        <v>1051</v>
      </c>
      <c r="B1052">
        <v>11046010</v>
      </c>
      <c r="C1052">
        <v>11046010</v>
      </c>
    </row>
    <row r="1053" spans="1:3">
      <c r="A1053">
        <v>1052</v>
      </c>
      <c r="B1053">
        <v>11067040</v>
      </c>
      <c r="C1053">
        <v>11067040</v>
      </c>
    </row>
    <row r="1054" spans="1:3">
      <c r="A1054">
        <v>1053</v>
      </c>
      <c r="B1054">
        <v>11088090</v>
      </c>
      <c r="C1054">
        <v>11088090</v>
      </c>
    </row>
    <row r="1055" spans="1:3">
      <c r="A1055">
        <v>1054</v>
      </c>
      <c r="B1055">
        <v>11109160</v>
      </c>
      <c r="C1055">
        <v>11109160</v>
      </c>
    </row>
    <row r="1056" spans="1:3">
      <c r="A1056">
        <v>1055</v>
      </c>
      <c r="B1056">
        <v>11130250</v>
      </c>
      <c r="C1056">
        <v>11130250</v>
      </c>
    </row>
    <row r="1057" spans="1:3">
      <c r="A1057">
        <v>1056</v>
      </c>
      <c r="B1057">
        <v>11151360</v>
      </c>
      <c r="C1057">
        <v>11151360</v>
      </c>
    </row>
    <row r="1058" spans="1:3">
      <c r="A1058">
        <v>1057</v>
      </c>
      <c r="B1058">
        <v>11172490</v>
      </c>
      <c r="C1058">
        <v>11172490</v>
      </c>
    </row>
    <row r="1059" spans="1:3">
      <c r="A1059">
        <v>1058</v>
      </c>
      <c r="B1059">
        <v>11193640</v>
      </c>
      <c r="C1059">
        <v>11193640</v>
      </c>
    </row>
    <row r="1060" spans="1:3">
      <c r="A1060">
        <v>1059</v>
      </c>
      <c r="B1060">
        <v>11214810</v>
      </c>
      <c r="C1060">
        <v>11214810</v>
      </c>
    </row>
    <row r="1061" spans="1:3">
      <c r="A1061">
        <v>1060</v>
      </c>
      <c r="B1061">
        <v>11236000</v>
      </c>
      <c r="C1061">
        <v>11236000</v>
      </c>
    </row>
    <row r="1062" spans="1:3">
      <c r="A1062">
        <v>1061</v>
      </c>
      <c r="B1062">
        <v>11257210</v>
      </c>
      <c r="C1062">
        <v>11257210</v>
      </c>
    </row>
    <row r="1063" spans="1:3">
      <c r="A1063">
        <v>1062</v>
      </c>
      <c r="B1063">
        <v>11278440</v>
      </c>
      <c r="C1063">
        <v>11278440</v>
      </c>
    </row>
    <row r="1064" spans="1:3">
      <c r="A1064">
        <v>1063</v>
      </c>
      <c r="B1064">
        <v>11299690</v>
      </c>
      <c r="C1064">
        <v>11299690</v>
      </c>
    </row>
    <row r="1065" spans="1:3">
      <c r="A1065">
        <v>1064</v>
      </c>
      <c r="B1065">
        <v>11320960</v>
      </c>
      <c r="C1065">
        <v>11320960</v>
      </c>
    </row>
    <row r="1066" spans="1:3">
      <c r="A1066">
        <v>1065</v>
      </c>
      <c r="B1066">
        <v>11342250</v>
      </c>
      <c r="C1066">
        <v>11342250</v>
      </c>
    </row>
    <row r="1067" spans="1:3">
      <c r="A1067">
        <v>1066</v>
      </c>
      <c r="B1067">
        <v>11363560</v>
      </c>
      <c r="C1067">
        <v>11363560</v>
      </c>
    </row>
    <row r="1068" spans="1:3">
      <c r="A1068">
        <v>1067</v>
      </c>
      <c r="B1068">
        <v>11384890</v>
      </c>
      <c r="C1068">
        <v>11384890</v>
      </c>
    </row>
    <row r="1069" spans="1:3">
      <c r="A1069">
        <v>1068</v>
      </c>
      <c r="B1069">
        <v>11406240</v>
      </c>
      <c r="C1069">
        <v>11406240</v>
      </c>
    </row>
    <row r="1070" spans="1:3">
      <c r="A1070">
        <v>1069</v>
      </c>
      <c r="B1070">
        <v>11427610</v>
      </c>
      <c r="C1070">
        <v>11427610</v>
      </c>
    </row>
    <row r="1071" spans="1:3">
      <c r="A1071">
        <v>1070</v>
      </c>
      <c r="B1071">
        <v>11449000</v>
      </c>
      <c r="C1071">
        <v>11449000</v>
      </c>
    </row>
    <row r="1072" spans="1:3">
      <c r="A1072">
        <v>1071</v>
      </c>
      <c r="B1072">
        <v>11470410</v>
      </c>
      <c r="C1072">
        <v>11470410</v>
      </c>
    </row>
    <row r="1073" spans="1:3">
      <c r="A1073">
        <v>1072</v>
      </c>
      <c r="B1073">
        <v>11491840</v>
      </c>
      <c r="C1073">
        <v>11491840</v>
      </c>
    </row>
    <row r="1074" spans="1:3">
      <c r="A1074">
        <v>1073</v>
      </c>
      <c r="B1074">
        <v>11513290</v>
      </c>
      <c r="C1074">
        <v>11513290</v>
      </c>
    </row>
    <row r="1075" spans="1:3">
      <c r="A1075">
        <v>1074</v>
      </c>
      <c r="B1075">
        <v>11534760</v>
      </c>
      <c r="C1075">
        <v>11534760</v>
      </c>
    </row>
    <row r="1076" spans="1:3">
      <c r="A1076">
        <v>1075</v>
      </c>
      <c r="B1076">
        <v>11556250</v>
      </c>
      <c r="C1076">
        <v>11556250</v>
      </c>
    </row>
    <row r="1077" spans="1:3">
      <c r="A1077">
        <v>1076</v>
      </c>
      <c r="B1077">
        <v>11577760</v>
      </c>
      <c r="C1077">
        <v>11577760</v>
      </c>
    </row>
    <row r="1078" spans="1:3">
      <c r="A1078">
        <v>1077</v>
      </c>
      <c r="B1078">
        <v>11599290</v>
      </c>
      <c r="C1078">
        <v>11599290</v>
      </c>
    </row>
    <row r="1079" spans="1:3">
      <c r="A1079">
        <v>1078</v>
      </c>
      <c r="B1079">
        <v>11620840</v>
      </c>
      <c r="C1079">
        <v>11620840</v>
      </c>
    </row>
    <row r="1080" spans="1:3">
      <c r="A1080">
        <v>1079</v>
      </c>
      <c r="B1080">
        <v>11642410</v>
      </c>
      <c r="C1080">
        <v>11642410</v>
      </c>
    </row>
    <row r="1081" spans="1:3">
      <c r="A1081">
        <v>1080</v>
      </c>
      <c r="B1081">
        <v>11664000</v>
      </c>
      <c r="C1081">
        <v>11664000</v>
      </c>
    </row>
    <row r="1082" spans="1:3">
      <c r="A1082">
        <v>1081</v>
      </c>
      <c r="B1082">
        <v>11685610</v>
      </c>
      <c r="C1082">
        <v>11685610</v>
      </c>
    </row>
    <row r="1083" spans="1:3">
      <c r="A1083">
        <v>1082</v>
      </c>
      <c r="B1083">
        <v>11707240</v>
      </c>
      <c r="C1083">
        <v>11707240</v>
      </c>
    </row>
    <row r="1084" spans="1:3">
      <c r="A1084">
        <v>1083</v>
      </c>
      <c r="B1084">
        <v>11728890</v>
      </c>
      <c r="C1084">
        <v>11728890</v>
      </c>
    </row>
    <row r="1085" spans="1:3">
      <c r="A1085">
        <v>1084</v>
      </c>
      <c r="B1085">
        <v>11750560</v>
      </c>
      <c r="C1085">
        <v>11750560</v>
      </c>
    </row>
    <row r="1086" spans="1:3">
      <c r="A1086">
        <v>1085</v>
      </c>
      <c r="B1086">
        <v>11772250</v>
      </c>
      <c r="C1086">
        <v>11772250</v>
      </c>
    </row>
    <row r="1087" spans="1:3">
      <c r="A1087">
        <v>1086</v>
      </c>
      <c r="B1087">
        <v>11793960</v>
      </c>
      <c r="C1087">
        <v>11793960</v>
      </c>
    </row>
    <row r="1088" spans="1:3">
      <c r="A1088">
        <v>1087</v>
      </c>
      <c r="B1088">
        <v>11815690</v>
      </c>
      <c r="C1088">
        <v>11815690</v>
      </c>
    </row>
    <row r="1089" spans="1:3">
      <c r="A1089">
        <v>1088</v>
      </c>
      <c r="B1089">
        <v>11837440</v>
      </c>
      <c r="C1089">
        <v>11837440</v>
      </c>
    </row>
    <row r="1090" spans="1:3">
      <c r="A1090">
        <v>1089</v>
      </c>
      <c r="B1090">
        <v>11859210</v>
      </c>
      <c r="C1090">
        <v>11859210</v>
      </c>
    </row>
    <row r="1091" spans="1:3">
      <c r="A1091">
        <v>1090</v>
      </c>
      <c r="B1091">
        <v>11881000</v>
      </c>
      <c r="C1091">
        <v>11881000</v>
      </c>
    </row>
    <row r="1092" spans="1:3">
      <c r="A1092">
        <v>1091</v>
      </c>
      <c r="B1092">
        <v>11902810</v>
      </c>
      <c r="C1092">
        <v>11902810</v>
      </c>
    </row>
    <row r="1093" spans="1:3">
      <c r="A1093">
        <v>1092</v>
      </c>
      <c r="B1093">
        <v>11924640</v>
      </c>
      <c r="C1093">
        <v>11924640</v>
      </c>
    </row>
    <row r="1094" spans="1:3">
      <c r="A1094">
        <v>1093</v>
      </c>
      <c r="B1094">
        <v>11946490</v>
      </c>
      <c r="C1094">
        <v>11946490</v>
      </c>
    </row>
    <row r="1095" spans="1:3">
      <c r="A1095">
        <v>1094</v>
      </c>
      <c r="B1095">
        <v>11968360</v>
      </c>
      <c r="C1095">
        <v>11968360</v>
      </c>
    </row>
    <row r="1096" spans="1:3">
      <c r="A1096">
        <v>1095</v>
      </c>
      <c r="B1096">
        <v>11990250</v>
      </c>
      <c r="C1096">
        <v>11990250</v>
      </c>
    </row>
    <row r="1097" spans="1:3">
      <c r="A1097">
        <v>1096</v>
      </c>
      <c r="B1097">
        <v>12012160</v>
      </c>
      <c r="C1097">
        <v>12012160</v>
      </c>
    </row>
    <row r="1098" spans="1:3">
      <c r="A1098">
        <v>1097</v>
      </c>
      <c r="B1098">
        <v>12034090</v>
      </c>
      <c r="C1098">
        <v>12034090</v>
      </c>
    </row>
    <row r="1099" spans="1:3">
      <c r="A1099">
        <v>1098</v>
      </c>
      <c r="B1099">
        <v>12056040</v>
      </c>
      <c r="C1099">
        <v>12056040</v>
      </c>
    </row>
    <row r="1100" spans="1:3">
      <c r="A1100">
        <v>1099</v>
      </c>
      <c r="B1100">
        <v>12078010</v>
      </c>
      <c r="C1100">
        <v>12078010</v>
      </c>
    </row>
    <row r="1101" spans="1:3">
      <c r="A1101">
        <v>1100</v>
      </c>
      <c r="B1101">
        <v>12100000</v>
      </c>
      <c r="C1101">
        <v>12100000</v>
      </c>
    </row>
    <row r="1102" spans="1:3">
      <c r="A1102">
        <v>1101</v>
      </c>
      <c r="B1102">
        <v>12122010</v>
      </c>
      <c r="C1102">
        <v>12122010</v>
      </c>
    </row>
    <row r="1103" spans="1:3">
      <c r="A1103">
        <v>1102</v>
      </c>
      <c r="B1103">
        <v>12144040</v>
      </c>
      <c r="C1103">
        <v>12144040</v>
      </c>
    </row>
    <row r="1104" spans="1:3">
      <c r="A1104">
        <v>1103</v>
      </c>
      <c r="B1104">
        <v>12166090</v>
      </c>
      <c r="C1104">
        <v>12166090</v>
      </c>
    </row>
    <row r="1105" spans="1:3">
      <c r="A1105">
        <v>1104</v>
      </c>
      <c r="B1105">
        <v>12188160</v>
      </c>
      <c r="C1105">
        <v>12188160</v>
      </c>
    </row>
    <row r="1106" spans="1:3">
      <c r="A1106">
        <v>1105</v>
      </c>
      <c r="B1106">
        <v>12210250</v>
      </c>
      <c r="C1106">
        <v>12210250</v>
      </c>
    </row>
    <row r="1107" spans="1:3">
      <c r="A1107">
        <v>1106</v>
      </c>
      <c r="B1107">
        <v>12232360</v>
      </c>
      <c r="C1107">
        <v>12232360</v>
      </c>
    </row>
    <row r="1108" spans="1:3">
      <c r="A1108">
        <v>1107</v>
      </c>
      <c r="B1108">
        <v>12254490</v>
      </c>
      <c r="C1108">
        <v>12254490</v>
      </c>
    </row>
    <row r="1109" spans="1:3">
      <c r="A1109">
        <v>1108</v>
      </c>
      <c r="B1109">
        <v>12276640</v>
      </c>
      <c r="C1109">
        <v>12276640</v>
      </c>
    </row>
    <row r="1110" spans="1:3">
      <c r="A1110">
        <v>1109</v>
      </c>
      <c r="B1110">
        <v>12298810</v>
      </c>
      <c r="C1110">
        <v>12298810</v>
      </c>
    </row>
    <row r="1111" spans="1:3">
      <c r="A1111">
        <v>1110</v>
      </c>
      <c r="B1111">
        <v>12321000</v>
      </c>
      <c r="C1111">
        <v>12321000</v>
      </c>
    </row>
    <row r="1112" spans="1:3">
      <c r="A1112">
        <v>1111</v>
      </c>
      <c r="B1112">
        <v>12343210</v>
      </c>
      <c r="C1112">
        <v>12343210</v>
      </c>
    </row>
    <row r="1113" spans="1:3">
      <c r="A1113">
        <v>1112</v>
      </c>
      <c r="B1113">
        <v>12365440</v>
      </c>
      <c r="C1113">
        <v>12365440</v>
      </c>
    </row>
    <row r="1114" spans="1:3">
      <c r="A1114">
        <v>1113</v>
      </c>
      <c r="B1114">
        <v>12387690</v>
      </c>
      <c r="C1114">
        <v>12387690</v>
      </c>
    </row>
    <row r="1115" spans="1:3">
      <c r="A1115">
        <v>1114</v>
      </c>
      <c r="B1115">
        <v>12409960</v>
      </c>
      <c r="C1115">
        <v>12409960</v>
      </c>
    </row>
    <row r="1116" spans="1:3">
      <c r="A1116">
        <v>1115</v>
      </c>
      <c r="B1116">
        <v>12432250</v>
      </c>
      <c r="C1116">
        <v>12432250</v>
      </c>
    </row>
    <row r="1117" spans="1:3">
      <c r="A1117">
        <v>1116</v>
      </c>
      <c r="B1117">
        <v>12454560</v>
      </c>
      <c r="C1117">
        <v>12454560</v>
      </c>
    </row>
    <row r="1118" spans="1:3">
      <c r="A1118">
        <v>1117</v>
      </c>
      <c r="B1118">
        <v>12476890</v>
      </c>
      <c r="C1118">
        <v>12476890</v>
      </c>
    </row>
    <row r="1119" spans="1:3">
      <c r="A1119">
        <v>1118</v>
      </c>
      <c r="B1119">
        <v>12499240</v>
      </c>
      <c r="C1119">
        <v>12499240</v>
      </c>
    </row>
    <row r="1120" spans="1:3">
      <c r="A1120">
        <v>1119</v>
      </c>
      <c r="B1120">
        <v>12521610</v>
      </c>
      <c r="C1120">
        <v>12521610</v>
      </c>
    </row>
    <row r="1121" spans="1:3">
      <c r="A1121">
        <v>1120</v>
      </c>
      <c r="B1121">
        <v>12544000</v>
      </c>
      <c r="C1121">
        <v>12544000</v>
      </c>
    </row>
    <row r="1122" spans="1:3">
      <c r="A1122">
        <v>1121</v>
      </c>
      <c r="B1122">
        <v>12566410</v>
      </c>
      <c r="C1122">
        <v>12566410</v>
      </c>
    </row>
    <row r="1123" spans="1:3">
      <c r="A1123">
        <v>1122</v>
      </c>
      <c r="B1123">
        <v>12588840</v>
      </c>
      <c r="C1123">
        <v>12588840</v>
      </c>
    </row>
    <row r="1124" spans="1:3">
      <c r="A1124">
        <v>1123</v>
      </c>
      <c r="B1124">
        <v>12611290</v>
      </c>
      <c r="C1124">
        <v>12611290</v>
      </c>
    </row>
    <row r="1125" spans="1:3">
      <c r="A1125">
        <v>1124</v>
      </c>
      <c r="B1125">
        <v>12633760</v>
      </c>
      <c r="C1125">
        <v>12633760</v>
      </c>
    </row>
    <row r="1126" spans="1:3">
      <c r="A1126">
        <v>1125</v>
      </c>
      <c r="B1126">
        <v>12656250</v>
      </c>
      <c r="C1126">
        <v>12656250</v>
      </c>
    </row>
    <row r="1127" spans="1:3">
      <c r="A1127">
        <v>1126</v>
      </c>
      <c r="B1127">
        <v>12678760</v>
      </c>
      <c r="C1127">
        <v>12678760</v>
      </c>
    </row>
    <row r="1128" spans="1:3">
      <c r="A1128">
        <v>1127</v>
      </c>
      <c r="B1128">
        <v>12701290</v>
      </c>
      <c r="C1128">
        <v>12701290</v>
      </c>
    </row>
    <row r="1129" spans="1:3">
      <c r="A1129">
        <v>1128</v>
      </c>
      <c r="B1129">
        <v>12723840</v>
      </c>
      <c r="C1129">
        <v>12723840</v>
      </c>
    </row>
    <row r="1130" spans="1:3">
      <c r="A1130">
        <v>1129</v>
      </c>
      <c r="B1130">
        <v>12746410</v>
      </c>
      <c r="C1130">
        <v>12746410</v>
      </c>
    </row>
    <row r="1131" spans="1:3">
      <c r="A1131">
        <v>1130</v>
      </c>
      <c r="B1131">
        <v>12769000</v>
      </c>
      <c r="C1131">
        <v>12769000</v>
      </c>
    </row>
    <row r="1132" spans="1:3">
      <c r="A1132">
        <v>1131</v>
      </c>
      <c r="B1132">
        <v>12791610</v>
      </c>
      <c r="C1132">
        <v>12791610</v>
      </c>
    </row>
    <row r="1133" spans="1:3">
      <c r="A1133">
        <v>1132</v>
      </c>
      <c r="B1133">
        <v>12814240</v>
      </c>
      <c r="C1133">
        <v>12814240</v>
      </c>
    </row>
    <row r="1134" spans="1:3">
      <c r="A1134">
        <v>1133</v>
      </c>
      <c r="B1134">
        <v>12836890</v>
      </c>
      <c r="C1134">
        <v>12836890</v>
      </c>
    </row>
    <row r="1135" spans="1:3">
      <c r="A1135">
        <v>1134</v>
      </c>
      <c r="B1135">
        <v>12859560</v>
      </c>
      <c r="C1135">
        <v>12859560</v>
      </c>
    </row>
    <row r="1136" spans="1:3">
      <c r="A1136">
        <v>1135</v>
      </c>
      <c r="B1136">
        <v>12882250</v>
      </c>
      <c r="C1136">
        <v>12882250</v>
      </c>
    </row>
    <row r="1137" spans="1:3">
      <c r="A1137">
        <v>1136</v>
      </c>
      <c r="B1137">
        <v>12904960</v>
      </c>
      <c r="C1137">
        <v>12904960</v>
      </c>
    </row>
    <row r="1138" spans="1:3">
      <c r="A1138">
        <v>1137</v>
      </c>
      <c r="B1138">
        <v>12927690</v>
      </c>
      <c r="C1138">
        <v>12927690</v>
      </c>
    </row>
    <row r="1139" spans="1:3">
      <c r="A1139">
        <v>1138</v>
      </c>
      <c r="B1139">
        <v>12950440</v>
      </c>
      <c r="C1139">
        <v>12950440</v>
      </c>
    </row>
    <row r="1140" spans="1:3">
      <c r="A1140">
        <v>1139</v>
      </c>
      <c r="B1140">
        <v>12973210</v>
      </c>
      <c r="C1140">
        <v>12973210</v>
      </c>
    </row>
    <row r="1141" spans="1:3">
      <c r="A1141">
        <v>1140</v>
      </c>
      <c r="B1141">
        <v>12996000</v>
      </c>
      <c r="C1141">
        <v>12996000</v>
      </c>
    </row>
    <row r="1142" spans="1:3">
      <c r="A1142">
        <v>1141</v>
      </c>
      <c r="B1142">
        <v>13018810</v>
      </c>
      <c r="C1142">
        <v>13018810</v>
      </c>
    </row>
    <row r="1143" spans="1:3">
      <c r="A1143">
        <v>1142</v>
      </c>
      <c r="B1143">
        <v>13041640</v>
      </c>
      <c r="C1143">
        <v>13041640</v>
      </c>
    </row>
    <row r="1144" spans="1:3">
      <c r="A1144">
        <v>1143</v>
      </c>
      <c r="B1144">
        <v>13064490</v>
      </c>
      <c r="C1144">
        <v>13064490</v>
      </c>
    </row>
    <row r="1145" spans="1:3">
      <c r="A1145">
        <v>1144</v>
      </c>
      <c r="B1145">
        <v>13087360</v>
      </c>
      <c r="C1145">
        <v>13087360</v>
      </c>
    </row>
    <row r="1146" spans="1:3">
      <c r="A1146">
        <v>1145</v>
      </c>
      <c r="B1146">
        <v>13110250</v>
      </c>
      <c r="C1146">
        <v>13110250</v>
      </c>
    </row>
    <row r="1147" spans="1:3">
      <c r="A1147">
        <v>1146</v>
      </c>
      <c r="B1147">
        <v>13133160</v>
      </c>
      <c r="C1147">
        <v>13133160</v>
      </c>
    </row>
    <row r="1148" spans="1:3">
      <c r="A1148">
        <v>1147</v>
      </c>
      <c r="B1148">
        <v>13156090</v>
      </c>
      <c r="C1148">
        <v>13156090</v>
      </c>
    </row>
    <row r="1149" spans="1:3">
      <c r="A1149">
        <v>1148</v>
      </c>
      <c r="B1149">
        <v>13179040</v>
      </c>
      <c r="C1149">
        <v>13179040</v>
      </c>
    </row>
    <row r="1150" spans="1:3">
      <c r="A1150">
        <v>1149</v>
      </c>
      <c r="B1150">
        <v>13202010</v>
      </c>
      <c r="C1150">
        <v>13202010</v>
      </c>
    </row>
    <row r="1151" spans="1:3">
      <c r="A1151">
        <v>1150</v>
      </c>
      <c r="B1151">
        <v>13225000</v>
      </c>
      <c r="C1151">
        <v>13225000</v>
      </c>
    </row>
    <row r="1152" spans="1:3">
      <c r="A1152">
        <v>1151</v>
      </c>
      <c r="B1152">
        <v>13248010</v>
      </c>
      <c r="C1152">
        <v>13248010</v>
      </c>
    </row>
    <row r="1153" spans="1:3">
      <c r="A1153">
        <v>1152</v>
      </c>
      <c r="B1153">
        <v>13271040</v>
      </c>
      <c r="C1153">
        <v>13271040</v>
      </c>
    </row>
    <row r="1154" spans="1:3">
      <c r="A1154">
        <v>1153</v>
      </c>
      <c r="B1154">
        <v>13294090</v>
      </c>
      <c r="C1154">
        <v>13294090</v>
      </c>
    </row>
    <row r="1155" spans="1:3">
      <c r="A1155">
        <v>1154</v>
      </c>
      <c r="B1155">
        <v>13317160</v>
      </c>
      <c r="C1155">
        <v>13317160</v>
      </c>
    </row>
    <row r="1156" spans="1:3">
      <c r="A1156">
        <v>1155</v>
      </c>
      <c r="B1156">
        <v>13340250</v>
      </c>
      <c r="C1156">
        <v>13340250</v>
      </c>
    </row>
    <row r="1157" spans="1:3">
      <c r="A1157">
        <v>1156</v>
      </c>
      <c r="B1157">
        <v>13363360</v>
      </c>
      <c r="C1157">
        <v>13363360</v>
      </c>
    </row>
    <row r="1158" spans="1:3">
      <c r="A1158">
        <v>1157</v>
      </c>
      <c r="B1158">
        <v>13386490</v>
      </c>
      <c r="C1158">
        <v>13386490</v>
      </c>
    </row>
    <row r="1159" spans="1:3">
      <c r="A1159">
        <v>1158</v>
      </c>
      <c r="B1159">
        <v>13409640</v>
      </c>
      <c r="C1159">
        <v>13409640</v>
      </c>
    </row>
    <row r="1160" spans="1:3">
      <c r="A1160">
        <v>1159</v>
      </c>
      <c r="B1160">
        <v>13432810</v>
      </c>
      <c r="C1160">
        <v>13432810</v>
      </c>
    </row>
    <row r="1161" spans="1:3">
      <c r="A1161">
        <v>1160</v>
      </c>
      <c r="B1161">
        <v>13456000</v>
      </c>
      <c r="C1161">
        <v>13456000</v>
      </c>
    </row>
    <row r="1162" spans="1:3">
      <c r="A1162">
        <v>1161</v>
      </c>
      <c r="B1162">
        <v>13479210</v>
      </c>
      <c r="C1162">
        <v>13479210</v>
      </c>
    </row>
    <row r="1163" spans="1:3">
      <c r="A1163">
        <v>1162</v>
      </c>
      <c r="B1163">
        <v>13502440</v>
      </c>
      <c r="C1163">
        <v>13502440</v>
      </c>
    </row>
    <row r="1164" spans="1:3">
      <c r="A1164">
        <v>1163</v>
      </c>
      <c r="B1164">
        <v>13525690</v>
      </c>
      <c r="C1164">
        <v>13525690</v>
      </c>
    </row>
    <row r="1165" spans="1:3">
      <c r="A1165">
        <v>1164</v>
      </c>
      <c r="B1165">
        <v>13548960</v>
      </c>
      <c r="C1165">
        <v>13548960</v>
      </c>
    </row>
    <row r="1166" spans="1:3">
      <c r="A1166">
        <v>1165</v>
      </c>
      <c r="B1166">
        <v>13572250</v>
      </c>
      <c r="C1166">
        <v>13572250</v>
      </c>
    </row>
    <row r="1167" spans="1:3">
      <c r="A1167">
        <v>1166</v>
      </c>
      <c r="B1167">
        <v>13595560</v>
      </c>
      <c r="C1167">
        <v>13595560</v>
      </c>
    </row>
    <row r="1168" spans="1:3">
      <c r="A1168">
        <v>1167</v>
      </c>
      <c r="B1168">
        <v>13618890</v>
      </c>
      <c r="C1168">
        <v>13618890</v>
      </c>
    </row>
    <row r="1169" spans="1:3">
      <c r="A1169">
        <v>1168</v>
      </c>
      <c r="B1169">
        <v>13642240</v>
      </c>
      <c r="C1169">
        <v>13642240</v>
      </c>
    </row>
    <row r="1170" spans="1:3">
      <c r="A1170">
        <v>1169</v>
      </c>
      <c r="B1170">
        <v>13665610</v>
      </c>
      <c r="C1170">
        <v>13665610</v>
      </c>
    </row>
    <row r="1171" spans="1:3">
      <c r="A1171">
        <v>1170</v>
      </c>
      <c r="B1171">
        <v>13689000</v>
      </c>
      <c r="C1171">
        <v>13689000</v>
      </c>
    </row>
    <row r="1172" spans="1:3">
      <c r="A1172">
        <v>1171</v>
      </c>
      <c r="B1172">
        <v>13712410</v>
      </c>
      <c r="C1172">
        <v>13712410</v>
      </c>
    </row>
    <row r="1173" spans="1:3">
      <c r="A1173">
        <v>1172</v>
      </c>
      <c r="B1173">
        <v>13735840</v>
      </c>
      <c r="C1173">
        <v>13735840</v>
      </c>
    </row>
    <row r="1174" spans="1:3">
      <c r="A1174">
        <v>1173</v>
      </c>
      <c r="B1174">
        <v>13759290</v>
      </c>
      <c r="C1174">
        <v>13759290</v>
      </c>
    </row>
    <row r="1175" spans="1:3">
      <c r="A1175">
        <v>1174</v>
      </c>
      <c r="B1175">
        <v>13782760</v>
      </c>
      <c r="C1175">
        <v>13782760</v>
      </c>
    </row>
    <row r="1176" spans="1:3">
      <c r="A1176">
        <v>1175</v>
      </c>
      <c r="B1176">
        <v>13806250</v>
      </c>
      <c r="C1176">
        <v>13806250</v>
      </c>
    </row>
    <row r="1177" spans="1:3">
      <c r="A1177">
        <v>1176</v>
      </c>
      <c r="B1177">
        <v>13829760</v>
      </c>
      <c r="C1177">
        <v>13829760</v>
      </c>
    </row>
    <row r="1178" spans="1:3">
      <c r="A1178">
        <v>1177</v>
      </c>
      <c r="B1178">
        <v>13853290</v>
      </c>
      <c r="C1178">
        <v>13853290</v>
      </c>
    </row>
    <row r="1179" spans="1:3">
      <c r="A1179">
        <v>1178</v>
      </c>
      <c r="B1179">
        <v>13876840</v>
      </c>
      <c r="C1179">
        <v>13876840</v>
      </c>
    </row>
    <row r="1180" spans="1:3">
      <c r="A1180">
        <v>1179</v>
      </c>
      <c r="B1180">
        <v>13900410</v>
      </c>
      <c r="C1180">
        <v>13900410</v>
      </c>
    </row>
    <row r="1181" spans="1:3">
      <c r="A1181">
        <v>1180</v>
      </c>
      <c r="B1181">
        <v>13924000</v>
      </c>
      <c r="C1181">
        <v>13924000</v>
      </c>
    </row>
    <row r="1182" spans="1:3">
      <c r="A1182">
        <v>1181</v>
      </c>
      <c r="B1182">
        <v>13947610</v>
      </c>
      <c r="C1182">
        <v>13947610</v>
      </c>
    </row>
    <row r="1183" spans="1:3">
      <c r="A1183">
        <v>1182</v>
      </c>
      <c r="B1183">
        <v>13971240</v>
      </c>
      <c r="C1183">
        <v>13971240</v>
      </c>
    </row>
    <row r="1184" spans="1:3">
      <c r="A1184">
        <v>1183</v>
      </c>
      <c r="B1184">
        <v>13994890</v>
      </c>
      <c r="C1184">
        <v>13994890</v>
      </c>
    </row>
    <row r="1185" spans="1:3">
      <c r="A1185">
        <v>1184</v>
      </c>
      <c r="B1185">
        <v>14018560</v>
      </c>
      <c r="C1185">
        <v>14018560</v>
      </c>
    </row>
    <row r="1186" spans="1:3">
      <c r="A1186">
        <v>1185</v>
      </c>
      <c r="B1186">
        <v>14042250</v>
      </c>
      <c r="C1186">
        <v>14042250</v>
      </c>
    </row>
    <row r="1187" spans="1:3">
      <c r="A1187">
        <v>1186</v>
      </c>
      <c r="B1187">
        <v>14065960</v>
      </c>
      <c r="C1187">
        <v>14065960</v>
      </c>
    </row>
    <row r="1188" spans="1:3">
      <c r="A1188">
        <v>1187</v>
      </c>
      <c r="B1188">
        <v>14089690</v>
      </c>
      <c r="C1188">
        <v>14089690</v>
      </c>
    </row>
    <row r="1189" spans="1:3">
      <c r="A1189">
        <v>1188</v>
      </c>
      <c r="B1189">
        <v>14113440</v>
      </c>
      <c r="C1189">
        <v>14113440</v>
      </c>
    </row>
    <row r="1190" spans="1:3">
      <c r="A1190">
        <v>1189</v>
      </c>
      <c r="B1190">
        <v>14137210</v>
      </c>
      <c r="C1190">
        <v>14137210</v>
      </c>
    </row>
    <row r="1191" spans="1:3">
      <c r="A1191">
        <v>1190</v>
      </c>
      <c r="B1191">
        <v>14161000</v>
      </c>
      <c r="C1191">
        <v>14161000</v>
      </c>
    </row>
    <row r="1192" spans="1:3">
      <c r="A1192">
        <v>1191</v>
      </c>
      <c r="B1192">
        <v>14184810</v>
      </c>
      <c r="C1192">
        <v>14184810</v>
      </c>
    </row>
    <row r="1193" spans="1:3">
      <c r="A1193">
        <v>1192</v>
      </c>
      <c r="B1193">
        <v>14208640</v>
      </c>
      <c r="C1193">
        <v>14208640</v>
      </c>
    </row>
    <row r="1194" spans="1:3">
      <c r="A1194">
        <v>1193</v>
      </c>
      <c r="B1194">
        <v>14232490</v>
      </c>
      <c r="C1194">
        <v>14232490</v>
      </c>
    </row>
    <row r="1195" spans="1:3">
      <c r="A1195">
        <v>1194</v>
      </c>
      <c r="B1195">
        <v>14256360</v>
      </c>
      <c r="C1195">
        <v>14256360</v>
      </c>
    </row>
    <row r="1196" spans="1:3">
      <c r="A1196">
        <v>1195</v>
      </c>
      <c r="B1196">
        <v>14280250</v>
      </c>
      <c r="C1196">
        <v>14280250</v>
      </c>
    </row>
    <row r="1197" spans="1:3">
      <c r="A1197">
        <v>1196</v>
      </c>
      <c r="B1197">
        <v>14304160</v>
      </c>
      <c r="C1197">
        <v>14304160</v>
      </c>
    </row>
    <row r="1198" spans="1:3">
      <c r="A1198">
        <v>1197</v>
      </c>
      <c r="B1198">
        <v>14328090</v>
      </c>
      <c r="C1198">
        <v>14328090</v>
      </c>
    </row>
    <row r="1199" spans="1:3">
      <c r="A1199">
        <v>1198</v>
      </c>
      <c r="B1199">
        <v>14352040</v>
      </c>
      <c r="C1199">
        <v>14352040</v>
      </c>
    </row>
    <row r="1200" spans="1:3">
      <c r="A1200">
        <v>1199</v>
      </c>
      <c r="B1200">
        <v>14376010</v>
      </c>
      <c r="C1200">
        <v>14376010</v>
      </c>
    </row>
    <row r="1201" spans="1:3">
      <c r="A1201">
        <v>1200</v>
      </c>
      <c r="B1201">
        <v>14400000</v>
      </c>
      <c r="C1201">
        <v>14400000</v>
      </c>
    </row>
    <row r="1202" spans="1:3">
      <c r="A1202">
        <v>1201</v>
      </c>
      <c r="B1202">
        <v>14424010</v>
      </c>
      <c r="C1202">
        <v>14424010</v>
      </c>
    </row>
    <row r="1203" spans="1:3">
      <c r="A1203">
        <v>1202</v>
      </c>
      <c r="B1203">
        <v>14448040</v>
      </c>
      <c r="C1203">
        <v>14448040</v>
      </c>
    </row>
    <row r="1204" spans="1:3">
      <c r="A1204">
        <v>1203</v>
      </c>
      <c r="B1204">
        <v>14472090</v>
      </c>
      <c r="C1204">
        <v>14472090</v>
      </c>
    </row>
    <row r="1205" spans="1:3">
      <c r="A1205">
        <v>1204</v>
      </c>
      <c r="B1205">
        <v>14496160</v>
      </c>
      <c r="C1205">
        <v>14496160</v>
      </c>
    </row>
    <row r="1206" spans="1:3">
      <c r="A1206">
        <v>1205</v>
      </c>
      <c r="B1206">
        <v>14520250</v>
      </c>
      <c r="C1206">
        <v>14520250</v>
      </c>
    </row>
    <row r="1207" spans="1:3">
      <c r="A1207">
        <v>1206</v>
      </c>
      <c r="B1207">
        <v>14544360</v>
      </c>
      <c r="C1207">
        <v>14544360</v>
      </c>
    </row>
    <row r="1208" spans="1:3">
      <c r="A1208">
        <v>1207</v>
      </c>
      <c r="B1208">
        <v>14568490</v>
      </c>
      <c r="C1208">
        <v>14568490</v>
      </c>
    </row>
    <row r="1209" spans="1:3">
      <c r="A1209">
        <v>1208</v>
      </c>
      <c r="B1209">
        <v>14592640</v>
      </c>
      <c r="C1209">
        <v>14592640</v>
      </c>
    </row>
    <row r="1210" spans="1:3">
      <c r="A1210">
        <v>1209</v>
      </c>
      <c r="B1210">
        <v>14616810</v>
      </c>
      <c r="C1210">
        <v>14616810</v>
      </c>
    </row>
    <row r="1211" spans="1:3">
      <c r="A1211">
        <v>1210</v>
      </c>
      <c r="B1211">
        <v>14641000</v>
      </c>
      <c r="C1211">
        <v>14641000</v>
      </c>
    </row>
    <row r="1212" spans="1:3">
      <c r="A1212">
        <v>1211</v>
      </c>
      <c r="B1212">
        <v>14665210</v>
      </c>
      <c r="C1212">
        <v>14665210</v>
      </c>
    </row>
    <row r="1213" spans="1:3">
      <c r="A1213">
        <v>1212</v>
      </c>
      <c r="B1213">
        <v>14689440</v>
      </c>
      <c r="C1213">
        <v>14689440</v>
      </c>
    </row>
    <row r="1214" spans="1:3">
      <c r="A1214">
        <v>1213</v>
      </c>
      <c r="B1214">
        <v>14713690</v>
      </c>
      <c r="C1214">
        <v>14713690</v>
      </c>
    </row>
    <row r="1215" spans="1:3">
      <c r="A1215">
        <v>1214</v>
      </c>
      <c r="B1215">
        <v>14737960</v>
      </c>
      <c r="C1215">
        <v>14737960</v>
      </c>
    </row>
    <row r="1216" spans="1:3">
      <c r="A1216">
        <v>1215</v>
      </c>
      <c r="B1216">
        <v>14762250</v>
      </c>
      <c r="C1216">
        <v>14762250</v>
      </c>
    </row>
    <row r="1217" spans="1:3">
      <c r="A1217">
        <v>1216</v>
      </c>
      <c r="B1217">
        <v>14786560</v>
      </c>
      <c r="C1217">
        <v>14786560</v>
      </c>
    </row>
    <row r="1218" spans="1:3">
      <c r="A1218">
        <v>1217</v>
      </c>
      <c r="B1218">
        <v>14810890</v>
      </c>
      <c r="C1218">
        <v>14810890</v>
      </c>
    </row>
    <row r="1219" spans="1:3">
      <c r="A1219">
        <v>1218</v>
      </c>
      <c r="B1219">
        <v>14835240</v>
      </c>
      <c r="C1219">
        <v>14835240</v>
      </c>
    </row>
    <row r="1220" spans="1:3">
      <c r="A1220">
        <v>1219</v>
      </c>
      <c r="B1220">
        <v>14859610</v>
      </c>
      <c r="C1220">
        <v>14859610</v>
      </c>
    </row>
    <row r="1221" spans="1:3">
      <c r="A1221">
        <v>1220</v>
      </c>
      <c r="B1221">
        <v>14884000</v>
      </c>
      <c r="C1221">
        <v>14884000</v>
      </c>
    </row>
    <row r="1222" spans="1:3">
      <c r="A1222">
        <v>1221</v>
      </c>
      <c r="B1222">
        <v>14908410</v>
      </c>
      <c r="C1222">
        <v>14908410</v>
      </c>
    </row>
    <row r="1223" spans="1:3">
      <c r="A1223">
        <v>1222</v>
      </c>
      <c r="B1223">
        <v>14932840</v>
      </c>
      <c r="C1223">
        <v>14932840</v>
      </c>
    </row>
    <row r="1224" spans="1:3">
      <c r="A1224">
        <v>1223</v>
      </c>
      <c r="B1224">
        <v>14957290</v>
      </c>
      <c r="C1224">
        <v>14957290</v>
      </c>
    </row>
    <row r="1225" spans="1:3">
      <c r="A1225">
        <v>1224</v>
      </c>
      <c r="B1225">
        <v>14981760</v>
      </c>
      <c r="C1225">
        <v>14981760</v>
      </c>
    </row>
    <row r="1226" spans="1:3">
      <c r="A1226">
        <v>1225</v>
      </c>
      <c r="B1226">
        <v>15006250</v>
      </c>
      <c r="C1226">
        <v>15006250</v>
      </c>
    </row>
    <row r="1227" spans="1:3">
      <c r="A1227">
        <v>1226</v>
      </c>
      <c r="B1227">
        <v>15030760</v>
      </c>
      <c r="C1227">
        <v>15030760</v>
      </c>
    </row>
    <row r="1228" spans="1:3">
      <c r="A1228">
        <v>1227</v>
      </c>
      <c r="B1228">
        <v>15055290</v>
      </c>
      <c r="C1228">
        <v>15055290</v>
      </c>
    </row>
    <row r="1229" spans="1:3">
      <c r="A1229">
        <v>1228</v>
      </c>
      <c r="B1229">
        <v>15079840</v>
      </c>
      <c r="C1229">
        <v>15079840</v>
      </c>
    </row>
    <row r="1230" spans="1:3">
      <c r="A1230">
        <v>1229</v>
      </c>
      <c r="B1230">
        <v>15104410</v>
      </c>
      <c r="C1230">
        <v>15104410</v>
      </c>
    </row>
    <row r="1231" spans="1:3">
      <c r="A1231">
        <v>1230</v>
      </c>
      <c r="B1231">
        <v>15129000</v>
      </c>
      <c r="C1231">
        <v>15129000</v>
      </c>
    </row>
    <row r="1232" spans="1:3">
      <c r="A1232">
        <v>1231</v>
      </c>
      <c r="B1232">
        <v>15153610</v>
      </c>
      <c r="C1232">
        <v>15153610</v>
      </c>
    </row>
    <row r="1233" spans="1:3">
      <c r="A1233">
        <v>1232</v>
      </c>
      <c r="B1233">
        <v>15178240</v>
      </c>
      <c r="C1233">
        <v>15178240</v>
      </c>
    </row>
    <row r="1234" spans="1:3">
      <c r="A1234">
        <v>1233</v>
      </c>
      <c r="B1234">
        <v>15202890</v>
      </c>
      <c r="C1234">
        <v>15202890</v>
      </c>
    </row>
    <row r="1235" spans="1:3">
      <c r="A1235">
        <v>1234</v>
      </c>
      <c r="B1235">
        <v>15227560</v>
      </c>
      <c r="C1235">
        <v>15227560</v>
      </c>
    </row>
    <row r="1236" spans="1:3">
      <c r="A1236">
        <v>1235</v>
      </c>
      <c r="B1236">
        <v>15252250</v>
      </c>
      <c r="C1236">
        <v>15252250</v>
      </c>
    </row>
    <row r="1237" spans="1:3">
      <c r="A1237">
        <v>1236</v>
      </c>
      <c r="B1237">
        <v>15276960</v>
      </c>
      <c r="C1237">
        <v>15276960</v>
      </c>
    </row>
    <row r="1238" spans="1:3">
      <c r="A1238">
        <v>1237</v>
      </c>
      <c r="B1238">
        <v>15301690</v>
      </c>
      <c r="C1238">
        <v>15301690</v>
      </c>
    </row>
    <row r="1239" spans="1:3">
      <c r="A1239">
        <v>1238</v>
      </c>
      <c r="B1239">
        <v>15326440</v>
      </c>
      <c r="C1239">
        <v>15326440</v>
      </c>
    </row>
    <row r="1240" spans="1:3">
      <c r="A1240">
        <v>1239</v>
      </c>
      <c r="B1240">
        <v>15351210</v>
      </c>
      <c r="C1240">
        <v>15351210</v>
      </c>
    </row>
    <row r="1241" spans="1:3">
      <c r="A1241">
        <v>1240</v>
      </c>
      <c r="B1241">
        <v>15376000</v>
      </c>
      <c r="C1241">
        <v>15376000</v>
      </c>
    </row>
    <row r="1242" spans="1:3">
      <c r="A1242">
        <v>1241</v>
      </c>
      <c r="B1242">
        <v>15400810</v>
      </c>
      <c r="C1242">
        <v>15400810</v>
      </c>
    </row>
    <row r="1243" spans="1:3">
      <c r="A1243">
        <v>1242</v>
      </c>
      <c r="B1243">
        <v>15425640</v>
      </c>
      <c r="C1243">
        <v>15425640</v>
      </c>
    </row>
    <row r="1244" spans="1:3">
      <c r="A1244">
        <v>1243</v>
      </c>
      <c r="B1244">
        <v>15450490</v>
      </c>
      <c r="C1244">
        <v>15450490</v>
      </c>
    </row>
    <row r="1245" spans="1:3">
      <c r="A1245">
        <v>1244</v>
      </c>
      <c r="B1245">
        <v>15475360</v>
      </c>
      <c r="C1245">
        <v>15475360</v>
      </c>
    </row>
    <row r="1246" spans="1:3">
      <c r="A1246">
        <v>1245</v>
      </c>
      <c r="B1246">
        <v>15500250</v>
      </c>
      <c r="C1246">
        <v>15500250</v>
      </c>
    </row>
    <row r="1247" spans="1:3">
      <c r="A1247">
        <v>1246</v>
      </c>
      <c r="B1247">
        <v>15525160</v>
      </c>
      <c r="C1247">
        <v>15525160</v>
      </c>
    </row>
    <row r="1248" spans="1:3">
      <c r="A1248">
        <v>1247</v>
      </c>
      <c r="B1248">
        <v>15550090</v>
      </c>
      <c r="C1248">
        <v>15550090</v>
      </c>
    </row>
    <row r="1249" spans="1:3">
      <c r="A1249">
        <v>1248</v>
      </c>
      <c r="B1249">
        <v>15575040</v>
      </c>
      <c r="C1249">
        <v>15575040</v>
      </c>
    </row>
    <row r="1250" spans="1:3">
      <c r="A1250">
        <v>1249</v>
      </c>
      <c r="B1250">
        <v>15600010</v>
      </c>
      <c r="C1250">
        <v>15600010</v>
      </c>
    </row>
    <row r="1251" spans="1:3">
      <c r="A1251">
        <v>1250</v>
      </c>
      <c r="B1251">
        <v>15625000</v>
      </c>
      <c r="C1251">
        <v>15625000</v>
      </c>
    </row>
    <row r="1252" spans="1:3">
      <c r="A1252">
        <v>1251</v>
      </c>
      <c r="B1252">
        <v>15650010</v>
      </c>
      <c r="C1252">
        <v>15650010</v>
      </c>
    </row>
    <row r="1253" spans="1:3">
      <c r="A1253">
        <v>1252</v>
      </c>
      <c r="B1253">
        <v>15675040</v>
      </c>
      <c r="C1253">
        <v>15675040</v>
      </c>
    </row>
    <row r="1254" spans="1:3">
      <c r="A1254">
        <v>1253</v>
      </c>
      <c r="B1254">
        <v>15700090</v>
      </c>
      <c r="C1254">
        <v>15700090</v>
      </c>
    </row>
    <row r="1255" spans="1:3">
      <c r="A1255">
        <v>1254</v>
      </c>
      <c r="B1255">
        <v>15725160</v>
      </c>
      <c r="C1255">
        <v>15725160</v>
      </c>
    </row>
    <row r="1256" spans="1:3">
      <c r="A1256">
        <v>1255</v>
      </c>
      <c r="B1256">
        <v>15750250</v>
      </c>
      <c r="C1256">
        <v>15750250</v>
      </c>
    </row>
    <row r="1257" spans="1:3">
      <c r="A1257">
        <v>1256</v>
      </c>
      <c r="B1257">
        <v>15775360</v>
      </c>
      <c r="C1257">
        <v>15775360</v>
      </c>
    </row>
    <row r="1258" spans="1:3">
      <c r="A1258">
        <v>1257</v>
      </c>
      <c r="B1258">
        <v>15800490</v>
      </c>
      <c r="C1258">
        <v>15800490</v>
      </c>
    </row>
    <row r="1259" spans="1:3">
      <c r="A1259">
        <v>1258</v>
      </c>
      <c r="B1259">
        <v>15825640</v>
      </c>
      <c r="C1259">
        <v>15825640</v>
      </c>
    </row>
    <row r="1260" spans="1:3">
      <c r="A1260">
        <v>1259</v>
      </c>
      <c r="B1260">
        <v>15850810</v>
      </c>
      <c r="C1260">
        <v>15850810</v>
      </c>
    </row>
    <row r="1261" spans="1:3">
      <c r="A1261">
        <v>1260</v>
      </c>
      <c r="B1261">
        <v>15876000</v>
      </c>
      <c r="C1261">
        <v>15876000</v>
      </c>
    </row>
    <row r="1262" spans="1:3">
      <c r="A1262">
        <v>1261</v>
      </c>
      <c r="B1262">
        <v>15901210</v>
      </c>
      <c r="C1262">
        <v>15901210</v>
      </c>
    </row>
    <row r="1263" spans="1:3">
      <c r="A1263">
        <v>1262</v>
      </c>
      <c r="B1263">
        <v>15926440</v>
      </c>
      <c r="C1263">
        <v>15926440</v>
      </c>
    </row>
    <row r="1264" spans="1:3">
      <c r="A1264">
        <v>1263</v>
      </c>
      <c r="B1264">
        <v>15951690</v>
      </c>
      <c r="C1264">
        <v>15951690</v>
      </c>
    </row>
    <row r="1265" spans="1:3">
      <c r="A1265">
        <v>1264</v>
      </c>
      <c r="B1265">
        <v>15976960</v>
      </c>
      <c r="C1265">
        <v>15976960</v>
      </c>
    </row>
    <row r="1266" spans="1:3">
      <c r="A1266">
        <v>1265</v>
      </c>
      <c r="B1266">
        <v>16002250</v>
      </c>
      <c r="C1266">
        <v>16002250</v>
      </c>
    </row>
    <row r="1267" spans="1:3">
      <c r="A1267">
        <v>1266</v>
      </c>
      <c r="B1267">
        <v>16027560</v>
      </c>
      <c r="C1267">
        <v>16027560</v>
      </c>
    </row>
    <row r="1268" spans="1:3">
      <c r="A1268">
        <v>1267</v>
      </c>
      <c r="B1268">
        <v>16052890</v>
      </c>
      <c r="C1268">
        <v>16052890</v>
      </c>
    </row>
    <row r="1269" spans="1:3">
      <c r="A1269">
        <v>1268</v>
      </c>
      <c r="B1269">
        <v>16078240</v>
      </c>
      <c r="C1269">
        <v>16078240</v>
      </c>
    </row>
    <row r="1270" spans="1:3">
      <c r="A1270">
        <v>1269</v>
      </c>
      <c r="B1270">
        <v>16103610</v>
      </c>
      <c r="C1270">
        <v>16103610</v>
      </c>
    </row>
    <row r="1271" spans="1:3">
      <c r="A1271">
        <v>1270</v>
      </c>
      <c r="B1271">
        <v>16129000</v>
      </c>
      <c r="C1271">
        <v>16129000</v>
      </c>
    </row>
    <row r="1272" spans="1:3">
      <c r="A1272">
        <v>1271</v>
      </c>
      <c r="B1272">
        <v>16154410</v>
      </c>
      <c r="C1272">
        <v>16154410</v>
      </c>
    </row>
    <row r="1273" spans="1:3">
      <c r="A1273">
        <v>1272</v>
      </c>
      <c r="B1273">
        <v>16179840</v>
      </c>
      <c r="C1273">
        <v>16179840</v>
      </c>
    </row>
    <row r="1274" spans="1:3">
      <c r="A1274">
        <v>1273</v>
      </c>
      <c r="B1274">
        <v>16205290</v>
      </c>
      <c r="C1274">
        <v>16205290</v>
      </c>
    </row>
    <row r="1275" spans="1:3">
      <c r="A1275">
        <v>1274</v>
      </c>
      <c r="B1275">
        <v>16230760</v>
      </c>
      <c r="C1275">
        <v>16230760</v>
      </c>
    </row>
    <row r="1276" spans="1:3">
      <c r="A1276">
        <v>1275</v>
      </c>
      <c r="B1276">
        <v>16256250</v>
      </c>
      <c r="C1276">
        <v>16256250</v>
      </c>
    </row>
    <row r="1277" spans="1:3">
      <c r="A1277">
        <v>1276</v>
      </c>
      <c r="B1277">
        <v>16281760</v>
      </c>
      <c r="C1277">
        <v>16281760</v>
      </c>
    </row>
    <row r="1278" spans="1:3">
      <c r="A1278">
        <v>1277</v>
      </c>
      <c r="B1278">
        <v>16307290</v>
      </c>
      <c r="C1278">
        <v>16307290</v>
      </c>
    </row>
    <row r="1279" spans="1:3">
      <c r="A1279">
        <v>1278</v>
      </c>
      <c r="B1279">
        <v>16332840</v>
      </c>
      <c r="C1279">
        <v>16332840</v>
      </c>
    </row>
    <row r="1280" spans="1:3">
      <c r="A1280">
        <v>1279</v>
      </c>
      <c r="B1280">
        <v>16358410</v>
      </c>
      <c r="C1280">
        <v>16358410</v>
      </c>
    </row>
    <row r="1281" spans="1:3">
      <c r="A1281">
        <v>1280</v>
      </c>
      <c r="B1281">
        <v>16384000</v>
      </c>
      <c r="C1281">
        <v>16384000</v>
      </c>
    </row>
    <row r="1282" spans="1:3">
      <c r="A1282">
        <v>1281</v>
      </c>
      <c r="B1282">
        <v>16409610</v>
      </c>
      <c r="C1282">
        <v>16409610</v>
      </c>
    </row>
    <row r="1283" spans="1:3">
      <c r="A1283">
        <v>1282</v>
      </c>
      <c r="B1283">
        <v>16435240</v>
      </c>
      <c r="C1283">
        <v>16435240</v>
      </c>
    </row>
    <row r="1284" spans="1:3">
      <c r="A1284">
        <v>1283</v>
      </c>
      <c r="B1284">
        <v>16460890</v>
      </c>
      <c r="C1284">
        <v>16460890</v>
      </c>
    </row>
    <row r="1285" spans="1:3">
      <c r="A1285">
        <v>1284</v>
      </c>
      <c r="B1285">
        <v>16486560</v>
      </c>
      <c r="C1285">
        <v>16486560</v>
      </c>
    </row>
    <row r="1286" spans="1:3">
      <c r="A1286">
        <v>1285</v>
      </c>
      <c r="B1286">
        <v>16512250</v>
      </c>
      <c r="C1286">
        <v>16512250</v>
      </c>
    </row>
    <row r="1287" spans="1:3">
      <c r="A1287">
        <v>1286</v>
      </c>
      <c r="B1287">
        <v>16537960</v>
      </c>
      <c r="C1287">
        <v>16537960</v>
      </c>
    </row>
    <row r="1288" spans="1:3">
      <c r="A1288">
        <v>1287</v>
      </c>
      <c r="B1288">
        <v>16563690</v>
      </c>
      <c r="C1288">
        <v>16563690</v>
      </c>
    </row>
    <row r="1289" spans="1:3">
      <c r="A1289">
        <v>1288</v>
      </c>
      <c r="B1289">
        <v>16589440</v>
      </c>
      <c r="C1289">
        <v>16589440</v>
      </c>
    </row>
    <row r="1290" spans="1:3">
      <c r="A1290">
        <v>1289</v>
      </c>
      <c r="B1290">
        <v>16615210</v>
      </c>
      <c r="C1290">
        <v>16615210</v>
      </c>
    </row>
    <row r="1291" spans="1:3">
      <c r="A1291">
        <v>1290</v>
      </c>
      <c r="B1291">
        <v>16641000</v>
      </c>
      <c r="C1291">
        <v>16641000</v>
      </c>
    </row>
    <row r="1292" spans="1:3">
      <c r="A1292">
        <v>1291</v>
      </c>
      <c r="B1292">
        <v>16666810</v>
      </c>
      <c r="C1292">
        <v>16666810</v>
      </c>
    </row>
    <row r="1293" spans="1:3">
      <c r="A1293">
        <v>1292</v>
      </c>
      <c r="B1293">
        <v>16692640</v>
      </c>
      <c r="C1293">
        <v>16692640</v>
      </c>
    </row>
    <row r="1294" spans="1:3">
      <c r="A1294">
        <v>1293</v>
      </c>
      <c r="B1294">
        <v>16718490</v>
      </c>
      <c r="C1294">
        <v>16718490</v>
      </c>
    </row>
    <row r="1295" spans="1:3">
      <c r="A1295">
        <v>1294</v>
      </c>
      <c r="B1295">
        <v>16744360</v>
      </c>
      <c r="C1295">
        <v>16744360</v>
      </c>
    </row>
    <row r="1296" spans="1:3">
      <c r="A1296">
        <v>1295</v>
      </c>
      <c r="B1296">
        <v>16770250</v>
      </c>
      <c r="C1296">
        <v>16770250</v>
      </c>
    </row>
    <row r="1297" spans="1:3">
      <c r="A1297">
        <v>1296</v>
      </c>
      <c r="B1297">
        <v>16796160</v>
      </c>
      <c r="C1297">
        <v>16796160</v>
      </c>
    </row>
    <row r="1298" spans="1:3">
      <c r="A1298">
        <v>1297</v>
      </c>
      <c r="B1298">
        <v>16822090</v>
      </c>
      <c r="C1298">
        <v>16822090</v>
      </c>
    </row>
    <row r="1299" spans="1:3">
      <c r="A1299">
        <v>1298</v>
      </c>
      <c r="B1299">
        <v>16848040</v>
      </c>
      <c r="C1299">
        <v>16848040</v>
      </c>
    </row>
    <row r="1300" spans="1:3">
      <c r="A1300">
        <v>1299</v>
      </c>
      <c r="B1300">
        <v>16874010</v>
      </c>
      <c r="C1300">
        <v>16874010</v>
      </c>
    </row>
    <row r="1301" spans="1:3">
      <c r="A1301">
        <v>1300</v>
      </c>
      <c r="B1301">
        <v>16900000</v>
      </c>
      <c r="C1301">
        <v>16900000</v>
      </c>
    </row>
    <row r="1302" spans="1:3">
      <c r="A1302">
        <v>1301</v>
      </c>
      <c r="B1302">
        <v>16926010</v>
      </c>
      <c r="C1302">
        <v>16926010</v>
      </c>
    </row>
    <row r="1303" spans="1:3">
      <c r="A1303">
        <v>1302</v>
      </c>
      <c r="B1303">
        <v>16952040</v>
      </c>
      <c r="C1303">
        <v>16952040</v>
      </c>
    </row>
    <row r="1304" spans="1:3">
      <c r="A1304">
        <v>1303</v>
      </c>
      <c r="B1304">
        <v>16978090</v>
      </c>
      <c r="C1304">
        <v>16978090</v>
      </c>
    </row>
    <row r="1305" spans="1:3">
      <c r="A1305">
        <v>1304</v>
      </c>
      <c r="B1305">
        <v>17004160</v>
      </c>
      <c r="C1305">
        <v>17004160</v>
      </c>
    </row>
    <row r="1306" spans="1:3">
      <c r="A1306">
        <v>1305</v>
      </c>
      <c r="B1306">
        <v>17030250</v>
      </c>
      <c r="C1306">
        <v>17030250</v>
      </c>
    </row>
    <row r="1307" spans="1:3">
      <c r="A1307">
        <v>1306</v>
      </c>
      <c r="B1307">
        <v>17056360</v>
      </c>
      <c r="C1307">
        <v>17056360</v>
      </c>
    </row>
    <row r="1308" spans="1:3">
      <c r="A1308">
        <v>1307</v>
      </c>
      <c r="B1308">
        <v>17082490</v>
      </c>
      <c r="C1308">
        <v>17082490</v>
      </c>
    </row>
    <row r="1309" spans="1:3">
      <c r="A1309">
        <v>1308</v>
      </c>
      <c r="B1309">
        <v>17108640</v>
      </c>
      <c r="C1309">
        <v>17108640</v>
      </c>
    </row>
    <row r="1310" spans="1:3">
      <c r="A1310">
        <v>1309</v>
      </c>
      <c r="B1310">
        <v>17134810</v>
      </c>
      <c r="C1310">
        <v>17134810</v>
      </c>
    </row>
    <row r="1311" spans="1:3">
      <c r="A1311">
        <v>1310</v>
      </c>
      <c r="B1311">
        <v>17161000</v>
      </c>
      <c r="C1311">
        <v>17161000</v>
      </c>
    </row>
    <row r="1312" spans="1:3">
      <c r="A1312">
        <v>1311</v>
      </c>
      <c r="B1312">
        <v>17187210</v>
      </c>
      <c r="C1312">
        <v>17187210</v>
      </c>
    </row>
    <row r="1313" spans="1:3">
      <c r="A1313">
        <v>1312</v>
      </c>
      <c r="B1313">
        <v>17213440</v>
      </c>
      <c r="C1313">
        <v>17213440</v>
      </c>
    </row>
    <row r="1314" spans="1:3">
      <c r="A1314">
        <v>1313</v>
      </c>
      <c r="B1314">
        <v>17239690</v>
      </c>
      <c r="C1314">
        <v>17239690</v>
      </c>
    </row>
    <row r="1315" spans="1:3">
      <c r="A1315">
        <v>1314</v>
      </c>
      <c r="B1315">
        <v>17265960</v>
      </c>
      <c r="C1315">
        <v>17265960</v>
      </c>
    </row>
    <row r="1316" spans="1:3">
      <c r="A1316">
        <v>1315</v>
      </c>
      <c r="B1316">
        <v>17292250</v>
      </c>
      <c r="C1316">
        <v>17292250</v>
      </c>
    </row>
    <row r="1317" spans="1:3">
      <c r="A1317">
        <v>1316</v>
      </c>
      <c r="B1317">
        <v>17318560</v>
      </c>
      <c r="C1317">
        <v>17318560</v>
      </c>
    </row>
    <row r="1318" spans="1:3">
      <c r="A1318">
        <v>1317</v>
      </c>
      <c r="B1318">
        <v>17344890</v>
      </c>
      <c r="C1318">
        <v>17344890</v>
      </c>
    </row>
    <row r="1319" spans="1:3">
      <c r="A1319">
        <v>1318</v>
      </c>
      <c r="B1319">
        <v>17371240</v>
      </c>
      <c r="C1319">
        <v>17371240</v>
      </c>
    </row>
    <row r="1320" spans="1:3">
      <c r="A1320">
        <v>1319</v>
      </c>
      <c r="B1320">
        <v>17397610</v>
      </c>
      <c r="C1320">
        <v>17397610</v>
      </c>
    </row>
    <row r="1321" spans="1:3">
      <c r="A1321">
        <v>1320</v>
      </c>
      <c r="B1321">
        <v>17424000</v>
      </c>
      <c r="C1321">
        <v>17424000</v>
      </c>
    </row>
    <row r="1322" spans="1:3">
      <c r="A1322">
        <v>1321</v>
      </c>
      <c r="B1322">
        <v>17450410</v>
      </c>
      <c r="C1322">
        <v>17450410</v>
      </c>
    </row>
    <row r="1323" spans="1:3">
      <c r="A1323">
        <v>1322</v>
      </c>
      <c r="B1323">
        <v>17476840</v>
      </c>
      <c r="C1323">
        <v>17476840</v>
      </c>
    </row>
    <row r="1324" spans="1:3">
      <c r="A1324">
        <v>1323</v>
      </c>
      <c r="B1324">
        <v>17503290</v>
      </c>
      <c r="C1324">
        <v>17503290</v>
      </c>
    </row>
    <row r="1325" spans="1:3">
      <c r="A1325">
        <v>1324</v>
      </c>
      <c r="B1325">
        <v>17529760</v>
      </c>
      <c r="C1325">
        <v>17529760</v>
      </c>
    </row>
    <row r="1326" spans="1:3">
      <c r="A1326">
        <v>1325</v>
      </c>
      <c r="B1326">
        <v>17556250</v>
      </c>
      <c r="C1326">
        <v>17556250</v>
      </c>
    </row>
    <row r="1327" spans="1:3">
      <c r="A1327">
        <v>1326</v>
      </c>
      <c r="B1327">
        <v>17582760</v>
      </c>
      <c r="C1327">
        <v>17582760</v>
      </c>
    </row>
    <row r="1328" spans="1:3">
      <c r="A1328">
        <v>1327</v>
      </c>
      <c r="B1328">
        <v>17609290</v>
      </c>
      <c r="C1328">
        <v>17609290</v>
      </c>
    </row>
    <row r="1329" spans="1:3">
      <c r="A1329">
        <v>1328</v>
      </c>
      <c r="B1329">
        <v>17635840</v>
      </c>
      <c r="C1329">
        <v>17635840</v>
      </c>
    </row>
    <row r="1330" spans="1:3">
      <c r="A1330">
        <v>1329</v>
      </c>
      <c r="B1330">
        <v>17662410</v>
      </c>
      <c r="C1330">
        <v>17662410</v>
      </c>
    </row>
    <row r="1331" spans="1:3">
      <c r="A1331">
        <v>1330</v>
      </c>
      <c r="B1331">
        <v>17689000</v>
      </c>
      <c r="C1331">
        <v>17689000</v>
      </c>
    </row>
    <row r="1332" spans="1:3">
      <c r="A1332">
        <v>1331</v>
      </c>
      <c r="B1332">
        <v>17715610</v>
      </c>
      <c r="C1332">
        <v>17715610</v>
      </c>
    </row>
    <row r="1333" spans="1:3">
      <c r="A1333">
        <v>1332</v>
      </c>
      <c r="B1333">
        <v>17742240</v>
      </c>
      <c r="C1333">
        <v>17742240</v>
      </c>
    </row>
    <row r="1334" spans="1:3">
      <c r="A1334">
        <v>1333</v>
      </c>
      <c r="B1334">
        <v>17768890</v>
      </c>
      <c r="C1334">
        <v>17768890</v>
      </c>
    </row>
    <row r="1335" spans="1:3">
      <c r="A1335">
        <v>1334</v>
      </c>
      <c r="B1335">
        <v>17795560</v>
      </c>
      <c r="C1335">
        <v>17795560</v>
      </c>
    </row>
    <row r="1336" spans="1:3">
      <c r="A1336">
        <v>1335</v>
      </c>
      <c r="B1336">
        <v>17822250</v>
      </c>
      <c r="C1336">
        <v>17822250</v>
      </c>
    </row>
    <row r="1337" spans="1:3">
      <c r="A1337">
        <v>1336</v>
      </c>
      <c r="B1337">
        <v>17848960</v>
      </c>
      <c r="C1337">
        <v>17848960</v>
      </c>
    </row>
    <row r="1338" spans="1:3">
      <c r="A1338">
        <v>1337</v>
      </c>
      <c r="B1338">
        <v>17875690</v>
      </c>
      <c r="C1338">
        <v>17875690</v>
      </c>
    </row>
    <row r="1339" spans="1:3">
      <c r="A1339">
        <v>1338</v>
      </c>
      <c r="B1339">
        <v>17902440</v>
      </c>
      <c r="C1339">
        <v>17902440</v>
      </c>
    </row>
    <row r="1340" spans="1:3">
      <c r="A1340">
        <v>1339</v>
      </c>
      <c r="B1340">
        <v>17929210</v>
      </c>
      <c r="C1340">
        <v>17929210</v>
      </c>
    </row>
    <row r="1341" spans="1:3">
      <c r="A1341">
        <v>1340</v>
      </c>
      <c r="B1341">
        <v>17956000</v>
      </c>
      <c r="C1341">
        <v>17956000</v>
      </c>
    </row>
    <row r="1342" spans="1:3">
      <c r="A1342">
        <v>1341</v>
      </c>
      <c r="B1342">
        <v>17982810</v>
      </c>
      <c r="C1342">
        <v>17982810</v>
      </c>
    </row>
    <row r="1343" spans="1:3">
      <c r="A1343">
        <v>1342</v>
      </c>
      <c r="B1343">
        <v>18009640</v>
      </c>
      <c r="C1343">
        <v>18009640</v>
      </c>
    </row>
    <row r="1344" spans="1:3">
      <c r="A1344">
        <v>1343</v>
      </c>
      <c r="B1344">
        <v>18036490</v>
      </c>
      <c r="C1344">
        <v>18036490</v>
      </c>
    </row>
    <row r="1345" spans="1:3">
      <c r="A1345">
        <v>1344</v>
      </c>
      <c r="B1345">
        <v>18063360</v>
      </c>
      <c r="C1345">
        <v>18063360</v>
      </c>
    </row>
    <row r="1346" spans="1:3">
      <c r="A1346">
        <v>1345</v>
      </c>
      <c r="B1346">
        <v>18090250</v>
      </c>
      <c r="C1346">
        <v>18090250</v>
      </c>
    </row>
    <row r="1347" spans="1:3">
      <c r="A1347">
        <v>1346</v>
      </c>
      <c r="B1347">
        <v>18117160</v>
      </c>
      <c r="C1347">
        <v>18117160</v>
      </c>
    </row>
    <row r="1348" spans="1:3">
      <c r="A1348">
        <v>1347</v>
      </c>
      <c r="B1348">
        <v>18144090</v>
      </c>
      <c r="C1348">
        <v>18144090</v>
      </c>
    </row>
    <row r="1349" spans="1:3">
      <c r="A1349">
        <v>1348</v>
      </c>
      <c r="B1349">
        <v>18171040</v>
      </c>
      <c r="C1349">
        <v>18171040</v>
      </c>
    </row>
    <row r="1350" spans="1:3">
      <c r="A1350">
        <v>1349</v>
      </c>
      <c r="B1350">
        <v>18198010</v>
      </c>
      <c r="C1350">
        <v>18198010</v>
      </c>
    </row>
    <row r="1351" spans="1:3">
      <c r="A1351">
        <v>1350</v>
      </c>
      <c r="B1351">
        <v>18225000</v>
      </c>
      <c r="C1351">
        <v>18225000</v>
      </c>
    </row>
    <row r="1352" spans="1:3">
      <c r="A1352">
        <v>1351</v>
      </c>
      <c r="B1352">
        <v>18252010</v>
      </c>
      <c r="C1352">
        <v>18252010</v>
      </c>
    </row>
    <row r="1353" spans="1:3">
      <c r="A1353">
        <v>1352</v>
      </c>
      <c r="B1353">
        <v>18279040</v>
      </c>
      <c r="C1353">
        <v>18279040</v>
      </c>
    </row>
    <row r="1354" spans="1:3">
      <c r="A1354">
        <v>1353</v>
      </c>
      <c r="B1354">
        <v>18306090</v>
      </c>
      <c r="C1354">
        <v>18306090</v>
      </c>
    </row>
    <row r="1355" spans="1:3">
      <c r="A1355">
        <v>1354</v>
      </c>
      <c r="B1355">
        <v>18333160</v>
      </c>
      <c r="C1355">
        <v>18333160</v>
      </c>
    </row>
    <row r="1356" spans="1:3">
      <c r="A1356">
        <v>1355</v>
      </c>
      <c r="B1356">
        <v>18360250</v>
      </c>
      <c r="C1356">
        <v>18360250</v>
      </c>
    </row>
    <row r="1357" spans="1:3">
      <c r="A1357">
        <v>1356</v>
      </c>
      <c r="B1357">
        <v>18387360</v>
      </c>
      <c r="C1357">
        <v>18387360</v>
      </c>
    </row>
    <row r="1358" spans="1:3">
      <c r="A1358">
        <v>1357</v>
      </c>
      <c r="B1358">
        <v>18414490</v>
      </c>
      <c r="C1358">
        <v>18414490</v>
      </c>
    </row>
    <row r="1359" spans="1:3">
      <c r="A1359">
        <v>1358</v>
      </c>
      <c r="B1359">
        <v>18441640</v>
      </c>
      <c r="C1359">
        <v>18441640</v>
      </c>
    </row>
    <row r="1360" spans="1:3">
      <c r="A1360">
        <v>1359</v>
      </c>
      <c r="B1360">
        <v>18468810</v>
      </c>
      <c r="C1360">
        <v>18468810</v>
      </c>
    </row>
    <row r="1361" spans="1:3">
      <c r="A1361">
        <v>1360</v>
      </c>
      <c r="B1361">
        <v>18496000</v>
      </c>
      <c r="C1361">
        <v>18496000</v>
      </c>
    </row>
    <row r="1362" spans="1:3">
      <c r="A1362">
        <v>1361</v>
      </c>
      <c r="B1362">
        <v>18523210</v>
      </c>
      <c r="C1362">
        <v>18523210</v>
      </c>
    </row>
    <row r="1363" spans="1:3">
      <c r="A1363">
        <v>1362</v>
      </c>
      <c r="B1363">
        <v>18550440</v>
      </c>
      <c r="C1363">
        <v>18550440</v>
      </c>
    </row>
    <row r="1364" spans="1:3">
      <c r="A1364">
        <v>1363</v>
      </c>
      <c r="B1364">
        <v>18577690</v>
      </c>
      <c r="C1364">
        <v>18577690</v>
      </c>
    </row>
    <row r="1365" spans="1:3">
      <c r="A1365">
        <v>1364</v>
      </c>
      <c r="B1365">
        <v>18604960</v>
      </c>
      <c r="C1365">
        <v>18604960</v>
      </c>
    </row>
    <row r="1366" spans="1:3">
      <c r="A1366">
        <v>1365</v>
      </c>
      <c r="B1366">
        <v>18632250</v>
      </c>
      <c r="C1366">
        <v>18632250</v>
      </c>
    </row>
    <row r="1367" spans="1:3">
      <c r="A1367">
        <v>1366</v>
      </c>
      <c r="B1367">
        <v>18659560</v>
      </c>
      <c r="C1367">
        <v>18659560</v>
      </c>
    </row>
    <row r="1368" spans="1:3">
      <c r="A1368">
        <v>1367</v>
      </c>
      <c r="B1368">
        <v>18686890</v>
      </c>
      <c r="C1368">
        <v>18686890</v>
      </c>
    </row>
    <row r="1369" spans="1:3">
      <c r="A1369">
        <v>1368</v>
      </c>
      <c r="B1369">
        <v>18714240</v>
      </c>
      <c r="C1369">
        <v>18714240</v>
      </c>
    </row>
    <row r="1370" spans="1:3">
      <c r="A1370">
        <v>1369</v>
      </c>
      <c r="B1370">
        <v>18741610</v>
      </c>
      <c r="C1370">
        <v>18741610</v>
      </c>
    </row>
    <row r="1371" spans="1:3">
      <c r="A1371">
        <v>1370</v>
      </c>
      <c r="B1371">
        <v>18769000</v>
      </c>
      <c r="C1371">
        <v>18769000</v>
      </c>
    </row>
    <row r="1372" spans="1:3">
      <c r="A1372">
        <v>1371</v>
      </c>
      <c r="B1372">
        <v>18796410</v>
      </c>
      <c r="C1372">
        <v>18796410</v>
      </c>
    </row>
    <row r="1373" spans="1:3">
      <c r="A1373">
        <v>1372</v>
      </c>
      <c r="B1373">
        <v>18823840</v>
      </c>
      <c r="C1373">
        <v>18823840</v>
      </c>
    </row>
    <row r="1374" spans="1:3">
      <c r="A1374">
        <v>1373</v>
      </c>
      <c r="B1374">
        <v>18851290</v>
      </c>
      <c r="C1374">
        <v>18851290</v>
      </c>
    </row>
    <row r="1375" spans="1:3">
      <c r="A1375">
        <v>1374</v>
      </c>
      <c r="B1375">
        <v>18878760</v>
      </c>
      <c r="C1375">
        <v>18878760</v>
      </c>
    </row>
    <row r="1376" spans="1:3">
      <c r="A1376">
        <v>1375</v>
      </c>
      <c r="B1376">
        <v>18906250</v>
      </c>
      <c r="C1376">
        <v>18906250</v>
      </c>
    </row>
    <row r="1377" spans="1:3">
      <c r="A1377">
        <v>1376</v>
      </c>
      <c r="B1377">
        <v>18933760</v>
      </c>
      <c r="C1377">
        <v>18933760</v>
      </c>
    </row>
    <row r="1378" spans="1:3">
      <c r="A1378">
        <v>1377</v>
      </c>
      <c r="B1378">
        <v>18961290</v>
      </c>
      <c r="C1378">
        <v>18961290</v>
      </c>
    </row>
    <row r="1379" spans="1:3">
      <c r="A1379">
        <v>1378</v>
      </c>
      <c r="B1379">
        <v>18988840</v>
      </c>
      <c r="C1379">
        <v>18988840</v>
      </c>
    </row>
    <row r="1380" spans="1:3">
      <c r="A1380">
        <v>1379</v>
      </c>
      <c r="B1380">
        <v>19016410</v>
      </c>
      <c r="C1380">
        <v>19016410</v>
      </c>
    </row>
    <row r="1381" spans="1:3">
      <c r="A1381">
        <v>1380</v>
      </c>
      <c r="B1381">
        <v>19044000</v>
      </c>
      <c r="C1381">
        <v>19044000</v>
      </c>
    </row>
    <row r="1382" spans="1:3">
      <c r="A1382">
        <v>1381</v>
      </c>
      <c r="B1382">
        <v>19071610</v>
      </c>
      <c r="C1382">
        <v>19071610</v>
      </c>
    </row>
    <row r="1383" spans="1:3">
      <c r="A1383">
        <v>1382</v>
      </c>
      <c r="B1383">
        <v>19099240</v>
      </c>
      <c r="C1383">
        <v>19099240</v>
      </c>
    </row>
    <row r="1384" spans="1:3">
      <c r="A1384">
        <v>1383</v>
      </c>
      <c r="B1384">
        <v>19126890</v>
      </c>
      <c r="C1384">
        <v>19126890</v>
      </c>
    </row>
    <row r="1385" spans="1:3">
      <c r="A1385">
        <v>1384</v>
      </c>
      <c r="B1385">
        <v>19154560</v>
      </c>
      <c r="C1385">
        <v>19154560</v>
      </c>
    </row>
    <row r="1386" spans="1:3">
      <c r="A1386">
        <v>1385</v>
      </c>
      <c r="B1386">
        <v>19182250</v>
      </c>
      <c r="C1386">
        <v>19182250</v>
      </c>
    </row>
    <row r="1387" spans="1:3">
      <c r="A1387">
        <v>1386</v>
      </c>
      <c r="B1387">
        <v>19209960</v>
      </c>
      <c r="C1387">
        <v>19209960</v>
      </c>
    </row>
    <row r="1388" spans="1:3">
      <c r="A1388">
        <v>1387</v>
      </c>
      <c r="B1388">
        <v>19237690</v>
      </c>
      <c r="C1388">
        <v>19237690</v>
      </c>
    </row>
    <row r="1389" spans="1:3">
      <c r="A1389">
        <v>1388</v>
      </c>
      <c r="B1389">
        <v>19265440</v>
      </c>
      <c r="C1389">
        <v>19265440</v>
      </c>
    </row>
    <row r="1390" spans="1:3">
      <c r="A1390">
        <v>1389</v>
      </c>
      <c r="B1390">
        <v>19293210</v>
      </c>
      <c r="C1390">
        <v>19293210</v>
      </c>
    </row>
    <row r="1391" spans="1:3">
      <c r="A1391">
        <v>1390</v>
      </c>
      <c r="B1391">
        <v>19321000</v>
      </c>
      <c r="C1391">
        <v>19321000</v>
      </c>
    </row>
    <row r="1392" spans="1:3">
      <c r="A1392">
        <v>1391</v>
      </c>
      <c r="B1392">
        <v>19348810</v>
      </c>
      <c r="C1392">
        <v>19348810</v>
      </c>
    </row>
    <row r="1393" spans="1:3">
      <c r="A1393">
        <v>1392</v>
      </c>
      <c r="B1393">
        <v>19376640</v>
      </c>
      <c r="C1393">
        <v>19376640</v>
      </c>
    </row>
    <row r="1394" spans="1:3">
      <c r="A1394">
        <v>1393</v>
      </c>
      <c r="B1394">
        <v>19404490</v>
      </c>
      <c r="C1394">
        <v>19404490</v>
      </c>
    </row>
    <row r="1395" spans="1:3">
      <c r="A1395">
        <v>1394</v>
      </c>
      <c r="B1395">
        <v>19432360</v>
      </c>
      <c r="C1395">
        <v>19432360</v>
      </c>
    </row>
    <row r="1396" spans="1:3">
      <c r="A1396">
        <v>1395</v>
      </c>
      <c r="B1396">
        <v>19460250</v>
      </c>
      <c r="C1396">
        <v>19460250</v>
      </c>
    </row>
    <row r="1397" spans="1:3">
      <c r="A1397">
        <v>1396</v>
      </c>
      <c r="B1397">
        <v>19488160</v>
      </c>
      <c r="C1397">
        <v>19488160</v>
      </c>
    </row>
    <row r="1398" spans="1:3">
      <c r="A1398">
        <v>1397</v>
      </c>
      <c r="B1398">
        <v>19516090</v>
      </c>
      <c r="C1398">
        <v>19516090</v>
      </c>
    </row>
    <row r="1399" spans="1:3">
      <c r="A1399">
        <v>1398</v>
      </c>
      <c r="B1399">
        <v>19544040</v>
      </c>
      <c r="C1399">
        <v>19544040</v>
      </c>
    </row>
    <row r="1400" spans="1:3">
      <c r="A1400">
        <v>1399</v>
      </c>
      <c r="B1400">
        <v>19572010</v>
      </c>
      <c r="C1400">
        <v>19572010</v>
      </c>
    </row>
    <row r="1401" spans="1:3">
      <c r="A1401">
        <v>1400</v>
      </c>
      <c r="B1401">
        <v>19600000</v>
      </c>
      <c r="C1401">
        <v>19600000</v>
      </c>
    </row>
    <row r="1402" spans="1:3">
      <c r="A1402">
        <v>1401</v>
      </c>
      <c r="B1402">
        <v>19628010</v>
      </c>
      <c r="C1402">
        <v>19628010</v>
      </c>
    </row>
    <row r="1403" spans="1:3">
      <c r="A1403">
        <v>1402</v>
      </c>
      <c r="B1403">
        <v>19656040</v>
      </c>
      <c r="C1403">
        <v>19656040</v>
      </c>
    </row>
    <row r="1404" spans="1:3">
      <c r="A1404">
        <v>1403</v>
      </c>
      <c r="B1404">
        <v>19684090</v>
      </c>
      <c r="C1404">
        <v>19684090</v>
      </c>
    </row>
    <row r="1405" spans="1:3">
      <c r="A1405">
        <v>1404</v>
      </c>
      <c r="B1405">
        <v>19712160</v>
      </c>
      <c r="C1405">
        <v>19712160</v>
      </c>
    </row>
    <row r="1406" spans="1:3">
      <c r="A1406">
        <v>1405</v>
      </c>
      <c r="B1406">
        <v>19740250</v>
      </c>
      <c r="C1406">
        <v>19740250</v>
      </c>
    </row>
    <row r="1407" spans="1:3">
      <c r="A1407">
        <v>1406</v>
      </c>
      <c r="B1407">
        <v>19768360</v>
      </c>
      <c r="C1407">
        <v>19768360</v>
      </c>
    </row>
    <row r="1408" spans="1:3">
      <c r="A1408">
        <v>1407</v>
      </c>
      <c r="B1408">
        <v>19796490</v>
      </c>
      <c r="C1408">
        <v>19796490</v>
      </c>
    </row>
    <row r="1409" spans="1:3">
      <c r="A1409">
        <v>1408</v>
      </c>
      <c r="B1409">
        <v>19824640</v>
      </c>
      <c r="C1409">
        <v>19824640</v>
      </c>
    </row>
    <row r="1410" spans="1:3">
      <c r="A1410">
        <v>1409</v>
      </c>
      <c r="B1410">
        <v>19852810</v>
      </c>
      <c r="C1410">
        <v>19852810</v>
      </c>
    </row>
    <row r="1411" spans="1:3">
      <c r="A1411">
        <v>1410</v>
      </c>
      <c r="B1411">
        <v>19881000</v>
      </c>
      <c r="C1411">
        <v>19881000</v>
      </c>
    </row>
    <row r="1412" spans="1:3">
      <c r="A1412">
        <v>1411</v>
      </c>
      <c r="B1412">
        <v>19909210</v>
      </c>
      <c r="C1412">
        <v>19909210</v>
      </c>
    </row>
    <row r="1413" spans="1:3">
      <c r="A1413">
        <v>1412</v>
      </c>
      <c r="B1413">
        <v>19937440</v>
      </c>
      <c r="C1413">
        <v>19937440</v>
      </c>
    </row>
    <row r="1414" spans="1:3">
      <c r="A1414">
        <v>1413</v>
      </c>
      <c r="B1414">
        <v>19965690</v>
      </c>
      <c r="C1414">
        <v>19965690</v>
      </c>
    </row>
    <row r="1415" spans="1:3">
      <c r="A1415">
        <v>1414</v>
      </c>
      <c r="B1415">
        <v>19993960</v>
      </c>
      <c r="C1415">
        <v>19993960</v>
      </c>
    </row>
    <row r="1416" spans="1:3">
      <c r="A1416">
        <v>1415</v>
      </c>
      <c r="B1416">
        <v>20022250</v>
      </c>
      <c r="C1416">
        <v>20022250</v>
      </c>
    </row>
    <row r="1417" spans="1:3">
      <c r="A1417">
        <v>1416</v>
      </c>
      <c r="B1417">
        <v>20050560</v>
      </c>
      <c r="C1417">
        <v>20050560</v>
      </c>
    </row>
    <row r="1418" spans="1:3">
      <c r="A1418">
        <v>1417</v>
      </c>
      <c r="B1418">
        <v>20078890</v>
      </c>
      <c r="C1418">
        <v>20078890</v>
      </c>
    </row>
    <row r="1419" spans="1:3">
      <c r="A1419">
        <v>1418</v>
      </c>
      <c r="B1419">
        <v>20107240</v>
      </c>
      <c r="C1419">
        <v>20107240</v>
      </c>
    </row>
    <row r="1420" spans="1:3">
      <c r="A1420">
        <v>1419</v>
      </c>
      <c r="B1420">
        <v>20135610</v>
      </c>
      <c r="C1420">
        <v>20135610</v>
      </c>
    </row>
    <row r="1421" spans="1:3">
      <c r="A1421">
        <v>1420</v>
      </c>
      <c r="B1421">
        <v>20164000</v>
      </c>
      <c r="C1421">
        <v>20164000</v>
      </c>
    </row>
    <row r="1422" spans="1:3">
      <c r="A1422">
        <v>1421</v>
      </c>
      <c r="B1422">
        <v>20192410</v>
      </c>
      <c r="C1422">
        <v>20192410</v>
      </c>
    </row>
    <row r="1423" spans="1:3">
      <c r="A1423">
        <v>1422</v>
      </c>
      <c r="B1423">
        <v>20220840</v>
      </c>
      <c r="C1423">
        <v>20220840</v>
      </c>
    </row>
    <row r="1424" spans="1:3">
      <c r="A1424">
        <v>1423</v>
      </c>
      <c r="B1424">
        <v>20249290</v>
      </c>
      <c r="C1424">
        <v>20249290</v>
      </c>
    </row>
    <row r="1425" spans="1:3">
      <c r="A1425">
        <v>1424</v>
      </c>
      <c r="B1425">
        <v>20277760</v>
      </c>
      <c r="C1425">
        <v>20277760</v>
      </c>
    </row>
    <row r="1426" spans="1:3">
      <c r="A1426">
        <v>1425</v>
      </c>
      <c r="B1426">
        <v>20306250</v>
      </c>
      <c r="C1426">
        <v>20306250</v>
      </c>
    </row>
    <row r="1427" spans="1:3">
      <c r="A1427">
        <v>1426</v>
      </c>
      <c r="B1427">
        <v>20334760</v>
      </c>
      <c r="C1427">
        <v>20334760</v>
      </c>
    </row>
    <row r="1428" spans="1:3">
      <c r="A1428">
        <v>1427</v>
      </c>
      <c r="B1428">
        <v>20363290</v>
      </c>
      <c r="C1428">
        <v>20363290</v>
      </c>
    </row>
    <row r="1429" spans="1:3">
      <c r="A1429">
        <v>1428</v>
      </c>
      <c r="B1429">
        <v>20391840</v>
      </c>
      <c r="C1429">
        <v>20391840</v>
      </c>
    </row>
    <row r="1430" spans="1:3">
      <c r="A1430">
        <v>1429</v>
      </c>
      <c r="B1430">
        <v>20420410</v>
      </c>
      <c r="C1430">
        <v>20420410</v>
      </c>
    </row>
    <row r="1431" spans="1:3">
      <c r="A1431">
        <v>1430</v>
      </c>
      <c r="B1431">
        <v>20449000</v>
      </c>
      <c r="C1431">
        <v>20449000</v>
      </c>
    </row>
    <row r="1432" spans="1:3">
      <c r="A1432">
        <v>1431</v>
      </c>
      <c r="B1432">
        <v>20477610</v>
      </c>
      <c r="C1432">
        <v>20477610</v>
      </c>
    </row>
    <row r="1433" spans="1:3">
      <c r="A1433">
        <v>1432</v>
      </c>
      <c r="B1433">
        <v>20506240</v>
      </c>
      <c r="C1433">
        <v>20506240</v>
      </c>
    </row>
    <row r="1434" spans="1:3">
      <c r="A1434">
        <v>1433</v>
      </c>
      <c r="B1434">
        <v>20534890</v>
      </c>
      <c r="C1434">
        <v>20534890</v>
      </c>
    </row>
    <row r="1435" spans="1:3">
      <c r="A1435">
        <v>1434</v>
      </c>
      <c r="B1435">
        <v>20563560</v>
      </c>
      <c r="C1435">
        <v>20563560</v>
      </c>
    </row>
    <row r="1436" spans="1:3">
      <c r="A1436">
        <v>1435</v>
      </c>
      <c r="B1436">
        <v>20592250</v>
      </c>
      <c r="C1436">
        <v>20592250</v>
      </c>
    </row>
    <row r="1437" spans="1:3">
      <c r="A1437">
        <v>1436</v>
      </c>
      <c r="B1437">
        <v>20620960</v>
      </c>
      <c r="C1437">
        <v>20620960</v>
      </c>
    </row>
    <row r="1438" spans="1:3">
      <c r="A1438">
        <v>1437</v>
      </c>
      <c r="B1438">
        <v>20649690</v>
      </c>
      <c r="C1438">
        <v>20649690</v>
      </c>
    </row>
    <row r="1439" spans="1:3">
      <c r="A1439">
        <v>1438</v>
      </c>
      <c r="B1439">
        <v>20678440</v>
      </c>
      <c r="C1439">
        <v>20678440</v>
      </c>
    </row>
    <row r="1440" spans="1:3">
      <c r="A1440">
        <v>1439</v>
      </c>
      <c r="B1440">
        <v>20707210</v>
      </c>
      <c r="C1440">
        <v>20707210</v>
      </c>
    </row>
    <row r="1441" spans="1:3">
      <c r="A1441">
        <v>1440</v>
      </c>
      <c r="B1441">
        <v>20736000</v>
      </c>
      <c r="C1441">
        <v>20736000</v>
      </c>
    </row>
    <row r="1442" spans="1:3">
      <c r="A1442">
        <v>1441</v>
      </c>
      <c r="B1442">
        <v>20764810</v>
      </c>
      <c r="C1442">
        <v>20764810</v>
      </c>
    </row>
    <row r="1443" spans="1:3">
      <c r="A1443">
        <v>1442</v>
      </c>
      <c r="B1443">
        <v>20793640</v>
      </c>
      <c r="C1443">
        <v>20793640</v>
      </c>
    </row>
    <row r="1444" spans="1:3">
      <c r="A1444">
        <v>1443</v>
      </c>
      <c r="B1444">
        <v>20822490</v>
      </c>
      <c r="C1444">
        <v>20822490</v>
      </c>
    </row>
    <row r="1445" spans="1:3">
      <c r="A1445">
        <v>1444</v>
      </c>
      <c r="B1445">
        <v>20851360</v>
      </c>
      <c r="C1445">
        <v>20851360</v>
      </c>
    </row>
    <row r="1446" spans="1:3">
      <c r="A1446">
        <v>1445</v>
      </c>
      <c r="B1446">
        <v>20880250</v>
      </c>
      <c r="C1446">
        <v>20880250</v>
      </c>
    </row>
    <row r="1447" spans="1:3">
      <c r="A1447">
        <v>1446</v>
      </c>
      <c r="B1447">
        <v>20909160</v>
      </c>
      <c r="C1447">
        <v>20909160</v>
      </c>
    </row>
    <row r="1448" spans="1:3">
      <c r="A1448">
        <v>1447</v>
      </c>
      <c r="B1448">
        <v>20938090</v>
      </c>
      <c r="C1448">
        <v>20938090</v>
      </c>
    </row>
    <row r="1449" spans="1:3">
      <c r="A1449">
        <v>1448</v>
      </c>
      <c r="B1449">
        <v>20967040</v>
      </c>
      <c r="C1449">
        <v>20967040</v>
      </c>
    </row>
    <row r="1450" spans="1:3">
      <c r="A1450">
        <v>1449</v>
      </c>
      <c r="B1450">
        <v>20996010</v>
      </c>
      <c r="C1450">
        <v>20996010</v>
      </c>
    </row>
    <row r="1451" spans="1:3">
      <c r="A1451">
        <v>1450</v>
      </c>
      <c r="B1451">
        <v>21025000</v>
      </c>
      <c r="C1451">
        <v>21025000</v>
      </c>
    </row>
    <row r="1452" spans="1:3">
      <c r="A1452">
        <v>1451</v>
      </c>
      <c r="B1452">
        <v>21054010</v>
      </c>
      <c r="C1452">
        <v>21054010</v>
      </c>
    </row>
    <row r="1453" spans="1:3">
      <c r="A1453">
        <v>1452</v>
      </c>
      <c r="B1453">
        <v>21083040</v>
      </c>
      <c r="C1453">
        <v>21083040</v>
      </c>
    </row>
    <row r="1454" spans="1:3">
      <c r="A1454">
        <v>1453</v>
      </c>
      <c r="B1454">
        <v>21112090</v>
      </c>
      <c r="C1454">
        <v>21112090</v>
      </c>
    </row>
    <row r="1455" spans="1:3">
      <c r="A1455">
        <v>1454</v>
      </c>
      <c r="B1455">
        <v>21141160</v>
      </c>
      <c r="C1455">
        <v>21141160</v>
      </c>
    </row>
    <row r="1456" spans="1:3">
      <c r="A1456">
        <v>1455</v>
      </c>
      <c r="B1456">
        <v>21170250</v>
      </c>
      <c r="C1456">
        <v>21170250</v>
      </c>
    </row>
    <row r="1457" spans="1:3">
      <c r="A1457">
        <v>1456</v>
      </c>
      <c r="B1457">
        <v>21199360</v>
      </c>
      <c r="C1457">
        <v>21199360</v>
      </c>
    </row>
    <row r="1458" spans="1:3">
      <c r="A1458">
        <v>1457</v>
      </c>
      <c r="B1458">
        <v>21228490</v>
      </c>
      <c r="C1458">
        <v>21228490</v>
      </c>
    </row>
    <row r="1459" spans="1:3">
      <c r="A1459">
        <v>1458</v>
      </c>
      <c r="B1459">
        <v>21257640</v>
      </c>
      <c r="C1459">
        <v>21257640</v>
      </c>
    </row>
    <row r="1460" spans="1:3">
      <c r="A1460">
        <v>1459</v>
      </c>
      <c r="B1460">
        <v>21286810</v>
      </c>
      <c r="C1460">
        <v>21286810</v>
      </c>
    </row>
    <row r="1461" spans="1:3">
      <c r="A1461">
        <v>1460</v>
      </c>
      <c r="B1461">
        <v>21316000</v>
      </c>
      <c r="C1461">
        <v>21316000</v>
      </c>
    </row>
    <row r="1462" spans="1:3">
      <c r="A1462">
        <v>1461</v>
      </c>
      <c r="B1462">
        <v>21345210</v>
      </c>
      <c r="C1462">
        <v>21345210</v>
      </c>
    </row>
    <row r="1463" spans="1:3">
      <c r="A1463">
        <v>1462</v>
      </c>
      <c r="B1463">
        <v>21374440</v>
      </c>
      <c r="C1463">
        <v>21374440</v>
      </c>
    </row>
    <row r="1464" spans="1:3">
      <c r="A1464">
        <v>1463</v>
      </c>
      <c r="B1464">
        <v>21403690</v>
      </c>
      <c r="C1464">
        <v>21403690</v>
      </c>
    </row>
    <row r="1465" spans="1:3">
      <c r="A1465">
        <v>1464</v>
      </c>
      <c r="B1465">
        <v>21432960</v>
      </c>
      <c r="C1465">
        <v>21432960</v>
      </c>
    </row>
    <row r="1466" spans="1:3">
      <c r="A1466">
        <v>1465</v>
      </c>
      <c r="B1466">
        <v>21462250</v>
      </c>
      <c r="C1466">
        <v>21462250</v>
      </c>
    </row>
    <row r="1467" spans="1:3">
      <c r="A1467">
        <v>1466</v>
      </c>
      <c r="B1467">
        <v>21491560</v>
      </c>
      <c r="C1467">
        <v>21491560</v>
      </c>
    </row>
    <row r="1468" spans="1:3">
      <c r="A1468">
        <v>1467</v>
      </c>
      <c r="B1468">
        <v>21520890</v>
      </c>
      <c r="C1468">
        <v>21520890</v>
      </c>
    </row>
    <row r="1469" spans="1:3">
      <c r="A1469">
        <v>1468</v>
      </c>
      <c r="B1469">
        <v>21550240</v>
      </c>
      <c r="C1469">
        <v>21550240</v>
      </c>
    </row>
    <row r="1470" spans="1:3">
      <c r="A1470">
        <v>1469</v>
      </c>
      <c r="B1470">
        <v>21579610</v>
      </c>
      <c r="C1470">
        <v>21579610</v>
      </c>
    </row>
    <row r="1471" spans="1:3">
      <c r="A1471">
        <v>1470</v>
      </c>
      <c r="B1471">
        <v>21609000</v>
      </c>
      <c r="C1471">
        <v>21609000</v>
      </c>
    </row>
    <row r="1472" spans="1:3">
      <c r="A1472">
        <v>1471</v>
      </c>
      <c r="B1472">
        <v>21638410</v>
      </c>
      <c r="C1472">
        <v>21638410</v>
      </c>
    </row>
    <row r="1473" spans="1:3">
      <c r="A1473">
        <v>1472</v>
      </c>
      <c r="B1473">
        <v>21667840</v>
      </c>
      <c r="C1473">
        <v>21667840</v>
      </c>
    </row>
    <row r="1474" spans="1:3">
      <c r="A1474">
        <v>1473</v>
      </c>
      <c r="B1474">
        <v>21697290</v>
      </c>
      <c r="C1474">
        <v>21697290</v>
      </c>
    </row>
    <row r="1475" spans="1:3">
      <c r="A1475">
        <v>1474</v>
      </c>
      <c r="B1475">
        <v>21726760</v>
      </c>
      <c r="C1475">
        <v>21726760</v>
      </c>
    </row>
    <row r="1476" spans="1:3">
      <c r="A1476">
        <v>1475</v>
      </c>
      <c r="B1476">
        <v>21756250</v>
      </c>
      <c r="C1476">
        <v>21756250</v>
      </c>
    </row>
    <row r="1477" spans="1:3">
      <c r="A1477">
        <v>1476</v>
      </c>
      <c r="B1477">
        <v>21785760</v>
      </c>
      <c r="C1477">
        <v>21785760</v>
      </c>
    </row>
    <row r="1478" spans="1:3">
      <c r="A1478">
        <v>1477</v>
      </c>
      <c r="B1478">
        <v>21815290</v>
      </c>
      <c r="C1478">
        <v>21815290</v>
      </c>
    </row>
    <row r="1479" spans="1:3">
      <c r="A1479">
        <v>1478</v>
      </c>
      <c r="B1479">
        <v>21844840</v>
      </c>
      <c r="C1479">
        <v>21844840</v>
      </c>
    </row>
    <row r="1480" spans="1:3">
      <c r="A1480">
        <v>1479</v>
      </c>
      <c r="B1480">
        <v>21874410</v>
      </c>
      <c r="C1480">
        <v>21874410</v>
      </c>
    </row>
    <row r="1481" spans="1:3">
      <c r="A1481">
        <v>1480</v>
      </c>
      <c r="B1481">
        <v>21904000</v>
      </c>
      <c r="C1481">
        <v>21904000</v>
      </c>
    </row>
    <row r="1482" spans="1:3">
      <c r="A1482">
        <v>1481</v>
      </c>
      <c r="B1482">
        <v>21933610</v>
      </c>
      <c r="C1482">
        <v>21933610</v>
      </c>
    </row>
    <row r="1483" spans="1:3">
      <c r="A1483">
        <v>1482</v>
      </c>
      <c r="B1483">
        <v>21963240</v>
      </c>
      <c r="C1483">
        <v>21963240</v>
      </c>
    </row>
    <row r="1484" spans="1:3">
      <c r="A1484">
        <v>1483</v>
      </c>
      <c r="B1484">
        <v>21992890</v>
      </c>
      <c r="C1484">
        <v>21992890</v>
      </c>
    </row>
    <row r="1485" spans="1:3">
      <c r="A1485">
        <v>1484</v>
      </c>
      <c r="B1485">
        <v>22022560</v>
      </c>
      <c r="C1485">
        <v>22022560</v>
      </c>
    </row>
    <row r="1486" spans="1:3">
      <c r="A1486">
        <v>1485</v>
      </c>
      <c r="B1486">
        <v>22052250</v>
      </c>
      <c r="C1486">
        <v>22052250</v>
      </c>
    </row>
    <row r="1487" spans="1:3">
      <c r="A1487">
        <v>1486</v>
      </c>
      <c r="B1487">
        <v>22081960</v>
      </c>
      <c r="C1487">
        <v>22081960</v>
      </c>
    </row>
    <row r="1488" spans="1:3">
      <c r="A1488">
        <v>1487</v>
      </c>
      <c r="B1488">
        <v>22111690</v>
      </c>
      <c r="C1488">
        <v>22111690</v>
      </c>
    </row>
    <row r="1489" spans="1:3">
      <c r="A1489">
        <v>1488</v>
      </c>
      <c r="B1489">
        <v>22141440</v>
      </c>
      <c r="C1489">
        <v>22141440</v>
      </c>
    </row>
    <row r="1490" spans="1:3">
      <c r="A1490">
        <v>1489</v>
      </c>
      <c r="B1490">
        <v>22171210</v>
      </c>
      <c r="C1490">
        <v>22171210</v>
      </c>
    </row>
    <row r="1491" spans="1:3">
      <c r="A1491">
        <v>1490</v>
      </c>
      <c r="B1491">
        <v>22201000</v>
      </c>
      <c r="C1491">
        <v>22201000</v>
      </c>
    </row>
    <row r="1492" spans="1:3">
      <c r="A1492">
        <v>1491</v>
      </c>
      <c r="B1492">
        <v>22230810</v>
      </c>
      <c r="C1492">
        <v>22230810</v>
      </c>
    </row>
    <row r="1493" spans="1:3">
      <c r="A1493">
        <v>1492</v>
      </c>
      <c r="B1493">
        <v>22260640</v>
      </c>
      <c r="C1493">
        <v>22260640</v>
      </c>
    </row>
    <row r="1494" spans="1:3">
      <c r="A1494">
        <v>1493</v>
      </c>
      <c r="B1494">
        <v>22290490</v>
      </c>
      <c r="C1494">
        <v>22290490</v>
      </c>
    </row>
    <row r="1495" spans="1:3">
      <c r="A1495">
        <v>1494</v>
      </c>
      <c r="B1495">
        <v>22320360</v>
      </c>
      <c r="C1495">
        <v>22320360</v>
      </c>
    </row>
    <row r="1496" spans="1:3">
      <c r="A1496">
        <v>1495</v>
      </c>
      <c r="B1496">
        <v>22350250</v>
      </c>
      <c r="C1496">
        <v>22350250</v>
      </c>
    </row>
    <row r="1497" spans="1:3">
      <c r="A1497">
        <v>1496</v>
      </c>
      <c r="B1497">
        <v>22380160</v>
      </c>
      <c r="C1497">
        <v>22380160</v>
      </c>
    </row>
    <row r="1498" spans="1:3">
      <c r="A1498">
        <v>1497</v>
      </c>
      <c r="B1498">
        <v>22410090</v>
      </c>
      <c r="C1498">
        <v>22410090</v>
      </c>
    </row>
    <row r="1499" spans="1:3">
      <c r="A1499">
        <v>1498</v>
      </c>
      <c r="B1499">
        <v>22440040</v>
      </c>
      <c r="C1499">
        <v>22440040</v>
      </c>
    </row>
    <row r="1500" spans="1:3">
      <c r="A1500">
        <v>1499</v>
      </c>
      <c r="B1500">
        <v>22470010</v>
      </c>
      <c r="C1500">
        <v>22470010</v>
      </c>
    </row>
    <row r="1501" spans="1:3">
      <c r="A1501">
        <v>1500</v>
      </c>
      <c r="B1501">
        <v>22500000</v>
      </c>
      <c r="C1501">
        <v>22500000</v>
      </c>
    </row>
    <row r="1502" spans="1:3">
      <c r="A1502">
        <v>1501</v>
      </c>
      <c r="B1502">
        <v>22530010</v>
      </c>
      <c r="C1502">
        <v>22530010</v>
      </c>
    </row>
    <row r="1503" spans="1:3">
      <c r="A1503">
        <v>1502</v>
      </c>
      <c r="B1503">
        <v>22560040</v>
      </c>
      <c r="C1503">
        <v>22560040</v>
      </c>
    </row>
    <row r="1504" spans="1:3">
      <c r="A1504">
        <v>1503</v>
      </c>
      <c r="B1504">
        <v>22590090</v>
      </c>
      <c r="C1504">
        <v>22590090</v>
      </c>
    </row>
    <row r="1505" spans="1:3">
      <c r="A1505">
        <v>1504</v>
      </c>
      <c r="B1505">
        <v>22620160</v>
      </c>
      <c r="C1505">
        <v>22620160</v>
      </c>
    </row>
    <row r="1506" spans="1:3">
      <c r="A1506">
        <v>1505</v>
      </c>
      <c r="B1506">
        <v>22650250</v>
      </c>
      <c r="C1506">
        <v>22650250</v>
      </c>
    </row>
    <row r="1507" spans="1:3">
      <c r="A1507">
        <v>1506</v>
      </c>
      <c r="B1507">
        <v>22680360</v>
      </c>
      <c r="C1507">
        <v>22680360</v>
      </c>
    </row>
    <row r="1508" spans="1:3">
      <c r="A1508">
        <v>1507</v>
      </c>
      <c r="B1508">
        <v>22710490</v>
      </c>
      <c r="C1508">
        <v>22710490</v>
      </c>
    </row>
    <row r="1509" spans="1:3">
      <c r="A1509">
        <v>1508</v>
      </c>
      <c r="B1509">
        <v>22740640</v>
      </c>
      <c r="C1509">
        <v>22740640</v>
      </c>
    </row>
    <row r="1510" spans="1:3">
      <c r="A1510">
        <v>1509</v>
      </c>
      <c r="B1510">
        <v>22770810</v>
      </c>
      <c r="C1510">
        <v>22770810</v>
      </c>
    </row>
    <row r="1511" spans="1:3">
      <c r="A1511">
        <v>1510</v>
      </c>
      <c r="B1511">
        <v>22801000</v>
      </c>
      <c r="C1511">
        <v>22801000</v>
      </c>
    </row>
    <row r="1512" spans="1:3">
      <c r="A1512">
        <v>1511</v>
      </c>
      <c r="B1512">
        <v>22831210</v>
      </c>
      <c r="C1512">
        <v>22831210</v>
      </c>
    </row>
    <row r="1513" spans="1:3">
      <c r="A1513">
        <v>1512</v>
      </c>
      <c r="B1513">
        <v>22861440</v>
      </c>
      <c r="C1513">
        <v>22861440</v>
      </c>
    </row>
    <row r="1514" spans="1:3">
      <c r="A1514">
        <v>1513</v>
      </c>
      <c r="B1514">
        <v>22891690</v>
      </c>
      <c r="C1514">
        <v>22891690</v>
      </c>
    </row>
    <row r="1515" spans="1:3">
      <c r="A1515">
        <v>1514</v>
      </c>
      <c r="B1515">
        <v>22921960</v>
      </c>
      <c r="C1515">
        <v>22921960</v>
      </c>
    </row>
    <row r="1516" spans="1:3">
      <c r="A1516">
        <v>1515</v>
      </c>
      <c r="B1516">
        <v>22952250</v>
      </c>
      <c r="C1516">
        <v>22952250</v>
      </c>
    </row>
    <row r="1517" spans="1:3">
      <c r="A1517">
        <v>1516</v>
      </c>
      <c r="B1517">
        <v>22982560</v>
      </c>
      <c r="C1517">
        <v>22982560</v>
      </c>
    </row>
    <row r="1518" spans="1:3">
      <c r="A1518">
        <v>1517</v>
      </c>
      <c r="B1518">
        <v>23012890</v>
      </c>
      <c r="C1518">
        <v>23012890</v>
      </c>
    </row>
    <row r="1519" spans="1:3">
      <c r="A1519">
        <v>1518</v>
      </c>
      <c r="B1519">
        <v>23043240</v>
      </c>
      <c r="C1519">
        <v>23043240</v>
      </c>
    </row>
    <row r="1520" spans="1:3">
      <c r="A1520">
        <v>1519</v>
      </c>
      <c r="B1520">
        <v>23073610</v>
      </c>
      <c r="C1520">
        <v>23073610</v>
      </c>
    </row>
    <row r="1521" spans="1:3">
      <c r="A1521">
        <v>1520</v>
      </c>
      <c r="B1521">
        <v>23104000</v>
      </c>
      <c r="C1521">
        <v>23104000</v>
      </c>
    </row>
    <row r="1522" spans="1:3">
      <c r="A1522">
        <v>1521</v>
      </c>
      <c r="B1522">
        <v>23134410</v>
      </c>
      <c r="C1522">
        <v>23134410</v>
      </c>
    </row>
    <row r="1523" spans="1:3">
      <c r="A1523">
        <v>1522</v>
      </c>
      <c r="B1523">
        <v>23164840</v>
      </c>
      <c r="C1523">
        <v>23164840</v>
      </c>
    </row>
    <row r="1524" spans="1:3">
      <c r="A1524">
        <v>1523</v>
      </c>
      <c r="B1524">
        <v>23195290</v>
      </c>
      <c r="C1524">
        <v>23195290</v>
      </c>
    </row>
    <row r="1525" spans="1:3">
      <c r="A1525">
        <v>1524</v>
      </c>
      <c r="B1525">
        <v>23225760</v>
      </c>
      <c r="C1525">
        <v>23225760</v>
      </c>
    </row>
    <row r="1526" spans="1:3">
      <c r="A1526">
        <v>1525</v>
      </c>
      <c r="B1526">
        <v>23256250</v>
      </c>
      <c r="C1526">
        <v>23256250</v>
      </c>
    </row>
    <row r="1527" spans="1:3">
      <c r="A1527">
        <v>1526</v>
      </c>
      <c r="B1527">
        <v>23286760</v>
      </c>
      <c r="C1527">
        <v>23286760</v>
      </c>
    </row>
    <row r="1528" spans="1:3">
      <c r="A1528">
        <v>1527</v>
      </c>
      <c r="B1528">
        <v>23317290</v>
      </c>
      <c r="C1528">
        <v>23317290</v>
      </c>
    </row>
    <row r="1529" spans="1:3">
      <c r="A1529">
        <v>1528</v>
      </c>
      <c r="B1529">
        <v>23347840</v>
      </c>
      <c r="C1529">
        <v>23347840</v>
      </c>
    </row>
    <row r="1530" spans="1:3">
      <c r="A1530">
        <v>1529</v>
      </c>
      <c r="B1530">
        <v>23378410</v>
      </c>
      <c r="C1530">
        <v>23378410</v>
      </c>
    </row>
    <row r="1531" spans="1:3">
      <c r="A1531">
        <v>1530</v>
      </c>
      <c r="B1531">
        <v>23409000</v>
      </c>
      <c r="C1531">
        <v>23409000</v>
      </c>
    </row>
    <row r="1532" spans="1:3">
      <c r="A1532">
        <v>1531</v>
      </c>
      <c r="B1532">
        <v>23439610</v>
      </c>
      <c r="C1532">
        <v>23439610</v>
      </c>
    </row>
    <row r="1533" spans="1:3">
      <c r="A1533">
        <v>1532</v>
      </c>
      <c r="B1533">
        <v>23470240</v>
      </c>
      <c r="C1533">
        <v>23470240</v>
      </c>
    </row>
    <row r="1534" spans="1:3">
      <c r="A1534">
        <v>1533</v>
      </c>
      <c r="B1534">
        <v>23500890</v>
      </c>
      <c r="C1534">
        <v>23500890</v>
      </c>
    </row>
    <row r="1535" spans="1:3">
      <c r="A1535">
        <v>1534</v>
      </c>
      <c r="B1535">
        <v>23531560</v>
      </c>
      <c r="C1535">
        <v>23531560</v>
      </c>
    </row>
    <row r="1536" spans="1:3">
      <c r="A1536">
        <v>1535</v>
      </c>
      <c r="B1536">
        <v>23562250</v>
      </c>
      <c r="C1536">
        <v>23562250</v>
      </c>
    </row>
    <row r="1537" spans="1:3">
      <c r="A1537">
        <v>1536</v>
      </c>
      <c r="B1537">
        <v>23592960</v>
      </c>
      <c r="C1537">
        <v>23592960</v>
      </c>
    </row>
    <row r="1538" spans="1:3">
      <c r="A1538">
        <v>1537</v>
      </c>
      <c r="B1538">
        <v>23623690</v>
      </c>
      <c r="C1538">
        <v>23623690</v>
      </c>
    </row>
    <row r="1539" spans="1:3">
      <c r="A1539">
        <v>1538</v>
      </c>
      <c r="B1539">
        <v>23654440</v>
      </c>
      <c r="C1539">
        <v>23654440</v>
      </c>
    </row>
    <row r="1540" spans="1:3">
      <c r="A1540">
        <v>1539</v>
      </c>
      <c r="B1540">
        <v>23685210</v>
      </c>
      <c r="C1540">
        <v>23685210</v>
      </c>
    </row>
    <row r="1541" spans="1:3">
      <c r="A1541">
        <v>1540</v>
      </c>
      <c r="B1541">
        <v>23716000</v>
      </c>
      <c r="C1541">
        <v>23716000</v>
      </c>
    </row>
    <row r="1542" spans="1:3">
      <c r="A1542">
        <v>1541</v>
      </c>
      <c r="B1542">
        <v>23746810</v>
      </c>
      <c r="C1542">
        <v>23746810</v>
      </c>
    </row>
    <row r="1543" spans="1:3">
      <c r="A1543">
        <v>1542</v>
      </c>
      <c r="B1543">
        <v>23777640</v>
      </c>
      <c r="C1543">
        <v>23777640</v>
      </c>
    </row>
    <row r="1544" spans="1:3">
      <c r="A1544">
        <v>1543</v>
      </c>
      <c r="B1544">
        <v>23808490</v>
      </c>
      <c r="C1544">
        <v>23808490</v>
      </c>
    </row>
    <row r="1545" spans="1:3">
      <c r="A1545">
        <v>1544</v>
      </c>
      <c r="B1545">
        <v>23839360</v>
      </c>
      <c r="C1545">
        <v>23839360</v>
      </c>
    </row>
    <row r="1546" spans="1:3">
      <c r="A1546">
        <v>1545</v>
      </c>
      <c r="B1546">
        <v>23870250</v>
      </c>
      <c r="C1546">
        <v>23870250</v>
      </c>
    </row>
    <row r="1547" spans="1:3">
      <c r="A1547">
        <v>1546</v>
      </c>
      <c r="B1547">
        <v>23901160</v>
      </c>
      <c r="C1547">
        <v>23901160</v>
      </c>
    </row>
    <row r="1548" spans="1:3">
      <c r="A1548">
        <v>1547</v>
      </c>
      <c r="B1548">
        <v>23932090</v>
      </c>
      <c r="C1548">
        <v>23932090</v>
      </c>
    </row>
    <row r="1549" spans="1:3">
      <c r="A1549">
        <v>1548</v>
      </c>
      <c r="B1549">
        <v>23963040</v>
      </c>
      <c r="C1549">
        <v>23963040</v>
      </c>
    </row>
    <row r="1550" spans="1:3">
      <c r="A1550">
        <v>1549</v>
      </c>
      <c r="B1550">
        <v>23994010</v>
      </c>
      <c r="C1550">
        <v>23994010</v>
      </c>
    </row>
    <row r="1551" spans="1:3">
      <c r="A1551">
        <v>1550</v>
      </c>
      <c r="B1551">
        <v>24025000</v>
      </c>
      <c r="C1551">
        <v>24025000</v>
      </c>
    </row>
    <row r="1552" spans="1:3">
      <c r="A1552">
        <v>1551</v>
      </c>
      <c r="B1552">
        <v>24056010</v>
      </c>
      <c r="C1552">
        <v>24056010</v>
      </c>
    </row>
    <row r="1553" spans="1:3">
      <c r="A1553">
        <v>1552</v>
      </c>
      <c r="B1553">
        <v>24087040</v>
      </c>
      <c r="C1553">
        <v>24087040</v>
      </c>
    </row>
    <row r="1554" spans="1:3">
      <c r="A1554">
        <v>1553</v>
      </c>
      <c r="B1554">
        <v>24118090</v>
      </c>
      <c r="C1554">
        <v>24118090</v>
      </c>
    </row>
    <row r="1555" spans="1:3">
      <c r="A1555">
        <v>1554</v>
      </c>
      <c r="B1555">
        <v>24149160</v>
      </c>
      <c r="C1555">
        <v>24149160</v>
      </c>
    </row>
    <row r="1556" spans="1:3">
      <c r="A1556">
        <v>1555</v>
      </c>
      <c r="B1556">
        <v>24180250</v>
      </c>
      <c r="C1556">
        <v>24180250</v>
      </c>
    </row>
    <row r="1557" spans="1:3">
      <c r="A1557">
        <v>1556</v>
      </c>
      <c r="B1557">
        <v>24211360</v>
      </c>
      <c r="C1557">
        <v>24211360</v>
      </c>
    </row>
    <row r="1558" spans="1:3">
      <c r="A1558">
        <v>1557</v>
      </c>
      <c r="B1558">
        <v>24242490</v>
      </c>
      <c r="C1558">
        <v>24242490</v>
      </c>
    </row>
    <row r="1559" spans="1:3">
      <c r="A1559">
        <v>1558</v>
      </c>
      <c r="B1559">
        <v>24273640</v>
      </c>
      <c r="C1559">
        <v>24273640</v>
      </c>
    </row>
    <row r="1560" spans="1:3">
      <c r="A1560">
        <v>1559</v>
      </c>
      <c r="B1560">
        <v>24304810</v>
      </c>
      <c r="C1560">
        <v>24304810</v>
      </c>
    </row>
    <row r="1561" spans="1:3">
      <c r="A1561">
        <v>1560</v>
      </c>
      <c r="B1561">
        <v>24336000</v>
      </c>
      <c r="C1561">
        <v>24336000</v>
      </c>
    </row>
    <row r="1562" spans="1:3">
      <c r="A1562">
        <v>1561</v>
      </c>
      <c r="B1562">
        <v>24367210</v>
      </c>
      <c r="C1562">
        <v>24367210</v>
      </c>
    </row>
    <row r="1563" spans="1:3">
      <c r="A1563">
        <v>1562</v>
      </c>
      <c r="B1563">
        <v>24398440</v>
      </c>
      <c r="C1563">
        <v>24398440</v>
      </c>
    </row>
    <row r="1564" spans="1:3">
      <c r="A1564">
        <v>1563</v>
      </c>
      <c r="B1564">
        <v>24429690</v>
      </c>
      <c r="C1564">
        <v>24429690</v>
      </c>
    </row>
    <row r="1565" spans="1:3">
      <c r="A1565">
        <v>1564</v>
      </c>
      <c r="B1565">
        <v>24460960</v>
      </c>
      <c r="C1565">
        <v>24460960</v>
      </c>
    </row>
    <row r="1566" spans="1:3">
      <c r="A1566">
        <v>1565</v>
      </c>
      <c r="B1566">
        <v>24492250</v>
      </c>
      <c r="C1566">
        <v>24492250</v>
      </c>
    </row>
    <row r="1567" spans="1:3">
      <c r="A1567">
        <v>1566</v>
      </c>
      <c r="B1567">
        <v>24523560</v>
      </c>
      <c r="C1567">
        <v>24523560</v>
      </c>
    </row>
    <row r="1568" spans="1:3">
      <c r="A1568">
        <v>1567</v>
      </c>
      <c r="B1568">
        <v>24554890</v>
      </c>
      <c r="C1568">
        <v>24554890</v>
      </c>
    </row>
    <row r="1569" spans="1:3">
      <c r="A1569">
        <v>1568</v>
      </c>
      <c r="B1569">
        <v>24586240</v>
      </c>
      <c r="C1569">
        <v>24586240</v>
      </c>
    </row>
    <row r="1570" spans="1:3">
      <c r="A1570">
        <v>1569</v>
      </c>
      <c r="B1570">
        <v>24617610</v>
      </c>
      <c r="C1570">
        <v>24617610</v>
      </c>
    </row>
    <row r="1571" spans="1:3">
      <c r="A1571">
        <v>1570</v>
      </c>
      <c r="B1571">
        <v>24649000</v>
      </c>
      <c r="C1571">
        <v>24649000</v>
      </c>
    </row>
    <row r="1572" spans="1:3">
      <c r="A1572">
        <v>1571</v>
      </c>
      <c r="B1572">
        <v>24680410</v>
      </c>
      <c r="C1572">
        <v>24680410</v>
      </c>
    </row>
    <row r="1573" spans="1:3">
      <c r="A1573">
        <v>1572</v>
      </c>
      <c r="B1573">
        <v>24711840</v>
      </c>
      <c r="C1573">
        <v>24711840</v>
      </c>
    </row>
    <row r="1574" spans="1:3">
      <c r="A1574">
        <v>1573</v>
      </c>
      <c r="B1574">
        <v>24743290</v>
      </c>
      <c r="C1574">
        <v>24743290</v>
      </c>
    </row>
    <row r="1575" spans="1:3">
      <c r="A1575">
        <v>1574</v>
      </c>
      <c r="B1575">
        <v>24774760</v>
      </c>
      <c r="C1575">
        <v>24774760</v>
      </c>
    </row>
    <row r="1576" spans="1:3">
      <c r="A1576">
        <v>1575</v>
      </c>
      <c r="B1576">
        <v>24806250</v>
      </c>
      <c r="C1576">
        <v>24806250</v>
      </c>
    </row>
    <row r="1577" spans="1:3">
      <c r="A1577">
        <v>1576</v>
      </c>
      <c r="B1577">
        <v>24837760</v>
      </c>
      <c r="C1577">
        <v>24837760</v>
      </c>
    </row>
    <row r="1578" spans="1:3">
      <c r="A1578">
        <v>1577</v>
      </c>
      <c r="B1578">
        <v>24869290</v>
      </c>
      <c r="C1578">
        <v>24869290</v>
      </c>
    </row>
    <row r="1579" spans="1:3">
      <c r="A1579">
        <v>1578</v>
      </c>
      <c r="B1579">
        <v>24900840</v>
      </c>
      <c r="C1579">
        <v>24900840</v>
      </c>
    </row>
    <row r="1580" spans="1:3">
      <c r="A1580">
        <v>1579</v>
      </c>
      <c r="B1580">
        <v>24932410</v>
      </c>
      <c r="C1580">
        <v>24932410</v>
      </c>
    </row>
    <row r="1581" spans="1:3">
      <c r="A1581">
        <v>1580</v>
      </c>
      <c r="B1581">
        <v>24964000</v>
      </c>
      <c r="C1581">
        <v>24964000</v>
      </c>
    </row>
    <row r="1582" spans="1:3">
      <c r="A1582">
        <v>1581</v>
      </c>
      <c r="B1582">
        <v>24995610</v>
      </c>
      <c r="C1582">
        <v>24995610</v>
      </c>
    </row>
    <row r="1583" spans="1:3">
      <c r="A1583">
        <v>1582</v>
      </c>
      <c r="B1583">
        <v>25027240</v>
      </c>
      <c r="C1583">
        <v>25027240</v>
      </c>
    </row>
    <row r="1584" spans="1:3">
      <c r="A1584">
        <v>1583</v>
      </c>
      <c r="B1584">
        <v>25058890</v>
      </c>
      <c r="C1584">
        <v>25058890</v>
      </c>
    </row>
    <row r="1585" spans="1:3">
      <c r="A1585">
        <v>1584</v>
      </c>
      <c r="B1585">
        <v>25090560</v>
      </c>
      <c r="C1585">
        <v>25090560</v>
      </c>
    </row>
    <row r="1586" spans="1:3">
      <c r="A1586">
        <v>1585</v>
      </c>
      <c r="B1586">
        <v>25122250</v>
      </c>
      <c r="C1586">
        <v>25122250</v>
      </c>
    </row>
    <row r="1587" spans="1:3">
      <c r="A1587">
        <v>1586</v>
      </c>
      <c r="B1587">
        <v>25153960</v>
      </c>
      <c r="C1587">
        <v>25153960</v>
      </c>
    </row>
    <row r="1588" spans="1:3">
      <c r="A1588">
        <v>1587</v>
      </c>
      <c r="B1588">
        <v>25185690</v>
      </c>
      <c r="C1588">
        <v>25185690</v>
      </c>
    </row>
    <row r="1589" spans="1:3">
      <c r="A1589">
        <v>1588</v>
      </c>
      <c r="B1589">
        <v>25217440</v>
      </c>
      <c r="C1589">
        <v>25217440</v>
      </c>
    </row>
    <row r="1590" spans="1:3">
      <c r="A1590">
        <v>1589</v>
      </c>
      <c r="B1590">
        <v>25249210</v>
      </c>
      <c r="C1590">
        <v>25249210</v>
      </c>
    </row>
    <row r="1591" spans="1:3">
      <c r="A1591">
        <v>1590</v>
      </c>
      <c r="B1591">
        <v>25281000</v>
      </c>
      <c r="C1591">
        <v>25281000</v>
      </c>
    </row>
    <row r="1592" spans="1:3">
      <c r="A1592">
        <v>1591</v>
      </c>
      <c r="B1592">
        <v>25312810</v>
      </c>
      <c r="C1592">
        <v>25312810</v>
      </c>
    </row>
    <row r="1593" spans="1:3">
      <c r="A1593">
        <v>1592</v>
      </c>
      <c r="B1593">
        <v>25344640</v>
      </c>
      <c r="C1593">
        <v>25344640</v>
      </c>
    </row>
    <row r="1594" spans="1:3">
      <c r="A1594">
        <v>1593</v>
      </c>
      <c r="B1594">
        <v>25376490</v>
      </c>
      <c r="C1594">
        <v>25376490</v>
      </c>
    </row>
    <row r="1595" spans="1:3">
      <c r="A1595">
        <v>1594</v>
      </c>
      <c r="B1595">
        <v>25408360</v>
      </c>
      <c r="C1595">
        <v>25408360</v>
      </c>
    </row>
    <row r="1596" spans="1:3">
      <c r="A1596">
        <v>1595</v>
      </c>
      <c r="B1596">
        <v>25440250</v>
      </c>
      <c r="C1596">
        <v>25440250</v>
      </c>
    </row>
    <row r="1597" spans="1:3">
      <c r="A1597">
        <v>1596</v>
      </c>
      <c r="B1597">
        <v>25472160</v>
      </c>
      <c r="C1597">
        <v>25472160</v>
      </c>
    </row>
    <row r="1598" spans="1:3">
      <c r="A1598">
        <v>1597</v>
      </c>
      <c r="B1598">
        <v>25504090</v>
      </c>
      <c r="C1598">
        <v>25504090</v>
      </c>
    </row>
    <row r="1599" spans="1:3">
      <c r="A1599">
        <v>1598</v>
      </c>
      <c r="B1599">
        <v>25536040</v>
      </c>
      <c r="C1599">
        <v>25536040</v>
      </c>
    </row>
    <row r="1600" spans="1:3">
      <c r="A1600">
        <v>1599</v>
      </c>
      <c r="B1600">
        <v>25568010</v>
      </c>
      <c r="C1600">
        <v>25568010</v>
      </c>
    </row>
    <row r="1601" spans="1:3">
      <c r="A1601">
        <v>1600</v>
      </c>
      <c r="B1601">
        <v>25600000</v>
      </c>
      <c r="C1601">
        <v>25600000</v>
      </c>
    </row>
    <row r="1602" spans="1:3">
      <c r="A1602">
        <v>1601</v>
      </c>
      <c r="B1602">
        <v>25632010</v>
      </c>
      <c r="C1602">
        <v>25632010</v>
      </c>
    </row>
    <row r="1603" spans="1:3">
      <c r="A1603">
        <v>1602</v>
      </c>
      <c r="B1603">
        <v>25664040</v>
      </c>
      <c r="C1603">
        <v>25664040</v>
      </c>
    </row>
    <row r="1604" spans="1:3">
      <c r="A1604">
        <v>1603</v>
      </c>
      <c r="B1604">
        <v>25696090</v>
      </c>
      <c r="C1604">
        <v>25696090</v>
      </c>
    </row>
    <row r="1605" spans="1:3">
      <c r="A1605">
        <v>1604</v>
      </c>
      <c r="B1605">
        <v>25728160</v>
      </c>
      <c r="C1605">
        <v>25728160</v>
      </c>
    </row>
    <row r="1606" spans="1:3">
      <c r="A1606">
        <v>1605</v>
      </c>
      <c r="B1606">
        <v>25760250</v>
      </c>
      <c r="C1606">
        <v>25760250</v>
      </c>
    </row>
    <row r="1607" spans="1:3">
      <c r="A1607">
        <v>1606</v>
      </c>
      <c r="B1607">
        <v>25792360</v>
      </c>
      <c r="C1607">
        <v>25792360</v>
      </c>
    </row>
    <row r="1608" spans="1:3">
      <c r="A1608">
        <v>1607</v>
      </c>
      <c r="B1608">
        <v>25824490</v>
      </c>
      <c r="C1608">
        <v>25824490</v>
      </c>
    </row>
    <row r="1609" spans="1:3">
      <c r="A1609">
        <v>1608</v>
      </c>
      <c r="B1609">
        <v>25856640</v>
      </c>
      <c r="C1609">
        <v>25856640</v>
      </c>
    </row>
    <row r="1610" spans="1:3">
      <c r="A1610">
        <v>1609</v>
      </c>
      <c r="B1610">
        <v>25888810</v>
      </c>
      <c r="C1610">
        <v>25888810</v>
      </c>
    </row>
    <row r="1611" spans="1:3">
      <c r="A1611">
        <v>1610</v>
      </c>
      <c r="B1611">
        <v>25921000</v>
      </c>
      <c r="C1611">
        <v>25921000</v>
      </c>
    </row>
    <row r="1612" spans="1:3">
      <c r="A1612">
        <v>1611</v>
      </c>
      <c r="B1612">
        <v>25953210</v>
      </c>
      <c r="C1612">
        <v>25953210</v>
      </c>
    </row>
    <row r="1613" spans="1:3">
      <c r="A1613">
        <v>1612</v>
      </c>
      <c r="B1613">
        <v>25985440</v>
      </c>
      <c r="C1613">
        <v>25985440</v>
      </c>
    </row>
    <row r="1614" spans="1:3">
      <c r="A1614">
        <v>1613</v>
      </c>
      <c r="B1614">
        <v>26017690</v>
      </c>
      <c r="C1614">
        <v>26017690</v>
      </c>
    </row>
    <row r="1615" spans="1:3">
      <c r="A1615">
        <v>1614</v>
      </c>
      <c r="B1615">
        <v>26049960</v>
      </c>
      <c r="C1615">
        <v>26049960</v>
      </c>
    </row>
    <row r="1616" spans="1:3">
      <c r="A1616">
        <v>1615</v>
      </c>
      <c r="B1616">
        <v>26082250</v>
      </c>
      <c r="C1616">
        <v>26082250</v>
      </c>
    </row>
    <row r="1617" spans="1:3">
      <c r="A1617">
        <v>1616</v>
      </c>
      <c r="B1617">
        <v>26114560</v>
      </c>
      <c r="C1617">
        <v>26114560</v>
      </c>
    </row>
    <row r="1618" spans="1:3">
      <c r="A1618">
        <v>1617</v>
      </c>
      <c r="B1618">
        <v>26146890</v>
      </c>
      <c r="C1618">
        <v>26146890</v>
      </c>
    </row>
    <row r="1619" spans="1:3">
      <c r="A1619">
        <v>1618</v>
      </c>
      <c r="B1619">
        <v>26179240</v>
      </c>
      <c r="C1619">
        <v>26179240</v>
      </c>
    </row>
    <row r="1620" spans="1:3">
      <c r="A1620">
        <v>1619</v>
      </c>
      <c r="B1620">
        <v>26211610</v>
      </c>
      <c r="C1620">
        <v>26211610</v>
      </c>
    </row>
    <row r="1621" spans="1:3">
      <c r="A1621">
        <v>1620</v>
      </c>
      <c r="B1621">
        <v>26244000</v>
      </c>
      <c r="C1621">
        <v>26244000</v>
      </c>
    </row>
    <row r="1622" spans="1:3">
      <c r="A1622">
        <v>1621</v>
      </c>
      <c r="B1622">
        <v>26276410</v>
      </c>
      <c r="C1622">
        <v>26276410</v>
      </c>
    </row>
    <row r="1623" spans="1:3">
      <c r="A1623">
        <v>1622</v>
      </c>
      <c r="B1623">
        <v>26308840</v>
      </c>
      <c r="C1623">
        <v>26308840</v>
      </c>
    </row>
    <row r="1624" spans="1:3">
      <c r="A1624">
        <v>1623</v>
      </c>
      <c r="B1624">
        <v>26341290</v>
      </c>
      <c r="C1624">
        <v>26341290</v>
      </c>
    </row>
    <row r="1625" spans="1:3">
      <c r="A1625">
        <v>1624</v>
      </c>
      <c r="B1625">
        <v>26373760</v>
      </c>
      <c r="C1625">
        <v>26373760</v>
      </c>
    </row>
    <row r="1626" spans="1:3">
      <c r="A1626">
        <v>1625</v>
      </c>
      <c r="B1626">
        <v>26406250</v>
      </c>
      <c r="C1626">
        <v>26406250</v>
      </c>
    </row>
    <row r="1627" spans="1:3">
      <c r="A1627">
        <v>1626</v>
      </c>
      <c r="B1627">
        <v>26438760</v>
      </c>
      <c r="C1627">
        <v>26438760</v>
      </c>
    </row>
    <row r="1628" spans="1:3">
      <c r="A1628">
        <v>1627</v>
      </c>
      <c r="B1628">
        <v>26471290</v>
      </c>
      <c r="C1628">
        <v>26471290</v>
      </c>
    </row>
    <row r="1629" spans="1:3">
      <c r="A1629">
        <v>1628</v>
      </c>
      <c r="B1629">
        <v>26503840</v>
      </c>
      <c r="C1629">
        <v>26503840</v>
      </c>
    </row>
    <row r="1630" spans="1:3">
      <c r="A1630">
        <v>1629</v>
      </c>
      <c r="B1630">
        <v>26536410</v>
      </c>
      <c r="C1630">
        <v>26536410</v>
      </c>
    </row>
    <row r="1631" spans="1:3">
      <c r="A1631">
        <v>1630</v>
      </c>
      <c r="B1631">
        <v>26569000</v>
      </c>
      <c r="C1631">
        <v>26569000</v>
      </c>
    </row>
    <row r="1632" spans="1:3">
      <c r="A1632">
        <v>1631</v>
      </c>
      <c r="B1632">
        <v>26601610</v>
      </c>
      <c r="C1632">
        <v>26601610</v>
      </c>
    </row>
    <row r="1633" spans="1:3">
      <c r="A1633">
        <v>1632</v>
      </c>
      <c r="B1633">
        <v>26634240</v>
      </c>
      <c r="C1633">
        <v>26634240</v>
      </c>
    </row>
    <row r="1634" spans="1:3">
      <c r="A1634">
        <v>1633</v>
      </c>
      <c r="B1634">
        <v>26666890</v>
      </c>
      <c r="C1634">
        <v>26666890</v>
      </c>
    </row>
    <row r="1635" spans="1:3">
      <c r="A1635">
        <v>1634</v>
      </c>
      <c r="B1635">
        <v>26699560</v>
      </c>
      <c r="C1635">
        <v>26699560</v>
      </c>
    </row>
    <row r="1636" spans="1:3">
      <c r="A1636">
        <v>1635</v>
      </c>
      <c r="B1636">
        <v>26732250</v>
      </c>
      <c r="C1636">
        <v>26732250</v>
      </c>
    </row>
    <row r="1637" spans="1:3">
      <c r="A1637">
        <v>1636</v>
      </c>
      <c r="B1637">
        <v>26764960</v>
      </c>
      <c r="C1637">
        <v>26764960</v>
      </c>
    </row>
    <row r="1638" spans="1:3">
      <c r="A1638">
        <v>1637</v>
      </c>
      <c r="B1638">
        <v>26797690</v>
      </c>
      <c r="C1638">
        <v>26797690</v>
      </c>
    </row>
    <row r="1639" spans="1:3">
      <c r="A1639">
        <v>1638</v>
      </c>
      <c r="B1639">
        <v>26830440</v>
      </c>
      <c r="C1639">
        <v>26830440</v>
      </c>
    </row>
    <row r="1640" spans="1:3">
      <c r="A1640">
        <v>1639</v>
      </c>
      <c r="B1640">
        <v>26863210</v>
      </c>
      <c r="C1640">
        <v>26863210</v>
      </c>
    </row>
    <row r="1641" spans="1:3">
      <c r="A1641">
        <v>1640</v>
      </c>
      <c r="B1641">
        <v>26896000</v>
      </c>
      <c r="C1641">
        <v>26896000</v>
      </c>
    </row>
    <row r="1642" spans="1:3">
      <c r="A1642">
        <v>1641</v>
      </c>
      <c r="B1642">
        <v>26928810</v>
      </c>
      <c r="C1642">
        <v>26928810</v>
      </c>
    </row>
    <row r="1643" spans="1:3">
      <c r="A1643">
        <v>1642</v>
      </c>
      <c r="B1643">
        <v>26961640</v>
      </c>
      <c r="C1643">
        <v>26961640</v>
      </c>
    </row>
    <row r="1644" spans="1:3">
      <c r="A1644">
        <v>1643</v>
      </c>
      <c r="B1644">
        <v>26994490</v>
      </c>
      <c r="C1644">
        <v>26994490</v>
      </c>
    </row>
    <row r="1645" spans="1:3">
      <c r="A1645">
        <v>1644</v>
      </c>
      <c r="B1645">
        <v>27027360</v>
      </c>
      <c r="C1645">
        <v>27027360</v>
      </c>
    </row>
    <row r="1646" spans="1:3">
      <c r="A1646">
        <v>1645</v>
      </c>
      <c r="B1646">
        <v>27060250</v>
      </c>
      <c r="C1646">
        <v>27060250</v>
      </c>
    </row>
    <row r="1647" spans="1:3">
      <c r="A1647">
        <v>1646</v>
      </c>
      <c r="B1647">
        <v>27093160</v>
      </c>
      <c r="C1647">
        <v>27093160</v>
      </c>
    </row>
    <row r="1648" spans="1:3">
      <c r="A1648">
        <v>1647</v>
      </c>
      <c r="B1648">
        <v>27126090</v>
      </c>
      <c r="C1648">
        <v>27126090</v>
      </c>
    </row>
    <row r="1649" spans="1:3">
      <c r="A1649">
        <v>1648</v>
      </c>
      <c r="B1649">
        <v>27159040</v>
      </c>
      <c r="C1649">
        <v>27159040</v>
      </c>
    </row>
    <row r="1650" spans="1:3">
      <c r="A1650">
        <v>1649</v>
      </c>
      <c r="B1650">
        <v>27192010</v>
      </c>
      <c r="C1650">
        <v>27192010</v>
      </c>
    </row>
    <row r="1651" spans="1:3">
      <c r="A1651">
        <v>1650</v>
      </c>
      <c r="B1651">
        <v>27225000</v>
      </c>
      <c r="C1651">
        <v>27225000</v>
      </c>
    </row>
    <row r="1652" spans="1:3">
      <c r="A1652">
        <v>1651</v>
      </c>
      <c r="B1652">
        <v>27258010</v>
      </c>
      <c r="C1652">
        <v>27258010</v>
      </c>
    </row>
    <row r="1653" spans="1:3">
      <c r="A1653">
        <v>1652</v>
      </c>
      <c r="B1653">
        <v>27291040</v>
      </c>
      <c r="C1653">
        <v>27291040</v>
      </c>
    </row>
    <row r="1654" spans="1:3">
      <c r="A1654">
        <v>1653</v>
      </c>
      <c r="B1654">
        <v>27324090</v>
      </c>
      <c r="C1654">
        <v>27324090</v>
      </c>
    </row>
    <row r="1655" spans="1:3">
      <c r="A1655">
        <v>1654</v>
      </c>
      <c r="B1655">
        <v>27357160</v>
      </c>
      <c r="C1655">
        <v>27357160</v>
      </c>
    </row>
    <row r="1656" spans="1:3">
      <c r="A1656">
        <v>1655</v>
      </c>
      <c r="B1656">
        <v>27390250</v>
      </c>
      <c r="C1656">
        <v>27390250</v>
      </c>
    </row>
    <row r="1657" spans="1:3">
      <c r="A1657">
        <v>1656</v>
      </c>
      <c r="B1657">
        <v>27423360</v>
      </c>
      <c r="C1657">
        <v>27423360</v>
      </c>
    </row>
    <row r="1658" spans="1:3">
      <c r="A1658">
        <v>1657</v>
      </c>
      <c r="B1658">
        <v>27456490</v>
      </c>
      <c r="C1658">
        <v>27456490</v>
      </c>
    </row>
    <row r="1659" spans="1:3">
      <c r="A1659">
        <v>1658</v>
      </c>
      <c r="B1659">
        <v>27489640</v>
      </c>
      <c r="C1659">
        <v>27489640</v>
      </c>
    </row>
    <row r="1660" spans="1:3">
      <c r="A1660">
        <v>1659</v>
      </c>
      <c r="B1660">
        <v>27522810</v>
      </c>
      <c r="C1660">
        <v>27522810</v>
      </c>
    </row>
    <row r="1661" spans="1:3">
      <c r="A1661">
        <v>1660</v>
      </c>
      <c r="B1661">
        <v>27556000</v>
      </c>
      <c r="C1661">
        <v>27556000</v>
      </c>
    </row>
    <row r="1662" spans="1:3">
      <c r="A1662">
        <v>1661</v>
      </c>
      <c r="B1662">
        <v>27589210</v>
      </c>
      <c r="C1662">
        <v>27589210</v>
      </c>
    </row>
    <row r="1663" spans="1:3">
      <c r="A1663">
        <v>1662</v>
      </c>
      <c r="B1663">
        <v>27622440</v>
      </c>
      <c r="C1663">
        <v>27622440</v>
      </c>
    </row>
    <row r="1664" spans="1:3">
      <c r="A1664">
        <v>1663</v>
      </c>
      <c r="B1664">
        <v>27655690</v>
      </c>
      <c r="C1664">
        <v>27655690</v>
      </c>
    </row>
    <row r="1665" spans="1:3">
      <c r="A1665">
        <v>1664</v>
      </c>
      <c r="B1665">
        <v>27688960</v>
      </c>
      <c r="C1665">
        <v>27688960</v>
      </c>
    </row>
    <row r="1666" spans="1:3">
      <c r="A1666">
        <v>1665</v>
      </c>
      <c r="B1666">
        <v>27722250</v>
      </c>
      <c r="C1666">
        <v>27722250</v>
      </c>
    </row>
    <row r="1667" spans="1:3">
      <c r="A1667">
        <v>1666</v>
      </c>
      <c r="B1667">
        <v>27755560</v>
      </c>
      <c r="C1667">
        <v>27755560</v>
      </c>
    </row>
    <row r="1668" spans="1:3">
      <c r="A1668">
        <v>1667</v>
      </c>
      <c r="B1668">
        <v>27788890</v>
      </c>
      <c r="C1668">
        <v>27788890</v>
      </c>
    </row>
    <row r="1669" spans="1:3">
      <c r="A1669">
        <v>1668</v>
      </c>
      <c r="B1669">
        <v>27822240</v>
      </c>
      <c r="C1669">
        <v>27822240</v>
      </c>
    </row>
    <row r="1670" spans="1:3">
      <c r="A1670">
        <v>1669</v>
      </c>
      <c r="B1670">
        <v>27855610</v>
      </c>
      <c r="C1670">
        <v>27855610</v>
      </c>
    </row>
    <row r="1671" spans="1:3">
      <c r="A1671">
        <v>1670</v>
      </c>
      <c r="B1671">
        <v>27889000</v>
      </c>
      <c r="C1671">
        <v>27889000</v>
      </c>
    </row>
    <row r="1672" spans="1:3">
      <c r="A1672">
        <v>1671</v>
      </c>
      <c r="B1672">
        <v>27922410</v>
      </c>
      <c r="C1672">
        <v>27922410</v>
      </c>
    </row>
    <row r="1673" spans="1:3">
      <c r="A1673">
        <v>1672</v>
      </c>
      <c r="B1673">
        <v>27955840</v>
      </c>
      <c r="C1673">
        <v>27955840</v>
      </c>
    </row>
    <row r="1674" spans="1:3">
      <c r="A1674">
        <v>1673</v>
      </c>
      <c r="B1674">
        <v>27989290</v>
      </c>
      <c r="C1674">
        <v>27989290</v>
      </c>
    </row>
    <row r="1675" spans="1:3">
      <c r="A1675">
        <v>1674</v>
      </c>
      <c r="B1675">
        <v>28022760</v>
      </c>
      <c r="C1675">
        <v>28022760</v>
      </c>
    </row>
    <row r="1676" spans="1:3">
      <c r="A1676">
        <v>1675</v>
      </c>
      <c r="B1676">
        <v>28056250</v>
      </c>
      <c r="C1676">
        <v>28056250</v>
      </c>
    </row>
    <row r="1677" spans="1:3">
      <c r="A1677">
        <v>1676</v>
      </c>
      <c r="B1677">
        <v>28089760</v>
      </c>
      <c r="C1677">
        <v>28089760</v>
      </c>
    </row>
    <row r="1678" spans="1:3">
      <c r="A1678">
        <v>1677</v>
      </c>
      <c r="B1678">
        <v>28123290</v>
      </c>
      <c r="C1678">
        <v>28123290</v>
      </c>
    </row>
    <row r="1679" spans="1:3">
      <c r="A1679">
        <v>1678</v>
      </c>
      <c r="B1679">
        <v>28156840</v>
      </c>
      <c r="C1679">
        <v>28156840</v>
      </c>
    </row>
    <row r="1680" spans="1:3">
      <c r="A1680">
        <v>1679</v>
      </c>
      <c r="B1680">
        <v>28190410</v>
      </c>
      <c r="C1680">
        <v>28190410</v>
      </c>
    </row>
    <row r="1681" spans="1:3">
      <c r="A1681">
        <v>1680</v>
      </c>
      <c r="B1681">
        <v>28224000</v>
      </c>
      <c r="C1681">
        <v>28224000</v>
      </c>
    </row>
    <row r="1682" spans="1:3">
      <c r="A1682">
        <v>1681</v>
      </c>
      <c r="B1682">
        <v>28257610</v>
      </c>
      <c r="C1682">
        <v>28257610</v>
      </c>
    </row>
    <row r="1683" spans="1:3">
      <c r="A1683">
        <v>1682</v>
      </c>
      <c r="B1683">
        <v>28291240</v>
      </c>
      <c r="C1683">
        <v>28291240</v>
      </c>
    </row>
    <row r="1684" spans="1:3">
      <c r="A1684">
        <v>1683</v>
      </c>
      <c r="B1684">
        <v>28324890</v>
      </c>
      <c r="C1684">
        <v>28324890</v>
      </c>
    </row>
    <row r="1685" spans="1:3">
      <c r="A1685">
        <v>1684</v>
      </c>
      <c r="B1685">
        <v>28358560</v>
      </c>
      <c r="C1685">
        <v>28358560</v>
      </c>
    </row>
    <row r="1686" spans="1:3">
      <c r="A1686">
        <v>1685</v>
      </c>
      <c r="B1686">
        <v>28392250</v>
      </c>
      <c r="C1686">
        <v>28392250</v>
      </c>
    </row>
    <row r="1687" spans="1:3">
      <c r="A1687">
        <v>1686</v>
      </c>
      <c r="B1687">
        <v>28425960</v>
      </c>
      <c r="C1687">
        <v>28425960</v>
      </c>
    </row>
    <row r="1688" spans="1:3">
      <c r="A1688">
        <v>1687</v>
      </c>
      <c r="B1688">
        <v>28459690</v>
      </c>
      <c r="C1688">
        <v>28459690</v>
      </c>
    </row>
    <row r="1689" spans="1:3">
      <c r="A1689">
        <v>1688</v>
      </c>
      <c r="B1689">
        <v>28493440</v>
      </c>
      <c r="C1689">
        <v>28493440</v>
      </c>
    </row>
    <row r="1690" spans="1:3">
      <c r="A1690">
        <v>1689</v>
      </c>
      <c r="B1690">
        <v>28527210</v>
      </c>
      <c r="C1690">
        <v>28527210</v>
      </c>
    </row>
    <row r="1691" spans="1:3">
      <c r="A1691">
        <v>1690</v>
      </c>
      <c r="B1691">
        <v>28561000</v>
      </c>
      <c r="C1691">
        <v>28561000</v>
      </c>
    </row>
    <row r="1692" spans="1:3">
      <c r="A1692">
        <v>1691</v>
      </c>
      <c r="B1692">
        <v>28594810</v>
      </c>
      <c r="C1692">
        <v>28594810</v>
      </c>
    </row>
    <row r="1693" spans="1:3">
      <c r="A1693">
        <v>1692</v>
      </c>
      <c r="B1693">
        <v>28628640</v>
      </c>
      <c r="C1693">
        <v>28628640</v>
      </c>
    </row>
    <row r="1694" spans="1:3">
      <c r="A1694">
        <v>1693</v>
      </c>
      <c r="B1694">
        <v>28662490</v>
      </c>
      <c r="C1694">
        <v>28662490</v>
      </c>
    </row>
    <row r="1695" spans="1:3">
      <c r="A1695">
        <v>1694</v>
      </c>
      <c r="B1695">
        <v>28696360</v>
      </c>
      <c r="C1695">
        <v>28696360</v>
      </c>
    </row>
    <row r="1696" spans="1:3">
      <c r="A1696">
        <v>1695</v>
      </c>
      <c r="B1696">
        <v>28730250</v>
      </c>
      <c r="C1696">
        <v>28730250</v>
      </c>
    </row>
    <row r="1697" spans="1:3">
      <c r="A1697">
        <v>1696</v>
      </c>
      <c r="B1697">
        <v>28764160</v>
      </c>
      <c r="C1697">
        <v>28764160</v>
      </c>
    </row>
    <row r="1698" spans="1:3">
      <c r="A1698">
        <v>1697</v>
      </c>
      <c r="B1698">
        <v>28798090</v>
      </c>
      <c r="C1698">
        <v>28798090</v>
      </c>
    </row>
    <row r="1699" spans="1:3">
      <c r="A1699">
        <v>1698</v>
      </c>
      <c r="B1699">
        <v>28832040</v>
      </c>
      <c r="C1699">
        <v>28832040</v>
      </c>
    </row>
    <row r="1700" spans="1:3">
      <c r="A1700">
        <v>1699</v>
      </c>
      <c r="B1700">
        <v>28866010</v>
      </c>
      <c r="C1700">
        <v>28866010</v>
      </c>
    </row>
    <row r="1701" spans="1:3">
      <c r="A1701">
        <v>1700</v>
      </c>
      <c r="B1701">
        <v>28900000</v>
      </c>
      <c r="C1701">
        <v>28900000</v>
      </c>
    </row>
    <row r="1702" spans="1:3">
      <c r="A1702">
        <v>1701</v>
      </c>
      <c r="B1702">
        <v>28934010</v>
      </c>
      <c r="C1702">
        <v>28934010</v>
      </c>
    </row>
    <row r="1703" spans="1:3">
      <c r="A1703">
        <v>1702</v>
      </c>
      <c r="B1703">
        <v>28968040</v>
      </c>
      <c r="C1703">
        <v>28968040</v>
      </c>
    </row>
    <row r="1704" spans="1:3">
      <c r="A1704">
        <v>1703</v>
      </c>
      <c r="B1704">
        <v>29002090</v>
      </c>
      <c r="C1704">
        <v>29002090</v>
      </c>
    </row>
    <row r="1705" spans="1:3">
      <c r="A1705">
        <v>1704</v>
      </c>
      <c r="B1705">
        <v>29036160</v>
      </c>
      <c r="C1705">
        <v>29036160</v>
      </c>
    </row>
    <row r="1706" spans="1:3">
      <c r="A1706">
        <v>1705</v>
      </c>
      <c r="B1706">
        <v>29070250</v>
      </c>
      <c r="C1706">
        <v>29070250</v>
      </c>
    </row>
    <row r="1707" spans="1:3">
      <c r="A1707">
        <v>1706</v>
      </c>
      <c r="B1707">
        <v>29104360</v>
      </c>
      <c r="C1707">
        <v>29104360</v>
      </c>
    </row>
    <row r="1708" spans="1:3">
      <c r="A1708">
        <v>1707</v>
      </c>
      <c r="B1708">
        <v>29138490</v>
      </c>
      <c r="C1708">
        <v>29138490</v>
      </c>
    </row>
    <row r="1709" spans="1:3">
      <c r="A1709">
        <v>1708</v>
      </c>
      <c r="B1709">
        <v>29172640</v>
      </c>
      <c r="C1709">
        <v>29172640</v>
      </c>
    </row>
    <row r="1710" spans="1:3">
      <c r="A1710">
        <v>1709</v>
      </c>
      <c r="B1710">
        <v>29206810</v>
      </c>
      <c r="C1710">
        <v>29206810</v>
      </c>
    </row>
    <row r="1711" spans="1:3">
      <c r="A1711">
        <v>1710</v>
      </c>
      <c r="B1711">
        <v>29241000</v>
      </c>
      <c r="C1711">
        <v>29241000</v>
      </c>
    </row>
    <row r="1712" spans="1:3">
      <c r="A1712">
        <v>1711</v>
      </c>
      <c r="B1712">
        <v>29275210</v>
      </c>
      <c r="C1712">
        <v>29275210</v>
      </c>
    </row>
    <row r="1713" spans="1:3">
      <c r="A1713">
        <v>1712</v>
      </c>
      <c r="B1713">
        <v>29309440</v>
      </c>
      <c r="C1713">
        <v>29309440</v>
      </c>
    </row>
    <row r="1714" spans="1:3">
      <c r="A1714">
        <v>1713</v>
      </c>
      <c r="B1714">
        <v>29343690</v>
      </c>
      <c r="C1714">
        <v>29343690</v>
      </c>
    </row>
    <row r="1715" spans="1:3">
      <c r="A1715">
        <v>1714</v>
      </c>
      <c r="B1715">
        <v>29377960</v>
      </c>
      <c r="C1715">
        <v>29377960</v>
      </c>
    </row>
    <row r="1716" spans="1:3">
      <c r="A1716">
        <v>1715</v>
      </c>
      <c r="B1716">
        <v>29412250</v>
      </c>
      <c r="C1716">
        <v>29412250</v>
      </c>
    </row>
    <row r="1717" spans="1:3">
      <c r="A1717">
        <v>1716</v>
      </c>
      <c r="B1717">
        <v>29446560</v>
      </c>
      <c r="C1717">
        <v>29446560</v>
      </c>
    </row>
    <row r="1718" spans="1:3">
      <c r="A1718">
        <v>1717</v>
      </c>
      <c r="B1718">
        <v>29480890</v>
      </c>
      <c r="C1718">
        <v>29480890</v>
      </c>
    </row>
    <row r="1719" spans="1:3">
      <c r="A1719">
        <v>1718</v>
      </c>
      <c r="B1719">
        <v>29515240</v>
      </c>
      <c r="C1719">
        <v>29515240</v>
      </c>
    </row>
    <row r="1720" spans="1:3">
      <c r="A1720">
        <v>1719</v>
      </c>
      <c r="B1720">
        <v>29549610</v>
      </c>
      <c r="C1720">
        <v>29549610</v>
      </c>
    </row>
    <row r="1721" spans="1:3">
      <c r="A1721">
        <v>1720</v>
      </c>
      <c r="B1721">
        <v>29584000</v>
      </c>
      <c r="C1721">
        <v>29584000</v>
      </c>
    </row>
    <row r="1722" spans="1:3">
      <c r="A1722">
        <v>1721</v>
      </c>
      <c r="B1722">
        <v>29618410</v>
      </c>
      <c r="C1722">
        <v>29618410</v>
      </c>
    </row>
    <row r="1723" spans="1:3">
      <c r="A1723">
        <v>1722</v>
      </c>
      <c r="B1723">
        <v>29652840</v>
      </c>
      <c r="C1723">
        <v>29652840</v>
      </c>
    </row>
    <row r="1724" spans="1:3">
      <c r="A1724">
        <v>1723</v>
      </c>
      <c r="B1724">
        <v>29687290</v>
      </c>
      <c r="C1724">
        <v>29687290</v>
      </c>
    </row>
    <row r="1725" spans="1:3">
      <c r="A1725">
        <v>1724</v>
      </c>
      <c r="B1725">
        <v>29721760</v>
      </c>
      <c r="C1725">
        <v>29721760</v>
      </c>
    </row>
    <row r="1726" spans="1:3">
      <c r="A1726">
        <v>1725</v>
      </c>
      <c r="B1726">
        <v>29756250</v>
      </c>
      <c r="C1726">
        <v>29756250</v>
      </c>
    </row>
    <row r="1727" spans="1:3">
      <c r="A1727">
        <v>1726</v>
      </c>
      <c r="B1727">
        <v>29790760</v>
      </c>
      <c r="C1727">
        <v>29790760</v>
      </c>
    </row>
    <row r="1728" spans="1:3">
      <c r="A1728">
        <v>1727</v>
      </c>
      <c r="B1728">
        <v>29825290</v>
      </c>
      <c r="C1728">
        <v>29825290</v>
      </c>
    </row>
    <row r="1729" spans="1:3">
      <c r="A1729">
        <v>1728</v>
      </c>
      <c r="B1729">
        <v>29859840</v>
      </c>
      <c r="C1729">
        <v>29859840</v>
      </c>
    </row>
    <row r="1730" spans="1:3">
      <c r="A1730">
        <v>1729</v>
      </c>
      <c r="B1730">
        <v>29894410</v>
      </c>
      <c r="C1730">
        <v>29894410</v>
      </c>
    </row>
    <row r="1731" spans="1:3">
      <c r="A1731">
        <v>1730</v>
      </c>
      <c r="B1731">
        <v>29929000</v>
      </c>
      <c r="C1731">
        <v>29929000</v>
      </c>
    </row>
    <row r="1732" spans="1:3">
      <c r="A1732">
        <v>1731</v>
      </c>
      <c r="B1732">
        <v>29963610</v>
      </c>
      <c r="C1732">
        <v>29963610</v>
      </c>
    </row>
    <row r="1733" spans="1:3">
      <c r="A1733">
        <v>1732</v>
      </c>
      <c r="B1733">
        <v>29998240</v>
      </c>
      <c r="C1733">
        <v>29998240</v>
      </c>
    </row>
    <row r="1734" spans="1:3">
      <c r="A1734">
        <v>1733</v>
      </c>
      <c r="B1734">
        <v>30032890</v>
      </c>
      <c r="C1734">
        <v>30032890</v>
      </c>
    </row>
    <row r="1735" spans="1:3">
      <c r="A1735">
        <v>1734</v>
      </c>
      <c r="B1735">
        <v>30067560</v>
      </c>
      <c r="C1735">
        <v>30067560</v>
      </c>
    </row>
    <row r="1736" spans="1:3">
      <c r="A1736">
        <v>1735</v>
      </c>
      <c r="B1736">
        <v>30102250</v>
      </c>
      <c r="C1736">
        <v>30102250</v>
      </c>
    </row>
    <row r="1737" spans="1:3">
      <c r="A1737">
        <v>1736</v>
      </c>
      <c r="B1737">
        <v>30136960</v>
      </c>
      <c r="C1737">
        <v>30136960</v>
      </c>
    </row>
    <row r="1738" spans="1:3">
      <c r="A1738">
        <v>1737</v>
      </c>
      <c r="B1738">
        <v>30171690</v>
      </c>
      <c r="C1738">
        <v>30171690</v>
      </c>
    </row>
    <row r="1739" spans="1:3">
      <c r="A1739">
        <v>1738</v>
      </c>
      <c r="B1739">
        <v>30206440</v>
      </c>
      <c r="C1739">
        <v>30206440</v>
      </c>
    </row>
    <row r="1740" spans="1:3">
      <c r="A1740">
        <v>1739</v>
      </c>
      <c r="B1740">
        <v>30241210</v>
      </c>
      <c r="C1740">
        <v>30241210</v>
      </c>
    </row>
    <row r="1741" spans="1:3">
      <c r="A1741">
        <v>1740</v>
      </c>
      <c r="B1741">
        <v>30276000</v>
      </c>
      <c r="C1741">
        <v>30276000</v>
      </c>
    </row>
    <row r="1742" spans="1:3">
      <c r="A1742">
        <v>1741</v>
      </c>
      <c r="B1742">
        <v>30310810</v>
      </c>
      <c r="C1742">
        <v>30310810</v>
      </c>
    </row>
    <row r="1743" spans="1:3">
      <c r="A1743">
        <v>1742</v>
      </c>
      <c r="B1743">
        <v>30345640</v>
      </c>
      <c r="C1743">
        <v>30345640</v>
      </c>
    </row>
    <row r="1744" spans="1:3">
      <c r="A1744">
        <v>1743</v>
      </c>
      <c r="B1744">
        <v>30380490</v>
      </c>
      <c r="C1744">
        <v>30380490</v>
      </c>
    </row>
    <row r="1745" spans="1:3">
      <c r="A1745">
        <v>1744</v>
      </c>
      <c r="B1745">
        <v>30415360</v>
      </c>
      <c r="C1745">
        <v>30415360</v>
      </c>
    </row>
    <row r="1746" spans="1:3">
      <c r="A1746">
        <v>1745</v>
      </c>
      <c r="B1746">
        <v>30450250</v>
      </c>
      <c r="C1746">
        <v>30450250</v>
      </c>
    </row>
    <row r="1747" spans="1:3">
      <c r="A1747">
        <v>1746</v>
      </c>
      <c r="B1747">
        <v>30485160</v>
      </c>
      <c r="C1747">
        <v>30485160</v>
      </c>
    </row>
    <row r="1748" spans="1:3">
      <c r="A1748">
        <v>1747</v>
      </c>
      <c r="B1748">
        <v>30520090</v>
      </c>
      <c r="C1748">
        <v>30520090</v>
      </c>
    </row>
    <row r="1749" spans="1:3">
      <c r="A1749">
        <v>1748</v>
      </c>
      <c r="B1749">
        <v>30555040</v>
      </c>
      <c r="C1749">
        <v>30555040</v>
      </c>
    </row>
    <row r="1750" spans="1:3">
      <c r="A1750">
        <v>1749</v>
      </c>
      <c r="B1750">
        <v>30590010</v>
      </c>
      <c r="C1750">
        <v>30590010</v>
      </c>
    </row>
    <row r="1751" spans="1:3">
      <c r="A1751">
        <v>1750</v>
      </c>
      <c r="B1751">
        <v>30625000</v>
      </c>
      <c r="C1751">
        <v>30625000</v>
      </c>
    </row>
    <row r="1752" spans="1:3">
      <c r="A1752">
        <v>1751</v>
      </c>
      <c r="B1752">
        <v>30660010</v>
      </c>
      <c r="C1752">
        <v>30660010</v>
      </c>
    </row>
    <row r="1753" spans="1:3">
      <c r="A1753">
        <v>1752</v>
      </c>
      <c r="B1753">
        <v>30695040</v>
      </c>
      <c r="C1753">
        <v>30695040</v>
      </c>
    </row>
    <row r="1754" spans="1:3">
      <c r="A1754">
        <v>1753</v>
      </c>
      <c r="B1754">
        <v>30730090</v>
      </c>
      <c r="C1754">
        <v>30730090</v>
      </c>
    </row>
    <row r="1755" spans="1:3">
      <c r="A1755">
        <v>1754</v>
      </c>
      <c r="B1755">
        <v>30765160</v>
      </c>
      <c r="C1755">
        <v>30765160</v>
      </c>
    </row>
    <row r="1756" spans="1:3">
      <c r="A1756">
        <v>1755</v>
      </c>
      <c r="B1756">
        <v>30800250</v>
      </c>
      <c r="C1756">
        <v>30800250</v>
      </c>
    </row>
    <row r="1757" spans="1:3">
      <c r="A1757">
        <v>1756</v>
      </c>
      <c r="B1757">
        <v>30835360</v>
      </c>
      <c r="C1757">
        <v>30835360</v>
      </c>
    </row>
    <row r="1758" spans="1:3">
      <c r="A1758">
        <v>1757</v>
      </c>
      <c r="B1758">
        <v>30870490</v>
      </c>
      <c r="C1758">
        <v>30870490</v>
      </c>
    </row>
    <row r="1759" spans="1:3">
      <c r="A1759">
        <v>1758</v>
      </c>
      <c r="B1759">
        <v>30905640</v>
      </c>
      <c r="C1759">
        <v>30905640</v>
      </c>
    </row>
    <row r="1760" spans="1:3">
      <c r="A1760">
        <v>1759</v>
      </c>
      <c r="B1760">
        <v>30940810</v>
      </c>
      <c r="C1760">
        <v>30940810</v>
      </c>
    </row>
    <row r="1761" spans="1:3">
      <c r="A1761">
        <v>1760</v>
      </c>
      <c r="B1761">
        <v>30976000</v>
      </c>
      <c r="C1761">
        <v>30976000</v>
      </c>
    </row>
    <row r="1762" spans="1:3">
      <c r="A1762">
        <v>1761</v>
      </c>
      <c r="B1762">
        <v>31011210</v>
      </c>
      <c r="C1762">
        <v>31011210</v>
      </c>
    </row>
    <row r="1763" spans="1:3">
      <c r="A1763">
        <v>1762</v>
      </c>
      <c r="B1763">
        <v>31046440</v>
      </c>
      <c r="C1763">
        <v>31046440</v>
      </c>
    </row>
    <row r="1764" spans="1:3">
      <c r="A1764">
        <v>1763</v>
      </c>
      <c r="B1764">
        <v>31081690</v>
      </c>
      <c r="C1764">
        <v>31081690</v>
      </c>
    </row>
    <row r="1765" spans="1:3">
      <c r="A1765">
        <v>1764</v>
      </c>
      <c r="B1765">
        <v>31116960</v>
      </c>
      <c r="C1765">
        <v>31116960</v>
      </c>
    </row>
    <row r="1766" spans="1:3">
      <c r="A1766">
        <v>1765</v>
      </c>
      <c r="B1766">
        <v>31152250</v>
      </c>
      <c r="C1766">
        <v>31152250</v>
      </c>
    </row>
    <row r="1767" spans="1:3">
      <c r="A1767">
        <v>1766</v>
      </c>
      <c r="B1767">
        <v>31187560</v>
      </c>
      <c r="C1767">
        <v>31187560</v>
      </c>
    </row>
    <row r="1768" spans="1:3">
      <c r="A1768">
        <v>1767</v>
      </c>
      <c r="B1768">
        <v>31222890</v>
      </c>
      <c r="C1768">
        <v>31222890</v>
      </c>
    </row>
    <row r="1769" spans="1:3">
      <c r="A1769">
        <v>1768</v>
      </c>
      <c r="B1769">
        <v>31258240</v>
      </c>
      <c r="C1769">
        <v>31258240</v>
      </c>
    </row>
    <row r="1770" spans="1:3">
      <c r="A1770">
        <v>1769</v>
      </c>
      <c r="B1770">
        <v>31293610</v>
      </c>
      <c r="C1770">
        <v>31293610</v>
      </c>
    </row>
    <row r="1771" spans="1:3">
      <c r="A1771">
        <v>1770</v>
      </c>
      <c r="B1771">
        <v>31329000</v>
      </c>
      <c r="C1771">
        <v>31329000</v>
      </c>
    </row>
    <row r="1772" spans="1:3">
      <c r="A1772">
        <v>1771</v>
      </c>
      <c r="B1772">
        <v>31364410</v>
      </c>
      <c r="C1772">
        <v>31364410</v>
      </c>
    </row>
    <row r="1773" spans="1:3">
      <c r="A1773">
        <v>1772</v>
      </c>
      <c r="B1773">
        <v>31399840</v>
      </c>
      <c r="C1773">
        <v>31399840</v>
      </c>
    </row>
    <row r="1774" spans="1:3">
      <c r="A1774">
        <v>1773</v>
      </c>
      <c r="B1774">
        <v>31435290</v>
      </c>
      <c r="C1774">
        <v>31435290</v>
      </c>
    </row>
    <row r="1775" spans="1:3">
      <c r="A1775">
        <v>1774</v>
      </c>
      <c r="B1775">
        <v>31470760</v>
      </c>
      <c r="C1775">
        <v>31470760</v>
      </c>
    </row>
    <row r="1776" spans="1:3">
      <c r="A1776">
        <v>1775</v>
      </c>
      <c r="B1776">
        <v>31506250</v>
      </c>
      <c r="C1776">
        <v>31506250</v>
      </c>
    </row>
    <row r="1777" spans="1:3">
      <c r="A1777">
        <v>1776</v>
      </c>
      <c r="B1777">
        <v>31541760</v>
      </c>
      <c r="C1777">
        <v>31541760</v>
      </c>
    </row>
    <row r="1778" spans="1:3">
      <c r="A1778">
        <v>1777</v>
      </c>
      <c r="B1778">
        <v>31577290</v>
      </c>
      <c r="C1778">
        <v>31577290</v>
      </c>
    </row>
    <row r="1779" spans="1:3">
      <c r="A1779">
        <v>1778</v>
      </c>
      <c r="B1779">
        <v>31612840</v>
      </c>
      <c r="C1779">
        <v>31612840</v>
      </c>
    </row>
    <row r="1780" spans="1:3">
      <c r="A1780">
        <v>1779</v>
      </c>
      <c r="B1780">
        <v>31648410</v>
      </c>
      <c r="C1780">
        <v>31648410</v>
      </c>
    </row>
    <row r="1781" spans="1:3">
      <c r="A1781">
        <v>1780</v>
      </c>
      <c r="B1781">
        <v>31684000</v>
      </c>
      <c r="C1781">
        <v>31684000</v>
      </c>
    </row>
    <row r="1782" spans="1:3">
      <c r="A1782">
        <v>1781</v>
      </c>
      <c r="B1782">
        <v>31719610</v>
      </c>
      <c r="C1782">
        <v>31719610</v>
      </c>
    </row>
    <row r="1783" spans="1:3">
      <c r="A1783">
        <v>1782</v>
      </c>
      <c r="B1783">
        <v>31755240</v>
      </c>
      <c r="C1783">
        <v>31755240</v>
      </c>
    </row>
    <row r="1784" spans="1:3">
      <c r="A1784">
        <v>1783</v>
      </c>
      <c r="B1784">
        <v>31790890</v>
      </c>
      <c r="C1784">
        <v>31790890</v>
      </c>
    </row>
    <row r="1785" spans="1:3">
      <c r="A1785">
        <v>1784</v>
      </c>
      <c r="B1785">
        <v>31826560</v>
      </c>
      <c r="C1785">
        <v>31826560</v>
      </c>
    </row>
    <row r="1786" spans="1:3">
      <c r="A1786">
        <v>1785</v>
      </c>
      <c r="B1786">
        <v>31862250</v>
      </c>
      <c r="C1786">
        <v>31862250</v>
      </c>
    </row>
    <row r="1787" spans="1:3">
      <c r="A1787">
        <v>1786</v>
      </c>
      <c r="B1787">
        <v>31897960</v>
      </c>
      <c r="C1787">
        <v>31897960</v>
      </c>
    </row>
    <row r="1788" spans="1:3">
      <c r="A1788">
        <v>1787</v>
      </c>
      <c r="B1788">
        <v>31933690</v>
      </c>
      <c r="C1788">
        <v>31933690</v>
      </c>
    </row>
    <row r="1789" spans="1:3">
      <c r="A1789">
        <v>1788</v>
      </c>
      <c r="B1789">
        <v>31969440</v>
      </c>
      <c r="C1789">
        <v>31969440</v>
      </c>
    </row>
    <row r="1790" spans="1:3">
      <c r="A1790">
        <v>1789</v>
      </c>
      <c r="B1790">
        <v>32005210</v>
      </c>
      <c r="C1790">
        <v>32005210</v>
      </c>
    </row>
    <row r="1791" spans="1:3">
      <c r="A1791">
        <v>1790</v>
      </c>
      <c r="B1791">
        <v>32041000</v>
      </c>
      <c r="C1791">
        <v>32041000</v>
      </c>
    </row>
    <row r="1792" spans="1:3">
      <c r="A1792">
        <v>1791</v>
      </c>
      <c r="B1792">
        <v>32076810</v>
      </c>
      <c r="C1792">
        <v>32076810</v>
      </c>
    </row>
    <row r="1793" spans="1:3">
      <c r="A1793">
        <v>1792</v>
      </c>
      <c r="B1793">
        <v>32112640</v>
      </c>
      <c r="C1793">
        <v>32112640</v>
      </c>
    </row>
    <row r="1794" spans="1:3">
      <c r="A1794">
        <v>1793</v>
      </c>
      <c r="B1794">
        <v>32148490</v>
      </c>
      <c r="C1794">
        <v>32148490</v>
      </c>
    </row>
    <row r="1795" spans="1:3">
      <c r="A1795">
        <v>1794</v>
      </c>
      <c r="B1795">
        <v>32184360</v>
      </c>
      <c r="C1795">
        <v>32184360</v>
      </c>
    </row>
    <row r="1796" spans="1:3">
      <c r="A1796">
        <v>1795</v>
      </c>
      <c r="B1796">
        <v>32220250</v>
      </c>
      <c r="C1796">
        <v>32220250</v>
      </c>
    </row>
    <row r="1797" spans="1:3">
      <c r="A1797">
        <v>1796</v>
      </c>
      <c r="B1797">
        <v>32256160</v>
      </c>
      <c r="C1797">
        <v>32256160</v>
      </c>
    </row>
    <row r="1798" spans="1:3">
      <c r="A1798">
        <v>1797</v>
      </c>
      <c r="B1798">
        <v>32292090</v>
      </c>
      <c r="C1798">
        <v>32292090</v>
      </c>
    </row>
    <row r="1799" spans="1:3">
      <c r="A1799">
        <v>1798</v>
      </c>
      <c r="B1799">
        <v>32328040</v>
      </c>
      <c r="C1799">
        <v>32328040</v>
      </c>
    </row>
    <row r="1800" spans="1:3">
      <c r="A1800">
        <v>1799</v>
      </c>
      <c r="B1800">
        <v>32364010</v>
      </c>
      <c r="C1800">
        <v>32364010</v>
      </c>
    </row>
    <row r="1801" spans="1:3">
      <c r="A1801">
        <v>1800</v>
      </c>
      <c r="B1801">
        <v>32400000</v>
      </c>
      <c r="C1801">
        <v>32400000</v>
      </c>
    </row>
    <row r="1802" spans="1:3">
      <c r="A1802">
        <v>1801</v>
      </c>
      <c r="B1802">
        <v>32436010</v>
      </c>
      <c r="C1802">
        <v>32436010</v>
      </c>
    </row>
    <row r="1803" spans="1:3">
      <c r="A1803">
        <v>1802</v>
      </c>
      <c r="B1803">
        <v>32472040</v>
      </c>
      <c r="C1803">
        <v>32472040</v>
      </c>
    </row>
    <row r="1804" spans="1:3">
      <c r="A1804">
        <v>1803</v>
      </c>
      <c r="B1804">
        <v>32508090</v>
      </c>
      <c r="C1804">
        <v>32508090</v>
      </c>
    </row>
    <row r="1805" spans="1:3">
      <c r="A1805">
        <v>1804</v>
      </c>
      <c r="B1805">
        <v>32544160</v>
      </c>
      <c r="C1805">
        <v>32544160</v>
      </c>
    </row>
    <row r="1806" spans="1:3">
      <c r="A1806">
        <v>1805</v>
      </c>
      <c r="B1806">
        <v>32580250</v>
      </c>
      <c r="C1806">
        <v>32580250</v>
      </c>
    </row>
    <row r="1807" spans="1:3">
      <c r="A1807">
        <v>1806</v>
      </c>
      <c r="B1807">
        <v>32616360</v>
      </c>
      <c r="C1807">
        <v>32616360</v>
      </c>
    </row>
    <row r="1808" spans="1:3">
      <c r="A1808">
        <v>1807</v>
      </c>
      <c r="B1808">
        <v>32652490</v>
      </c>
      <c r="C1808">
        <v>32652490</v>
      </c>
    </row>
    <row r="1809" spans="1:3">
      <c r="A1809">
        <v>1808</v>
      </c>
      <c r="B1809">
        <v>32688640</v>
      </c>
      <c r="C1809">
        <v>32688640</v>
      </c>
    </row>
    <row r="1810" spans="1:3">
      <c r="A1810">
        <v>1809</v>
      </c>
      <c r="B1810">
        <v>32724810</v>
      </c>
      <c r="C1810">
        <v>32724810</v>
      </c>
    </row>
    <row r="1811" spans="1:3">
      <c r="A1811">
        <v>1810</v>
      </c>
      <c r="B1811">
        <v>32761000</v>
      </c>
      <c r="C1811">
        <v>32761000</v>
      </c>
    </row>
    <row r="1812" spans="1:3">
      <c r="A1812">
        <v>1811</v>
      </c>
      <c r="B1812">
        <v>32797210</v>
      </c>
      <c r="C1812">
        <v>32797210</v>
      </c>
    </row>
    <row r="1813" spans="1:3">
      <c r="A1813">
        <v>1812</v>
      </c>
      <c r="B1813">
        <v>32833440</v>
      </c>
      <c r="C1813">
        <v>32833440</v>
      </c>
    </row>
    <row r="1814" spans="1:3">
      <c r="A1814">
        <v>1813</v>
      </c>
      <c r="B1814">
        <v>32869690</v>
      </c>
      <c r="C1814">
        <v>32869690</v>
      </c>
    </row>
    <row r="1815" spans="1:3">
      <c r="A1815">
        <v>1814</v>
      </c>
      <c r="B1815">
        <v>32905960</v>
      </c>
      <c r="C1815">
        <v>32905960</v>
      </c>
    </row>
    <row r="1816" spans="1:3">
      <c r="A1816">
        <v>1815</v>
      </c>
      <c r="B1816">
        <v>32942250</v>
      </c>
      <c r="C1816">
        <v>32942250</v>
      </c>
    </row>
    <row r="1817" spans="1:3">
      <c r="A1817">
        <v>1816</v>
      </c>
      <c r="B1817">
        <v>32978560</v>
      </c>
      <c r="C1817">
        <v>32978560</v>
      </c>
    </row>
    <row r="1818" spans="1:3">
      <c r="A1818">
        <v>1817</v>
      </c>
      <c r="B1818">
        <v>33014890</v>
      </c>
      <c r="C1818">
        <v>33014890</v>
      </c>
    </row>
    <row r="1819" spans="1:3">
      <c r="A1819">
        <v>1818</v>
      </c>
      <c r="B1819">
        <v>33051240</v>
      </c>
      <c r="C1819">
        <v>33051240</v>
      </c>
    </row>
    <row r="1820" spans="1:3">
      <c r="A1820">
        <v>1819</v>
      </c>
      <c r="B1820">
        <v>33087610</v>
      </c>
      <c r="C1820">
        <v>33087610</v>
      </c>
    </row>
    <row r="1821" spans="1:3">
      <c r="A1821">
        <v>1820</v>
      </c>
      <c r="B1821">
        <v>33124000</v>
      </c>
      <c r="C1821">
        <v>33124000</v>
      </c>
    </row>
    <row r="1822" spans="1:3">
      <c r="A1822">
        <v>1821</v>
      </c>
      <c r="B1822">
        <v>33160410</v>
      </c>
      <c r="C1822">
        <v>33160410</v>
      </c>
    </row>
    <row r="1823" spans="1:3">
      <c r="A1823">
        <v>1822</v>
      </c>
      <c r="B1823">
        <v>33196840</v>
      </c>
      <c r="C1823">
        <v>33196840</v>
      </c>
    </row>
    <row r="1824" spans="1:3">
      <c r="A1824">
        <v>1823</v>
      </c>
      <c r="B1824">
        <v>33233290</v>
      </c>
      <c r="C1824">
        <v>33233290</v>
      </c>
    </row>
    <row r="1825" spans="1:3">
      <c r="A1825">
        <v>1824</v>
      </c>
      <c r="B1825">
        <v>33269760</v>
      </c>
      <c r="C1825">
        <v>33269760</v>
      </c>
    </row>
    <row r="1826" spans="1:3">
      <c r="A1826">
        <v>1825</v>
      </c>
      <c r="B1826">
        <v>33306250</v>
      </c>
      <c r="C1826">
        <v>33306250</v>
      </c>
    </row>
    <row r="1827" spans="1:3">
      <c r="A1827">
        <v>1826</v>
      </c>
      <c r="B1827">
        <v>33342760</v>
      </c>
      <c r="C1827">
        <v>33342760</v>
      </c>
    </row>
    <row r="1828" spans="1:3">
      <c r="A1828">
        <v>1827</v>
      </c>
      <c r="B1828">
        <v>33379290</v>
      </c>
      <c r="C1828">
        <v>33379290</v>
      </c>
    </row>
    <row r="1829" spans="1:3">
      <c r="A1829">
        <v>1828</v>
      </c>
      <c r="B1829">
        <v>33415840</v>
      </c>
      <c r="C1829">
        <v>33415840</v>
      </c>
    </row>
    <row r="1830" spans="1:3">
      <c r="A1830">
        <v>1829</v>
      </c>
      <c r="B1830">
        <v>33452410</v>
      </c>
      <c r="C1830">
        <v>33452410</v>
      </c>
    </row>
    <row r="1831" spans="1:3">
      <c r="A1831">
        <v>1830</v>
      </c>
      <c r="B1831">
        <v>33489000</v>
      </c>
      <c r="C1831">
        <v>33489000</v>
      </c>
    </row>
    <row r="1832" spans="1:3">
      <c r="A1832">
        <v>1831</v>
      </c>
      <c r="B1832">
        <v>33525610</v>
      </c>
      <c r="C1832">
        <v>33525610</v>
      </c>
    </row>
    <row r="1833" spans="1:3">
      <c r="A1833">
        <v>1832</v>
      </c>
      <c r="B1833">
        <v>33562240</v>
      </c>
      <c r="C1833">
        <v>33562240</v>
      </c>
    </row>
    <row r="1834" spans="1:3">
      <c r="A1834">
        <v>1833</v>
      </c>
      <c r="B1834">
        <v>33598890</v>
      </c>
      <c r="C1834">
        <v>33598890</v>
      </c>
    </row>
    <row r="1835" spans="1:3">
      <c r="A1835">
        <v>1834</v>
      </c>
      <c r="B1835">
        <v>33635560</v>
      </c>
      <c r="C1835">
        <v>33635560</v>
      </c>
    </row>
    <row r="1836" spans="1:3">
      <c r="A1836">
        <v>1835</v>
      </c>
      <c r="B1836">
        <v>33672250</v>
      </c>
      <c r="C1836">
        <v>33672250</v>
      </c>
    </row>
    <row r="1837" spans="1:3">
      <c r="A1837">
        <v>1836</v>
      </c>
      <c r="B1837">
        <v>33708960</v>
      </c>
      <c r="C1837">
        <v>33708960</v>
      </c>
    </row>
    <row r="1838" spans="1:3">
      <c r="A1838">
        <v>1837</v>
      </c>
      <c r="B1838">
        <v>33745690</v>
      </c>
      <c r="C1838">
        <v>33745690</v>
      </c>
    </row>
    <row r="1839" spans="1:3">
      <c r="A1839">
        <v>1838</v>
      </c>
      <c r="B1839">
        <v>33782440</v>
      </c>
      <c r="C1839">
        <v>33782440</v>
      </c>
    </row>
    <row r="1840" spans="1:3">
      <c r="A1840">
        <v>1839</v>
      </c>
      <c r="B1840">
        <v>33819210</v>
      </c>
      <c r="C1840">
        <v>33819210</v>
      </c>
    </row>
    <row r="1841" spans="1:3">
      <c r="A1841">
        <v>1840</v>
      </c>
      <c r="B1841">
        <v>33856000</v>
      </c>
      <c r="C1841">
        <v>33856000</v>
      </c>
    </row>
    <row r="1842" spans="1:3">
      <c r="A1842">
        <v>1841</v>
      </c>
      <c r="B1842">
        <v>33892810</v>
      </c>
      <c r="C1842">
        <v>33892810</v>
      </c>
    </row>
    <row r="1843" spans="1:3">
      <c r="A1843">
        <v>1842</v>
      </c>
      <c r="B1843">
        <v>33929640</v>
      </c>
      <c r="C1843">
        <v>33929640</v>
      </c>
    </row>
    <row r="1844" spans="1:3">
      <c r="A1844">
        <v>1843</v>
      </c>
      <c r="B1844">
        <v>33966490</v>
      </c>
      <c r="C1844">
        <v>33966490</v>
      </c>
    </row>
    <row r="1845" spans="1:3">
      <c r="A1845">
        <v>1844</v>
      </c>
      <c r="B1845">
        <v>34003360</v>
      </c>
      <c r="C1845">
        <v>34003360</v>
      </c>
    </row>
    <row r="1846" spans="1:3">
      <c r="A1846">
        <v>1845</v>
      </c>
      <c r="B1846">
        <v>34040250</v>
      </c>
      <c r="C1846">
        <v>34040250</v>
      </c>
    </row>
    <row r="1847" spans="1:3">
      <c r="A1847">
        <v>1846</v>
      </c>
      <c r="B1847">
        <v>34077160</v>
      </c>
      <c r="C1847">
        <v>34077160</v>
      </c>
    </row>
    <row r="1848" spans="1:3">
      <c r="A1848">
        <v>1847</v>
      </c>
      <c r="B1848">
        <v>34114090</v>
      </c>
      <c r="C1848">
        <v>34114090</v>
      </c>
    </row>
    <row r="1849" spans="1:3">
      <c r="A1849">
        <v>1848</v>
      </c>
      <c r="B1849">
        <v>34151040</v>
      </c>
      <c r="C1849">
        <v>34151040</v>
      </c>
    </row>
    <row r="1850" spans="1:3">
      <c r="A1850">
        <v>1849</v>
      </c>
      <c r="B1850">
        <v>34188010</v>
      </c>
      <c r="C1850">
        <v>34188010</v>
      </c>
    </row>
    <row r="1851" spans="1:3">
      <c r="A1851">
        <v>1850</v>
      </c>
      <c r="B1851">
        <v>34225000</v>
      </c>
      <c r="C1851">
        <v>34225000</v>
      </c>
    </row>
    <row r="1852" spans="1:3">
      <c r="A1852">
        <v>1851</v>
      </c>
      <c r="B1852">
        <v>34262010</v>
      </c>
      <c r="C1852">
        <v>34262010</v>
      </c>
    </row>
    <row r="1853" spans="1:3">
      <c r="A1853">
        <v>1852</v>
      </c>
      <c r="B1853">
        <v>34299040</v>
      </c>
      <c r="C1853">
        <v>34299040</v>
      </c>
    </row>
    <row r="1854" spans="1:3">
      <c r="A1854">
        <v>1853</v>
      </c>
      <c r="B1854">
        <v>34336090</v>
      </c>
      <c r="C1854">
        <v>34336090</v>
      </c>
    </row>
    <row r="1855" spans="1:3">
      <c r="A1855">
        <v>1854</v>
      </c>
      <c r="B1855">
        <v>34373160</v>
      </c>
      <c r="C1855">
        <v>34373160</v>
      </c>
    </row>
    <row r="1856" spans="1:3">
      <c r="A1856">
        <v>1855</v>
      </c>
      <c r="B1856">
        <v>34410250</v>
      </c>
      <c r="C1856">
        <v>34410250</v>
      </c>
    </row>
    <row r="1857" spans="1:3">
      <c r="A1857">
        <v>1856</v>
      </c>
      <c r="B1857">
        <v>34447360</v>
      </c>
      <c r="C1857">
        <v>34447360</v>
      </c>
    </row>
    <row r="1858" spans="1:3">
      <c r="A1858">
        <v>1857</v>
      </c>
      <c r="B1858">
        <v>34484490</v>
      </c>
      <c r="C1858">
        <v>34484490</v>
      </c>
    </row>
    <row r="1859" spans="1:3">
      <c r="A1859">
        <v>1858</v>
      </c>
      <c r="B1859">
        <v>34521640</v>
      </c>
      <c r="C1859">
        <v>34521640</v>
      </c>
    </row>
    <row r="1860" spans="1:3">
      <c r="A1860">
        <v>1859</v>
      </c>
      <c r="B1860">
        <v>34558810</v>
      </c>
      <c r="C1860">
        <v>34558810</v>
      </c>
    </row>
    <row r="1861" spans="1:3">
      <c r="A1861">
        <v>1860</v>
      </c>
      <c r="B1861">
        <v>34596000</v>
      </c>
      <c r="C1861">
        <v>34596000</v>
      </c>
    </row>
    <row r="1862" spans="1:3">
      <c r="A1862">
        <v>1861</v>
      </c>
      <c r="B1862">
        <v>34633210</v>
      </c>
      <c r="C1862">
        <v>34633210</v>
      </c>
    </row>
    <row r="1863" spans="1:3">
      <c r="A1863">
        <v>1862</v>
      </c>
      <c r="B1863">
        <v>34670440</v>
      </c>
      <c r="C1863">
        <v>34670440</v>
      </c>
    </row>
    <row r="1864" spans="1:3">
      <c r="A1864">
        <v>1863</v>
      </c>
      <c r="B1864">
        <v>34707690</v>
      </c>
      <c r="C1864">
        <v>34707690</v>
      </c>
    </row>
    <row r="1865" spans="1:3">
      <c r="A1865">
        <v>1864</v>
      </c>
      <c r="B1865">
        <v>34744960</v>
      </c>
      <c r="C1865">
        <v>34744960</v>
      </c>
    </row>
    <row r="1866" spans="1:3">
      <c r="A1866">
        <v>1865</v>
      </c>
      <c r="B1866">
        <v>34782250</v>
      </c>
      <c r="C1866">
        <v>34782250</v>
      </c>
    </row>
    <row r="1867" spans="1:3">
      <c r="A1867">
        <v>1866</v>
      </c>
      <c r="B1867">
        <v>34819560</v>
      </c>
      <c r="C1867">
        <v>34819560</v>
      </c>
    </row>
    <row r="1868" spans="1:3">
      <c r="A1868">
        <v>1867</v>
      </c>
      <c r="B1868">
        <v>34856890</v>
      </c>
      <c r="C1868">
        <v>34856890</v>
      </c>
    </row>
    <row r="1869" spans="1:3">
      <c r="A1869">
        <v>1868</v>
      </c>
      <c r="B1869">
        <v>34894240</v>
      </c>
      <c r="C1869">
        <v>34894240</v>
      </c>
    </row>
    <row r="1870" spans="1:3">
      <c r="A1870">
        <v>1869</v>
      </c>
      <c r="B1870">
        <v>34931610</v>
      </c>
      <c r="C1870">
        <v>34931610</v>
      </c>
    </row>
    <row r="1871" spans="1:3">
      <c r="A1871">
        <v>1870</v>
      </c>
      <c r="B1871">
        <v>34969000</v>
      </c>
      <c r="C1871">
        <v>34969000</v>
      </c>
    </row>
    <row r="1872" spans="1:3">
      <c r="A1872">
        <v>1871</v>
      </c>
      <c r="B1872">
        <v>35006410</v>
      </c>
      <c r="C1872">
        <v>35006410</v>
      </c>
    </row>
    <row r="1873" spans="1:3">
      <c r="A1873">
        <v>1872</v>
      </c>
      <c r="B1873">
        <v>35043840</v>
      </c>
      <c r="C1873">
        <v>35043840</v>
      </c>
    </row>
    <row r="1874" spans="1:3">
      <c r="A1874">
        <v>1873</v>
      </c>
      <c r="B1874">
        <v>35081290</v>
      </c>
      <c r="C1874">
        <v>35081290</v>
      </c>
    </row>
    <row r="1875" spans="1:3">
      <c r="A1875">
        <v>1874</v>
      </c>
      <c r="B1875">
        <v>35118760</v>
      </c>
      <c r="C1875">
        <v>35118760</v>
      </c>
    </row>
    <row r="1876" spans="1:3">
      <c r="A1876">
        <v>1875</v>
      </c>
      <c r="B1876">
        <v>35156250</v>
      </c>
      <c r="C1876">
        <v>35156250</v>
      </c>
    </row>
    <row r="1877" spans="1:3">
      <c r="A1877">
        <v>1876</v>
      </c>
      <c r="B1877">
        <v>35193760</v>
      </c>
      <c r="C1877">
        <v>35193760</v>
      </c>
    </row>
    <row r="1878" spans="1:3">
      <c r="A1878">
        <v>1877</v>
      </c>
      <c r="B1878">
        <v>35231290</v>
      </c>
      <c r="C1878">
        <v>35231290</v>
      </c>
    </row>
    <row r="1879" spans="1:3">
      <c r="A1879">
        <v>1878</v>
      </c>
      <c r="B1879">
        <v>35268840</v>
      </c>
      <c r="C1879">
        <v>35268840</v>
      </c>
    </row>
    <row r="1880" spans="1:3">
      <c r="A1880">
        <v>1879</v>
      </c>
      <c r="B1880">
        <v>35306410</v>
      </c>
      <c r="C1880">
        <v>35306410</v>
      </c>
    </row>
    <row r="1881" spans="1:3">
      <c r="A1881">
        <v>1880</v>
      </c>
      <c r="B1881">
        <v>35344000</v>
      </c>
      <c r="C1881">
        <v>35344000</v>
      </c>
    </row>
    <row r="1882" spans="1:3">
      <c r="A1882">
        <v>1881</v>
      </c>
      <c r="B1882">
        <v>35381610</v>
      </c>
      <c r="C1882">
        <v>35381610</v>
      </c>
    </row>
    <row r="1883" spans="1:3">
      <c r="A1883">
        <v>1882</v>
      </c>
      <c r="B1883">
        <v>35419240</v>
      </c>
      <c r="C1883">
        <v>35419240</v>
      </c>
    </row>
    <row r="1884" spans="1:3">
      <c r="A1884">
        <v>1883</v>
      </c>
      <c r="B1884">
        <v>35456890</v>
      </c>
      <c r="C1884">
        <v>35456890</v>
      </c>
    </row>
    <row r="1885" spans="1:3">
      <c r="A1885">
        <v>1884</v>
      </c>
      <c r="B1885">
        <v>35494560</v>
      </c>
      <c r="C1885">
        <v>35494560</v>
      </c>
    </row>
    <row r="1886" spans="1:3">
      <c r="A1886">
        <v>1885</v>
      </c>
      <c r="B1886">
        <v>35532250</v>
      </c>
      <c r="C1886">
        <v>35532250</v>
      </c>
    </row>
    <row r="1887" spans="1:3">
      <c r="A1887">
        <v>1886</v>
      </c>
      <c r="B1887">
        <v>35569960</v>
      </c>
      <c r="C1887">
        <v>35569960</v>
      </c>
    </row>
    <row r="1888" spans="1:3">
      <c r="A1888">
        <v>1887</v>
      </c>
      <c r="B1888">
        <v>35607690</v>
      </c>
      <c r="C1888">
        <v>35607690</v>
      </c>
    </row>
    <row r="1889" spans="1:3">
      <c r="A1889">
        <v>1888</v>
      </c>
      <c r="B1889">
        <v>35645440</v>
      </c>
      <c r="C1889">
        <v>35645440</v>
      </c>
    </row>
    <row r="1890" spans="1:3">
      <c r="A1890">
        <v>1889</v>
      </c>
      <c r="B1890">
        <v>35683210</v>
      </c>
      <c r="C1890">
        <v>35683210</v>
      </c>
    </row>
    <row r="1891" spans="1:3">
      <c r="A1891">
        <v>1890</v>
      </c>
      <c r="B1891">
        <v>35721000</v>
      </c>
      <c r="C1891">
        <v>35721000</v>
      </c>
    </row>
    <row r="1892" spans="1:3">
      <c r="A1892">
        <v>1891</v>
      </c>
      <c r="B1892">
        <v>35758810</v>
      </c>
      <c r="C1892">
        <v>35758810</v>
      </c>
    </row>
    <row r="1893" spans="1:3">
      <c r="A1893">
        <v>1892</v>
      </c>
      <c r="B1893">
        <v>35796640</v>
      </c>
      <c r="C1893">
        <v>35796640</v>
      </c>
    </row>
    <row r="1894" spans="1:3">
      <c r="A1894">
        <v>1893</v>
      </c>
      <c r="B1894">
        <v>35834490</v>
      </c>
      <c r="C1894">
        <v>35834490</v>
      </c>
    </row>
    <row r="1895" spans="1:3">
      <c r="A1895">
        <v>1894</v>
      </c>
      <c r="B1895">
        <v>35872360</v>
      </c>
      <c r="C1895">
        <v>35872360</v>
      </c>
    </row>
    <row r="1896" spans="1:3">
      <c r="A1896">
        <v>1895</v>
      </c>
      <c r="B1896">
        <v>35910250</v>
      </c>
      <c r="C1896">
        <v>35910250</v>
      </c>
    </row>
    <row r="1897" spans="1:3">
      <c r="A1897">
        <v>1896</v>
      </c>
      <c r="B1897">
        <v>35948160</v>
      </c>
      <c r="C1897">
        <v>35948160</v>
      </c>
    </row>
    <row r="1898" spans="1:3">
      <c r="A1898">
        <v>1897</v>
      </c>
      <c r="B1898">
        <v>35986090</v>
      </c>
      <c r="C1898">
        <v>35986090</v>
      </c>
    </row>
    <row r="1899" spans="1:3">
      <c r="A1899">
        <v>1898</v>
      </c>
      <c r="B1899">
        <v>36024040</v>
      </c>
      <c r="C1899">
        <v>36024040</v>
      </c>
    </row>
    <row r="1900" spans="1:3">
      <c r="A1900">
        <v>1899</v>
      </c>
      <c r="B1900">
        <v>36062010</v>
      </c>
      <c r="C1900">
        <v>36062010</v>
      </c>
    </row>
    <row r="1901" spans="1:3">
      <c r="A1901">
        <v>1900</v>
      </c>
      <c r="B1901">
        <v>36100000</v>
      </c>
      <c r="C1901">
        <v>36100000</v>
      </c>
    </row>
    <row r="1902" spans="1:3">
      <c r="A1902">
        <v>1901</v>
      </c>
      <c r="B1902">
        <v>36138010</v>
      </c>
      <c r="C1902">
        <v>36138010</v>
      </c>
    </row>
    <row r="1903" spans="1:3">
      <c r="A1903">
        <v>1902</v>
      </c>
      <c r="B1903">
        <v>36176040</v>
      </c>
      <c r="C1903">
        <v>36176040</v>
      </c>
    </row>
    <row r="1904" spans="1:3">
      <c r="A1904">
        <v>1903</v>
      </c>
      <c r="B1904">
        <v>36214090</v>
      </c>
      <c r="C1904">
        <v>36214090</v>
      </c>
    </row>
    <row r="1905" spans="1:3">
      <c r="A1905">
        <v>1904</v>
      </c>
      <c r="B1905">
        <v>36252160</v>
      </c>
      <c r="C1905">
        <v>36252160</v>
      </c>
    </row>
    <row r="1906" spans="1:3">
      <c r="A1906">
        <v>1905</v>
      </c>
      <c r="B1906">
        <v>36290250</v>
      </c>
      <c r="C1906">
        <v>36290250</v>
      </c>
    </row>
    <row r="1907" spans="1:3">
      <c r="A1907">
        <v>1906</v>
      </c>
      <c r="B1907">
        <v>36328360</v>
      </c>
      <c r="C1907">
        <v>36328360</v>
      </c>
    </row>
    <row r="1908" spans="1:3">
      <c r="A1908">
        <v>1907</v>
      </c>
      <c r="B1908">
        <v>36366490</v>
      </c>
      <c r="C1908">
        <v>36366490</v>
      </c>
    </row>
    <row r="1909" spans="1:3">
      <c r="A1909">
        <v>1908</v>
      </c>
      <c r="B1909">
        <v>36404640</v>
      </c>
      <c r="C1909">
        <v>36404640</v>
      </c>
    </row>
    <row r="1910" spans="1:3">
      <c r="A1910">
        <v>1909</v>
      </c>
      <c r="B1910">
        <v>36442810</v>
      </c>
      <c r="C1910">
        <v>36442810</v>
      </c>
    </row>
    <row r="1911" spans="1:3">
      <c r="A1911">
        <v>1910</v>
      </c>
      <c r="B1911">
        <v>36481000</v>
      </c>
      <c r="C1911">
        <v>36481000</v>
      </c>
    </row>
    <row r="1912" spans="1:3">
      <c r="A1912">
        <v>1911</v>
      </c>
      <c r="B1912">
        <v>36519210</v>
      </c>
      <c r="C1912">
        <v>36519210</v>
      </c>
    </row>
    <row r="1913" spans="1:3">
      <c r="A1913">
        <v>1912</v>
      </c>
      <c r="B1913">
        <v>36557440</v>
      </c>
      <c r="C1913">
        <v>36557440</v>
      </c>
    </row>
    <row r="1914" spans="1:3">
      <c r="A1914">
        <v>1913</v>
      </c>
      <c r="B1914">
        <v>36595690</v>
      </c>
      <c r="C1914">
        <v>36595690</v>
      </c>
    </row>
    <row r="1915" spans="1:3">
      <c r="A1915">
        <v>1914</v>
      </c>
      <c r="B1915">
        <v>36633960</v>
      </c>
      <c r="C1915">
        <v>36633960</v>
      </c>
    </row>
    <row r="1916" spans="1:3">
      <c r="A1916">
        <v>1915</v>
      </c>
      <c r="B1916">
        <v>36672250</v>
      </c>
      <c r="C1916">
        <v>36672250</v>
      </c>
    </row>
    <row r="1917" spans="1:3">
      <c r="A1917">
        <v>1916</v>
      </c>
      <c r="B1917">
        <v>36710560</v>
      </c>
      <c r="C1917">
        <v>36710560</v>
      </c>
    </row>
    <row r="1918" spans="1:3">
      <c r="A1918">
        <v>1917</v>
      </c>
      <c r="B1918">
        <v>36748890</v>
      </c>
      <c r="C1918">
        <v>36748890</v>
      </c>
    </row>
    <row r="1919" spans="1:3">
      <c r="A1919">
        <v>1918</v>
      </c>
      <c r="B1919">
        <v>36787240</v>
      </c>
      <c r="C1919">
        <v>36787240</v>
      </c>
    </row>
    <row r="1920" spans="1:3">
      <c r="A1920">
        <v>1919</v>
      </c>
      <c r="B1920">
        <v>36825610</v>
      </c>
      <c r="C1920">
        <v>36825610</v>
      </c>
    </row>
    <row r="1921" spans="1:3">
      <c r="A1921">
        <v>1920</v>
      </c>
      <c r="B1921">
        <v>36864000</v>
      </c>
      <c r="C1921">
        <v>36864000</v>
      </c>
    </row>
    <row r="1922" spans="1:3">
      <c r="A1922">
        <v>1921</v>
      </c>
      <c r="B1922">
        <v>36902410</v>
      </c>
      <c r="C1922">
        <v>36902410</v>
      </c>
    </row>
    <row r="1923" spans="1:3">
      <c r="A1923">
        <v>1922</v>
      </c>
      <c r="B1923">
        <v>36940840</v>
      </c>
      <c r="C1923">
        <v>36940840</v>
      </c>
    </row>
    <row r="1924" spans="1:3">
      <c r="A1924">
        <v>1923</v>
      </c>
      <c r="B1924">
        <v>36979290</v>
      </c>
      <c r="C1924">
        <v>36979290</v>
      </c>
    </row>
    <row r="1925" spans="1:3">
      <c r="A1925">
        <v>1924</v>
      </c>
      <c r="B1925">
        <v>37017760</v>
      </c>
      <c r="C1925">
        <v>37017760</v>
      </c>
    </row>
    <row r="1926" spans="1:3">
      <c r="A1926">
        <v>1925</v>
      </c>
      <c r="B1926">
        <v>37056250</v>
      </c>
      <c r="C1926">
        <v>37056250</v>
      </c>
    </row>
    <row r="1927" spans="1:3">
      <c r="A1927">
        <v>1926</v>
      </c>
      <c r="B1927">
        <v>37094760</v>
      </c>
      <c r="C1927">
        <v>37094760</v>
      </c>
    </row>
    <row r="1928" spans="1:3">
      <c r="A1928">
        <v>1927</v>
      </c>
      <c r="B1928">
        <v>37133290</v>
      </c>
      <c r="C1928">
        <v>37133290</v>
      </c>
    </row>
    <row r="1929" spans="1:3">
      <c r="A1929">
        <v>1928</v>
      </c>
      <c r="B1929">
        <v>37171840</v>
      </c>
      <c r="C1929">
        <v>37171840</v>
      </c>
    </row>
    <row r="1930" spans="1:3">
      <c r="A1930">
        <v>1929</v>
      </c>
      <c r="B1930">
        <v>37210410</v>
      </c>
      <c r="C1930">
        <v>37210410</v>
      </c>
    </row>
    <row r="1931" spans="1:3">
      <c r="A1931">
        <v>1930</v>
      </c>
      <c r="B1931">
        <v>37249000</v>
      </c>
      <c r="C1931">
        <v>37249000</v>
      </c>
    </row>
    <row r="1932" spans="1:3">
      <c r="A1932">
        <v>1931</v>
      </c>
      <c r="B1932">
        <v>37287610</v>
      </c>
      <c r="C1932">
        <v>37287610</v>
      </c>
    </row>
    <row r="1933" spans="1:3">
      <c r="A1933">
        <v>1932</v>
      </c>
      <c r="B1933">
        <v>37326240</v>
      </c>
      <c r="C1933">
        <v>37326240</v>
      </c>
    </row>
    <row r="1934" spans="1:3">
      <c r="A1934">
        <v>1933</v>
      </c>
      <c r="B1934">
        <v>37364890</v>
      </c>
      <c r="C1934">
        <v>37364890</v>
      </c>
    </row>
    <row r="1935" spans="1:3">
      <c r="A1935">
        <v>1934</v>
      </c>
      <c r="B1935">
        <v>37403560</v>
      </c>
      <c r="C1935">
        <v>37403560</v>
      </c>
    </row>
    <row r="1936" spans="1:3">
      <c r="A1936">
        <v>1935</v>
      </c>
      <c r="B1936">
        <v>37442250</v>
      </c>
      <c r="C1936">
        <v>37442250</v>
      </c>
    </row>
    <row r="1937" spans="1:3">
      <c r="A1937">
        <v>1936</v>
      </c>
      <c r="B1937">
        <v>37480960</v>
      </c>
      <c r="C1937">
        <v>37480960</v>
      </c>
    </row>
    <row r="1938" spans="1:3">
      <c r="A1938">
        <v>1937</v>
      </c>
      <c r="B1938">
        <v>37519690</v>
      </c>
      <c r="C1938">
        <v>37519690</v>
      </c>
    </row>
    <row r="1939" spans="1:3">
      <c r="A1939">
        <v>1938</v>
      </c>
      <c r="B1939">
        <v>37558440</v>
      </c>
      <c r="C1939">
        <v>37558440</v>
      </c>
    </row>
    <row r="1940" spans="1:3">
      <c r="A1940">
        <v>1939</v>
      </c>
      <c r="B1940">
        <v>37597210</v>
      </c>
      <c r="C1940">
        <v>37597210</v>
      </c>
    </row>
    <row r="1941" spans="1:3">
      <c r="A1941">
        <v>1940</v>
      </c>
      <c r="B1941">
        <v>37636000</v>
      </c>
      <c r="C1941">
        <v>37636000</v>
      </c>
    </row>
    <row r="1942" spans="1:3">
      <c r="A1942">
        <v>1941</v>
      </c>
      <c r="B1942">
        <v>37674810</v>
      </c>
      <c r="C1942">
        <v>37674810</v>
      </c>
    </row>
    <row r="1943" spans="1:3">
      <c r="A1943">
        <v>1942</v>
      </c>
      <c r="B1943">
        <v>37713640</v>
      </c>
      <c r="C1943">
        <v>37713640</v>
      </c>
    </row>
    <row r="1944" spans="1:3">
      <c r="A1944">
        <v>1943</v>
      </c>
      <c r="B1944">
        <v>37752490</v>
      </c>
      <c r="C1944">
        <v>37752490</v>
      </c>
    </row>
    <row r="1945" spans="1:3">
      <c r="A1945">
        <v>1944</v>
      </c>
      <c r="B1945">
        <v>37791360</v>
      </c>
      <c r="C1945">
        <v>37791360</v>
      </c>
    </row>
    <row r="1946" spans="1:3">
      <c r="A1946">
        <v>1945</v>
      </c>
      <c r="B1946">
        <v>37830250</v>
      </c>
      <c r="C1946">
        <v>37830250</v>
      </c>
    </row>
    <row r="1947" spans="1:3">
      <c r="A1947">
        <v>1946</v>
      </c>
      <c r="B1947">
        <v>37869160</v>
      </c>
      <c r="C1947">
        <v>37869160</v>
      </c>
    </row>
    <row r="1948" spans="1:3">
      <c r="A1948">
        <v>1947</v>
      </c>
      <c r="B1948">
        <v>37908090</v>
      </c>
      <c r="C1948">
        <v>37908090</v>
      </c>
    </row>
    <row r="1949" spans="1:3">
      <c r="A1949">
        <v>1948</v>
      </c>
      <c r="B1949">
        <v>37947040</v>
      </c>
      <c r="C1949">
        <v>37947040</v>
      </c>
    </row>
    <row r="1950" spans="1:3">
      <c r="A1950">
        <v>1949</v>
      </c>
      <c r="B1950">
        <v>37986010</v>
      </c>
      <c r="C1950">
        <v>37986010</v>
      </c>
    </row>
    <row r="1951" spans="1:3">
      <c r="A1951">
        <v>1950</v>
      </c>
      <c r="B1951">
        <v>38025000</v>
      </c>
      <c r="C1951">
        <v>38025000</v>
      </c>
    </row>
    <row r="1952" spans="1:3">
      <c r="A1952">
        <v>1951</v>
      </c>
      <c r="B1952">
        <v>38064010</v>
      </c>
      <c r="C1952">
        <v>38064010</v>
      </c>
    </row>
    <row r="1953" spans="1:3">
      <c r="A1953">
        <v>1952</v>
      </c>
      <c r="B1953">
        <v>38103040</v>
      </c>
      <c r="C1953">
        <v>38103040</v>
      </c>
    </row>
    <row r="1954" spans="1:3">
      <c r="A1954">
        <v>1953</v>
      </c>
      <c r="B1954">
        <v>38142090</v>
      </c>
      <c r="C1954">
        <v>38142090</v>
      </c>
    </row>
    <row r="1955" spans="1:3">
      <c r="A1955">
        <v>1954</v>
      </c>
      <c r="B1955">
        <v>38181160</v>
      </c>
      <c r="C1955">
        <v>38181160</v>
      </c>
    </row>
    <row r="1956" spans="1:3">
      <c r="A1956">
        <v>1955</v>
      </c>
      <c r="B1956">
        <v>38220250</v>
      </c>
      <c r="C1956">
        <v>38220250</v>
      </c>
    </row>
    <row r="1957" spans="1:3">
      <c r="A1957">
        <v>1956</v>
      </c>
      <c r="B1957">
        <v>38259360</v>
      </c>
      <c r="C1957">
        <v>38259360</v>
      </c>
    </row>
    <row r="1958" spans="1:3">
      <c r="A1958">
        <v>1957</v>
      </c>
      <c r="B1958">
        <v>38298490</v>
      </c>
      <c r="C1958">
        <v>38298490</v>
      </c>
    </row>
    <row r="1959" spans="1:3">
      <c r="A1959">
        <v>1958</v>
      </c>
      <c r="B1959">
        <v>38337640</v>
      </c>
      <c r="C1959">
        <v>38337640</v>
      </c>
    </row>
    <row r="1960" spans="1:3">
      <c r="A1960">
        <v>1959</v>
      </c>
      <c r="B1960">
        <v>38376810</v>
      </c>
      <c r="C1960">
        <v>38376810</v>
      </c>
    </row>
    <row r="1961" spans="1:3">
      <c r="A1961">
        <v>1960</v>
      </c>
      <c r="B1961">
        <v>38416000</v>
      </c>
      <c r="C1961">
        <v>38416000</v>
      </c>
    </row>
    <row r="1962" spans="1:3">
      <c r="A1962">
        <v>1961</v>
      </c>
      <c r="B1962">
        <v>38455210</v>
      </c>
      <c r="C1962">
        <v>38455210</v>
      </c>
    </row>
    <row r="1963" spans="1:3">
      <c r="A1963">
        <v>1962</v>
      </c>
      <c r="B1963">
        <v>38494440</v>
      </c>
      <c r="C1963">
        <v>38494440</v>
      </c>
    </row>
    <row r="1964" spans="1:3">
      <c r="A1964">
        <v>1963</v>
      </c>
      <c r="B1964">
        <v>38533690</v>
      </c>
      <c r="C1964">
        <v>38533690</v>
      </c>
    </row>
    <row r="1965" spans="1:3">
      <c r="A1965">
        <v>1964</v>
      </c>
      <c r="B1965">
        <v>38572960</v>
      </c>
      <c r="C1965">
        <v>38572960</v>
      </c>
    </row>
    <row r="1966" spans="1:3">
      <c r="A1966">
        <v>1965</v>
      </c>
      <c r="B1966">
        <v>38612250</v>
      </c>
      <c r="C1966">
        <v>38612250</v>
      </c>
    </row>
    <row r="1967" spans="1:3">
      <c r="A1967">
        <v>1966</v>
      </c>
      <c r="B1967">
        <v>38651560</v>
      </c>
      <c r="C1967">
        <v>38651560</v>
      </c>
    </row>
    <row r="1968" spans="1:3">
      <c r="A1968">
        <v>1967</v>
      </c>
      <c r="B1968">
        <v>38690890</v>
      </c>
      <c r="C1968">
        <v>38690890</v>
      </c>
    </row>
    <row r="1969" spans="1:3">
      <c r="A1969">
        <v>1968</v>
      </c>
      <c r="B1969">
        <v>38730240</v>
      </c>
      <c r="C1969">
        <v>38730240</v>
      </c>
    </row>
    <row r="1970" spans="1:3">
      <c r="A1970">
        <v>1969</v>
      </c>
      <c r="B1970">
        <v>38769610</v>
      </c>
      <c r="C1970">
        <v>38769610</v>
      </c>
    </row>
    <row r="1971" spans="1:3">
      <c r="A1971">
        <v>1970</v>
      </c>
      <c r="B1971">
        <v>38809000</v>
      </c>
      <c r="C1971">
        <v>38809000</v>
      </c>
    </row>
    <row r="1972" spans="1:3">
      <c r="A1972">
        <v>1971</v>
      </c>
      <c r="B1972">
        <v>38848410</v>
      </c>
      <c r="C1972">
        <v>38848410</v>
      </c>
    </row>
    <row r="1973" spans="1:3">
      <c r="A1973">
        <v>1972</v>
      </c>
      <c r="B1973">
        <v>38887840</v>
      </c>
      <c r="C1973">
        <v>38887840</v>
      </c>
    </row>
    <row r="1974" spans="1:3">
      <c r="A1974">
        <v>1973</v>
      </c>
      <c r="B1974">
        <v>38927290</v>
      </c>
      <c r="C1974">
        <v>38927290</v>
      </c>
    </row>
    <row r="1975" spans="1:3">
      <c r="A1975">
        <v>1974</v>
      </c>
      <c r="B1975">
        <v>38966760</v>
      </c>
      <c r="C1975">
        <v>38966760</v>
      </c>
    </row>
    <row r="1976" spans="1:3">
      <c r="A1976">
        <v>1975</v>
      </c>
      <c r="B1976">
        <v>39006250</v>
      </c>
      <c r="C1976">
        <v>39006250</v>
      </c>
    </row>
    <row r="1977" spans="1:3">
      <c r="A1977">
        <v>1976</v>
      </c>
      <c r="B1977">
        <v>39045760</v>
      </c>
      <c r="C1977">
        <v>39045760</v>
      </c>
    </row>
    <row r="1978" spans="1:3">
      <c r="A1978">
        <v>1977</v>
      </c>
      <c r="B1978">
        <v>39085290</v>
      </c>
      <c r="C1978">
        <v>39085290</v>
      </c>
    </row>
    <row r="1979" spans="1:3">
      <c r="A1979">
        <v>1978</v>
      </c>
      <c r="B1979">
        <v>39124840</v>
      </c>
      <c r="C1979">
        <v>39124840</v>
      </c>
    </row>
    <row r="1980" spans="1:3">
      <c r="A1980">
        <v>1979</v>
      </c>
      <c r="B1980">
        <v>39164410</v>
      </c>
      <c r="C1980">
        <v>39164410</v>
      </c>
    </row>
    <row r="1981" spans="1:3">
      <c r="A1981">
        <v>1980</v>
      </c>
      <c r="B1981">
        <v>39204000</v>
      </c>
      <c r="C1981">
        <v>39204000</v>
      </c>
    </row>
    <row r="1982" spans="1:3">
      <c r="A1982">
        <v>1981</v>
      </c>
      <c r="B1982">
        <v>39243610</v>
      </c>
      <c r="C1982">
        <v>39243610</v>
      </c>
    </row>
    <row r="1983" spans="1:3">
      <c r="A1983">
        <v>1982</v>
      </c>
      <c r="B1983">
        <v>39283240</v>
      </c>
      <c r="C1983">
        <v>39283240</v>
      </c>
    </row>
    <row r="1984" spans="1:3">
      <c r="A1984">
        <v>1983</v>
      </c>
      <c r="B1984">
        <v>39322890</v>
      </c>
      <c r="C1984">
        <v>39322890</v>
      </c>
    </row>
    <row r="1985" spans="1:3">
      <c r="A1985">
        <v>1984</v>
      </c>
      <c r="B1985">
        <v>39362560</v>
      </c>
      <c r="C1985">
        <v>39362560</v>
      </c>
    </row>
    <row r="1986" spans="1:3">
      <c r="A1986">
        <v>1985</v>
      </c>
      <c r="B1986">
        <v>39402250</v>
      </c>
      <c r="C1986">
        <v>39402250</v>
      </c>
    </row>
    <row r="1987" spans="1:3">
      <c r="A1987">
        <v>1986</v>
      </c>
      <c r="B1987">
        <v>39441960</v>
      </c>
      <c r="C1987">
        <v>39441960</v>
      </c>
    </row>
    <row r="1988" spans="1:3">
      <c r="A1988">
        <v>1987</v>
      </c>
      <c r="B1988">
        <v>39481690</v>
      </c>
      <c r="C1988">
        <v>39481690</v>
      </c>
    </row>
    <row r="1989" spans="1:3">
      <c r="A1989">
        <v>1988</v>
      </c>
      <c r="B1989">
        <v>39521440</v>
      </c>
      <c r="C1989">
        <v>39521440</v>
      </c>
    </row>
    <row r="1990" spans="1:3">
      <c r="A1990">
        <v>1989</v>
      </c>
      <c r="B1990">
        <v>39561210</v>
      </c>
      <c r="C1990">
        <v>39561210</v>
      </c>
    </row>
    <row r="1991" spans="1:3">
      <c r="A1991">
        <v>1990</v>
      </c>
      <c r="B1991">
        <v>39601000</v>
      </c>
      <c r="C1991">
        <v>39601000</v>
      </c>
    </row>
    <row r="1992" spans="1:3">
      <c r="A1992">
        <v>1991</v>
      </c>
      <c r="B1992">
        <v>39640810</v>
      </c>
      <c r="C1992">
        <v>39640810</v>
      </c>
    </row>
    <row r="1993" spans="1:3">
      <c r="A1993">
        <v>1992</v>
      </c>
      <c r="B1993">
        <v>39680640</v>
      </c>
      <c r="C1993">
        <v>39680640</v>
      </c>
    </row>
    <row r="1994" spans="1:3">
      <c r="A1994">
        <v>1993</v>
      </c>
      <c r="B1994">
        <v>39720490</v>
      </c>
      <c r="C1994">
        <v>39720490</v>
      </c>
    </row>
    <row r="1995" spans="1:3">
      <c r="A1995">
        <v>1994</v>
      </c>
      <c r="B1995">
        <v>39760360</v>
      </c>
      <c r="C1995">
        <v>39760360</v>
      </c>
    </row>
    <row r="1996" spans="1:3">
      <c r="A1996">
        <v>1995</v>
      </c>
      <c r="B1996">
        <v>39800250</v>
      </c>
      <c r="C1996">
        <v>39800250</v>
      </c>
    </row>
    <row r="1997" spans="1:3">
      <c r="A1997">
        <v>1996</v>
      </c>
      <c r="B1997">
        <v>39840160</v>
      </c>
      <c r="C1997">
        <v>39840160</v>
      </c>
    </row>
    <row r="1998" spans="1:3">
      <c r="A1998">
        <v>1997</v>
      </c>
      <c r="B1998">
        <v>39880090</v>
      </c>
      <c r="C1998">
        <v>39880090</v>
      </c>
    </row>
    <row r="1999" spans="1:3">
      <c r="A1999">
        <v>1998</v>
      </c>
      <c r="B1999">
        <v>39920040</v>
      </c>
      <c r="C1999">
        <v>39920040</v>
      </c>
    </row>
    <row r="2000" spans="1:3">
      <c r="A2000">
        <v>1999</v>
      </c>
      <c r="B2000">
        <v>39960010</v>
      </c>
      <c r="C2000">
        <v>39960010</v>
      </c>
    </row>
    <row r="2001" spans="1:3">
      <c r="A2001">
        <v>2000</v>
      </c>
      <c r="B2001">
        <v>40000000</v>
      </c>
      <c r="C2001">
        <v>40000000</v>
      </c>
    </row>
    <row r="2002" spans="1:3">
      <c r="A2002">
        <v>2001</v>
      </c>
      <c r="B2002">
        <v>40040010</v>
      </c>
      <c r="C2002">
        <v>40040010</v>
      </c>
    </row>
    <row r="2003" spans="1:3">
      <c r="A2003">
        <v>2002</v>
      </c>
      <c r="B2003">
        <v>40080040</v>
      </c>
      <c r="C2003">
        <v>40080040</v>
      </c>
    </row>
    <row r="2004" spans="1:3">
      <c r="A2004">
        <v>2003</v>
      </c>
      <c r="B2004">
        <v>40120090</v>
      </c>
      <c r="C2004">
        <v>40120090</v>
      </c>
    </row>
    <row r="2005" spans="1:3">
      <c r="A2005">
        <v>2004</v>
      </c>
      <c r="B2005">
        <v>40160160</v>
      </c>
      <c r="C2005">
        <v>40160160</v>
      </c>
    </row>
    <row r="2006" spans="1:3">
      <c r="A2006">
        <v>2005</v>
      </c>
      <c r="B2006">
        <v>40200250</v>
      </c>
      <c r="C2006">
        <v>40200250</v>
      </c>
    </row>
    <row r="2007" spans="1:3">
      <c r="A2007">
        <v>2006</v>
      </c>
      <c r="B2007">
        <v>40240360</v>
      </c>
      <c r="C2007">
        <v>40240360</v>
      </c>
    </row>
    <row r="2008" spans="1:3">
      <c r="A2008">
        <v>2007</v>
      </c>
      <c r="B2008">
        <v>40280490</v>
      </c>
      <c r="C2008">
        <v>40280490</v>
      </c>
    </row>
    <row r="2009" spans="1:3">
      <c r="A2009">
        <v>2008</v>
      </c>
      <c r="B2009">
        <v>40320640</v>
      </c>
      <c r="C2009">
        <v>40320640</v>
      </c>
    </row>
    <row r="2010" spans="1:3">
      <c r="A2010">
        <v>2009</v>
      </c>
      <c r="B2010">
        <v>40360810</v>
      </c>
      <c r="C2010">
        <v>40360810</v>
      </c>
    </row>
    <row r="2011" spans="1:3">
      <c r="A2011">
        <v>2010</v>
      </c>
      <c r="B2011">
        <v>40401000</v>
      </c>
      <c r="C2011">
        <v>40401000</v>
      </c>
    </row>
    <row r="2012" spans="1:3">
      <c r="A2012">
        <v>2011</v>
      </c>
      <c r="B2012">
        <v>40441210</v>
      </c>
      <c r="C2012">
        <v>40441210</v>
      </c>
    </row>
    <row r="2013" spans="1:3">
      <c r="A2013">
        <v>2012</v>
      </c>
      <c r="B2013">
        <v>40481440</v>
      </c>
      <c r="C2013">
        <v>40481440</v>
      </c>
    </row>
    <row r="2014" spans="1:3">
      <c r="A2014">
        <v>2013</v>
      </c>
      <c r="B2014">
        <v>40521690</v>
      </c>
      <c r="C2014">
        <v>40521690</v>
      </c>
    </row>
    <row r="2015" spans="1:3">
      <c r="A2015">
        <v>2014</v>
      </c>
      <c r="B2015">
        <v>40561960</v>
      </c>
      <c r="C2015">
        <v>40561960</v>
      </c>
    </row>
    <row r="2016" spans="1:3">
      <c r="A2016">
        <v>2015</v>
      </c>
      <c r="B2016">
        <v>40602250</v>
      </c>
      <c r="C2016">
        <v>40602250</v>
      </c>
    </row>
    <row r="2017" spans="1:3">
      <c r="A2017">
        <v>2016</v>
      </c>
      <c r="B2017">
        <v>40642560</v>
      </c>
      <c r="C2017">
        <v>40642560</v>
      </c>
    </row>
    <row r="2018" spans="1:3">
      <c r="A2018">
        <v>2017</v>
      </c>
      <c r="B2018">
        <v>40682890</v>
      </c>
      <c r="C2018">
        <v>40682890</v>
      </c>
    </row>
    <row r="2019" spans="1:3">
      <c r="A2019">
        <v>2018</v>
      </c>
      <c r="B2019">
        <v>40723240</v>
      </c>
      <c r="C2019">
        <v>40723240</v>
      </c>
    </row>
    <row r="2020" spans="1:3">
      <c r="A2020">
        <v>2019</v>
      </c>
      <c r="B2020">
        <v>40763610</v>
      </c>
      <c r="C2020">
        <v>40763610</v>
      </c>
    </row>
    <row r="2021" spans="1:3">
      <c r="A2021">
        <v>2020</v>
      </c>
      <c r="B2021">
        <v>40804000</v>
      </c>
      <c r="C2021">
        <v>40804000</v>
      </c>
    </row>
    <row r="2022" spans="1:3">
      <c r="A2022">
        <v>2021</v>
      </c>
      <c r="B2022">
        <v>40844410</v>
      </c>
      <c r="C2022">
        <v>40844410</v>
      </c>
    </row>
    <row r="2023" spans="1:3">
      <c r="A2023">
        <v>2022</v>
      </c>
      <c r="B2023">
        <v>40884840</v>
      </c>
      <c r="C2023">
        <v>40884840</v>
      </c>
    </row>
    <row r="2024" spans="1:3">
      <c r="A2024">
        <v>2023</v>
      </c>
      <c r="B2024">
        <v>40925290</v>
      </c>
      <c r="C2024">
        <v>40925290</v>
      </c>
    </row>
    <row r="2025" spans="1:3">
      <c r="A2025">
        <v>2024</v>
      </c>
      <c r="B2025">
        <v>40965760</v>
      </c>
      <c r="C2025">
        <v>40965760</v>
      </c>
    </row>
    <row r="2026" spans="1:3">
      <c r="A2026">
        <v>2025</v>
      </c>
      <c r="B2026">
        <v>41006250</v>
      </c>
      <c r="C2026">
        <v>41006250</v>
      </c>
    </row>
    <row r="2027" spans="1:3">
      <c r="A2027">
        <v>2026</v>
      </c>
      <c r="B2027">
        <v>41046760</v>
      </c>
      <c r="C2027">
        <v>41046760</v>
      </c>
    </row>
    <row r="2028" spans="1:3">
      <c r="A2028">
        <v>2027</v>
      </c>
      <c r="B2028">
        <v>41087290</v>
      </c>
      <c r="C2028">
        <v>41087290</v>
      </c>
    </row>
    <row r="2029" spans="1:3">
      <c r="A2029">
        <v>2028</v>
      </c>
      <c r="B2029">
        <v>41127840</v>
      </c>
      <c r="C2029">
        <v>41127840</v>
      </c>
    </row>
    <row r="2030" spans="1:3">
      <c r="A2030">
        <v>2029</v>
      </c>
      <c r="B2030">
        <v>41168410</v>
      </c>
      <c r="C2030">
        <v>41168410</v>
      </c>
    </row>
    <row r="2031" spans="1:3">
      <c r="A2031">
        <v>2030</v>
      </c>
      <c r="B2031">
        <v>41209000</v>
      </c>
      <c r="C2031">
        <v>41209000</v>
      </c>
    </row>
    <row r="2032" spans="1:3">
      <c r="A2032">
        <v>2031</v>
      </c>
      <c r="B2032">
        <v>41249610</v>
      </c>
      <c r="C2032">
        <v>41249610</v>
      </c>
    </row>
    <row r="2033" spans="1:3">
      <c r="A2033">
        <v>2032</v>
      </c>
      <c r="B2033">
        <v>41290240</v>
      </c>
      <c r="C2033">
        <v>41290240</v>
      </c>
    </row>
    <row r="2034" spans="1:3">
      <c r="A2034">
        <v>2033</v>
      </c>
      <c r="B2034">
        <v>41330890</v>
      </c>
      <c r="C2034">
        <v>41330890</v>
      </c>
    </row>
    <row r="2035" spans="1:3">
      <c r="A2035">
        <v>2034</v>
      </c>
      <c r="B2035">
        <v>41371560</v>
      </c>
      <c r="C2035">
        <v>41371560</v>
      </c>
    </row>
    <row r="2036" spans="1:3">
      <c r="A2036">
        <v>2035</v>
      </c>
      <c r="B2036">
        <v>41412250</v>
      </c>
      <c r="C2036">
        <v>41412250</v>
      </c>
    </row>
    <row r="2037" spans="1:3">
      <c r="A2037">
        <v>2036</v>
      </c>
      <c r="B2037">
        <v>41452960</v>
      </c>
      <c r="C2037">
        <v>41452960</v>
      </c>
    </row>
    <row r="2038" spans="1:3">
      <c r="A2038">
        <v>2037</v>
      </c>
      <c r="B2038">
        <v>41493690</v>
      </c>
      <c r="C2038">
        <v>41493690</v>
      </c>
    </row>
    <row r="2039" spans="1:3">
      <c r="A2039">
        <v>2038</v>
      </c>
      <c r="B2039">
        <v>41534440</v>
      </c>
      <c r="C2039">
        <v>41534440</v>
      </c>
    </row>
    <row r="2040" spans="1:3">
      <c r="A2040">
        <v>2039</v>
      </c>
      <c r="B2040">
        <v>41575210</v>
      </c>
      <c r="C2040">
        <v>41575210</v>
      </c>
    </row>
    <row r="2041" spans="1:3">
      <c r="A2041">
        <v>2040</v>
      </c>
      <c r="B2041">
        <v>41616000</v>
      </c>
      <c r="C2041">
        <v>41616000</v>
      </c>
    </row>
    <row r="2042" spans="1:3">
      <c r="A2042">
        <v>2041</v>
      </c>
      <c r="B2042">
        <v>41656810</v>
      </c>
      <c r="C2042">
        <v>41656810</v>
      </c>
    </row>
    <row r="2043" spans="1:3">
      <c r="A2043">
        <v>2042</v>
      </c>
      <c r="B2043">
        <v>41697640</v>
      </c>
      <c r="C2043">
        <v>41697640</v>
      </c>
    </row>
    <row r="2044" spans="1:3">
      <c r="A2044">
        <v>2043</v>
      </c>
      <c r="B2044">
        <v>41738490</v>
      </c>
      <c r="C2044">
        <v>41738490</v>
      </c>
    </row>
    <row r="2045" spans="1:3">
      <c r="A2045">
        <v>2044</v>
      </c>
      <c r="B2045">
        <v>41779360</v>
      </c>
      <c r="C2045">
        <v>41779360</v>
      </c>
    </row>
    <row r="2046" spans="1:3">
      <c r="A2046">
        <v>2045</v>
      </c>
      <c r="B2046">
        <v>41820250</v>
      </c>
      <c r="C2046">
        <v>41820250</v>
      </c>
    </row>
    <row r="2047" spans="1:3">
      <c r="A2047">
        <v>2046</v>
      </c>
      <c r="B2047">
        <v>41861160</v>
      </c>
      <c r="C2047">
        <v>41861160</v>
      </c>
    </row>
    <row r="2048" spans="1:3">
      <c r="A2048">
        <v>2047</v>
      </c>
      <c r="B2048">
        <v>41902090</v>
      </c>
      <c r="C2048">
        <v>41902090</v>
      </c>
    </row>
    <row r="2049" spans="1:3">
      <c r="A2049">
        <v>2048</v>
      </c>
      <c r="B2049">
        <v>41943040</v>
      </c>
      <c r="C2049">
        <v>41943040</v>
      </c>
    </row>
    <row r="2050" spans="1:3">
      <c r="A2050">
        <v>2049</v>
      </c>
      <c r="B2050">
        <v>41984010</v>
      </c>
      <c r="C2050">
        <v>41984010</v>
      </c>
    </row>
    <row r="2051" spans="1:3">
      <c r="A2051">
        <v>2050</v>
      </c>
      <c r="B2051">
        <v>42025000</v>
      </c>
      <c r="C2051">
        <v>42025000</v>
      </c>
    </row>
    <row r="2052" spans="1:3">
      <c r="A2052">
        <v>2051</v>
      </c>
      <c r="B2052">
        <v>42066010</v>
      </c>
      <c r="C2052">
        <v>42066010</v>
      </c>
    </row>
    <row r="2053" spans="1:3">
      <c r="A2053">
        <v>2052</v>
      </c>
      <c r="B2053">
        <v>42107040</v>
      </c>
      <c r="C2053">
        <v>42107040</v>
      </c>
    </row>
    <row r="2054" spans="1:3">
      <c r="A2054">
        <v>2053</v>
      </c>
      <c r="B2054">
        <v>42148090</v>
      </c>
      <c r="C2054">
        <v>42148090</v>
      </c>
    </row>
    <row r="2055" spans="1:3">
      <c r="A2055">
        <v>2054</v>
      </c>
      <c r="B2055">
        <v>42189160</v>
      </c>
      <c r="C2055">
        <v>42189160</v>
      </c>
    </row>
    <row r="2056" spans="1:3">
      <c r="A2056">
        <v>2055</v>
      </c>
      <c r="B2056">
        <v>42230250</v>
      </c>
      <c r="C2056">
        <v>42230250</v>
      </c>
    </row>
    <row r="2057" spans="1:3">
      <c r="A2057">
        <v>2056</v>
      </c>
      <c r="B2057">
        <v>42271360</v>
      </c>
      <c r="C2057">
        <v>42271360</v>
      </c>
    </row>
    <row r="2058" spans="1:3">
      <c r="A2058">
        <v>2057</v>
      </c>
      <c r="B2058">
        <v>42312490</v>
      </c>
      <c r="C2058">
        <v>42312490</v>
      </c>
    </row>
    <row r="2059" spans="1:3">
      <c r="A2059">
        <v>2058</v>
      </c>
      <c r="B2059">
        <v>42353640</v>
      </c>
      <c r="C2059">
        <v>42353640</v>
      </c>
    </row>
    <row r="2060" spans="1:3">
      <c r="A2060">
        <v>2059</v>
      </c>
      <c r="B2060">
        <v>42394810</v>
      </c>
      <c r="C2060">
        <v>42394810</v>
      </c>
    </row>
    <row r="2061" spans="1:3">
      <c r="A2061">
        <v>2060</v>
      </c>
      <c r="B2061">
        <v>42436000</v>
      </c>
      <c r="C2061">
        <v>42436000</v>
      </c>
    </row>
    <row r="2062" spans="1:3">
      <c r="A2062">
        <v>2061</v>
      </c>
      <c r="B2062">
        <v>42477210</v>
      </c>
      <c r="C2062">
        <v>42477210</v>
      </c>
    </row>
    <row r="2063" spans="1:3">
      <c r="A2063">
        <v>2062</v>
      </c>
      <c r="B2063">
        <v>42518440</v>
      </c>
      <c r="C2063">
        <v>42518440</v>
      </c>
    </row>
    <row r="2064" spans="1:3">
      <c r="A2064">
        <v>2063</v>
      </c>
      <c r="B2064">
        <v>42559690</v>
      </c>
      <c r="C2064">
        <v>42559690</v>
      </c>
    </row>
    <row r="2065" spans="1:3">
      <c r="A2065">
        <v>2064</v>
      </c>
      <c r="B2065">
        <v>42600960</v>
      </c>
      <c r="C2065">
        <v>42600960</v>
      </c>
    </row>
    <row r="2066" spans="1:3">
      <c r="A2066">
        <v>2065</v>
      </c>
      <c r="B2066">
        <v>42642250</v>
      </c>
      <c r="C2066">
        <v>42642250</v>
      </c>
    </row>
    <row r="2067" spans="1:3">
      <c r="A2067">
        <v>2066</v>
      </c>
      <c r="B2067">
        <v>42683560</v>
      </c>
      <c r="C2067">
        <v>42683560</v>
      </c>
    </row>
    <row r="2068" spans="1:3">
      <c r="A2068">
        <v>2067</v>
      </c>
      <c r="B2068">
        <v>42724890</v>
      </c>
      <c r="C2068">
        <v>42724890</v>
      </c>
    </row>
    <row r="2069" spans="1:3">
      <c r="A2069">
        <v>2068</v>
      </c>
      <c r="B2069">
        <v>42766240</v>
      </c>
      <c r="C2069">
        <v>42766240</v>
      </c>
    </row>
    <row r="2070" spans="1:3">
      <c r="A2070">
        <v>2069</v>
      </c>
      <c r="B2070">
        <v>42807610</v>
      </c>
      <c r="C2070">
        <v>42807610</v>
      </c>
    </row>
    <row r="2071" spans="1:3">
      <c r="A2071">
        <v>2070</v>
      </c>
      <c r="B2071">
        <v>42849000</v>
      </c>
      <c r="C2071">
        <v>42849000</v>
      </c>
    </row>
    <row r="2072" spans="1:3">
      <c r="A2072">
        <v>2071</v>
      </c>
      <c r="B2072">
        <v>42890410</v>
      </c>
      <c r="C2072">
        <v>42890410</v>
      </c>
    </row>
    <row r="2073" spans="1:3">
      <c r="A2073">
        <v>2072</v>
      </c>
      <c r="B2073">
        <v>42931840</v>
      </c>
      <c r="C2073">
        <v>42931840</v>
      </c>
    </row>
    <row r="2074" spans="1:3">
      <c r="A2074">
        <v>2073</v>
      </c>
      <c r="B2074">
        <v>42973290</v>
      </c>
      <c r="C2074">
        <v>42973290</v>
      </c>
    </row>
    <row r="2075" spans="1:3">
      <c r="A2075">
        <v>2074</v>
      </c>
      <c r="B2075">
        <v>43014760</v>
      </c>
      <c r="C2075">
        <v>43014760</v>
      </c>
    </row>
    <row r="2076" spans="1:3">
      <c r="A2076">
        <v>2075</v>
      </c>
      <c r="B2076">
        <v>43056250</v>
      </c>
      <c r="C2076">
        <v>43056250</v>
      </c>
    </row>
    <row r="2077" spans="1:3">
      <c r="A2077">
        <v>2076</v>
      </c>
      <c r="B2077">
        <v>43097760</v>
      </c>
      <c r="C2077">
        <v>43097760</v>
      </c>
    </row>
    <row r="2078" spans="1:3">
      <c r="A2078">
        <v>2077</v>
      </c>
      <c r="B2078">
        <v>43139290</v>
      </c>
      <c r="C2078">
        <v>43139290</v>
      </c>
    </row>
    <row r="2079" spans="1:3">
      <c r="A2079">
        <v>2078</v>
      </c>
      <c r="B2079">
        <v>43180840</v>
      </c>
      <c r="C2079">
        <v>43180840</v>
      </c>
    </row>
    <row r="2080" spans="1:3">
      <c r="A2080">
        <v>2079</v>
      </c>
      <c r="B2080">
        <v>43222410</v>
      </c>
      <c r="C2080">
        <v>43222410</v>
      </c>
    </row>
    <row r="2081" spans="1:3">
      <c r="A2081">
        <v>2080</v>
      </c>
      <c r="B2081">
        <v>43264000</v>
      </c>
      <c r="C2081">
        <v>43264000</v>
      </c>
    </row>
    <row r="2082" spans="1:3">
      <c r="A2082">
        <v>2081</v>
      </c>
      <c r="B2082">
        <v>43305610</v>
      </c>
      <c r="C2082">
        <v>43305610</v>
      </c>
    </row>
    <row r="2083" spans="1:3">
      <c r="A2083">
        <v>2082</v>
      </c>
      <c r="B2083">
        <v>43347240</v>
      </c>
      <c r="C2083">
        <v>43347240</v>
      </c>
    </row>
    <row r="2084" spans="1:3">
      <c r="A2084">
        <v>2083</v>
      </c>
      <c r="B2084">
        <v>43388890</v>
      </c>
      <c r="C2084">
        <v>43388890</v>
      </c>
    </row>
    <row r="2085" spans="1:3">
      <c r="A2085">
        <v>2084</v>
      </c>
      <c r="B2085">
        <v>43430560</v>
      </c>
      <c r="C2085">
        <v>43430560</v>
      </c>
    </row>
    <row r="2086" spans="1:3">
      <c r="A2086">
        <v>2085</v>
      </c>
      <c r="B2086">
        <v>43472250</v>
      </c>
      <c r="C2086">
        <v>43472250</v>
      </c>
    </row>
    <row r="2087" spans="1:3">
      <c r="A2087">
        <v>2086</v>
      </c>
      <c r="B2087">
        <v>43513960</v>
      </c>
      <c r="C2087">
        <v>43513960</v>
      </c>
    </row>
    <row r="2088" spans="1:3">
      <c r="A2088">
        <v>2087</v>
      </c>
      <c r="B2088">
        <v>43555690</v>
      </c>
      <c r="C2088">
        <v>43555690</v>
      </c>
    </row>
    <row r="2089" spans="1:3">
      <c r="A2089">
        <v>2088</v>
      </c>
      <c r="B2089">
        <v>43597440</v>
      </c>
      <c r="C2089">
        <v>43597440</v>
      </c>
    </row>
    <row r="2090" spans="1:3">
      <c r="A2090">
        <v>2089</v>
      </c>
      <c r="B2090">
        <v>43639210</v>
      </c>
      <c r="C2090">
        <v>43639210</v>
      </c>
    </row>
    <row r="2091" spans="1:3">
      <c r="A2091">
        <v>2090</v>
      </c>
      <c r="B2091">
        <v>43681000</v>
      </c>
      <c r="C2091">
        <v>43681000</v>
      </c>
    </row>
    <row r="2092" spans="1:3">
      <c r="A2092">
        <v>2091</v>
      </c>
      <c r="B2092">
        <v>43722810</v>
      </c>
      <c r="C2092">
        <v>43722810</v>
      </c>
    </row>
    <row r="2093" spans="1:3">
      <c r="A2093">
        <v>2092</v>
      </c>
      <c r="B2093">
        <v>43764640</v>
      </c>
      <c r="C2093">
        <v>43764640</v>
      </c>
    </row>
    <row r="2094" spans="1:3">
      <c r="A2094">
        <v>2093</v>
      </c>
      <c r="B2094">
        <v>43806490</v>
      </c>
      <c r="C2094">
        <v>43806490</v>
      </c>
    </row>
    <row r="2095" spans="1:3">
      <c r="A2095">
        <v>2094</v>
      </c>
      <c r="B2095">
        <v>43848360</v>
      </c>
      <c r="C2095">
        <v>43848360</v>
      </c>
    </row>
    <row r="2096" spans="1:3">
      <c r="A2096">
        <v>2095</v>
      </c>
      <c r="B2096">
        <v>43890250</v>
      </c>
      <c r="C2096">
        <v>43890250</v>
      </c>
    </row>
    <row r="2097" spans="1:3">
      <c r="A2097">
        <v>2096</v>
      </c>
      <c r="B2097">
        <v>43932160</v>
      </c>
      <c r="C2097">
        <v>43932160</v>
      </c>
    </row>
    <row r="2098" spans="1:3">
      <c r="A2098">
        <v>2097</v>
      </c>
      <c r="B2098">
        <v>43974090</v>
      </c>
      <c r="C2098">
        <v>43974090</v>
      </c>
    </row>
    <row r="2099" spans="1:3">
      <c r="A2099">
        <v>2098</v>
      </c>
      <c r="B2099">
        <v>44016040</v>
      </c>
      <c r="C2099">
        <v>44016040</v>
      </c>
    </row>
    <row r="2100" spans="1:3">
      <c r="A2100">
        <v>2099</v>
      </c>
      <c r="B2100">
        <v>44058010</v>
      </c>
      <c r="C2100">
        <v>44058010</v>
      </c>
    </row>
    <row r="2101" spans="1:3">
      <c r="A2101">
        <v>2100</v>
      </c>
      <c r="B2101">
        <v>44100000</v>
      </c>
      <c r="C2101">
        <v>44100000</v>
      </c>
    </row>
    <row r="2102" spans="1:3">
      <c r="A2102">
        <v>2101</v>
      </c>
      <c r="B2102">
        <v>44142010</v>
      </c>
      <c r="C2102">
        <v>44142010</v>
      </c>
    </row>
    <row r="2103" spans="1:3">
      <c r="A2103">
        <v>2102</v>
      </c>
      <c r="B2103">
        <v>44184040</v>
      </c>
      <c r="C2103">
        <v>44184040</v>
      </c>
    </row>
    <row r="2104" spans="1:3">
      <c r="A2104">
        <v>2103</v>
      </c>
      <c r="B2104">
        <v>44226090</v>
      </c>
      <c r="C2104">
        <v>44226090</v>
      </c>
    </row>
    <row r="2105" spans="1:3">
      <c r="A2105">
        <v>2104</v>
      </c>
      <c r="B2105">
        <v>44268160</v>
      </c>
      <c r="C2105">
        <v>44268160</v>
      </c>
    </row>
    <row r="2106" spans="1:3">
      <c r="A2106">
        <v>2105</v>
      </c>
      <c r="B2106">
        <v>44310250</v>
      </c>
      <c r="C2106">
        <v>44310250</v>
      </c>
    </row>
    <row r="2107" spans="1:3">
      <c r="A2107">
        <v>2106</v>
      </c>
      <c r="B2107">
        <v>44352360</v>
      </c>
      <c r="C2107">
        <v>44352360</v>
      </c>
    </row>
    <row r="2108" spans="1:3">
      <c r="A2108">
        <v>2107</v>
      </c>
      <c r="B2108">
        <v>44394490</v>
      </c>
      <c r="C2108">
        <v>44394490</v>
      </c>
    </row>
    <row r="2109" spans="1:3">
      <c r="A2109">
        <v>2108</v>
      </c>
      <c r="B2109">
        <v>44436640</v>
      </c>
      <c r="C2109">
        <v>44436640</v>
      </c>
    </row>
    <row r="2110" spans="1:3">
      <c r="A2110">
        <v>2109</v>
      </c>
      <c r="B2110">
        <v>44478810</v>
      </c>
      <c r="C2110">
        <v>44478810</v>
      </c>
    </row>
    <row r="2111" spans="1:3">
      <c r="A2111">
        <v>2110</v>
      </c>
      <c r="B2111">
        <v>44521000</v>
      </c>
      <c r="C2111">
        <v>44521000</v>
      </c>
    </row>
    <row r="2112" spans="1:3">
      <c r="A2112">
        <v>2111</v>
      </c>
      <c r="B2112">
        <v>44563210</v>
      </c>
      <c r="C2112">
        <v>44563210</v>
      </c>
    </row>
    <row r="2113" spans="1:3">
      <c r="A2113">
        <v>2112</v>
      </c>
      <c r="B2113">
        <v>44605440</v>
      </c>
      <c r="C2113">
        <v>44605440</v>
      </c>
    </row>
    <row r="2114" spans="1:3">
      <c r="A2114">
        <v>2113</v>
      </c>
      <c r="B2114">
        <v>44647690</v>
      </c>
      <c r="C2114">
        <v>44647690</v>
      </c>
    </row>
    <row r="2115" spans="1:3">
      <c r="A2115">
        <v>2114</v>
      </c>
      <c r="B2115">
        <v>44689960</v>
      </c>
      <c r="C2115">
        <v>44689960</v>
      </c>
    </row>
    <row r="2116" spans="1:3">
      <c r="A2116">
        <v>2115</v>
      </c>
      <c r="B2116">
        <v>44732250</v>
      </c>
      <c r="C2116">
        <v>44732250</v>
      </c>
    </row>
    <row r="2117" spans="1:3">
      <c r="A2117">
        <v>2116</v>
      </c>
      <c r="B2117">
        <v>44774560</v>
      </c>
      <c r="C2117">
        <v>44774560</v>
      </c>
    </row>
    <row r="2118" spans="1:3">
      <c r="A2118">
        <v>2117</v>
      </c>
      <c r="B2118">
        <v>44816890</v>
      </c>
      <c r="C2118">
        <v>44816890</v>
      </c>
    </row>
    <row r="2119" spans="1:3">
      <c r="A2119">
        <v>2118</v>
      </c>
      <c r="B2119">
        <v>44859240</v>
      </c>
      <c r="C2119">
        <v>44859240</v>
      </c>
    </row>
    <row r="2120" spans="1:3">
      <c r="A2120">
        <v>2119</v>
      </c>
      <c r="B2120">
        <v>44901610</v>
      </c>
      <c r="C2120">
        <v>44901610</v>
      </c>
    </row>
    <row r="2121" spans="1:3">
      <c r="A2121">
        <v>2120</v>
      </c>
      <c r="B2121">
        <v>44944000</v>
      </c>
      <c r="C2121">
        <v>44944000</v>
      </c>
    </row>
    <row r="2122" spans="1:3">
      <c r="A2122">
        <v>2121</v>
      </c>
      <c r="B2122">
        <v>44986410</v>
      </c>
      <c r="C2122">
        <v>44986410</v>
      </c>
    </row>
    <row r="2123" spans="1:3">
      <c r="A2123">
        <v>2122</v>
      </c>
      <c r="B2123">
        <v>45028840</v>
      </c>
      <c r="C2123">
        <v>45028840</v>
      </c>
    </row>
    <row r="2124" spans="1:3">
      <c r="A2124">
        <v>2123</v>
      </c>
      <c r="B2124">
        <v>45071290</v>
      </c>
      <c r="C2124">
        <v>45071290</v>
      </c>
    </row>
    <row r="2125" spans="1:3">
      <c r="A2125">
        <v>2124</v>
      </c>
      <c r="B2125">
        <v>45113760</v>
      </c>
      <c r="C2125">
        <v>45113760</v>
      </c>
    </row>
    <row r="2126" spans="1:3">
      <c r="A2126">
        <v>2125</v>
      </c>
      <c r="B2126">
        <v>45156250</v>
      </c>
      <c r="C2126">
        <v>45156250</v>
      </c>
    </row>
    <row r="2127" spans="1:3">
      <c r="A2127">
        <v>2126</v>
      </c>
      <c r="B2127">
        <v>45198760</v>
      </c>
      <c r="C2127">
        <v>45198760</v>
      </c>
    </row>
    <row r="2128" spans="1:3">
      <c r="A2128">
        <v>2127</v>
      </c>
      <c r="B2128">
        <v>45241290</v>
      </c>
      <c r="C2128">
        <v>45241290</v>
      </c>
    </row>
    <row r="2129" spans="1:3">
      <c r="A2129">
        <v>2128</v>
      </c>
      <c r="B2129">
        <v>45283840</v>
      </c>
      <c r="C2129">
        <v>45283840</v>
      </c>
    </row>
    <row r="2130" spans="1:3">
      <c r="A2130">
        <v>2129</v>
      </c>
      <c r="B2130">
        <v>45326410</v>
      </c>
      <c r="C2130">
        <v>45326410</v>
      </c>
    </row>
    <row r="2131" spans="1:3">
      <c r="A2131">
        <v>2130</v>
      </c>
      <c r="B2131">
        <v>45369000</v>
      </c>
      <c r="C2131">
        <v>45369000</v>
      </c>
    </row>
    <row r="2132" spans="1:3">
      <c r="A2132">
        <v>2131</v>
      </c>
      <c r="B2132">
        <v>45411610</v>
      </c>
      <c r="C2132">
        <v>45411610</v>
      </c>
    </row>
    <row r="2133" spans="1:3">
      <c r="A2133">
        <v>2132</v>
      </c>
      <c r="B2133">
        <v>45454240</v>
      </c>
      <c r="C2133">
        <v>45454240</v>
      </c>
    </row>
    <row r="2134" spans="1:3">
      <c r="A2134">
        <v>2133</v>
      </c>
      <c r="B2134">
        <v>45496890</v>
      </c>
      <c r="C2134">
        <v>45496890</v>
      </c>
    </row>
    <row r="2135" spans="1:3">
      <c r="A2135">
        <v>2134</v>
      </c>
      <c r="B2135">
        <v>45539560</v>
      </c>
      <c r="C2135">
        <v>45539560</v>
      </c>
    </row>
    <row r="2136" spans="1:3">
      <c r="A2136">
        <v>2135</v>
      </c>
      <c r="B2136">
        <v>45582250</v>
      </c>
      <c r="C2136">
        <v>45582250</v>
      </c>
    </row>
    <row r="2137" spans="1:3">
      <c r="A2137">
        <v>2136</v>
      </c>
      <c r="B2137">
        <v>45624960</v>
      </c>
      <c r="C2137">
        <v>45624960</v>
      </c>
    </row>
    <row r="2138" spans="1:3">
      <c r="A2138">
        <v>2137</v>
      </c>
      <c r="B2138">
        <v>45667690</v>
      </c>
      <c r="C2138">
        <v>45667690</v>
      </c>
    </row>
    <row r="2139" spans="1:3">
      <c r="A2139">
        <v>2138</v>
      </c>
      <c r="B2139">
        <v>45710440</v>
      </c>
      <c r="C2139">
        <v>45710440</v>
      </c>
    </row>
    <row r="2140" spans="1:3">
      <c r="A2140">
        <v>2139</v>
      </c>
      <c r="B2140">
        <v>45753210</v>
      </c>
      <c r="C2140">
        <v>45753210</v>
      </c>
    </row>
    <row r="2141" spans="1:3">
      <c r="A2141">
        <v>2140</v>
      </c>
      <c r="B2141">
        <v>45796000</v>
      </c>
      <c r="C2141">
        <v>45796000</v>
      </c>
    </row>
    <row r="2142" spans="1:3">
      <c r="A2142">
        <v>2141</v>
      </c>
      <c r="B2142">
        <v>45838810</v>
      </c>
      <c r="C2142">
        <v>45838810</v>
      </c>
    </row>
    <row r="2143" spans="1:3">
      <c r="A2143">
        <v>2142</v>
      </c>
      <c r="B2143">
        <v>45881640</v>
      </c>
      <c r="C2143">
        <v>45881640</v>
      </c>
    </row>
    <row r="2144" spans="1:3">
      <c r="A2144">
        <v>2143</v>
      </c>
      <c r="B2144">
        <v>45924490</v>
      </c>
      <c r="C2144">
        <v>45924490</v>
      </c>
    </row>
    <row r="2145" spans="1:3">
      <c r="A2145">
        <v>2144</v>
      </c>
      <c r="B2145">
        <v>45967360</v>
      </c>
      <c r="C2145">
        <v>45967360</v>
      </c>
    </row>
    <row r="2146" spans="1:3">
      <c r="A2146">
        <v>2145</v>
      </c>
      <c r="B2146">
        <v>46010250</v>
      </c>
      <c r="C2146">
        <v>46010250</v>
      </c>
    </row>
    <row r="2147" spans="1:3">
      <c r="A2147">
        <v>2146</v>
      </c>
      <c r="B2147">
        <v>46053160</v>
      </c>
      <c r="C2147">
        <v>46053160</v>
      </c>
    </row>
    <row r="2148" spans="1:3">
      <c r="A2148">
        <v>2147</v>
      </c>
      <c r="B2148">
        <v>46096090</v>
      </c>
      <c r="C2148">
        <v>46096090</v>
      </c>
    </row>
    <row r="2149" spans="1:3">
      <c r="A2149">
        <v>2148</v>
      </c>
      <c r="B2149">
        <v>46139040</v>
      </c>
      <c r="C2149">
        <v>46139040</v>
      </c>
    </row>
    <row r="2150" spans="1:3">
      <c r="A2150">
        <v>2149</v>
      </c>
      <c r="B2150">
        <v>46182010</v>
      </c>
      <c r="C2150">
        <v>46182010</v>
      </c>
    </row>
    <row r="2151" spans="1:3">
      <c r="A2151">
        <v>2150</v>
      </c>
      <c r="B2151">
        <v>46225000</v>
      </c>
      <c r="C2151">
        <v>46225000</v>
      </c>
    </row>
    <row r="2152" spans="1:3">
      <c r="A2152">
        <v>2151</v>
      </c>
      <c r="B2152">
        <v>46268010</v>
      </c>
      <c r="C2152">
        <v>46268010</v>
      </c>
    </row>
    <row r="2153" spans="1:3">
      <c r="A2153">
        <v>2152</v>
      </c>
      <c r="B2153">
        <v>46311040</v>
      </c>
      <c r="C2153">
        <v>46311040</v>
      </c>
    </row>
    <row r="2154" spans="1:3">
      <c r="A2154">
        <v>2153</v>
      </c>
      <c r="B2154">
        <v>46354090</v>
      </c>
      <c r="C2154">
        <v>46354090</v>
      </c>
    </row>
    <row r="2155" spans="1:3">
      <c r="A2155">
        <v>2154</v>
      </c>
      <c r="B2155">
        <v>46397160</v>
      </c>
      <c r="C2155">
        <v>46397160</v>
      </c>
    </row>
    <row r="2156" spans="1:3">
      <c r="A2156">
        <v>2155</v>
      </c>
      <c r="B2156">
        <v>46440250</v>
      </c>
      <c r="C2156">
        <v>46440250</v>
      </c>
    </row>
    <row r="2157" spans="1:3">
      <c r="A2157">
        <v>2156</v>
      </c>
      <c r="B2157">
        <v>46483360</v>
      </c>
      <c r="C2157">
        <v>46483360</v>
      </c>
    </row>
    <row r="2158" spans="1:3">
      <c r="A2158">
        <v>2157</v>
      </c>
      <c r="B2158">
        <v>46526490</v>
      </c>
      <c r="C2158">
        <v>46526490</v>
      </c>
    </row>
    <row r="2159" spans="1:3">
      <c r="A2159">
        <v>2158</v>
      </c>
      <c r="B2159">
        <v>46569640</v>
      </c>
      <c r="C2159">
        <v>46569640</v>
      </c>
    </row>
    <row r="2160" spans="1:3">
      <c r="A2160">
        <v>2159</v>
      </c>
      <c r="B2160">
        <v>46612810</v>
      </c>
      <c r="C2160">
        <v>46612810</v>
      </c>
    </row>
    <row r="2161" spans="1:3">
      <c r="A2161">
        <v>2160</v>
      </c>
      <c r="B2161">
        <v>46656000</v>
      </c>
      <c r="C2161">
        <v>46656000</v>
      </c>
    </row>
    <row r="2162" spans="1:3">
      <c r="A2162">
        <v>2161</v>
      </c>
      <c r="B2162">
        <v>46699210</v>
      </c>
      <c r="C2162">
        <v>46699210</v>
      </c>
    </row>
    <row r="2163" spans="1:3">
      <c r="A2163">
        <v>2162</v>
      </c>
      <c r="B2163">
        <v>46742440</v>
      </c>
      <c r="C2163">
        <v>46742440</v>
      </c>
    </row>
    <row r="2164" spans="1:3">
      <c r="A2164">
        <v>2163</v>
      </c>
      <c r="B2164">
        <v>46785690</v>
      </c>
      <c r="C2164">
        <v>46785690</v>
      </c>
    </row>
    <row r="2165" spans="1:3">
      <c r="A2165">
        <v>2164</v>
      </c>
      <c r="B2165">
        <v>46828960</v>
      </c>
      <c r="C2165">
        <v>46828960</v>
      </c>
    </row>
    <row r="2166" spans="1:3">
      <c r="A2166">
        <v>2165</v>
      </c>
      <c r="B2166">
        <v>46872250</v>
      </c>
      <c r="C2166">
        <v>46872250</v>
      </c>
    </row>
    <row r="2167" spans="1:3">
      <c r="A2167">
        <v>2166</v>
      </c>
      <c r="B2167">
        <v>46915560</v>
      </c>
      <c r="C2167">
        <v>46915560</v>
      </c>
    </row>
    <row r="2168" spans="1:3">
      <c r="A2168">
        <v>2167</v>
      </c>
      <c r="B2168">
        <v>46958890</v>
      </c>
      <c r="C2168">
        <v>46958890</v>
      </c>
    </row>
    <row r="2169" spans="1:3">
      <c r="A2169">
        <v>2168</v>
      </c>
      <c r="B2169">
        <v>47002240</v>
      </c>
      <c r="C2169">
        <v>47002240</v>
      </c>
    </row>
    <row r="2170" spans="1:3">
      <c r="A2170">
        <v>2169</v>
      </c>
      <c r="B2170">
        <v>47045610</v>
      </c>
      <c r="C2170">
        <v>47045610</v>
      </c>
    </row>
    <row r="2171" spans="1:3">
      <c r="A2171">
        <v>2170</v>
      </c>
      <c r="B2171">
        <v>47089000</v>
      </c>
      <c r="C2171">
        <v>47089000</v>
      </c>
    </row>
    <row r="2172" spans="1:3">
      <c r="A2172">
        <v>2171</v>
      </c>
      <c r="B2172">
        <v>47132410</v>
      </c>
      <c r="C2172">
        <v>47132410</v>
      </c>
    </row>
    <row r="2173" spans="1:3">
      <c r="A2173">
        <v>2172</v>
      </c>
      <c r="B2173">
        <v>47175840</v>
      </c>
      <c r="C2173">
        <v>47175840</v>
      </c>
    </row>
    <row r="2174" spans="1:3">
      <c r="A2174">
        <v>2173</v>
      </c>
      <c r="B2174">
        <v>47219290</v>
      </c>
      <c r="C2174">
        <v>47219290</v>
      </c>
    </row>
    <row r="2175" spans="1:3">
      <c r="A2175">
        <v>2174</v>
      </c>
      <c r="B2175">
        <v>47262760</v>
      </c>
      <c r="C2175">
        <v>47262760</v>
      </c>
    </row>
    <row r="2176" spans="1:3">
      <c r="A2176">
        <v>2175</v>
      </c>
      <c r="B2176">
        <v>47306250</v>
      </c>
      <c r="C2176">
        <v>47306250</v>
      </c>
    </row>
    <row r="2177" spans="1:3">
      <c r="A2177">
        <v>2176</v>
      </c>
      <c r="B2177">
        <v>47349760</v>
      </c>
      <c r="C2177">
        <v>47349760</v>
      </c>
    </row>
    <row r="2178" spans="1:3">
      <c r="A2178">
        <v>2177</v>
      </c>
      <c r="B2178">
        <v>47393290</v>
      </c>
      <c r="C2178">
        <v>47393290</v>
      </c>
    </row>
    <row r="2179" spans="1:3">
      <c r="A2179">
        <v>2178</v>
      </c>
      <c r="B2179">
        <v>47436840</v>
      </c>
      <c r="C2179">
        <v>47436840</v>
      </c>
    </row>
    <row r="2180" spans="1:3">
      <c r="A2180">
        <v>2179</v>
      </c>
      <c r="B2180">
        <v>47480410</v>
      </c>
      <c r="C2180">
        <v>47480410</v>
      </c>
    </row>
    <row r="2181" spans="1:3">
      <c r="A2181">
        <v>2180</v>
      </c>
      <c r="B2181">
        <v>47524000</v>
      </c>
      <c r="C2181">
        <v>47524000</v>
      </c>
    </row>
    <row r="2182" spans="1:3">
      <c r="A2182">
        <v>2181</v>
      </c>
      <c r="B2182">
        <v>47567610</v>
      </c>
      <c r="C2182">
        <v>47567610</v>
      </c>
    </row>
    <row r="2183" spans="1:3">
      <c r="A2183">
        <v>2182</v>
      </c>
      <c r="B2183">
        <v>47611240</v>
      </c>
      <c r="C2183">
        <v>47611240</v>
      </c>
    </row>
    <row r="2184" spans="1:3">
      <c r="A2184">
        <v>2183</v>
      </c>
      <c r="B2184">
        <v>47654890</v>
      </c>
      <c r="C2184">
        <v>47654890</v>
      </c>
    </row>
    <row r="2185" spans="1:3">
      <c r="A2185">
        <v>2184</v>
      </c>
      <c r="B2185">
        <v>47698560</v>
      </c>
      <c r="C2185">
        <v>47698560</v>
      </c>
    </row>
    <row r="2186" spans="1:3">
      <c r="A2186">
        <v>2185</v>
      </c>
      <c r="B2186">
        <v>47742250</v>
      </c>
      <c r="C2186">
        <v>47742250</v>
      </c>
    </row>
    <row r="2187" spans="1:3">
      <c r="A2187">
        <v>2186</v>
      </c>
      <c r="B2187">
        <v>47785960</v>
      </c>
      <c r="C2187">
        <v>47785960</v>
      </c>
    </row>
    <row r="2188" spans="1:3">
      <c r="A2188">
        <v>2187</v>
      </c>
      <c r="B2188">
        <v>47829690</v>
      </c>
      <c r="C2188">
        <v>47829690</v>
      </c>
    </row>
    <row r="2189" spans="1:3">
      <c r="A2189">
        <v>2188</v>
      </c>
      <c r="B2189">
        <v>47873440</v>
      </c>
      <c r="C2189">
        <v>47873440</v>
      </c>
    </row>
    <row r="2190" spans="1:3">
      <c r="A2190">
        <v>2189</v>
      </c>
      <c r="B2190">
        <v>47917210</v>
      </c>
      <c r="C2190">
        <v>47917210</v>
      </c>
    </row>
    <row r="2191" spans="1:3">
      <c r="A2191">
        <v>2190</v>
      </c>
      <c r="B2191">
        <v>47961000</v>
      </c>
      <c r="C2191">
        <v>47961000</v>
      </c>
    </row>
    <row r="2192" spans="1:3">
      <c r="A2192">
        <v>2191</v>
      </c>
      <c r="B2192">
        <v>48004810</v>
      </c>
      <c r="C2192">
        <v>48004810</v>
      </c>
    </row>
    <row r="2193" spans="1:3">
      <c r="A2193">
        <v>2192</v>
      </c>
      <c r="B2193">
        <v>48048640</v>
      </c>
      <c r="C2193">
        <v>48048640</v>
      </c>
    </row>
    <row r="2194" spans="1:3">
      <c r="A2194">
        <v>2193</v>
      </c>
      <c r="B2194">
        <v>48092490</v>
      </c>
      <c r="C2194">
        <v>48092490</v>
      </c>
    </row>
    <row r="2195" spans="1:3">
      <c r="A2195">
        <v>2194</v>
      </c>
      <c r="B2195">
        <v>48136360</v>
      </c>
      <c r="C2195">
        <v>48136360</v>
      </c>
    </row>
    <row r="2196" spans="1:3">
      <c r="A2196">
        <v>2195</v>
      </c>
      <c r="B2196">
        <v>48180250</v>
      </c>
      <c r="C2196">
        <v>48180250</v>
      </c>
    </row>
    <row r="2197" spans="1:3">
      <c r="A2197">
        <v>2196</v>
      </c>
      <c r="B2197">
        <v>48224160</v>
      </c>
      <c r="C2197">
        <v>48224160</v>
      </c>
    </row>
    <row r="2198" spans="1:3">
      <c r="A2198">
        <v>2197</v>
      </c>
      <c r="B2198">
        <v>48268090</v>
      </c>
      <c r="C2198">
        <v>48268090</v>
      </c>
    </row>
    <row r="2199" spans="1:3">
      <c r="A2199">
        <v>2198</v>
      </c>
      <c r="B2199">
        <v>48312040</v>
      </c>
      <c r="C2199">
        <v>48312040</v>
      </c>
    </row>
    <row r="2200" spans="1:3">
      <c r="A2200">
        <v>2199</v>
      </c>
      <c r="B2200">
        <v>48356010</v>
      </c>
      <c r="C2200">
        <v>48356010</v>
      </c>
    </row>
    <row r="2201" spans="1:3">
      <c r="A2201">
        <v>2200</v>
      </c>
      <c r="B2201">
        <v>48400000</v>
      </c>
      <c r="C2201">
        <v>48400000</v>
      </c>
    </row>
    <row r="2202" spans="1:3">
      <c r="A2202">
        <v>2201</v>
      </c>
      <c r="B2202">
        <v>48444010</v>
      </c>
      <c r="C2202">
        <v>48444010</v>
      </c>
    </row>
    <row r="2203" spans="1:3">
      <c r="A2203">
        <v>2202</v>
      </c>
      <c r="B2203">
        <v>48488040</v>
      </c>
      <c r="C2203">
        <v>48488040</v>
      </c>
    </row>
    <row r="2204" spans="1:3">
      <c r="A2204">
        <v>2203</v>
      </c>
      <c r="B2204">
        <v>48532090</v>
      </c>
      <c r="C2204">
        <v>48532090</v>
      </c>
    </row>
    <row r="2205" spans="1:3">
      <c r="A2205">
        <v>2204</v>
      </c>
      <c r="B2205">
        <v>48576160</v>
      </c>
      <c r="C2205">
        <v>48576160</v>
      </c>
    </row>
    <row r="2206" spans="1:3">
      <c r="A2206">
        <v>2205</v>
      </c>
      <c r="B2206">
        <v>48620250</v>
      </c>
      <c r="C2206">
        <v>48620250</v>
      </c>
    </row>
    <row r="2207" spans="1:3">
      <c r="A2207">
        <v>2206</v>
      </c>
      <c r="B2207">
        <v>48664360</v>
      </c>
      <c r="C2207">
        <v>48664360</v>
      </c>
    </row>
    <row r="2208" spans="1:3">
      <c r="A2208">
        <v>2207</v>
      </c>
      <c r="B2208">
        <v>48708490</v>
      </c>
      <c r="C2208">
        <v>48708490</v>
      </c>
    </row>
    <row r="2209" spans="1:3">
      <c r="A2209">
        <v>2208</v>
      </c>
      <c r="B2209">
        <v>48752640</v>
      </c>
      <c r="C2209">
        <v>48752640</v>
      </c>
    </row>
    <row r="2210" spans="1:3">
      <c r="A2210">
        <v>2209</v>
      </c>
      <c r="B2210">
        <v>48796810</v>
      </c>
      <c r="C2210">
        <v>48796810</v>
      </c>
    </row>
    <row r="2211" spans="1:3">
      <c r="A2211">
        <v>2210</v>
      </c>
      <c r="B2211">
        <v>48841000</v>
      </c>
      <c r="C2211">
        <v>48841000</v>
      </c>
    </row>
    <row r="2212" spans="1:3">
      <c r="A2212">
        <v>2211</v>
      </c>
      <c r="B2212">
        <v>48885210</v>
      </c>
      <c r="C2212">
        <v>48885210</v>
      </c>
    </row>
    <row r="2213" spans="1:3">
      <c r="A2213">
        <v>2212</v>
      </c>
      <c r="B2213">
        <v>48929440</v>
      </c>
      <c r="C2213">
        <v>48929440</v>
      </c>
    </row>
    <row r="2214" spans="1:3">
      <c r="A2214">
        <v>2213</v>
      </c>
      <c r="B2214">
        <v>48973690</v>
      </c>
      <c r="C2214">
        <v>48973690</v>
      </c>
    </row>
    <row r="2215" spans="1:3">
      <c r="A2215">
        <v>2214</v>
      </c>
      <c r="B2215">
        <v>49017960</v>
      </c>
      <c r="C2215">
        <v>49017960</v>
      </c>
    </row>
    <row r="2216" spans="1:3">
      <c r="A2216">
        <v>2215</v>
      </c>
      <c r="B2216">
        <v>49062250</v>
      </c>
      <c r="C2216">
        <v>49062250</v>
      </c>
    </row>
    <row r="2217" spans="1:3">
      <c r="A2217">
        <v>2216</v>
      </c>
      <c r="B2217">
        <v>49106560</v>
      </c>
      <c r="C2217">
        <v>49106560</v>
      </c>
    </row>
    <row r="2218" spans="1:3">
      <c r="A2218">
        <v>2217</v>
      </c>
      <c r="B2218">
        <v>49150890</v>
      </c>
      <c r="C2218">
        <v>49150890</v>
      </c>
    </row>
    <row r="2219" spans="1:3">
      <c r="A2219">
        <v>2218</v>
      </c>
      <c r="B2219">
        <v>49195240</v>
      </c>
      <c r="C2219">
        <v>49195240</v>
      </c>
    </row>
    <row r="2220" spans="1:3">
      <c r="A2220">
        <v>2219</v>
      </c>
      <c r="B2220">
        <v>49239610</v>
      </c>
      <c r="C2220">
        <v>49239610</v>
      </c>
    </row>
    <row r="2221" spans="1:3">
      <c r="A2221">
        <v>2220</v>
      </c>
      <c r="B2221">
        <v>49284000</v>
      </c>
      <c r="C2221">
        <v>49284000</v>
      </c>
    </row>
    <row r="2222" spans="1:3">
      <c r="A2222">
        <v>2221</v>
      </c>
      <c r="B2222">
        <v>49328410</v>
      </c>
      <c r="C2222">
        <v>49328410</v>
      </c>
    </row>
    <row r="2223" spans="1:3">
      <c r="A2223">
        <v>2222</v>
      </c>
      <c r="B2223">
        <v>49372840</v>
      </c>
      <c r="C2223">
        <v>49372840</v>
      </c>
    </row>
    <row r="2224" spans="1:3">
      <c r="A2224">
        <v>2223</v>
      </c>
      <c r="B2224">
        <v>49417290</v>
      </c>
      <c r="C2224">
        <v>49417290</v>
      </c>
    </row>
    <row r="2225" spans="1:3">
      <c r="A2225">
        <v>2224</v>
      </c>
      <c r="B2225">
        <v>49461760</v>
      </c>
      <c r="C2225">
        <v>49461760</v>
      </c>
    </row>
    <row r="2226" spans="1:3">
      <c r="A2226">
        <v>2225</v>
      </c>
      <c r="B2226">
        <v>49506250</v>
      </c>
      <c r="C2226">
        <v>49506250</v>
      </c>
    </row>
    <row r="2227" spans="1:3">
      <c r="A2227">
        <v>2226</v>
      </c>
      <c r="B2227">
        <v>49550760</v>
      </c>
      <c r="C2227">
        <v>49550760</v>
      </c>
    </row>
    <row r="2228" spans="1:3">
      <c r="A2228">
        <v>2227</v>
      </c>
      <c r="B2228">
        <v>49595290</v>
      </c>
      <c r="C2228">
        <v>49595290</v>
      </c>
    </row>
    <row r="2229" spans="1:3">
      <c r="A2229">
        <v>2228</v>
      </c>
      <c r="B2229">
        <v>49639840</v>
      </c>
      <c r="C2229">
        <v>49639840</v>
      </c>
    </row>
    <row r="2230" spans="1:3">
      <c r="A2230">
        <v>2229</v>
      </c>
      <c r="B2230">
        <v>49684410</v>
      </c>
      <c r="C2230">
        <v>49684410</v>
      </c>
    </row>
    <row r="2231" spans="1:3">
      <c r="A2231">
        <v>2230</v>
      </c>
      <c r="B2231">
        <v>49729000</v>
      </c>
      <c r="C2231">
        <v>49729000</v>
      </c>
    </row>
    <row r="2232" spans="1:3">
      <c r="A2232">
        <v>2231</v>
      </c>
      <c r="B2232">
        <v>49773610</v>
      </c>
      <c r="C2232">
        <v>49773610</v>
      </c>
    </row>
    <row r="2233" spans="1:3">
      <c r="A2233">
        <v>2232</v>
      </c>
      <c r="B2233">
        <v>49818240</v>
      </c>
      <c r="C2233">
        <v>49818240</v>
      </c>
    </row>
    <row r="2234" spans="1:3">
      <c r="A2234">
        <v>2233</v>
      </c>
      <c r="B2234">
        <v>49862890</v>
      </c>
      <c r="C2234">
        <v>49862890</v>
      </c>
    </row>
    <row r="2235" spans="1:3">
      <c r="A2235">
        <v>2234</v>
      </c>
      <c r="B2235">
        <v>49907560</v>
      </c>
      <c r="C2235">
        <v>49907560</v>
      </c>
    </row>
    <row r="2236" spans="1:3">
      <c r="A2236">
        <v>2235</v>
      </c>
      <c r="B2236">
        <v>49952250</v>
      </c>
      <c r="C2236">
        <v>49952250</v>
      </c>
    </row>
    <row r="2237" spans="1:3">
      <c r="A2237">
        <v>2236</v>
      </c>
      <c r="B2237">
        <v>49996960</v>
      </c>
      <c r="C2237">
        <v>49996960</v>
      </c>
    </row>
    <row r="2238" spans="1:3">
      <c r="A2238">
        <v>2237</v>
      </c>
      <c r="B2238">
        <v>50041690</v>
      </c>
      <c r="C2238">
        <v>50041690</v>
      </c>
    </row>
    <row r="2239" spans="1:3">
      <c r="A2239">
        <v>2238</v>
      </c>
      <c r="B2239">
        <v>50086440</v>
      </c>
      <c r="C2239">
        <v>50086440</v>
      </c>
    </row>
    <row r="2240" spans="1:3">
      <c r="A2240">
        <v>2239</v>
      </c>
      <c r="B2240">
        <v>50131210</v>
      </c>
      <c r="C2240">
        <v>50131210</v>
      </c>
    </row>
    <row r="2241" spans="1:3">
      <c r="A2241">
        <v>2240</v>
      </c>
      <c r="B2241">
        <v>50176000</v>
      </c>
      <c r="C2241">
        <v>50176000</v>
      </c>
    </row>
    <row r="2242" spans="1:3">
      <c r="A2242">
        <v>2241</v>
      </c>
      <c r="B2242">
        <v>50220810</v>
      </c>
      <c r="C2242">
        <v>50220810</v>
      </c>
    </row>
    <row r="2243" spans="1:3">
      <c r="A2243">
        <v>2242</v>
      </c>
      <c r="B2243">
        <v>50265640</v>
      </c>
      <c r="C2243">
        <v>50265640</v>
      </c>
    </row>
    <row r="2244" spans="1:3">
      <c r="A2244">
        <v>2243</v>
      </c>
      <c r="B2244">
        <v>50310490</v>
      </c>
      <c r="C2244">
        <v>50310490</v>
      </c>
    </row>
    <row r="2245" spans="1:3">
      <c r="A2245">
        <v>2244</v>
      </c>
      <c r="B2245">
        <v>50355360</v>
      </c>
      <c r="C2245">
        <v>50355360</v>
      </c>
    </row>
    <row r="2246" spans="1:3">
      <c r="A2246">
        <v>2245</v>
      </c>
      <c r="B2246">
        <v>50400250</v>
      </c>
      <c r="C2246">
        <v>50400250</v>
      </c>
    </row>
    <row r="2247" spans="1:3">
      <c r="A2247">
        <v>2246</v>
      </c>
      <c r="B2247">
        <v>50445160</v>
      </c>
      <c r="C2247">
        <v>50445160</v>
      </c>
    </row>
    <row r="2248" spans="1:3">
      <c r="A2248">
        <v>2247</v>
      </c>
      <c r="B2248">
        <v>50490090</v>
      </c>
      <c r="C2248">
        <v>50490090</v>
      </c>
    </row>
    <row r="2249" spans="1:3">
      <c r="A2249">
        <v>2248</v>
      </c>
      <c r="B2249">
        <v>50535040</v>
      </c>
      <c r="C2249">
        <v>50535040</v>
      </c>
    </row>
    <row r="2250" spans="1:3">
      <c r="A2250">
        <v>2249</v>
      </c>
      <c r="B2250">
        <v>50580010</v>
      </c>
      <c r="C2250">
        <v>50580010</v>
      </c>
    </row>
    <row r="2251" spans="1:3">
      <c r="A2251">
        <v>2250</v>
      </c>
      <c r="B2251">
        <v>50625000</v>
      </c>
      <c r="C2251">
        <v>50625000</v>
      </c>
    </row>
    <row r="2252" spans="1:3">
      <c r="A2252">
        <v>2251</v>
      </c>
      <c r="B2252">
        <v>50670010</v>
      </c>
      <c r="C2252">
        <v>50670010</v>
      </c>
    </row>
    <row r="2253" spans="1:3">
      <c r="A2253">
        <v>2252</v>
      </c>
      <c r="B2253">
        <v>50715040</v>
      </c>
      <c r="C2253">
        <v>50715040</v>
      </c>
    </row>
    <row r="2254" spans="1:3">
      <c r="A2254">
        <v>2253</v>
      </c>
      <c r="B2254">
        <v>50760090</v>
      </c>
      <c r="C2254">
        <v>50760090</v>
      </c>
    </row>
    <row r="2255" spans="1:3">
      <c r="A2255">
        <v>2254</v>
      </c>
      <c r="B2255">
        <v>50805160</v>
      </c>
      <c r="C2255">
        <v>50805160</v>
      </c>
    </row>
    <row r="2256" spans="1:3">
      <c r="A2256">
        <v>2255</v>
      </c>
      <c r="B2256">
        <v>50850250</v>
      </c>
      <c r="C2256">
        <v>50850250</v>
      </c>
    </row>
    <row r="2257" spans="1:3">
      <c r="A2257">
        <v>2256</v>
      </c>
      <c r="B2257">
        <v>50895360</v>
      </c>
      <c r="C2257">
        <v>50895360</v>
      </c>
    </row>
    <row r="2258" spans="1:3">
      <c r="A2258">
        <v>2257</v>
      </c>
      <c r="B2258">
        <v>50940490</v>
      </c>
      <c r="C2258">
        <v>50940490</v>
      </c>
    </row>
    <row r="2259" spans="1:3">
      <c r="A2259">
        <v>2258</v>
      </c>
      <c r="B2259">
        <v>50985640</v>
      </c>
      <c r="C2259">
        <v>50985640</v>
      </c>
    </row>
    <row r="2260" spans="1:3">
      <c r="A2260">
        <v>2259</v>
      </c>
      <c r="B2260">
        <v>51030810</v>
      </c>
      <c r="C2260">
        <v>51030810</v>
      </c>
    </row>
    <row r="2261" spans="1:3">
      <c r="A2261">
        <v>2260</v>
      </c>
      <c r="B2261">
        <v>51076000</v>
      </c>
      <c r="C2261">
        <v>51076000</v>
      </c>
    </row>
    <row r="2262" spans="1:3">
      <c r="A2262">
        <v>2261</v>
      </c>
      <c r="B2262">
        <v>51121210</v>
      </c>
      <c r="C2262">
        <v>51121210</v>
      </c>
    </row>
    <row r="2263" spans="1:3">
      <c r="A2263">
        <v>2262</v>
      </c>
      <c r="B2263">
        <v>51166440</v>
      </c>
      <c r="C2263">
        <v>51166440</v>
      </c>
    </row>
    <row r="2264" spans="1:3">
      <c r="A2264">
        <v>2263</v>
      </c>
      <c r="B2264">
        <v>51211690</v>
      </c>
      <c r="C2264">
        <v>51211690</v>
      </c>
    </row>
    <row r="2265" spans="1:3">
      <c r="A2265">
        <v>2264</v>
      </c>
      <c r="B2265">
        <v>51256960</v>
      </c>
      <c r="C2265">
        <v>51256960</v>
      </c>
    </row>
    <row r="2266" spans="1:3">
      <c r="A2266">
        <v>2265</v>
      </c>
      <c r="B2266">
        <v>51302250</v>
      </c>
      <c r="C2266">
        <v>51302250</v>
      </c>
    </row>
    <row r="2267" spans="1:3">
      <c r="A2267">
        <v>2266</v>
      </c>
      <c r="B2267">
        <v>51347560</v>
      </c>
      <c r="C2267">
        <v>51347560</v>
      </c>
    </row>
    <row r="2268" spans="1:3">
      <c r="A2268">
        <v>2267</v>
      </c>
      <c r="B2268">
        <v>51392890</v>
      </c>
      <c r="C2268">
        <v>51392890</v>
      </c>
    </row>
    <row r="2269" spans="1:3">
      <c r="A2269">
        <v>2268</v>
      </c>
      <c r="B2269">
        <v>51438240</v>
      </c>
      <c r="C2269">
        <v>51438240</v>
      </c>
    </row>
    <row r="2270" spans="1:3">
      <c r="A2270">
        <v>2269</v>
      </c>
      <c r="B2270">
        <v>51483610</v>
      </c>
      <c r="C2270">
        <v>51483610</v>
      </c>
    </row>
    <row r="2271" spans="1:3">
      <c r="A2271">
        <v>2270</v>
      </c>
      <c r="B2271">
        <v>51529000</v>
      </c>
      <c r="C2271">
        <v>51529000</v>
      </c>
    </row>
    <row r="2272" spans="1:3">
      <c r="A2272">
        <v>2271</v>
      </c>
      <c r="B2272">
        <v>51574410</v>
      </c>
      <c r="C2272">
        <v>51574410</v>
      </c>
    </row>
    <row r="2273" spans="1:3">
      <c r="A2273">
        <v>2272</v>
      </c>
      <c r="B2273">
        <v>51619840</v>
      </c>
      <c r="C2273">
        <v>51619840</v>
      </c>
    </row>
    <row r="2274" spans="1:3">
      <c r="A2274">
        <v>2273</v>
      </c>
      <c r="B2274">
        <v>51665290</v>
      </c>
      <c r="C2274">
        <v>51665290</v>
      </c>
    </row>
    <row r="2275" spans="1:3">
      <c r="A2275">
        <v>2274</v>
      </c>
      <c r="B2275">
        <v>51710760</v>
      </c>
      <c r="C2275">
        <v>51710760</v>
      </c>
    </row>
    <row r="2276" spans="1:3">
      <c r="A2276">
        <v>2275</v>
      </c>
      <c r="B2276">
        <v>51756250</v>
      </c>
      <c r="C2276">
        <v>51756250</v>
      </c>
    </row>
    <row r="2277" spans="1:3">
      <c r="A2277">
        <v>2276</v>
      </c>
      <c r="B2277">
        <v>51801760</v>
      </c>
      <c r="C2277">
        <v>51801760</v>
      </c>
    </row>
    <row r="2278" spans="1:3">
      <c r="A2278">
        <v>2277</v>
      </c>
      <c r="B2278">
        <v>51847290</v>
      </c>
      <c r="C2278">
        <v>51847290</v>
      </c>
    </row>
    <row r="2279" spans="1:3">
      <c r="A2279">
        <v>2278</v>
      </c>
      <c r="B2279">
        <v>51892840</v>
      </c>
      <c r="C2279">
        <v>51892840</v>
      </c>
    </row>
    <row r="2280" spans="1:3">
      <c r="A2280">
        <v>2279</v>
      </c>
      <c r="B2280">
        <v>51938410</v>
      </c>
      <c r="C2280">
        <v>51938410</v>
      </c>
    </row>
    <row r="2281" spans="1:3">
      <c r="A2281">
        <v>2280</v>
      </c>
      <c r="B2281">
        <v>51984000</v>
      </c>
      <c r="C2281">
        <v>51984000</v>
      </c>
    </row>
    <row r="2282" spans="1:3">
      <c r="A2282">
        <v>2281</v>
      </c>
      <c r="B2282">
        <v>52029610</v>
      </c>
      <c r="C2282">
        <v>52029610</v>
      </c>
    </row>
    <row r="2283" spans="1:3">
      <c r="A2283">
        <v>2282</v>
      </c>
      <c r="B2283">
        <v>52075240</v>
      </c>
      <c r="C2283">
        <v>52075240</v>
      </c>
    </row>
    <row r="2284" spans="1:3">
      <c r="A2284">
        <v>2283</v>
      </c>
      <c r="B2284">
        <v>52120890</v>
      </c>
      <c r="C2284">
        <v>52120890</v>
      </c>
    </row>
    <row r="2285" spans="1:3">
      <c r="A2285">
        <v>2284</v>
      </c>
      <c r="B2285">
        <v>52166560</v>
      </c>
      <c r="C2285">
        <v>52166560</v>
      </c>
    </row>
    <row r="2286" spans="1:3">
      <c r="A2286">
        <v>2285</v>
      </c>
      <c r="B2286">
        <v>52212250</v>
      </c>
      <c r="C2286">
        <v>52212250</v>
      </c>
    </row>
    <row r="2287" spans="1:3">
      <c r="A2287">
        <v>2286</v>
      </c>
      <c r="B2287">
        <v>52257960</v>
      </c>
      <c r="C2287">
        <v>52257960</v>
      </c>
    </row>
    <row r="2288" spans="1:3">
      <c r="A2288">
        <v>2287</v>
      </c>
      <c r="B2288">
        <v>52303690</v>
      </c>
      <c r="C2288">
        <v>52303690</v>
      </c>
    </row>
    <row r="2289" spans="1:3">
      <c r="A2289">
        <v>2288</v>
      </c>
      <c r="B2289">
        <v>52349440</v>
      </c>
      <c r="C2289">
        <v>52349440</v>
      </c>
    </row>
    <row r="2290" spans="1:3">
      <c r="A2290">
        <v>2289</v>
      </c>
      <c r="B2290">
        <v>52395210</v>
      </c>
      <c r="C2290">
        <v>52395210</v>
      </c>
    </row>
    <row r="2291" spans="1:3">
      <c r="A2291">
        <v>2290</v>
      </c>
      <c r="B2291">
        <v>52441000</v>
      </c>
      <c r="C2291">
        <v>52441000</v>
      </c>
    </row>
    <row r="2292" spans="1:3">
      <c r="A2292">
        <v>2291</v>
      </c>
      <c r="B2292">
        <v>52486810</v>
      </c>
      <c r="C2292">
        <v>52486810</v>
      </c>
    </row>
    <row r="2293" spans="1:3">
      <c r="A2293">
        <v>2292</v>
      </c>
      <c r="B2293">
        <v>52532640</v>
      </c>
      <c r="C2293">
        <v>52532640</v>
      </c>
    </row>
    <row r="2294" spans="1:3">
      <c r="A2294">
        <v>2293</v>
      </c>
      <c r="B2294">
        <v>52578490</v>
      </c>
      <c r="C2294">
        <v>52578490</v>
      </c>
    </row>
    <row r="2295" spans="1:3">
      <c r="A2295">
        <v>2294</v>
      </c>
      <c r="B2295">
        <v>52624360</v>
      </c>
      <c r="C2295">
        <v>52624360</v>
      </c>
    </row>
    <row r="2296" spans="1:3">
      <c r="A2296">
        <v>2295</v>
      </c>
      <c r="B2296">
        <v>52670250</v>
      </c>
      <c r="C2296">
        <v>52670250</v>
      </c>
    </row>
    <row r="2297" spans="1:3">
      <c r="A2297">
        <v>2296</v>
      </c>
      <c r="B2297">
        <v>52716160</v>
      </c>
      <c r="C2297">
        <v>52716160</v>
      </c>
    </row>
    <row r="2298" spans="1:3">
      <c r="A2298">
        <v>2297</v>
      </c>
      <c r="B2298">
        <v>52762090</v>
      </c>
      <c r="C2298">
        <v>52762090</v>
      </c>
    </row>
    <row r="2299" spans="1:3">
      <c r="A2299">
        <v>2298</v>
      </c>
      <c r="B2299">
        <v>52808040</v>
      </c>
      <c r="C2299">
        <v>52808040</v>
      </c>
    </row>
    <row r="2300" spans="1:3">
      <c r="A2300">
        <v>2299</v>
      </c>
      <c r="B2300">
        <v>52854010</v>
      </c>
      <c r="C2300">
        <v>52854010</v>
      </c>
    </row>
    <row r="2301" spans="1:3">
      <c r="A2301">
        <v>2300</v>
      </c>
      <c r="B2301">
        <v>52900000</v>
      </c>
      <c r="C2301">
        <v>52900000</v>
      </c>
    </row>
    <row r="2302" spans="1:3">
      <c r="A2302">
        <v>2301</v>
      </c>
      <c r="B2302">
        <v>52946010</v>
      </c>
      <c r="C2302">
        <v>52946010</v>
      </c>
    </row>
    <row r="2303" spans="1:3">
      <c r="A2303">
        <v>2302</v>
      </c>
      <c r="B2303">
        <v>52992040</v>
      </c>
      <c r="C2303">
        <v>52992040</v>
      </c>
    </row>
    <row r="2304" spans="1:3">
      <c r="A2304">
        <v>2303</v>
      </c>
      <c r="B2304">
        <v>53038090</v>
      </c>
      <c r="C2304">
        <v>53038090</v>
      </c>
    </row>
    <row r="2305" spans="1:3">
      <c r="A2305">
        <v>2304</v>
      </c>
      <c r="B2305">
        <v>53084160</v>
      </c>
      <c r="C2305">
        <v>53084160</v>
      </c>
    </row>
    <row r="2306" spans="1:3">
      <c r="A2306">
        <v>2305</v>
      </c>
      <c r="B2306">
        <v>53130250</v>
      </c>
      <c r="C2306">
        <v>53130250</v>
      </c>
    </row>
    <row r="2307" spans="1:3">
      <c r="A2307">
        <v>2306</v>
      </c>
      <c r="B2307">
        <v>53176360</v>
      </c>
      <c r="C2307">
        <v>53176360</v>
      </c>
    </row>
    <row r="2308" spans="1:3">
      <c r="A2308">
        <v>2307</v>
      </c>
      <c r="B2308">
        <v>53222490</v>
      </c>
      <c r="C2308">
        <v>53222490</v>
      </c>
    </row>
    <row r="2309" spans="1:3">
      <c r="A2309">
        <v>2308</v>
      </c>
      <c r="B2309">
        <v>53268640</v>
      </c>
      <c r="C2309">
        <v>53268640</v>
      </c>
    </row>
    <row r="2310" spans="1:3">
      <c r="A2310">
        <v>2309</v>
      </c>
      <c r="B2310">
        <v>53314810</v>
      </c>
      <c r="C2310">
        <v>53314810</v>
      </c>
    </row>
    <row r="2311" spans="1:3">
      <c r="A2311">
        <v>2310</v>
      </c>
      <c r="B2311">
        <v>53361000</v>
      </c>
      <c r="C2311">
        <v>53361000</v>
      </c>
    </row>
    <row r="2312" spans="1:3">
      <c r="A2312">
        <v>2311</v>
      </c>
      <c r="B2312">
        <v>53407210</v>
      </c>
      <c r="C2312">
        <v>53407210</v>
      </c>
    </row>
    <row r="2313" spans="1:3">
      <c r="A2313">
        <v>2312</v>
      </c>
      <c r="B2313">
        <v>53453440</v>
      </c>
      <c r="C2313">
        <v>53453440</v>
      </c>
    </row>
    <row r="2314" spans="1:3">
      <c r="A2314">
        <v>2313</v>
      </c>
      <c r="B2314">
        <v>53499690</v>
      </c>
      <c r="C2314">
        <v>53499690</v>
      </c>
    </row>
    <row r="2315" spans="1:3">
      <c r="A2315">
        <v>2314</v>
      </c>
      <c r="B2315">
        <v>53545960</v>
      </c>
      <c r="C2315">
        <v>53545960</v>
      </c>
    </row>
    <row r="2316" spans="1:3">
      <c r="A2316">
        <v>2315</v>
      </c>
      <c r="B2316">
        <v>53592250</v>
      </c>
      <c r="C2316">
        <v>53592250</v>
      </c>
    </row>
    <row r="2317" spans="1:3">
      <c r="A2317">
        <v>2316</v>
      </c>
      <c r="B2317">
        <v>53638560</v>
      </c>
      <c r="C2317">
        <v>53638560</v>
      </c>
    </row>
    <row r="2318" spans="1:3">
      <c r="A2318">
        <v>2317</v>
      </c>
      <c r="B2318">
        <v>53684890</v>
      </c>
      <c r="C2318">
        <v>53684890</v>
      </c>
    </row>
    <row r="2319" spans="1:3">
      <c r="A2319">
        <v>2318</v>
      </c>
      <c r="B2319">
        <v>53731240</v>
      </c>
      <c r="C2319">
        <v>53731240</v>
      </c>
    </row>
    <row r="2320" spans="1:3">
      <c r="A2320">
        <v>2319</v>
      </c>
      <c r="B2320">
        <v>53777610</v>
      </c>
      <c r="C2320">
        <v>53777610</v>
      </c>
    </row>
    <row r="2321" spans="1:3">
      <c r="A2321">
        <v>2320</v>
      </c>
      <c r="B2321">
        <v>53824000</v>
      </c>
      <c r="C2321">
        <v>53824000</v>
      </c>
    </row>
    <row r="2322" spans="1:3">
      <c r="A2322">
        <v>2321</v>
      </c>
      <c r="B2322">
        <v>53870410</v>
      </c>
      <c r="C2322">
        <v>53870410</v>
      </c>
    </row>
    <row r="2323" spans="1:3">
      <c r="A2323">
        <v>2322</v>
      </c>
      <c r="B2323">
        <v>53916840</v>
      </c>
      <c r="C2323">
        <v>53916840</v>
      </c>
    </row>
    <row r="2324" spans="1:3">
      <c r="A2324">
        <v>2323</v>
      </c>
      <c r="B2324">
        <v>53963290</v>
      </c>
      <c r="C2324">
        <v>53963290</v>
      </c>
    </row>
    <row r="2325" spans="1:3">
      <c r="A2325">
        <v>2324</v>
      </c>
      <c r="B2325">
        <v>54009760</v>
      </c>
      <c r="C2325">
        <v>54009760</v>
      </c>
    </row>
    <row r="2326" spans="1:3">
      <c r="A2326">
        <v>2325</v>
      </c>
      <c r="B2326">
        <v>54056250</v>
      </c>
      <c r="C2326">
        <v>54056250</v>
      </c>
    </row>
    <row r="2327" spans="1:3">
      <c r="A2327">
        <v>2326</v>
      </c>
      <c r="B2327">
        <v>54102760</v>
      </c>
      <c r="C2327">
        <v>54102760</v>
      </c>
    </row>
    <row r="2328" spans="1:3">
      <c r="A2328">
        <v>2327</v>
      </c>
      <c r="B2328">
        <v>54149290</v>
      </c>
      <c r="C2328">
        <v>54149290</v>
      </c>
    </row>
    <row r="2329" spans="1:3">
      <c r="A2329">
        <v>2328</v>
      </c>
      <c r="B2329">
        <v>54195840</v>
      </c>
      <c r="C2329">
        <v>54195840</v>
      </c>
    </row>
    <row r="2330" spans="1:3">
      <c r="A2330">
        <v>2329</v>
      </c>
      <c r="B2330">
        <v>54242410</v>
      </c>
      <c r="C2330">
        <v>54242410</v>
      </c>
    </row>
    <row r="2331" spans="1:3">
      <c r="A2331">
        <v>2330</v>
      </c>
      <c r="B2331">
        <v>54289000</v>
      </c>
      <c r="C2331">
        <v>54289000</v>
      </c>
    </row>
    <row r="2332" spans="1:3">
      <c r="A2332">
        <v>2331</v>
      </c>
      <c r="B2332">
        <v>54335610</v>
      </c>
      <c r="C2332">
        <v>54335610</v>
      </c>
    </row>
    <row r="2333" spans="1:3">
      <c r="A2333">
        <v>2332</v>
      </c>
      <c r="B2333">
        <v>54382240</v>
      </c>
      <c r="C2333">
        <v>54382240</v>
      </c>
    </row>
    <row r="2334" spans="1:3">
      <c r="A2334">
        <v>2333</v>
      </c>
      <c r="B2334">
        <v>54428890</v>
      </c>
      <c r="C2334">
        <v>54428890</v>
      </c>
    </row>
    <row r="2335" spans="1:3">
      <c r="A2335">
        <v>2334</v>
      </c>
      <c r="B2335">
        <v>54475560</v>
      </c>
      <c r="C2335">
        <v>54475560</v>
      </c>
    </row>
    <row r="2336" spans="1:3">
      <c r="A2336">
        <v>2335</v>
      </c>
      <c r="B2336">
        <v>54522250</v>
      </c>
      <c r="C2336">
        <v>54522250</v>
      </c>
    </row>
    <row r="2337" spans="1:3">
      <c r="A2337">
        <v>2336</v>
      </c>
      <c r="B2337">
        <v>54568960</v>
      </c>
      <c r="C2337">
        <v>54568960</v>
      </c>
    </row>
    <row r="2338" spans="1:3">
      <c r="A2338">
        <v>2337</v>
      </c>
      <c r="B2338">
        <v>54615690</v>
      </c>
      <c r="C2338">
        <v>54615690</v>
      </c>
    </row>
    <row r="2339" spans="1:3">
      <c r="A2339">
        <v>2338</v>
      </c>
      <c r="B2339">
        <v>54662440</v>
      </c>
      <c r="C2339">
        <v>54662440</v>
      </c>
    </row>
    <row r="2340" spans="1:3">
      <c r="A2340">
        <v>2339</v>
      </c>
      <c r="B2340">
        <v>54709210</v>
      </c>
      <c r="C2340">
        <v>54709210</v>
      </c>
    </row>
    <row r="2341" spans="1:3">
      <c r="A2341">
        <v>2340</v>
      </c>
      <c r="B2341">
        <v>54756000</v>
      </c>
      <c r="C2341">
        <v>54756000</v>
      </c>
    </row>
    <row r="2342" spans="1:3">
      <c r="A2342">
        <v>2341</v>
      </c>
      <c r="B2342">
        <v>54802810</v>
      </c>
      <c r="C2342">
        <v>54802810</v>
      </c>
    </row>
    <row r="2343" spans="1:3">
      <c r="A2343">
        <v>2342</v>
      </c>
      <c r="B2343">
        <v>54849640</v>
      </c>
      <c r="C2343">
        <v>54849640</v>
      </c>
    </row>
    <row r="2344" spans="1:3">
      <c r="A2344">
        <v>2343</v>
      </c>
      <c r="B2344">
        <v>54896490</v>
      </c>
      <c r="C2344">
        <v>54896490</v>
      </c>
    </row>
    <row r="2345" spans="1:3">
      <c r="A2345">
        <v>2344</v>
      </c>
      <c r="B2345">
        <v>54943360</v>
      </c>
      <c r="C2345">
        <v>54943360</v>
      </c>
    </row>
    <row r="2346" spans="1:3">
      <c r="A2346">
        <v>2345</v>
      </c>
      <c r="B2346">
        <v>54990250</v>
      </c>
      <c r="C2346">
        <v>54990250</v>
      </c>
    </row>
    <row r="2347" spans="1:3">
      <c r="A2347">
        <v>2346</v>
      </c>
      <c r="B2347">
        <v>55037160</v>
      </c>
      <c r="C2347">
        <v>55037160</v>
      </c>
    </row>
    <row r="2348" spans="1:3">
      <c r="A2348">
        <v>2347</v>
      </c>
      <c r="B2348">
        <v>55084090</v>
      </c>
      <c r="C2348">
        <v>55084090</v>
      </c>
    </row>
    <row r="2349" spans="1:3">
      <c r="A2349">
        <v>2348</v>
      </c>
      <c r="B2349">
        <v>55131040</v>
      </c>
      <c r="C2349">
        <v>55131040</v>
      </c>
    </row>
    <row r="2350" spans="1:3">
      <c r="A2350">
        <v>2349</v>
      </c>
      <c r="B2350">
        <v>55178010</v>
      </c>
      <c r="C2350">
        <v>55178010</v>
      </c>
    </row>
    <row r="2351" spans="1:3">
      <c r="A2351">
        <v>2350</v>
      </c>
      <c r="B2351">
        <v>55225000</v>
      </c>
      <c r="C2351">
        <v>55225000</v>
      </c>
    </row>
    <row r="2352" spans="1:3">
      <c r="A2352">
        <v>2351</v>
      </c>
      <c r="B2352">
        <v>55272010</v>
      </c>
      <c r="C2352">
        <v>55272010</v>
      </c>
    </row>
    <row r="2353" spans="1:3">
      <c r="A2353">
        <v>2352</v>
      </c>
      <c r="B2353">
        <v>55319040</v>
      </c>
      <c r="C2353">
        <v>55319040</v>
      </c>
    </row>
    <row r="2354" spans="1:3">
      <c r="A2354">
        <v>2353</v>
      </c>
      <c r="B2354">
        <v>55366090</v>
      </c>
      <c r="C2354">
        <v>55366090</v>
      </c>
    </row>
    <row r="2355" spans="1:3">
      <c r="A2355">
        <v>2354</v>
      </c>
      <c r="B2355">
        <v>55413160</v>
      </c>
      <c r="C2355">
        <v>55413160</v>
      </c>
    </row>
    <row r="2356" spans="1:3">
      <c r="A2356">
        <v>2355</v>
      </c>
      <c r="B2356">
        <v>55460250</v>
      </c>
      <c r="C2356">
        <v>55460250</v>
      </c>
    </row>
    <row r="2357" spans="1:3">
      <c r="A2357">
        <v>2356</v>
      </c>
      <c r="B2357">
        <v>55507360</v>
      </c>
      <c r="C2357">
        <v>55507360</v>
      </c>
    </row>
    <row r="2358" spans="1:3">
      <c r="A2358">
        <v>2357</v>
      </c>
      <c r="B2358">
        <v>55554490</v>
      </c>
      <c r="C2358">
        <v>55554490</v>
      </c>
    </row>
    <row r="2359" spans="1:3">
      <c r="A2359">
        <v>2358</v>
      </c>
      <c r="B2359">
        <v>55601640</v>
      </c>
      <c r="C2359">
        <v>55601640</v>
      </c>
    </row>
    <row r="2360" spans="1:3">
      <c r="A2360">
        <v>2359</v>
      </c>
      <c r="B2360">
        <v>55648810</v>
      </c>
      <c r="C2360">
        <v>55648810</v>
      </c>
    </row>
    <row r="2361" spans="1:3">
      <c r="A2361">
        <v>2360</v>
      </c>
      <c r="B2361">
        <v>55696000</v>
      </c>
      <c r="C2361">
        <v>55696000</v>
      </c>
    </row>
    <row r="2362" spans="1:3">
      <c r="A2362">
        <v>2361</v>
      </c>
      <c r="B2362">
        <v>55743210</v>
      </c>
      <c r="C2362">
        <v>55743210</v>
      </c>
    </row>
    <row r="2363" spans="1:3">
      <c r="A2363">
        <v>2362</v>
      </c>
      <c r="B2363">
        <v>55790440</v>
      </c>
      <c r="C2363">
        <v>55790440</v>
      </c>
    </row>
    <row r="2364" spans="1:3">
      <c r="A2364">
        <v>2363</v>
      </c>
      <c r="B2364">
        <v>55837690</v>
      </c>
      <c r="C2364">
        <v>55837690</v>
      </c>
    </row>
    <row r="2365" spans="1:3">
      <c r="A2365">
        <v>2364</v>
      </c>
      <c r="B2365">
        <v>55884960</v>
      </c>
      <c r="C2365">
        <v>55884960</v>
      </c>
    </row>
    <row r="2366" spans="1:3">
      <c r="A2366">
        <v>2365</v>
      </c>
      <c r="B2366">
        <v>55932250</v>
      </c>
      <c r="C2366">
        <v>55932250</v>
      </c>
    </row>
    <row r="2367" spans="1:3">
      <c r="A2367">
        <v>2366</v>
      </c>
      <c r="B2367">
        <v>55979560</v>
      </c>
      <c r="C2367">
        <v>55979560</v>
      </c>
    </row>
    <row r="2368" spans="1:3">
      <c r="A2368">
        <v>2367</v>
      </c>
      <c r="B2368">
        <v>56026890</v>
      </c>
      <c r="C2368">
        <v>56026890</v>
      </c>
    </row>
    <row r="2369" spans="1:3">
      <c r="A2369">
        <v>2368</v>
      </c>
      <c r="B2369">
        <v>56074240</v>
      </c>
      <c r="C2369">
        <v>56074240</v>
      </c>
    </row>
    <row r="2370" spans="1:3">
      <c r="A2370">
        <v>2369</v>
      </c>
      <c r="B2370">
        <v>56121610</v>
      </c>
      <c r="C2370">
        <v>56121610</v>
      </c>
    </row>
    <row r="2371" spans="1:3">
      <c r="A2371">
        <v>2370</v>
      </c>
      <c r="B2371">
        <v>56169000</v>
      </c>
      <c r="C2371">
        <v>56169000</v>
      </c>
    </row>
    <row r="2372" spans="1:3">
      <c r="A2372">
        <v>2371</v>
      </c>
      <c r="B2372">
        <v>56216410</v>
      </c>
      <c r="C2372">
        <v>56216410</v>
      </c>
    </row>
    <row r="2373" spans="1:3">
      <c r="A2373">
        <v>2372</v>
      </c>
      <c r="B2373">
        <v>56263840</v>
      </c>
      <c r="C2373">
        <v>56263840</v>
      </c>
    </row>
    <row r="2374" spans="1:3">
      <c r="A2374">
        <v>2373</v>
      </c>
      <c r="B2374">
        <v>56311290</v>
      </c>
      <c r="C2374">
        <v>56311290</v>
      </c>
    </row>
    <row r="2375" spans="1:3">
      <c r="A2375">
        <v>2374</v>
      </c>
      <c r="B2375">
        <v>56358760</v>
      </c>
      <c r="C2375">
        <v>56358760</v>
      </c>
    </row>
    <row r="2376" spans="1:3">
      <c r="A2376">
        <v>2375</v>
      </c>
      <c r="B2376">
        <v>56406250</v>
      </c>
      <c r="C2376">
        <v>56406250</v>
      </c>
    </row>
    <row r="2377" spans="1:3">
      <c r="A2377">
        <v>2376</v>
      </c>
      <c r="B2377">
        <v>56453760</v>
      </c>
      <c r="C2377">
        <v>56453760</v>
      </c>
    </row>
    <row r="2378" spans="1:3">
      <c r="A2378">
        <v>2377</v>
      </c>
      <c r="B2378">
        <v>56501290</v>
      </c>
      <c r="C2378">
        <v>56501290</v>
      </c>
    </row>
    <row r="2379" spans="1:3">
      <c r="A2379">
        <v>2378</v>
      </c>
      <c r="B2379">
        <v>56548840</v>
      </c>
      <c r="C2379">
        <v>56548840</v>
      </c>
    </row>
    <row r="2380" spans="1:3">
      <c r="A2380">
        <v>2379</v>
      </c>
      <c r="B2380">
        <v>56596410</v>
      </c>
      <c r="C2380">
        <v>56596410</v>
      </c>
    </row>
    <row r="2381" spans="1:3">
      <c r="A2381">
        <v>2380</v>
      </c>
      <c r="B2381">
        <v>56644000</v>
      </c>
      <c r="C2381">
        <v>56644000</v>
      </c>
    </row>
    <row r="2382" spans="1:3">
      <c r="A2382">
        <v>2381</v>
      </c>
      <c r="B2382">
        <v>56691610</v>
      </c>
      <c r="C2382">
        <v>56691610</v>
      </c>
    </row>
    <row r="2383" spans="1:3">
      <c r="A2383">
        <v>2382</v>
      </c>
      <c r="B2383">
        <v>56739240</v>
      </c>
      <c r="C2383">
        <v>56739240</v>
      </c>
    </row>
    <row r="2384" spans="1:3">
      <c r="A2384">
        <v>2383</v>
      </c>
      <c r="B2384">
        <v>56786890</v>
      </c>
      <c r="C2384">
        <v>56786890</v>
      </c>
    </row>
    <row r="2385" spans="1:3">
      <c r="A2385">
        <v>2384</v>
      </c>
      <c r="B2385">
        <v>56834560</v>
      </c>
      <c r="C2385">
        <v>56834560</v>
      </c>
    </row>
    <row r="2386" spans="1:3">
      <c r="A2386">
        <v>2385</v>
      </c>
      <c r="B2386">
        <v>56882250</v>
      </c>
      <c r="C2386">
        <v>56882250</v>
      </c>
    </row>
    <row r="2387" spans="1:3">
      <c r="A2387">
        <v>2386</v>
      </c>
      <c r="B2387">
        <v>56929960</v>
      </c>
      <c r="C2387">
        <v>56929960</v>
      </c>
    </row>
    <row r="2388" spans="1:3">
      <c r="A2388">
        <v>2387</v>
      </c>
      <c r="B2388">
        <v>56977690</v>
      </c>
      <c r="C2388">
        <v>56977690</v>
      </c>
    </row>
    <row r="2389" spans="1:3">
      <c r="A2389">
        <v>2388</v>
      </c>
      <c r="B2389">
        <v>57025440</v>
      </c>
      <c r="C2389">
        <v>57025440</v>
      </c>
    </row>
    <row r="2390" spans="1:3">
      <c r="A2390">
        <v>2389</v>
      </c>
      <c r="B2390">
        <v>57073210</v>
      </c>
      <c r="C2390">
        <v>57073210</v>
      </c>
    </row>
    <row r="2391" spans="1:3">
      <c r="A2391">
        <v>2390</v>
      </c>
      <c r="B2391">
        <v>57121000</v>
      </c>
      <c r="C2391">
        <v>57121000</v>
      </c>
    </row>
    <row r="2392" spans="1:3">
      <c r="A2392">
        <v>2391</v>
      </c>
      <c r="B2392">
        <v>57168810</v>
      </c>
      <c r="C2392">
        <v>57168810</v>
      </c>
    </row>
    <row r="2393" spans="1:3">
      <c r="A2393">
        <v>2392</v>
      </c>
      <c r="B2393">
        <v>57216640</v>
      </c>
      <c r="C2393">
        <v>57216640</v>
      </c>
    </row>
    <row r="2394" spans="1:3">
      <c r="A2394">
        <v>2393</v>
      </c>
      <c r="B2394">
        <v>57264490</v>
      </c>
      <c r="C2394">
        <v>57264490</v>
      </c>
    </row>
    <row r="2395" spans="1:3">
      <c r="A2395">
        <v>2394</v>
      </c>
      <c r="B2395">
        <v>57312360</v>
      </c>
      <c r="C2395">
        <v>57312360</v>
      </c>
    </row>
    <row r="2396" spans="1:3">
      <c r="A2396">
        <v>2395</v>
      </c>
      <c r="B2396">
        <v>57360250</v>
      </c>
      <c r="C2396">
        <v>57360250</v>
      </c>
    </row>
    <row r="2397" spans="1:3">
      <c r="A2397">
        <v>2396</v>
      </c>
      <c r="B2397">
        <v>57408160</v>
      </c>
      <c r="C2397">
        <v>57408160</v>
      </c>
    </row>
    <row r="2398" spans="1:3">
      <c r="A2398">
        <v>2397</v>
      </c>
      <c r="B2398">
        <v>57456090</v>
      </c>
      <c r="C2398">
        <v>57456090</v>
      </c>
    </row>
    <row r="2399" spans="1:3">
      <c r="A2399">
        <v>2398</v>
      </c>
      <c r="B2399">
        <v>57504040</v>
      </c>
      <c r="C2399">
        <v>57504040</v>
      </c>
    </row>
    <row r="2400" spans="1:3">
      <c r="A2400">
        <v>2399</v>
      </c>
      <c r="B2400">
        <v>57552010</v>
      </c>
      <c r="C2400">
        <v>57552010</v>
      </c>
    </row>
    <row r="2401" spans="1:3">
      <c r="A2401">
        <v>2400</v>
      </c>
      <c r="B2401">
        <v>57600000</v>
      </c>
      <c r="C2401">
        <v>57600000</v>
      </c>
    </row>
    <row r="2402" spans="1:3">
      <c r="A2402">
        <v>2401</v>
      </c>
      <c r="B2402">
        <v>57648010</v>
      </c>
      <c r="C2402">
        <v>57648010</v>
      </c>
    </row>
    <row r="2403" spans="1:3">
      <c r="A2403">
        <v>2402</v>
      </c>
      <c r="B2403">
        <v>57696040</v>
      </c>
      <c r="C2403">
        <v>57696040</v>
      </c>
    </row>
    <row r="2404" spans="1:3">
      <c r="A2404">
        <v>2403</v>
      </c>
      <c r="B2404">
        <v>57744090</v>
      </c>
      <c r="C2404">
        <v>57744090</v>
      </c>
    </row>
    <row r="2405" spans="1:3">
      <c r="A2405">
        <v>2404</v>
      </c>
      <c r="B2405">
        <v>57792160</v>
      </c>
      <c r="C2405">
        <v>57792160</v>
      </c>
    </row>
    <row r="2406" spans="1:3">
      <c r="A2406">
        <v>2405</v>
      </c>
      <c r="B2406">
        <v>57840250</v>
      </c>
      <c r="C2406">
        <v>57840250</v>
      </c>
    </row>
    <row r="2407" spans="1:3">
      <c r="A2407">
        <v>2406</v>
      </c>
      <c r="B2407">
        <v>57888360</v>
      </c>
      <c r="C2407">
        <v>57888360</v>
      </c>
    </row>
    <row r="2408" spans="1:3">
      <c r="A2408">
        <v>2407</v>
      </c>
      <c r="B2408">
        <v>57936490</v>
      </c>
      <c r="C2408">
        <v>57936490</v>
      </c>
    </row>
    <row r="2409" spans="1:3">
      <c r="A2409">
        <v>2408</v>
      </c>
      <c r="B2409">
        <v>57984640</v>
      </c>
      <c r="C2409">
        <v>57984640</v>
      </c>
    </row>
    <row r="2410" spans="1:3">
      <c r="A2410">
        <v>2409</v>
      </c>
      <c r="B2410">
        <v>58032810</v>
      </c>
      <c r="C2410">
        <v>58032810</v>
      </c>
    </row>
    <row r="2411" spans="1:3">
      <c r="A2411">
        <v>2410</v>
      </c>
      <c r="B2411">
        <v>58081000</v>
      </c>
      <c r="C2411">
        <v>58081000</v>
      </c>
    </row>
    <row r="2412" spans="1:3">
      <c r="A2412">
        <v>2411</v>
      </c>
      <c r="B2412">
        <v>58129210</v>
      </c>
      <c r="C2412">
        <v>58129210</v>
      </c>
    </row>
    <row r="2413" spans="1:3">
      <c r="A2413">
        <v>2412</v>
      </c>
      <c r="B2413">
        <v>58177440</v>
      </c>
      <c r="C2413">
        <v>58177440</v>
      </c>
    </row>
    <row r="2414" spans="1:3">
      <c r="A2414">
        <v>2413</v>
      </c>
      <c r="B2414">
        <v>58225690</v>
      </c>
      <c r="C2414">
        <v>58225690</v>
      </c>
    </row>
    <row r="2415" spans="1:3">
      <c r="A2415">
        <v>2414</v>
      </c>
      <c r="B2415">
        <v>58273960</v>
      </c>
      <c r="C2415">
        <v>58273960</v>
      </c>
    </row>
    <row r="2416" spans="1:3">
      <c r="A2416">
        <v>2415</v>
      </c>
      <c r="B2416">
        <v>58322250</v>
      </c>
      <c r="C2416">
        <v>58322250</v>
      </c>
    </row>
    <row r="2417" spans="1:3">
      <c r="A2417">
        <v>2416</v>
      </c>
      <c r="B2417">
        <v>58370560</v>
      </c>
      <c r="C2417">
        <v>58370560</v>
      </c>
    </row>
    <row r="2418" spans="1:3">
      <c r="A2418">
        <v>2417</v>
      </c>
      <c r="B2418">
        <v>58418890</v>
      </c>
      <c r="C2418">
        <v>58418890</v>
      </c>
    </row>
    <row r="2419" spans="1:3">
      <c r="A2419">
        <v>2418</v>
      </c>
      <c r="B2419">
        <v>58467240</v>
      </c>
      <c r="C2419">
        <v>58467240</v>
      </c>
    </row>
    <row r="2420" spans="1:3">
      <c r="A2420">
        <v>2419</v>
      </c>
      <c r="B2420">
        <v>58515610</v>
      </c>
      <c r="C2420">
        <v>58515610</v>
      </c>
    </row>
    <row r="2421" spans="1:3">
      <c r="A2421">
        <v>2420</v>
      </c>
      <c r="B2421">
        <v>58564000</v>
      </c>
      <c r="C2421">
        <v>58564000</v>
      </c>
    </row>
    <row r="2422" spans="1:3">
      <c r="A2422">
        <v>2421</v>
      </c>
      <c r="B2422">
        <v>58612410</v>
      </c>
      <c r="C2422">
        <v>58612410</v>
      </c>
    </row>
    <row r="2423" spans="1:3">
      <c r="A2423">
        <v>2422</v>
      </c>
      <c r="B2423">
        <v>58660840</v>
      </c>
      <c r="C2423">
        <v>58660840</v>
      </c>
    </row>
    <row r="2424" spans="1:3">
      <c r="A2424">
        <v>2423</v>
      </c>
      <c r="B2424">
        <v>58709290</v>
      </c>
      <c r="C2424">
        <v>58709290</v>
      </c>
    </row>
    <row r="2425" spans="1:3">
      <c r="A2425">
        <v>2424</v>
      </c>
      <c r="B2425">
        <v>58757760</v>
      </c>
      <c r="C2425">
        <v>58757760</v>
      </c>
    </row>
    <row r="2426" spans="1:3">
      <c r="A2426">
        <v>2425</v>
      </c>
      <c r="B2426">
        <v>58806250</v>
      </c>
      <c r="C2426">
        <v>58806250</v>
      </c>
    </row>
    <row r="2427" spans="1:3">
      <c r="A2427">
        <v>2426</v>
      </c>
      <c r="B2427">
        <v>58854760</v>
      </c>
      <c r="C2427">
        <v>58854760</v>
      </c>
    </row>
    <row r="2428" spans="1:3">
      <c r="A2428">
        <v>2427</v>
      </c>
      <c r="B2428">
        <v>58903290</v>
      </c>
      <c r="C2428">
        <v>58903290</v>
      </c>
    </row>
    <row r="2429" spans="1:3">
      <c r="A2429">
        <v>2428</v>
      </c>
      <c r="B2429">
        <v>58951840</v>
      </c>
      <c r="C2429">
        <v>58951840</v>
      </c>
    </row>
    <row r="2430" spans="1:3">
      <c r="A2430">
        <v>2429</v>
      </c>
      <c r="B2430">
        <v>59000410</v>
      </c>
      <c r="C2430">
        <v>59000410</v>
      </c>
    </row>
    <row r="2431" spans="1:3">
      <c r="A2431">
        <v>2430</v>
      </c>
      <c r="B2431">
        <v>59049000</v>
      </c>
      <c r="C2431">
        <v>59049000</v>
      </c>
    </row>
    <row r="2432" spans="1:3">
      <c r="A2432">
        <v>2431</v>
      </c>
      <c r="B2432">
        <v>59097610</v>
      </c>
      <c r="C2432">
        <v>59097610</v>
      </c>
    </row>
    <row r="2433" spans="1:3">
      <c r="A2433">
        <v>2432</v>
      </c>
      <c r="B2433">
        <v>59146240</v>
      </c>
      <c r="C2433">
        <v>59146240</v>
      </c>
    </row>
    <row r="2434" spans="1:3">
      <c r="A2434">
        <v>2433</v>
      </c>
      <c r="B2434">
        <v>59194890</v>
      </c>
      <c r="C2434">
        <v>59194890</v>
      </c>
    </row>
    <row r="2435" spans="1:3">
      <c r="A2435">
        <v>2434</v>
      </c>
      <c r="B2435">
        <v>59243560</v>
      </c>
      <c r="C2435">
        <v>59243560</v>
      </c>
    </row>
    <row r="2436" spans="1:3">
      <c r="A2436">
        <v>2435</v>
      </c>
      <c r="B2436">
        <v>59292250</v>
      </c>
      <c r="C2436">
        <v>59292250</v>
      </c>
    </row>
    <row r="2437" spans="1:3">
      <c r="A2437">
        <v>2436</v>
      </c>
      <c r="B2437">
        <v>59340960</v>
      </c>
      <c r="C2437">
        <v>59340960</v>
      </c>
    </row>
    <row r="2438" spans="1:3">
      <c r="A2438">
        <v>2437</v>
      </c>
      <c r="B2438">
        <v>59389690</v>
      </c>
      <c r="C2438">
        <v>59389690</v>
      </c>
    </row>
    <row r="2439" spans="1:3">
      <c r="A2439">
        <v>2438</v>
      </c>
      <c r="B2439">
        <v>59438440</v>
      </c>
      <c r="C2439">
        <v>59438440</v>
      </c>
    </row>
    <row r="2440" spans="1:3">
      <c r="A2440">
        <v>2439</v>
      </c>
      <c r="B2440">
        <v>59487210</v>
      </c>
      <c r="C2440">
        <v>59487210</v>
      </c>
    </row>
    <row r="2441" spans="1:3">
      <c r="A2441">
        <v>2440</v>
      </c>
      <c r="B2441">
        <v>59536000</v>
      </c>
      <c r="C2441">
        <v>59536000</v>
      </c>
    </row>
    <row r="2442" spans="1:3">
      <c r="A2442">
        <v>2441</v>
      </c>
      <c r="B2442">
        <v>59584810</v>
      </c>
      <c r="C2442">
        <v>59584810</v>
      </c>
    </row>
    <row r="2443" spans="1:3">
      <c r="A2443">
        <v>2442</v>
      </c>
      <c r="B2443">
        <v>59633640</v>
      </c>
      <c r="C2443">
        <v>59633640</v>
      </c>
    </row>
    <row r="2444" spans="1:3">
      <c r="A2444">
        <v>2443</v>
      </c>
      <c r="B2444">
        <v>59682490</v>
      </c>
      <c r="C2444">
        <v>59682490</v>
      </c>
    </row>
    <row r="2445" spans="1:3">
      <c r="A2445">
        <v>2444</v>
      </c>
      <c r="B2445">
        <v>59731360</v>
      </c>
      <c r="C2445">
        <v>59731360</v>
      </c>
    </row>
    <row r="2446" spans="1:3">
      <c r="A2446">
        <v>2445</v>
      </c>
      <c r="B2446">
        <v>59780250</v>
      </c>
      <c r="C2446">
        <v>59780250</v>
      </c>
    </row>
    <row r="2447" spans="1:3">
      <c r="A2447">
        <v>2446</v>
      </c>
      <c r="B2447">
        <v>59829160</v>
      </c>
      <c r="C2447">
        <v>59829160</v>
      </c>
    </row>
    <row r="2448" spans="1:3">
      <c r="A2448">
        <v>2447</v>
      </c>
      <c r="B2448">
        <v>59878090</v>
      </c>
      <c r="C2448">
        <v>59878090</v>
      </c>
    </row>
    <row r="2449" spans="1:3">
      <c r="A2449">
        <v>2448</v>
      </c>
      <c r="B2449">
        <v>59927040</v>
      </c>
      <c r="C2449">
        <v>59927040</v>
      </c>
    </row>
    <row r="2450" spans="1:3">
      <c r="A2450">
        <v>2449</v>
      </c>
      <c r="B2450">
        <v>59976010</v>
      </c>
      <c r="C2450">
        <v>59976010</v>
      </c>
    </row>
    <row r="2451" spans="1:3">
      <c r="A2451">
        <v>2450</v>
      </c>
      <c r="B2451">
        <v>60025000</v>
      </c>
      <c r="C2451">
        <v>60025000</v>
      </c>
    </row>
    <row r="2452" spans="1:3">
      <c r="A2452">
        <v>2451</v>
      </c>
      <c r="B2452">
        <v>60074010</v>
      </c>
      <c r="C2452">
        <v>60074010</v>
      </c>
    </row>
    <row r="2453" spans="1:3">
      <c r="A2453">
        <v>2452</v>
      </c>
      <c r="B2453">
        <v>60123040</v>
      </c>
      <c r="C2453">
        <v>60123040</v>
      </c>
    </row>
    <row r="2454" spans="1:3">
      <c r="A2454">
        <v>2453</v>
      </c>
      <c r="B2454">
        <v>60172090</v>
      </c>
      <c r="C2454">
        <v>60172090</v>
      </c>
    </row>
    <row r="2455" spans="1:3">
      <c r="A2455">
        <v>2454</v>
      </c>
      <c r="B2455">
        <v>60221160</v>
      </c>
      <c r="C2455">
        <v>60221160</v>
      </c>
    </row>
    <row r="2456" spans="1:3">
      <c r="A2456">
        <v>2455</v>
      </c>
      <c r="B2456">
        <v>60270250</v>
      </c>
      <c r="C2456">
        <v>60270250</v>
      </c>
    </row>
    <row r="2457" spans="1:3">
      <c r="A2457">
        <v>2456</v>
      </c>
      <c r="B2457">
        <v>60319360</v>
      </c>
      <c r="C2457">
        <v>60319360</v>
      </c>
    </row>
    <row r="2458" spans="1:3">
      <c r="A2458">
        <v>2457</v>
      </c>
      <c r="B2458">
        <v>60368490</v>
      </c>
      <c r="C2458">
        <v>60368490</v>
      </c>
    </row>
    <row r="2459" spans="1:3">
      <c r="A2459">
        <v>2458</v>
      </c>
      <c r="B2459">
        <v>60417640</v>
      </c>
      <c r="C2459">
        <v>60417640</v>
      </c>
    </row>
    <row r="2460" spans="1:3">
      <c r="A2460">
        <v>2459</v>
      </c>
      <c r="B2460">
        <v>60466810</v>
      </c>
      <c r="C2460">
        <v>60466810</v>
      </c>
    </row>
    <row r="2461" spans="1:3">
      <c r="A2461">
        <v>2460</v>
      </c>
      <c r="B2461">
        <v>60516000</v>
      </c>
      <c r="C2461">
        <v>60516000</v>
      </c>
    </row>
    <row r="2462" spans="1:3">
      <c r="A2462">
        <v>2461</v>
      </c>
      <c r="B2462">
        <v>60565210</v>
      </c>
      <c r="C2462">
        <v>60565210</v>
      </c>
    </row>
    <row r="2463" spans="1:3">
      <c r="A2463">
        <v>2462</v>
      </c>
      <c r="B2463">
        <v>60614440</v>
      </c>
      <c r="C2463">
        <v>60614440</v>
      </c>
    </row>
    <row r="2464" spans="1:3">
      <c r="A2464">
        <v>2463</v>
      </c>
      <c r="B2464">
        <v>60663690</v>
      </c>
      <c r="C2464">
        <v>60663690</v>
      </c>
    </row>
    <row r="2465" spans="1:3">
      <c r="A2465">
        <v>2464</v>
      </c>
      <c r="B2465">
        <v>60712960</v>
      </c>
      <c r="C2465">
        <v>60712960</v>
      </c>
    </row>
    <row r="2466" spans="1:3">
      <c r="A2466">
        <v>2465</v>
      </c>
      <c r="B2466">
        <v>60762250</v>
      </c>
      <c r="C2466">
        <v>60762250</v>
      </c>
    </row>
    <row r="2467" spans="1:3">
      <c r="A2467">
        <v>2466</v>
      </c>
      <c r="B2467">
        <v>60811560</v>
      </c>
      <c r="C2467">
        <v>60811560</v>
      </c>
    </row>
    <row r="2468" spans="1:3">
      <c r="A2468">
        <v>2467</v>
      </c>
      <c r="B2468">
        <v>60860890</v>
      </c>
      <c r="C2468">
        <v>60860890</v>
      </c>
    </row>
    <row r="2469" spans="1:3">
      <c r="A2469">
        <v>2468</v>
      </c>
      <c r="B2469">
        <v>60910240</v>
      </c>
      <c r="C2469">
        <v>60910240</v>
      </c>
    </row>
    <row r="2470" spans="1:3">
      <c r="A2470">
        <v>2469</v>
      </c>
      <c r="B2470">
        <v>60959610</v>
      </c>
      <c r="C2470">
        <v>60959610</v>
      </c>
    </row>
    <row r="2471" spans="1:3">
      <c r="A2471">
        <v>2470</v>
      </c>
      <c r="B2471">
        <v>61009000</v>
      </c>
      <c r="C2471">
        <v>61009000</v>
      </c>
    </row>
    <row r="2472" spans="1:3">
      <c r="A2472">
        <v>2471</v>
      </c>
      <c r="B2472">
        <v>61058410</v>
      </c>
      <c r="C2472">
        <v>61058410</v>
      </c>
    </row>
    <row r="2473" spans="1:3">
      <c r="A2473">
        <v>2472</v>
      </c>
      <c r="B2473">
        <v>61107840</v>
      </c>
      <c r="C2473">
        <v>61107840</v>
      </c>
    </row>
    <row r="2474" spans="1:3">
      <c r="A2474">
        <v>2473</v>
      </c>
      <c r="B2474">
        <v>61157290</v>
      </c>
      <c r="C2474">
        <v>61157290</v>
      </c>
    </row>
    <row r="2475" spans="1:3">
      <c r="A2475">
        <v>2474</v>
      </c>
      <c r="B2475">
        <v>61206760</v>
      </c>
      <c r="C2475">
        <v>61206760</v>
      </c>
    </row>
    <row r="2476" spans="1:3">
      <c r="A2476">
        <v>2475</v>
      </c>
      <c r="B2476">
        <v>61256250</v>
      </c>
      <c r="C2476">
        <v>61256250</v>
      </c>
    </row>
    <row r="2477" spans="1:3">
      <c r="A2477">
        <v>2476</v>
      </c>
      <c r="B2477">
        <v>61305760</v>
      </c>
      <c r="C2477">
        <v>61305760</v>
      </c>
    </row>
    <row r="2478" spans="1:3">
      <c r="A2478">
        <v>2477</v>
      </c>
      <c r="B2478">
        <v>61355290</v>
      </c>
      <c r="C2478">
        <v>61355290</v>
      </c>
    </row>
    <row r="2479" spans="1:3">
      <c r="A2479">
        <v>2478</v>
      </c>
      <c r="B2479">
        <v>61404840</v>
      </c>
      <c r="C2479">
        <v>61404840</v>
      </c>
    </row>
    <row r="2480" spans="1:3">
      <c r="A2480">
        <v>2479</v>
      </c>
      <c r="B2480">
        <v>61454410</v>
      </c>
      <c r="C2480">
        <v>61454410</v>
      </c>
    </row>
    <row r="2481" spans="1:3">
      <c r="A2481">
        <v>2480</v>
      </c>
      <c r="B2481">
        <v>61504000</v>
      </c>
      <c r="C2481">
        <v>61504000</v>
      </c>
    </row>
    <row r="2482" spans="1:3">
      <c r="A2482">
        <v>2481</v>
      </c>
      <c r="B2482">
        <v>61553610</v>
      </c>
      <c r="C2482">
        <v>61553610</v>
      </c>
    </row>
    <row r="2483" spans="1:3">
      <c r="A2483">
        <v>2482</v>
      </c>
      <c r="B2483">
        <v>61603240</v>
      </c>
      <c r="C2483">
        <v>61603240</v>
      </c>
    </row>
    <row r="2484" spans="1:3">
      <c r="A2484">
        <v>2483</v>
      </c>
      <c r="B2484">
        <v>61652890</v>
      </c>
      <c r="C2484">
        <v>61652890</v>
      </c>
    </row>
    <row r="2485" spans="1:3">
      <c r="A2485">
        <v>2484</v>
      </c>
      <c r="B2485">
        <v>61702560</v>
      </c>
      <c r="C2485">
        <v>61702560</v>
      </c>
    </row>
    <row r="2486" spans="1:3">
      <c r="A2486">
        <v>2485</v>
      </c>
      <c r="B2486">
        <v>61752250</v>
      </c>
      <c r="C2486">
        <v>61752250</v>
      </c>
    </row>
    <row r="2487" spans="1:3">
      <c r="A2487">
        <v>2486</v>
      </c>
      <c r="B2487">
        <v>61801960</v>
      </c>
      <c r="C2487">
        <v>61801960</v>
      </c>
    </row>
    <row r="2488" spans="1:3">
      <c r="A2488">
        <v>2487</v>
      </c>
      <c r="B2488">
        <v>61851690</v>
      </c>
      <c r="C2488">
        <v>61851690</v>
      </c>
    </row>
    <row r="2489" spans="1:3">
      <c r="A2489">
        <v>2488</v>
      </c>
      <c r="B2489">
        <v>61901440</v>
      </c>
      <c r="C2489">
        <v>61901440</v>
      </c>
    </row>
    <row r="2490" spans="1:3">
      <c r="A2490">
        <v>2489</v>
      </c>
      <c r="B2490">
        <v>61951210</v>
      </c>
      <c r="C2490">
        <v>61951210</v>
      </c>
    </row>
    <row r="2491" spans="1:3">
      <c r="A2491">
        <v>2490</v>
      </c>
      <c r="B2491">
        <v>62001000</v>
      </c>
      <c r="C2491">
        <v>62001000</v>
      </c>
    </row>
    <row r="2492" spans="1:3">
      <c r="A2492">
        <v>2491</v>
      </c>
      <c r="B2492">
        <v>62050810</v>
      </c>
      <c r="C2492">
        <v>62050810</v>
      </c>
    </row>
    <row r="2493" spans="1:3">
      <c r="A2493">
        <v>2492</v>
      </c>
      <c r="B2493">
        <v>62100640</v>
      </c>
      <c r="C2493">
        <v>62100640</v>
      </c>
    </row>
    <row r="2494" spans="1:3">
      <c r="A2494">
        <v>2493</v>
      </c>
      <c r="B2494">
        <v>62150490</v>
      </c>
      <c r="C2494">
        <v>62150490</v>
      </c>
    </row>
    <row r="2495" spans="1:3">
      <c r="A2495">
        <v>2494</v>
      </c>
      <c r="B2495">
        <v>62200360</v>
      </c>
      <c r="C2495">
        <v>62200360</v>
      </c>
    </row>
    <row r="2496" spans="1:3">
      <c r="A2496">
        <v>2495</v>
      </c>
      <c r="B2496">
        <v>62250250</v>
      </c>
      <c r="C2496">
        <v>62250250</v>
      </c>
    </row>
    <row r="2497" spans="1:3">
      <c r="A2497">
        <v>2496</v>
      </c>
      <c r="B2497">
        <v>62300160</v>
      </c>
      <c r="C2497">
        <v>62300160</v>
      </c>
    </row>
    <row r="2498" spans="1:3">
      <c r="A2498">
        <v>2497</v>
      </c>
      <c r="B2498">
        <v>62350090</v>
      </c>
      <c r="C2498">
        <v>62350090</v>
      </c>
    </row>
    <row r="2499" spans="1:3">
      <c r="A2499">
        <v>2498</v>
      </c>
      <c r="B2499">
        <v>62400040</v>
      </c>
      <c r="C2499">
        <v>62400040</v>
      </c>
    </row>
    <row r="2500" spans="1:3">
      <c r="A2500">
        <v>2499</v>
      </c>
      <c r="B2500">
        <v>62450010</v>
      </c>
      <c r="C2500">
        <v>62450010</v>
      </c>
    </row>
    <row r="2501" spans="1:3">
      <c r="A2501">
        <v>2500</v>
      </c>
      <c r="B2501">
        <v>62500000</v>
      </c>
      <c r="C2501">
        <v>62500000</v>
      </c>
    </row>
    <row r="2502" spans="1:3">
      <c r="A2502">
        <v>2501</v>
      </c>
      <c r="B2502">
        <v>62550010</v>
      </c>
      <c r="C2502">
        <v>62550010</v>
      </c>
    </row>
    <row r="2503" spans="1:3">
      <c r="A2503">
        <v>2502</v>
      </c>
      <c r="B2503">
        <v>62600040</v>
      </c>
      <c r="C2503">
        <v>62600040</v>
      </c>
    </row>
    <row r="2504" spans="1:3">
      <c r="A2504">
        <v>2503</v>
      </c>
      <c r="B2504">
        <v>62650090</v>
      </c>
      <c r="C2504">
        <v>62650090</v>
      </c>
    </row>
    <row r="2505" spans="1:3">
      <c r="A2505">
        <v>2504</v>
      </c>
      <c r="B2505">
        <v>62700160</v>
      </c>
      <c r="C2505">
        <v>62700160</v>
      </c>
    </row>
    <row r="2506" spans="1:3">
      <c r="A2506">
        <v>2505</v>
      </c>
      <c r="B2506">
        <v>62750250</v>
      </c>
      <c r="C2506">
        <v>62750250</v>
      </c>
    </row>
    <row r="2507" spans="1:3">
      <c r="A2507">
        <v>2506</v>
      </c>
      <c r="B2507">
        <v>62800360</v>
      </c>
      <c r="C2507">
        <v>62800360</v>
      </c>
    </row>
    <row r="2508" spans="1:3">
      <c r="A2508">
        <v>2507</v>
      </c>
      <c r="B2508">
        <v>62850490</v>
      </c>
      <c r="C2508">
        <v>62850490</v>
      </c>
    </row>
    <row r="2509" spans="1:3">
      <c r="A2509">
        <v>2508</v>
      </c>
      <c r="B2509">
        <v>62900640</v>
      </c>
      <c r="C2509">
        <v>62900640</v>
      </c>
    </row>
    <row r="2510" spans="1:3">
      <c r="A2510">
        <v>2509</v>
      </c>
      <c r="B2510">
        <v>62950810</v>
      </c>
      <c r="C2510">
        <v>62950810</v>
      </c>
    </row>
    <row r="2511" spans="1:3">
      <c r="A2511">
        <v>2510</v>
      </c>
      <c r="B2511">
        <v>63001000</v>
      </c>
      <c r="C2511">
        <v>63001000</v>
      </c>
    </row>
    <row r="2512" spans="1:3">
      <c r="A2512">
        <v>2511</v>
      </c>
      <c r="B2512">
        <v>63051210</v>
      </c>
      <c r="C2512">
        <v>63051210</v>
      </c>
    </row>
    <row r="2513" spans="1:3">
      <c r="A2513">
        <v>2512</v>
      </c>
      <c r="B2513">
        <v>63101440</v>
      </c>
      <c r="C2513">
        <v>63101440</v>
      </c>
    </row>
    <row r="2514" spans="1:3">
      <c r="A2514">
        <v>2513</v>
      </c>
      <c r="B2514">
        <v>63151690</v>
      </c>
      <c r="C2514">
        <v>63151690</v>
      </c>
    </row>
    <row r="2515" spans="1:3">
      <c r="A2515">
        <v>2514</v>
      </c>
      <c r="B2515">
        <v>63201960</v>
      </c>
      <c r="C2515">
        <v>63201960</v>
      </c>
    </row>
    <row r="2516" spans="1:3">
      <c r="A2516">
        <v>2515</v>
      </c>
      <c r="B2516">
        <v>63252250</v>
      </c>
      <c r="C2516">
        <v>63252250</v>
      </c>
    </row>
    <row r="2517" spans="1:3">
      <c r="A2517">
        <v>2516</v>
      </c>
      <c r="B2517">
        <v>63302560</v>
      </c>
      <c r="C2517">
        <v>63302560</v>
      </c>
    </row>
    <row r="2518" spans="1:3">
      <c r="A2518">
        <v>2517</v>
      </c>
      <c r="B2518">
        <v>63352890</v>
      </c>
      <c r="C2518">
        <v>63352890</v>
      </c>
    </row>
    <row r="2519" spans="1:3">
      <c r="A2519">
        <v>2518</v>
      </c>
      <c r="B2519">
        <v>63403240</v>
      </c>
      <c r="C2519">
        <v>63403240</v>
      </c>
    </row>
    <row r="2520" spans="1:3">
      <c r="A2520">
        <v>2519</v>
      </c>
      <c r="B2520">
        <v>63453610</v>
      </c>
      <c r="C2520">
        <v>63453610</v>
      </c>
    </row>
    <row r="2521" spans="1:3">
      <c r="A2521">
        <v>2520</v>
      </c>
      <c r="B2521">
        <v>63504000</v>
      </c>
      <c r="C2521">
        <v>63504000</v>
      </c>
    </row>
    <row r="2522" spans="1:3">
      <c r="A2522">
        <v>2521</v>
      </c>
      <c r="B2522">
        <v>63554410</v>
      </c>
      <c r="C2522">
        <v>63554410</v>
      </c>
    </row>
    <row r="2523" spans="1:3">
      <c r="A2523">
        <v>2522</v>
      </c>
      <c r="B2523">
        <v>63604840</v>
      </c>
      <c r="C2523">
        <v>63604840</v>
      </c>
    </row>
    <row r="2524" spans="1:3">
      <c r="A2524">
        <v>2523</v>
      </c>
      <c r="B2524">
        <v>63655290</v>
      </c>
      <c r="C2524">
        <v>63655290</v>
      </c>
    </row>
    <row r="2525" spans="1:3">
      <c r="A2525">
        <v>2524</v>
      </c>
      <c r="B2525">
        <v>63705760</v>
      </c>
      <c r="C2525">
        <v>63705760</v>
      </c>
    </row>
    <row r="2526" spans="1:3">
      <c r="A2526">
        <v>2525</v>
      </c>
      <c r="B2526">
        <v>63756250</v>
      </c>
      <c r="C2526">
        <v>63756250</v>
      </c>
    </row>
    <row r="2527" spans="1:3">
      <c r="A2527">
        <v>2526</v>
      </c>
      <c r="B2527">
        <v>63806760</v>
      </c>
      <c r="C2527">
        <v>63806760</v>
      </c>
    </row>
    <row r="2528" spans="1:3">
      <c r="A2528">
        <v>2527</v>
      </c>
      <c r="B2528">
        <v>63857290</v>
      </c>
      <c r="C2528">
        <v>63857290</v>
      </c>
    </row>
    <row r="2529" spans="1:3">
      <c r="A2529">
        <v>2528</v>
      </c>
      <c r="B2529">
        <v>63907840</v>
      </c>
      <c r="C2529">
        <v>63907840</v>
      </c>
    </row>
    <row r="2530" spans="1:3">
      <c r="A2530">
        <v>2529</v>
      </c>
      <c r="B2530">
        <v>63958410</v>
      </c>
      <c r="C2530">
        <v>63958410</v>
      </c>
    </row>
    <row r="2531" spans="1:3">
      <c r="A2531">
        <v>2530</v>
      </c>
      <c r="B2531">
        <v>64009000</v>
      </c>
      <c r="C2531">
        <v>64009000</v>
      </c>
    </row>
    <row r="2532" spans="1:3">
      <c r="A2532">
        <v>2531</v>
      </c>
      <c r="B2532">
        <v>64059610</v>
      </c>
      <c r="C2532">
        <v>64059610</v>
      </c>
    </row>
    <row r="2533" spans="1:3">
      <c r="A2533">
        <v>2532</v>
      </c>
      <c r="B2533">
        <v>64110240</v>
      </c>
      <c r="C2533">
        <v>64110240</v>
      </c>
    </row>
    <row r="2534" spans="1:3">
      <c r="A2534">
        <v>2533</v>
      </c>
      <c r="B2534">
        <v>64160890</v>
      </c>
      <c r="C2534">
        <v>64160890</v>
      </c>
    </row>
    <row r="2535" spans="1:3">
      <c r="A2535">
        <v>2534</v>
      </c>
      <c r="B2535">
        <v>64211560</v>
      </c>
      <c r="C2535">
        <v>64211560</v>
      </c>
    </row>
    <row r="2536" spans="1:3">
      <c r="A2536">
        <v>2535</v>
      </c>
      <c r="B2536">
        <v>64262250</v>
      </c>
      <c r="C2536">
        <v>64262250</v>
      </c>
    </row>
    <row r="2537" spans="1:3">
      <c r="A2537">
        <v>2536</v>
      </c>
      <c r="B2537">
        <v>64312960</v>
      </c>
      <c r="C2537">
        <v>64312960</v>
      </c>
    </row>
    <row r="2538" spans="1:3">
      <c r="A2538">
        <v>2537</v>
      </c>
      <c r="B2538">
        <v>64363690</v>
      </c>
      <c r="C2538">
        <v>64363690</v>
      </c>
    </row>
    <row r="2539" spans="1:3">
      <c r="A2539">
        <v>2538</v>
      </c>
      <c r="B2539">
        <v>64414440</v>
      </c>
      <c r="C2539">
        <v>64414440</v>
      </c>
    </row>
    <row r="2540" spans="1:3">
      <c r="A2540">
        <v>2539</v>
      </c>
      <c r="B2540">
        <v>64465210</v>
      </c>
      <c r="C2540">
        <v>64465210</v>
      </c>
    </row>
    <row r="2541" spans="1:3">
      <c r="A2541">
        <v>2540</v>
      </c>
      <c r="B2541">
        <v>64516000</v>
      </c>
      <c r="C2541">
        <v>64516000</v>
      </c>
    </row>
    <row r="2542" spans="1:3">
      <c r="A2542">
        <v>2541</v>
      </c>
      <c r="B2542">
        <v>64566810</v>
      </c>
      <c r="C2542">
        <v>64566810</v>
      </c>
    </row>
    <row r="2543" spans="1:3">
      <c r="A2543">
        <v>2542</v>
      </c>
      <c r="B2543">
        <v>64617640</v>
      </c>
      <c r="C2543">
        <v>64617640</v>
      </c>
    </row>
    <row r="2544" spans="1:3">
      <c r="A2544">
        <v>2543</v>
      </c>
      <c r="B2544">
        <v>64668490</v>
      </c>
      <c r="C2544">
        <v>64668490</v>
      </c>
    </row>
    <row r="2545" spans="1:3">
      <c r="A2545">
        <v>2544</v>
      </c>
      <c r="B2545">
        <v>64719360</v>
      </c>
      <c r="C2545">
        <v>64719360</v>
      </c>
    </row>
    <row r="2546" spans="1:3">
      <c r="A2546">
        <v>2545</v>
      </c>
      <c r="B2546">
        <v>64770250</v>
      </c>
      <c r="C2546">
        <v>64770250</v>
      </c>
    </row>
    <row r="2547" spans="1:3">
      <c r="A2547">
        <v>2546</v>
      </c>
      <c r="B2547">
        <v>64821160</v>
      </c>
      <c r="C2547">
        <v>64821160</v>
      </c>
    </row>
    <row r="2548" spans="1:3">
      <c r="A2548">
        <v>2547</v>
      </c>
      <c r="B2548">
        <v>64872090</v>
      </c>
      <c r="C2548">
        <v>64872090</v>
      </c>
    </row>
    <row r="2549" spans="1:3">
      <c r="A2549">
        <v>2548</v>
      </c>
      <c r="B2549">
        <v>64923040</v>
      </c>
      <c r="C2549">
        <v>64923040</v>
      </c>
    </row>
    <row r="2550" spans="1:3">
      <c r="A2550">
        <v>2549</v>
      </c>
      <c r="B2550">
        <v>64974010</v>
      </c>
      <c r="C2550">
        <v>64974010</v>
      </c>
    </row>
    <row r="2551" spans="1:3">
      <c r="A2551">
        <v>2550</v>
      </c>
      <c r="B2551">
        <v>65025000</v>
      </c>
      <c r="C2551">
        <v>65025000</v>
      </c>
    </row>
    <row r="2552" spans="1:3">
      <c r="A2552">
        <v>2551</v>
      </c>
      <c r="B2552">
        <v>65076010</v>
      </c>
      <c r="C2552">
        <v>65076010</v>
      </c>
    </row>
    <row r="2553" spans="1:3">
      <c r="A2553">
        <v>2552</v>
      </c>
      <c r="B2553">
        <v>65127040</v>
      </c>
      <c r="C2553">
        <v>65127040</v>
      </c>
    </row>
    <row r="2554" spans="1:3">
      <c r="A2554">
        <v>2553</v>
      </c>
      <c r="B2554">
        <v>65178090</v>
      </c>
      <c r="C2554">
        <v>65178090</v>
      </c>
    </row>
    <row r="2555" spans="1:3">
      <c r="A2555">
        <v>2554</v>
      </c>
      <c r="B2555">
        <v>65229160</v>
      </c>
      <c r="C2555">
        <v>65229160</v>
      </c>
    </row>
    <row r="2556" spans="1:3">
      <c r="A2556">
        <v>2555</v>
      </c>
      <c r="B2556">
        <v>65280250</v>
      </c>
      <c r="C2556">
        <v>65280250</v>
      </c>
    </row>
    <row r="2557" spans="1:3">
      <c r="A2557">
        <v>2556</v>
      </c>
      <c r="B2557">
        <v>65331360</v>
      </c>
      <c r="C2557">
        <v>65331360</v>
      </c>
    </row>
    <row r="2558" spans="1:3">
      <c r="A2558">
        <v>2557</v>
      </c>
      <c r="B2558">
        <v>65382490</v>
      </c>
      <c r="C2558">
        <v>65382490</v>
      </c>
    </row>
    <row r="2559" spans="1:3">
      <c r="A2559">
        <v>2558</v>
      </c>
      <c r="B2559">
        <v>65433640</v>
      </c>
      <c r="C2559">
        <v>65433640</v>
      </c>
    </row>
    <row r="2560" spans="1:3">
      <c r="A2560">
        <v>2559</v>
      </c>
      <c r="B2560">
        <v>65484810</v>
      </c>
      <c r="C2560">
        <v>65484810</v>
      </c>
    </row>
    <row r="2561" spans="1:3">
      <c r="A2561">
        <v>2560</v>
      </c>
      <c r="B2561">
        <v>65536000</v>
      </c>
      <c r="C2561">
        <v>65536000</v>
      </c>
    </row>
    <row r="2562" spans="1:3">
      <c r="A2562">
        <v>2561</v>
      </c>
      <c r="B2562">
        <v>65587210</v>
      </c>
      <c r="C2562">
        <v>65587210</v>
      </c>
    </row>
    <row r="2563" spans="1:3">
      <c r="A2563">
        <v>2562</v>
      </c>
      <c r="B2563">
        <v>65638440</v>
      </c>
      <c r="C2563">
        <v>65638440</v>
      </c>
    </row>
    <row r="2564" spans="1:3">
      <c r="A2564">
        <v>2563</v>
      </c>
      <c r="B2564">
        <v>65689690</v>
      </c>
      <c r="C2564">
        <v>65689690</v>
      </c>
    </row>
    <row r="2565" spans="1:3">
      <c r="A2565">
        <v>2564</v>
      </c>
      <c r="B2565">
        <v>65740960</v>
      </c>
      <c r="C2565">
        <v>65740960</v>
      </c>
    </row>
    <row r="2566" spans="1:3">
      <c r="A2566">
        <v>2565</v>
      </c>
      <c r="B2566">
        <v>65792250</v>
      </c>
      <c r="C2566">
        <v>65792250</v>
      </c>
    </row>
    <row r="2567" spans="1:3">
      <c r="A2567">
        <v>2566</v>
      </c>
      <c r="B2567">
        <v>65843560</v>
      </c>
      <c r="C2567">
        <v>65843560</v>
      </c>
    </row>
    <row r="2568" spans="1:3">
      <c r="A2568">
        <v>2567</v>
      </c>
      <c r="B2568">
        <v>65894890</v>
      </c>
      <c r="C2568">
        <v>65894890</v>
      </c>
    </row>
    <row r="2569" spans="1:3">
      <c r="A2569">
        <v>2568</v>
      </c>
      <c r="B2569">
        <v>65946240</v>
      </c>
      <c r="C2569">
        <v>65946240</v>
      </c>
    </row>
    <row r="2570" spans="1:3">
      <c r="A2570">
        <v>2569</v>
      </c>
      <c r="B2570">
        <v>65997610</v>
      </c>
      <c r="C2570">
        <v>65997610</v>
      </c>
    </row>
    <row r="2571" spans="1:3">
      <c r="A2571">
        <v>2570</v>
      </c>
      <c r="B2571">
        <v>66049000</v>
      </c>
      <c r="C2571">
        <v>66049000</v>
      </c>
    </row>
    <row r="2572" spans="1:3">
      <c r="A2572">
        <v>2571</v>
      </c>
      <c r="B2572">
        <v>66100410</v>
      </c>
      <c r="C2572">
        <v>66100410</v>
      </c>
    </row>
    <row r="2573" spans="1:3">
      <c r="A2573">
        <v>2572</v>
      </c>
      <c r="B2573">
        <v>66151840</v>
      </c>
      <c r="C2573">
        <v>66151840</v>
      </c>
    </row>
    <row r="2574" spans="1:3">
      <c r="A2574">
        <v>2573</v>
      </c>
      <c r="B2574">
        <v>66203290</v>
      </c>
      <c r="C2574">
        <v>66203290</v>
      </c>
    </row>
    <row r="2575" spans="1:3">
      <c r="A2575">
        <v>2574</v>
      </c>
      <c r="B2575">
        <v>66254760</v>
      </c>
      <c r="C2575">
        <v>66254760</v>
      </c>
    </row>
    <row r="2576" spans="1:3">
      <c r="A2576">
        <v>2575</v>
      </c>
      <c r="B2576">
        <v>66306250</v>
      </c>
      <c r="C2576">
        <v>66306250</v>
      </c>
    </row>
    <row r="2577" spans="1:3">
      <c r="A2577">
        <v>2576</v>
      </c>
      <c r="B2577">
        <v>66357760</v>
      </c>
      <c r="C2577">
        <v>66357760</v>
      </c>
    </row>
    <row r="2578" spans="1:3">
      <c r="A2578">
        <v>2577</v>
      </c>
      <c r="B2578">
        <v>66409290</v>
      </c>
      <c r="C2578">
        <v>66409290</v>
      </c>
    </row>
    <row r="2579" spans="1:3">
      <c r="A2579">
        <v>2578</v>
      </c>
      <c r="B2579">
        <v>66460840</v>
      </c>
      <c r="C2579">
        <v>66460840</v>
      </c>
    </row>
    <row r="2580" spans="1:3">
      <c r="A2580">
        <v>2579</v>
      </c>
      <c r="B2580">
        <v>66512410</v>
      </c>
      <c r="C2580">
        <v>66512410</v>
      </c>
    </row>
    <row r="2581" spans="1:3">
      <c r="A2581">
        <v>2580</v>
      </c>
      <c r="B2581">
        <v>66564000</v>
      </c>
      <c r="C2581">
        <v>66564000</v>
      </c>
    </row>
    <row r="2582" spans="1:3">
      <c r="A2582">
        <v>2581</v>
      </c>
      <c r="B2582">
        <v>66615610</v>
      </c>
      <c r="C2582">
        <v>66615610</v>
      </c>
    </row>
    <row r="2583" spans="1:3">
      <c r="A2583">
        <v>2582</v>
      </c>
      <c r="B2583">
        <v>66667240</v>
      </c>
      <c r="C2583">
        <v>66667240</v>
      </c>
    </row>
    <row r="2584" spans="1:3">
      <c r="A2584">
        <v>2583</v>
      </c>
      <c r="B2584">
        <v>66718890</v>
      </c>
      <c r="C2584">
        <v>66718890</v>
      </c>
    </row>
    <row r="2585" spans="1:3">
      <c r="A2585">
        <v>2584</v>
      </c>
      <c r="B2585">
        <v>66770560</v>
      </c>
      <c r="C2585">
        <v>66770560</v>
      </c>
    </row>
    <row r="2586" spans="1:3">
      <c r="A2586">
        <v>2585</v>
      </c>
      <c r="B2586">
        <v>66822250</v>
      </c>
      <c r="C2586">
        <v>66822250</v>
      </c>
    </row>
    <row r="2587" spans="1:3">
      <c r="A2587">
        <v>2586</v>
      </c>
      <c r="B2587">
        <v>66873960</v>
      </c>
      <c r="C2587">
        <v>66873960</v>
      </c>
    </row>
    <row r="2588" spans="1:3">
      <c r="A2588">
        <v>2587</v>
      </c>
      <c r="B2588">
        <v>66925690</v>
      </c>
      <c r="C2588">
        <v>66925690</v>
      </c>
    </row>
    <row r="2589" spans="1:3">
      <c r="A2589">
        <v>2588</v>
      </c>
      <c r="B2589">
        <v>66977440</v>
      </c>
      <c r="C2589">
        <v>66977440</v>
      </c>
    </row>
    <row r="2590" spans="1:3">
      <c r="A2590">
        <v>2589</v>
      </c>
      <c r="B2590">
        <v>67029210</v>
      </c>
      <c r="C2590">
        <v>67029210</v>
      </c>
    </row>
    <row r="2591" spans="1:3">
      <c r="A2591">
        <v>2590</v>
      </c>
      <c r="B2591">
        <v>67081000</v>
      </c>
      <c r="C2591">
        <v>67081000</v>
      </c>
    </row>
    <row r="2592" spans="1:3">
      <c r="A2592">
        <v>2591</v>
      </c>
      <c r="B2592">
        <v>67132810</v>
      </c>
      <c r="C2592">
        <v>67132810</v>
      </c>
    </row>
    <row r="2593" spans="1:3">
      <c r="A2593">
        <v>2592</v>
      </c>
      <c r="B2593">
        <v>67184640</v>
      </c>
      <c r="C2593">
        <v>67184640</v>
      </c>
    </row>
    <row r="2594" spans="1:3">
      <c r="A2594">
        <v>2593</v>
      </c>
      <c r="B2594">
        <v>67236490</v>
      </c>
      <c r="C2594">
        <v>67236490</v>
      </c>
    </row>
    <row r="2595" spans="1:3">
      <c r="A2595">
        <v>2594</v>
      </c>
      <c r="B2595">
        <v>67288360</v>
      </c>
      <c r="C2595">
        <v>67288360</v>
      </c>
    </row>
    <row r="2596" spans="1:3">
      <c r="A2596">
        <v>2595</v>
      </c>
      <c r="B2596">
        <v>67340250</v>
      </c>
      <c r="C2596">
        <v>67340250</v>
      </c>
    </row>
    <row r="2597" spans="1:3">
      <c r="A2597">
        <v>2596</v>
      </c>
      <c r="B2597">
        <v>67392160</v>
      </c>
      <c r="C2597">
        <v>67392160</v>
      </c>
    </row>
    <row r="2598" spans="1:3">
      <c r="A2598">
        <v>2597</v>
      </c>
      <c r="B2598">
        <v>67444090</v>
      </c>
      <c r="C2598">
        <v>67444090</v>
      </c>
    </row>
    <row r="2599" spans="1:3">
      <c r="A2599">
        <v>2598</v>
      </c>
      <c r="B2599">
        <v>67496040</v>
      </c>
      <c r="C2599">
        <v>67496040</v>
      </c>
    </row>
    <row r="2600" spans="1:3">
      <c r="A2600">
        <v>2599</v>
      </c>
      <c r="B2600">
        <v>67548010</v>
      </c>
      <c r="C2600">
        <v>67548010</v>
      </c>
    </row>
    <row r="2601" spans="1:3">
      <c r="A2601">
        <v>2600</v>
      </c>
      <c r="B2601">
        <v>67600000</v>
      </c>
      <c r="C2601">
        <v>67600000</v>
      </c>
    </row>
    <row r="2602" spans="1:3">
      <c r="A2602">
        <v>2601</v>
      </c>
      <c r="B2602">
        <v>67652010</v>
      </c>
      <c r="C2602">
        <v>67652010</v>
      </c>
    </row>
    <row r="2603" spans="1:3">
      <c r="A2603">
        <v>2602</v>
      </c>
      <c r="B2603">
        <v>67704040</v>
      </c>
      <c r="C2603">
        <v>67704040</v>
      </c>
    </row>
    <row r="2604" spans="1:3">
      <c r="A2604">
        <v>2603</v>
      </c>
      <c r="B2604">
        <v>67756090</v>
      </c>
      <c r="C2604">
        <v>67756090</v>
      </c>
    </row>
    <row r="2605" spans="1:3">
      <c r="A2605">
        <v>2604</v>
      </c>
      <c r="B2605">
        <v>67808160</v>
      </c>
      <c r="C2605">
        <v>67808160</v>
      </c>
    </row>
    <row r="2606" spans="1:3">
      <c r="A2606">
        <v>2605</v>
      </c>
      <c r="B2606">
        <v>67860250</v>
      </c>
      <c r="C2606">
        <v>67860250</v>
      </c>
    </row>
    <row r="2607" spans="1:3">
      <c r="A2607">
        <v>2606</v>
      </c>
      <c r="B2607">
        <v>67912360</v>
      </c>
      <c r="C2607">
        <v>67912360</v>
      </c>
    </row>
    <row r="2608" spans="1:3">
      <c r="A2608">
        <v>2607</v>
      </c>
      <c r="B2608">
        <v>67964490</v>
      </c>
      <c r="C2608">
        <v>67964490</v>
      </c>
    </row>
    <row r="2609" spans="1:3">
      <c r="A2609">
        <v>2608</v>
      </c>
      <c r="B2609">
        <v>68016640</v>
      </c>
      <c r="C2609">
        <v>68016640</v>
      </c>
    </row>
    <row r="2610" spans="1:3">
      <c r="A2610">
        <v>2609</v>
      </c>
      <c r="B2610">
        <v>68068810</v>
      </c>
      <c r="C2610">
        <v>68068810</v>
      </c>
    </row>
    <row r="2611" spans="1:3">
      <c r="A2611">
        <v>2610</v>
      </c>
      <c r="B2611">
        <v>68121000</v>
      </c>
      <c r="C2611">
        <v>68121000</v>
      </c>
    </row>
    <row r="2612" spans="1:3">
      <c r="A2612">
        <v>2611</v>
      </c>
      <c r="B2612">
        <v>68173210</v>
      </c>
      <c r="C2612">
        <v>68173210</v>
      </c>
    </row>
    <row r="2613" spans="1:3">
      <c r="A2613">
        <v>2612</v>
      </c>
      <c r="B2613">
        <v>68225440</v>
      </c>
      <c r="C2613">
        <v>68225440</v>
      </c>
    </row>
    <row r="2614" spans="1:3">
      <c r="A2614">
        <v>2613</v>
      </c>
      <c r="B2614">
        <v>68277690</v>
      </c>
      <c r="C2614">
        <v>68277690</v>
      </c>
    </row>
    <row r="2615" spans="1:3">
      <c r="A2615">
        <v>2614</v>
      </c>
      <c r="B2615">
        <v>68329960</v>
      </c>
      <c r="C2615">
        <v>68329960</v>
      </c>
    </row>
    <row r="2616" spans="1:3">
      <c r="A2616">
        <v>2615</v>
      </c>
      <c r="B2616">
        <v>68382250</v>
      </c>
      <c r="C2616">
        <v>68382250</v>
      </c>
    </row>
    <row r="2617" spans="1:3">
      <c r="A2617">
        <v>2616</v>
      </c>
      <c r="B2617">
        <v>68434560</v>
      </c>
      <c r="C2617">
        <v>68434560</v>
      </c>
    </row>
    <row r="2618" spans="1:3">
      <c r="A2618">
        <v>2617</v>
      </c>
      <c r="B2618">
        <v>68486890</v>
      </c>
      <c r="C2618">
        <v>68486890</v>
      </c>
    </row>
    <row r="2619" spans="1:3">
      <c r="A2619">
        <v>2618</v>
      </c>
      <c r="B2619">
        <v>68539240</v>
      </c>
      <c r="C2619">
        <v>68539240</v>
      </c>
    </row>
    <row r="2620" spans="1:3">
      <c r="A2620">
        <v>2619</v>
      </c>
      <c r="B2620">
        <v>68591610</v>
      </c>
      <c r="C2620">
        <v>68591610</v>
      </c>
    </row>
    <row r="2621" spans="1:3">
      <c r="A2621">
        <v>2620</v>
      </c>
      <c r="B2621">
        <v>68644000</v>
      </c>
      <c r="C2621">
        <v>68644000</v>
      </c>
    </row>
    <row r="2622" spans="1:3">
      <c r="A2622">
        <v>2621</v>
      </c>
      <c r="B2622">
        <v>68696410</v>
      </c>
      <c r="C2622">
        <v>68696410</v>
      </c>
    </row>
    <row r="2623" spans="1:3">
      <c r="A2623">
        <v>2622</v>
      </c>
      <c r="B2623">
        <v>68748840</v>
      </c>
      <c r="C2623">
        <v>68748840</v>
      </c>
    </row>
    <row r="2624" spans="1:3">
      <c r="A2624">
        <v>2623</v>
      </c>
      <c r="B2624">
        <v>68801290</v>
      </c>
      <c r="C2624">
        <v>68801290</v>
      </c>
    </row>
    <row r="2625" spans="1:3">
      <c r="A2625">
        <v>2624</v>
      </c>
      <c r="B2625">
        <v>68853760</v>
      </c>
      <c r="C2625">
        <v>68853760</v>
      </c>
    </row>
    <row r="2626" spans="1:3">
      <c r="A2626">
        <v>2625</v>
      </c>
      <c r="B2626">
        <v>68906250</v>
      </c>
      <c r="C2626">
        <v>68906250</v>
      </c>
    </row>
    <row r="2627" spans="1:3">
      <c r="A2627">
        <v>2626</v>
      </c>
      <c r="B2627">
        <v>68958760</v>
      </c>
      <c r="C2627">
        <v>68958760</v>
      </c>
    </row>
    <row r="2628" spans="1:3">
      <c r="A2628">
        <v>2627</v>
      </c>
      <c r="B2628">
        <v>69011290</v>
      </c>
      <c r="C2628">
        <v>69011290</v>
      </c>
    </row>
    <row r="2629" spans="1:3">
      <c r="A2629">
        <v>2628</v>
      </c>
      <c r="B2629">
        <v>69063840</v>
      </c>
      <c r="C2629">
        <v>69063840</v>
      </c>
    </row>
    <row r="2630" spans="1:3">
      <c r="A2630">
        <v>2629</v>
      </c>
      <c r="B2630">
        <v>69116410</v>
      </c>
      <c r="C2630">
        <v>69116410</v>
      </c>
    </row>
    <row r="2631" spans="1:3">
      <c r="A2631">
        <v>2630</v>
      </c>
      <c r="B2631">
        <v>69169000</v>
      </c>
      <c r="C2631">
        <v>69169000</v>
      </c>
    </row>
    <row r="2632" spans="1:3">
      <c r="A2632">
        <v>2631</v>
      </c>
      <c r="B2632">
        <v>69221610</v>
      </c>
      <c r="C2632">
        <v>69221610</v>
      </c>
    </row>
    <row r="2633" spans="1:3">
      <c r="A2633">
        <v>2632</v>
      </c>
      <c r="B2633">
        <v>69274240</v>
      </c>
      <c r="C2633">
        <v>69274240</v>
      </c>
    </row>
    <row r="2634" spans="1:3">
      <c r="A2634">
        <v>2633</v>
      </c>
      <c r="B2634">
        <v>69326890</v>
      </c>
      <c r="C2634">
        <v>69326890</v>
      </c>
    </row>
    <row r="2635" spans="1:3">
      <c r="A2635">
        <v>2634</v>
      </c>
      <c r="B2635">
        <v>69379560</v>
      </c>
      <c r="C2635">
        <v>69379560</v>
      </c>
    </row>
    <row r="2636" spans="1:3">
      <c r="A2636">
        <v>2635</v>
      </c>
      <c r="B2636">
        <v>69432250</v>
      </c>
      <c r="C2636">
        <v>69432250</v>
      </c>
    </row>
    <row r="2637" spans="1:3">
      <c r="A2637">
        <v>2636</v>
      </c>
      <c r="B2637">
        <v>69484960</v>
      </c>
      <c r="C2637">
        <v>69484960</v>
      </c>
    </row>
    <row r="2638" spans="1:3">
      <c r="A2638">
        <v>2637</v>
      </c>
      <c r="B2638">
        <v>69537690</v>
      </c>
      <c r="C2638">
        <v>69537690</v>
      </c>
    </row>
    <row r="2639" spans="1:3">
      <c r="A2639">
        <v>2638</v>
      </c>
      <c r="B2639">
        <v>69590440</v>
      </c>
      <c r="C2639">
        <v>69590440</v>
      </c>
    </row>
    <row r="2640" spans="1:3">
      <c r="A2640">
        <v>2639</v>
      </c>
      <c r="B2640">
        <v>69643210</v>
      </c>
      <c r="C2640">
        <v>69643210</v>
      </c>
    </row>
    <row r="2641" spans="1:3">
      <c r="A2641">
        <v>2640</v>
      </c>
      <c r="B2641">
        <v>69696000</v>
      </c>
      <c r="C2641">
        <v>69696000</v>
      </c>
    </row>
    <row r="2642" spans="1:3">
      <c r="A2642">
        <v>2641</v>
      </c>
      <c r="B2642">
        <v>69748810</v>
      </c>
      <c r="C2642">
        <v>69748810</v>
      </c>
    </row>
    <row r="2643" spans="1:3">
      <c r="A2643">
        <v>2642</v>
      </c>
      <c r="B2643">
        <v>69801640</v>
      </c>
      <c r="C2643">
        <v>69801640</v>
      </c>
    </row>
    <row r="2644" spans="1:3">
      <c r="A2644">
        <v>2643</v>
      </c>
      <c r="B2644">
        <v>69854490</v>
      </c>
      <c r="C2644">
        <v>69854490</v>
      </c>
    </row>
    <row r="2645" spans="1:3">
      <c r="A2645">
        <v>2644</v>
      </c>
      <c r="B2645">
        <v>69907360</v>
      </c>
      <c r="C2645">
        <v>69907360</v>
      </c>
    </row>
    <row r="2646" spans="1:3">
      <c r="A2646">
        <v>2645</v>
      </c>
      <c r="B2646">
        <v>69960250</v>
      </c>
      <c r="C2646">
        <v>69960250</v>
      </c>
    </row>
    <row r="2647" spans="1:3">
      <c r="A2647">
        <v>2646</v>
      </c>
      <c r="B2647">
        <v>70013160</v>
      </c>
      <c r="C2647">
        <v>70013160</v>
      </c>
    </row>
    <row r="2648" spans="1:3">
      <c r="A2648">
        <v>2647</v>
      </c>
      <c r="B2648">
        <v>70066090</v>
      </c>
      <c r="C2648">
        <v>70066090</v>
      </c>
    </row>
    <row r="2649" spans="1:3">
      <c r="A2649">
        <v>2648</v>
      </c>
      <c r="B2649">
        <v>70119040</v>
      </c>
      <c r="C2649">
        <v>70119040</v>
      </c>
    </row>
    <row r="2650" spans="1:3">
      <c r="A2650">
        <v>2649</v>
      </c>
      <c r="B2650">
        <v>70172010</v>
      </c>
      <c r="C2650">
        <v>70172010</v>
      </c>
    </row>
    <row r="2651" spans="1:3">
      <c r="A2651">
        <v>2650</v>
      </c>
      <c r="B2651">
        <v>70225000</v>
      </c>
      <c r="C2651">
        <v>70225000</v>
      </c>
    </row>
    <row r="2652" spans="1:3">
      <c r="A2652">
        <v>2651</v>
      </c>
      <c r="B2652">
        <v>70278010</v>
      </c>
      <c r="C2652">
        <v>70278010</v>
      </c>
    </row>
    <row r="2653" spans="1:3">
      <c r="A2653">
        <v>2652</v>
      </c>
      <c r="B2653">
        <v>70331040</v>
      </c>
      <c r="C2653">
        <v>70331040</v>
      </c>
    </row>
    <row r="2654" spans="1:3">
      <c r="A2654">
        <v>2653</v>
      </c>
      <c r="B2654">
        <v>70384090</v>
      </c>
      <c r="C2654">
        <v>70384090</v>
      </c>
    </row>
    <row r="2655" spans="1:3">
      <c r="A2655">
        <v>2654</v>
      </c>
      <c r="B2655">
        <v>70437160</v>
      </c>
      <c r="C2655">
        <v>70437160</v>
      </c>
    </row>
    <row r="2656" spans="1:3">
      <c r="A2656">
        <v>2655</v>
      </c>
      <c r="B2656">
        <v>70490250</v>
      </c>
      <c r="C2656">
        <v>70490250</v>
      </c>
    </row>
    <row r="2657" spans="1:3">
      <c r="A2657">
        <v>2656</v>
      </c>
      <c r="B2657">
        <v>70543360</v>
      </c>
      <c r="C2657">
        <v>70543360</v>
      </c>
    </row>
    <row r="2658" spans="1:3">
      <c r="A2658">
        <v>2657</v>
      </c>
      <c r="B2658">
        <v>70596490</v>
      </c>
      <c r="C2658">
        <v>70596490</v>
      </c>
    </row>
    <row r="2659" spans="1:3">
      <c r="A2659">
        <v>2658</v>
      </c>
      <c r="B2659">
        <v>70649640</v>
      </c>
      <c r="C2659">
        <v>70649640</v>
      </c>
    </row>
    <row r="2660" spans="1:3">
      <c r="A2660">
        <v>2659</v>
      </c>
      <c r="B2660">
        <v>70702810</v>
      </c>
      <c r="C2660">
        <v>70702810</v>
      </c>
    </row>
    <row r="2661" spans="1:3">
      <c r="A2661">
        <v>2660</v>
      </c>
      <c r="B2661">
        <v>70756000</v>
      </c>
      <c r="C2661">
        <v>70756000</v>
      </c>
    </row>
    <row r="2662" spans="1:3">
      <c r="A2662">
        <v>2661</v>
      </c>
      <c r="B2662">
        <v>70809210</v>
      </c>
      <c r="C2662">
        <v>70809210</v>
      </c>
    </row>
    <row r="2663" spans="1:3">
      <c r="A2663">
        <v>2662</v>
      </c>
      <c r="B2663">
        <v>70862440</v>
      </c>
      <c r="C2663">
        <v>70862440</v>
      </c>
    </row>
    <row r="2664" spans="1:3">
      <c r="A2664">
        <v>2663</v>
      </c>
      <c r="B2664">
        <v>70915690</v>
      </c>
      <c r="C2664">
        <v>70915690</v>
      </c>
    </row>
    <row r="2665" spans="1:3">
      <c r="A2665">
        <v>2664</v>
      </c>
      <c r="B2665">
        <v>70968960</v>
      </c>
      <c r="C2665">
        <v>70968960</v>
      </c>
    </row>
    <row r="2666" spans="1:3">
      <c r="A2666">
        <v>2665</v>
      </c>
      <c r="B2666">
        <v>71022250</v>
      </c>
      <c r="C2666">
        <v>71022250</v>
      </c>
    </row>
    <row r="2667" spans="1:3">
      <c r="A2667">
        <v>2666</v>
      </c>
      <c r="B2667">
        <v>71075560</v>
      </c>
      <c r="C2667">
        <v>71075560</v>
      </c>
    </row>
    <row r="2668" spans="1:3">
      <c r="A2668">
        <v>2667</v>
      </c>
      <c r="B2668">
        <v>71128890</v>
      </c>
      <c r="C2668">
        <v>71128890</v>
      </c>
    </row>
    <row r="2669" spans="1:3">
      <c r="A2669">
        <v>2668</v>
      </c>
      <c r="B2669">
        <v>71182240</v>
      </c>
      <c r="C2669">
        <v>71182240</v>
      </c>
    </row>
    <row r="2670" spans="1:3">
      <c r="A2670">
        <v>2669</v>
      </c>
      <c r="B2670">
        <v>71235610</v>
      </c>
      <c r="C2670">
        <v>71235610</v>
      </c>
    </row>
    <row r="2671" spans="1:3">
      <c r="A2671">
        <v>2670</v>
      </c>
      <c r="B2671">
        <v>71289000</v>
      </c>
      <c r="C2671">
        <v>71289000</v>
      </c>
    </row>
    <row r="2672" spans="1:3">
      <c r="A2672">
        <v>2671</v>
      </c>
      <c r="B2672">
        <v>71342410</v>
      </c>
      <c r="C2672">
        <v>71342410</v>
      </c>
    </row>
    <row r="2673" spans="1:3">
      <c r="A2673">
        <v>2672</v>
      </c>
      <c r="B2673">
        <v>71395840</v>
      </c>
      <c r="C2673">
        <v>71395840</v>
      </c>
    </row>
    <row r="2674" spans="1:3">
      <c r="A2674">
        <v>2673</v>
      </c>
      <c r="B2674">
        <v>71449290</v>
      </c>
      <c r="C2674">
        <v>71449290</v>
      </c>
    </row>
    <row r="2675" spans="1:3">
      <c r="A2675">
        <v>2674</v>
      </c>
      <c r="B2675">
        <v>71502760</v>
      </c>
      <c r="C2675">
        <v>71502760</v>
      </c>
    </row>
    <row r="2676" spans="1:3">
      <c r="A2676">
        <v>2675</v>
      </c>
      <c r="B2676">
        <v>71556250</v>
      </c>
      <c r="C2676">
        <v>71556250</v>
      </c>
    </row>
    <row r="2677" spans="1:3">
      <c r="A2677">
        <v>2676</v>
      </c>
      <c r="B2677">
        <v>71609760</v>
      </c>
      <c r="C2677">
        <v>71609760</v>
      </c>
    </row>
    <row r="2678" spans="1:3">
      <c r="A2678">
        <v>2677</v>
      </c>
      <c r="B2678">
        <v>71663290</v>
      </c>
      <c r="C2678">
        <v>71663290</v>
      </c>
    </row>
    <row r="2679" spans="1:3">
      <c r="A2679">
        <v>2678</v>
      </c>
      <c r="B2679">
        <v>71716840</v>
      </c>
      <c r="C2679">
        <v>71716840</v>
      </c>
    </row>
    <row r="2680" spans="1:3">
      <c r="A2680">
        <v>2679</v>
      </c>
      <c r="B2680">
        <v>71770410</v>
      </c>
      <c r="C2680">
        <v>71770410</v>
      </c>
    </row>
    <row r="2681" spans="1:3">
      <c r="A2681">
        <v>2680</v>
      </c>
      <c r="B2681">
        <v>71824000</v>
      </c>
      <c r="C2681">
        <v>71824000</v>
      </c>
    </row>
    <row r="2682" spans="1:3">
      <c r="A2682">
        <v>2681</v>
      </c>
      <c r="B2682">
        <v>71877610</v>
      </c>
      <c r="C2682">
        <v>71877610</v>
      </c>
    </row>
    <row r="2683" spans="1:3">
      <c r="A2683">
        <v>2682</v>
      </c>
      <c r="B2683">
        <v>71931240</v>
      </c>
      <c r="C2683">
        <v>71931240</v>
      </c>
    </row>
    <row r="2684" spans="1:3">
      <c r="A2684">
        <v>2683</v>
      </c>
      <c r="B2684">
        <v>71984890</v>
      </c>
      <c r="C2684">
        <v>71984890</v>
      </c>
    </row>
    <row r="2685" spans="1:3">
      <c r="A2685">
        <v>2684</v>
      </c>
      <c r="B2685">
        <v>72038560</v>
      </c>
      <c r="C2685">
        <v>72038560</v>
      </c>
    </row>
    <row r="2686" spans="1:3">
      <c r="A2686">
        <v>2685</v>
      </c>
      <c r="B2686">
        <v>72092250</v>
      </c>
      <c r="C2686">
        <v>72092250</v>
      </c>
    </row>
    <row r="2687" spans="1:3">
      <c r="A2687">
        <v>2686</v>
      </c>
      <c r="B2687">
        <v>72145960</v>
      </c>
      <c r="C2687">
        <v>72145960</v>
      </c>
    </row>
    <row r="2688" spans="1:3">
      <c r="A2688">
        <v>2687</v>
      </c>
      <c r="B2688">
        <v>72199690</v>
      </c>
      <c r="C2688">
        <v>72199690</v>
      </c>
    </row>
    <row r="2689" spans="1:3">
      <c r="A2689">
        <v>2688</v>
      </c>
      <c r="B2689">
        <v>72253440</v>
      </c>
      <c r="C2689">
        <v>72253440</v>
      </c>
    </row>
    <row r="2690" spans="1:3">
      <c r="A2690">
        <v>2689</v>
      </c>
      <c r="B2690">
        <v>72307210</v>
      </c>
      <c r="C2690">
        <v>72307210</v>
      </c>
    </row>
    <row r="2691" spans="1:3">
      <c r="A2691">
        <v>2690</v>
      </c>
      <c r="B2691">
        <v>72361000</v>
      </c>
      <c r="C2691">
        <v>72361000</v>
      </c>
    </row>
    <row r="2692" spans="1:3">
      <c r="A2692">
        <v>2691</v>
      </c>
      <c r="B2692">
        <v>72414810</v>
      </c>
      <c r="C2692">
        <v>72414810</v>
      </c>
    </row>
    <row r="2693" spans="1:3">
      <c r="A2693">
        <v>2692</v>
      </c>
      <c r="B2693">
        <v>72468640</v>
      </c>
      <c r="C2693">
        <v>72468640</v>
      </c>
    </row>
    <row r="2694" spans="1:3">
      <c r="A2694">
        <v>2693</v>
      </c>
      <c r="B2694">
        <v>72522490</v>
      </c>
      <c r="C2694">
        <v>72522490</v>
      </c>
    </row>
    <row r="2695" spans="1:3">
      <c r="A2695">
        <v>2694</v>
      </c>
      <c r="B2695">
        <v>72576360</v>
      </c>
      <c r="C2695">
        <v>72576360</v>
      </c>
    </row>
    <row r="2696" spans="1:3">
      <c r="A2696">
        <v>2695</v>
      </c>
      <c r="B2696">
        <v>72630250</v>
      </c>
      <c r="C2696">
        <v>72630250</v>
      </c>
    </row>
    <row r="2697" spans="1:3">
      <c r="A2697">
        <v>2696</v>
      </c>
      <c r="B2697">
        <v>72684160</v>
      </c>
      <c r="C2697">
        <v>72684160</v>
      </c>
    </row>
    <row r="2698" spans="1:3">
      <c r="A2698">
        <v>2697</v>
      </c>
      <c r="B2698">
        <v>72738090</v>
      </c>
      <c r="C2698">
        <v>72738090</v>
      </c>
    </row>
    <row r="2699" spans="1:3">
      <c r="A2699">
        <v>2698</v>
      </c>
      <c r="B2699">
        <v>72792040</v>
      </c>
      <c r="C2699">
        <v>72792040</v>
      </c>
    </row>
    <row r="2700" spans="1:3">
      <c r="A2700">
        <v>2699</v>
      </c>
      <c r="B2700">
        <v>72846010</v>
      </c>
      <c r="C2700">
        <v>72846010</v>
      </c>
    </row>
    <row r="2701" spans="1:3">
      <c r="A2701">
        <v>2700</v>
      </c>
      <c r="B2701">
        <v>72900000</v>
      </c>
      <c r="C2701">
        <v>72900000</v>
      </c>
    </row>
    <row r="2702" spans="1:3">
      <c r="A2702">
        <v>2701</v>
      </c>
      <c r="B2702">
        <v>72954010</v>
      </c>
      <c r="C2702">
        <v>72954010</v>
      </c>
    </row>
    <row r="2703" spans="1:3">
      <c r="A2703">
        <v>2702</v>
      </c>
      <c r="B2703">
        <v>73008040</v>
      </c>
      <c r="C2703">
        <v>73008040</v>
      </c>
    </row>
    <row r="2704" spans="1:3">
      <c r="A2704">
        <v>2703</v>
      </c>
      <c r="B2704">
        <v>73062090</v>
      </c>
      <c r="C2704">
        <v>73062090</v>
      </c>
    </row>
    <row r="2705" spans="1:3">
      <c r="A2705">
        <v>2704</v>
      </c>
      <c r="B2705">
        <v>73116160</v>
      </c>
      <c r="C2705">
        <v>73116160</v>
      </c>
    </row>
    <row r="2706" spans="1:3">
      <c r="A2706">
        <v>2705</v>
      </c>
      <c r="B2706">
        <v>73170250</v>
      </c>
      <c r="C2706">
        <v>73170250</v>
      </c>
    </row>
    <row r="2707" spans="1:3">
      <c r="A2707">
        <v>2706</v>
      </c>
      <c r="B2707">
        <v>73224360</v>
      </c>
      <c r="C2707">
        <v>73224360</v>
      </c>
    </row>
    <row r="2708" spans="1:3">
      <c r="A2708">
        <v>2707</v>
      </c>
      <c r="B2708">
        <v>73278490</v>
      </c>
      <c r="C2708">
        <v>73278490</v>
      </c>
    </row>
    <row r="2709" spans="1:3">
      <c r="A2709">
        <v>2708</v>
      </c>
      <c r="B2709">
        <v>73332640</v>
      </c>
      <c r="C2709">
        <v>73332640</v>
      </c>
    </row>
    <row r="2710" spans="1:3">
      <c r="A2710">
        <v>2709</v>
      </c>
      <c r="B2710">
        <v>73386810</v>
      </c>
      <c r="C2710">
        <v>73386810</v>
      </c>
    </row>
    <row r="2711" spans="1:3">
      <c r="A2711">
        <v>2710</v>
      </c>
      <c r="B2711">
        <v>73441000</v>
      </c>
      <c r="C2711">
        <v>73441000</v>
      </c>
    </row>
    <row r="2712" spans="1:3">
      <c r="A2712">
        <v>2711</v>
      </c>
      <c r="B2712">
        <v>73495210</v>
      </c>
      <c r="C2712">
        <v>73495210</v>
      </c>
    </row>
    <row r="2713" spans="1:3">
      <c r="A2713">
        <v>2712</v>
      </c>
      <c r="B2713">
        <v>73549440</v>
      </c>
      <c r="C2713">
        <v>73549440</v>
      </c>
    </row>
    <row r="2714" spans="1:3">
      <c r="A2714">
        <v>2713</v>
      </c>
      <c r="B2714">
        <v>73603690</v>
      </c>
      <c r="C2714">
        <v>73603690</v>
      </c>
    </row>
    <row r="2715" spans="1:3">
      <c r="A2715">
        <v>2714</v>
      </c>
      <c r="B2715">
        <v>73657960</v>
      </c>
      <c r="C2715">
        <v>73657960</v>
      </c>
    </row>
    <row r="2716" spans="1:3">
      <c r="A2716">
        <v>2715</v>
      </c>
      <c r="B2716">
        <v>73712250</v>
      </c>
      <c r="C2716">
        <v>73712250</v>
      </c>
    </row>
    <row r="2717" spans="1:3">
      <c r="A2717">
        <v>2716</v>
      </c>
      <c r="B2717">
        <v>73766560</v>
      </c>
      <c r="C2717">
        <v>73766560</v>
      </c>
    </row>
    <row r="2718" spans="1:3">
      <c r="A2718">
        <v>2717</v>
      </c>
      <c r="B2718">
        <v>73820890</v>
      </c>
      <c r="C2718">
        <v>73820890</v>
      </c>
    </row>
    <row r="2719" spans="1:3">
      <c r="A2719">
        <v>2718</v>
      </c>
      <c r="B2719">
        <v>73875240</v>
      </c>
      <c r="C2719">
        <v>73875240</v>
      </c>
    </row>
    <row r="2720" spans="1:3">
      <c r="A2720">
        <v>2719</v>
      </c>
      <c r="B2720">
        <v>73929610</v>
      </c>
      <c r="C2720">
        <v>73929610</v>
      </c>
    </row>
    <row r="2721" spans="1:3">
      <c r="A2721">
        <v>2720</v>
      </c>
      <c r="B2721">
        <v>73984000</v>
      </c>
      <c r="C2721">
        <v>73984000</v>
      </c>
    </row>
    <row r="2722" spans="1:3">
      <c r="A2722">
        <v>2721</v>
      </c>
      <c r="B2722">
        <v>74038410</v>
      </c>
      <c r="C2722">
        <v>74038410</v>
      </c>
    </row>
    <row r="2723" spans="1:3">
      <c r="A2723">
        <v>2722</v>
      </c>
      <c r="B2723">
        <v>74092840</v>
      </c>
      <c r="C2723">
        <v>74092840</v>
      </c>
    </row>
    <row r="2724" spans="1:3">
      <c r="A2724">
        <v>2723</v>
      </c>
      <c r="B2724">
        <v>74147290</v>
      </c>
      <c r="C2724">
        <v>74147290</v>
      </c>
    </row>
    <row r="2725" spans="1:3">
      <c r="A2725">
        <v>2724</v>
      </c>
      <c r="B2725">
        <v>74201760</v>
      </c>
      <c r="C2725">
        <v>74201760</v>
      </c>
    </row>
    <row r="2726" spans="1:3">
      <c r="A2726">
        <v>2725</v>
      </c>
      <c r="B2726">
        <v>74256250</v>
      </c>
      <c r="C2726">
        <v>74256250</v>
      </c>
    </row>
    <row r="2727" spans="1:3">
      <c r="A2727">
        <v>2726</v>
      </c>
      <c r="B2727">
        <v>74310760</v>
      </c>
      <c r="C2727">
        <v>74310760</v>
      </c>
    </row>
    <row r="2728" spans="1:3">
      <c r="A2728">
        <v>2727</v>
      </c>
      <c r="B2728">
        <v>74365290</v>
      </c>
      <c r="C2728">
        <v>74365290</v>
      </c>
    </row>
    <row r="2729" spans="1:3">
      <c r="A2729">
        <v>2728</v>
      </c>
      <c r="B2729">
        <v>74419840</v>
      </c>
      <c r="C2729">
        <v>74419840</v>
      </c>
    </row>
    <row r="2730" spans="1:3">
      <c r="A2730">
        <v>2729</v>
      </c>
      <c r="B2730">
        <v>74474410</v>
      </c>
      <c r="C2730">
        <v>74474410</v>
      </c>
    </row>
    <row r="2731" spans="1:3">
      <c r="A2731">
        <v>2730</v>
      </c>
      <c r="B2731">
        <v>74529000</v>
      </c>
      <c r="C2731">
        <v>74529000</v>
      </c>
    </row>
    <row r="2732" spans="1:3">
      <c r="A2732">
        <v>2731</v>
      </c>
      <c r="B2732">
        <v>74583610</v>
      </c>
      <c r="C2732">
        <v>74583610</v>
      </c>
    </row>
    <row r="2733" spans="1:3">
      <c r="A2733">
        <v>2732</v>
      </c>
      <c r="B2733">
        <v>74638240</v>
      </c>
      <c r="C2733">
        <v>74638240</v>
      </c>
    </row>
    <row r="2734" spans="1:3">
      <c r="A2734">
        <v>2733</v>
      </c>
      <c r="B2734">
        <v>74692890</v>
      </c>
      <c r="C2734">
        <v>74692890</v>
      </c>
    </row>
    <row r="2735" spans="1:3">
      <c r="A2735">
        <v>2734</v>
      </c>
      <c r="B2735">
        <v>74747560</v>
      </c>
      <c r="C2735">
        <v>74747560</v>
      </c>
    </row>
    <row r="2736" spans="1:3">
      <c r="A2736">
        <v>2735</v>
      </c>
      <c r="B2736">
        <v>74802250</v>
      </c>
      <c r="C2736">
        <v>74802250</v>
      </c>
    </row>
    <row r="2737" spans="1:3">
      <c r="A2737">
        <v>2736</v>
      </c>
      <c r="B2737">
        <v>74856960</v>
      </c>
      <c r="C2737">
        <v>74856960</v>
      </c>
    </row>
    <row r="2738" spans="1:3">
      <c r="A2738">
        <v>2737</v>
      </c>
      <c r="B2738">
        <v>74911690</v>
      </c>
      <c r="C2738">
        <v>74911690</v>
      </c>
    </row>
    <row r="2739" spans="1:3">
      <c r="A2739">
        <v>2738</v>
      </c>
      <c r="B2739">
        <v>74966440</v>
      </c>
      <c r="C2739">
        <v>74966440</v>
      </c>
    </row>
    <row r="2740" spans="1:3">
      <c r="A2740">
        <v>2739</v>
      </c>
      <c r="B2740">
        <v>75021210</v>
      </c>
      <c r="C2740">
        <v>75021210</v>
      </c>
    </row>
    <row r="2741" spans="1:3">
      <c r="A2741">
        <v>2740</v>
      </c>
      <c r="B2741">
        <v>75076000</v>
      </c>
      <c r="C2741">
        <v>75076000</v>
      </c>
    </row>
    <row r="2742" spans="1:3">
      <c r="A2742">
        <v>2741</v>
      </c>
      <c r="B2742">
        <v>75130810</v>
      </c>
      <c r="C2742">
        <v>75130810</v>
      </c>
    </row>
    <row r="2743" spans="1:3">
      <c r="A2743">
        <v>2742</v>
      </c>
      <c r="B2743">
        <v>75185640</v>
      </c>
      <c r="C2743">
        <v>75185640</v>
      </c>
    </row>
    <row r="2744" spans="1:3">
      <c r="A2744">
        <v>2743</v>
      </c>
      <c r="B2744">
        <v>75240490</v>
      </c>
      <c r="C2744">
        <v>75240490</v>
      </c>
    </row>
    <row r="2745" spans="1:3">
      <c r="A2745">
        <v>2744</v>
      </c>
      <c r="B2745">
        <v>75295360</v>
      </c>
      <c r="C2745">
        <v>75295360</v>
      </c>
    </row>
    <row r="2746" spans="1:3">
      <c r="A2746">
        <v>2745</v>
      </c>
      <c r="B2746">
        <v>75350250</v>
      </c>
      <c r="C2746">
        <v>75350250</v>
      </c>
    </row>
    <row r="2747" spans="1:3">
      <c r="A2747">
        <v>2746</v>
      </c>
      <c r="B2747">
        <v>75405160</v>
      </c>
      <c r="C2747">
        <v>75405160</v>
      </c>
    </row>
    <row r="2748" spans="1:3">
      <c r="A2748">
        <v>2747</v>
      </c>
      <c r="B2748">
        <v>75460090</v>
      </c>
      <c r="C2748">
        <v>75460090</v>
      </c>
    </row>
    <row r="2749" spans="1:3">
      <c r="A2749">
        <v>2748</v>
      </c>
      <c r="B2749">
        <v>75515040</v>
      </c>
      <c r="C2749">
        <v>75515040</v>
      </c>
    </row>
    <row r="2750" spans="1:3">
      <c r="A2750">
        <v>2749</v>
      </c>
      <c r="B2750">
        <v>75570010</v>
      </c>
      <c r="C2750">
        <v>75570010</v>
      </c>
    </row>
    <row r="2751" spans="1:3">
      <c r="A2751">
        <v>2750</v>
      </c>
      <c r="B2751">
        <v>75625000</v>
      </c>
      <c r="C2751">
        <v>75625000</v>
      </c>
    </row>
    <row r="2752" spans="1:3">
      <c r="A2752">
        <v>2751</v>
      </c>
      <c r="B2752">
        <v>75680010</v>
      </c>
      <c r="C2752">
        <v>75680010</v>
      </c>
    </row>
    <row r="2753" spans="1:3">
      <c r="A2753">
        <v>2752</v>
      </c>
      <c r="B2753">
        <v>75735040</v>
      </c>
      <c r="C2753">
        <v>75735040</v>
      </c>
    </row>
    <row r="2754" spans="1:3">
      <c r="A2754">
        <v>2753</v>
      </c>
      <c r="B2754">
        <v>75790090</v>
      </c>
      <c r="C2754">
        <v>75790090</v>
      </c>
    </row>
    <row r="2755" spans="1:3">
      <c r="A2755">
        <v>2754</v>
      </c>
      <c r="B2755">
        <v>75845160</v>
      </c>
      <c r="C2755">
        <v>75845160</v>
      </c>
    </row>
    <row r="2756" spans="1:3">
      <c r="A2756">
        <v>2755</v>
      </c>
      <c r="B2756">
        <v>75900250</v>
      </c>
      <c r="C2756">
        <v>75900250</v>
      </c>
    </row>
    <row r="2757" spans="1:3">
      <c r="A2757">
        <v>2756</v>
      </c>
      <c r="B2757">
        <v>75955360</v>
      </c>
      <c r="C2757">
        <v>75955360</v>
      </c>
    </row>
    <row r="2758" spans="1:3">
      <c r="A2758">
        <v>2757</v>
      </c>
      <c r="B2758">
        <v>76010490</v>
      </c>
      <c r="C2758">
        <v>76010490</v>
      </c>
    </row>
    <row r="2759" spans="1:3">
      <c r="A2759">
        <v>2758</v>
      </c>
      <c r="B2759">
        <v>76065640</v>
      </c>
      <c r="C2759">
        <v>76065640</v>
      </c>
    </row>
    <row r="2760" spans="1:3">
      <c r="A2760">
        <v>2759</v>
      </c>
      <c r="B2760">
        <v>76120810</v>
      </c>
      <c r="C2760">
        <v>76120810</v>
      </c>
    </row>
    <row r="2761" spans="1:3">
      <c r="A2761">
        <v>2760</v>
      </c>
      <c r="B2761">
        <v>76176000</v>
      </c>
      <c r="C2761">
        <v>76176000</v>
      </c>
    </row>
    <row r="2762" spans="1:3">
      <c r="A2762">
        <v>2761</v>
      </c>
      <c r="B2762">
        <v>76231210</v>
      </c>
      <c r="C2762">
        <v>76231210</v>
      </c>
    </row>
    <row r="2763" spans="1:3">
      <c r="A2763">
        <v>2762</v>
      </c>
      <c r="B2763">
        <v>76286440</v>
      </c>
      <c r="C2763">
        <v>76286440</v>
      </c>
    </row>
    <row r="2764" spans="1:3">
      <c r="A2764">
        <v>2763</v>
      </c>
      <c r="B2764">
        <v>76341690</v>
      </c>
      <c r="C2764">
        <v>76341690</v>
      </c>
    </row>
    <row r="2765" spans="1:3">
      <c r="A2765">
        <v>2764</v>
      </c>
      <c r="B2765">
        <v>76396960</v>
      </c>
      <c r="C2765">
        <v>76396960</v>
      </c>
    </row>
    <row r="2766" spans="1:3">
      <c r="A2766">
        <v>2765</v>
      </c>
      <c r="B2766">
        <v>76452250</v>
      </c>
      <c r="C2766">
        <v>76452250</v>
      </c>
    </row>
    <row r="2767" spans="1:3">
      <c r="A2767">
        <v>2766</v>
      </c>
      <c r="B2767">
        <v>76507560</v>
      </c>
      <c r="C2767">
        <v>76507560</v>
      </c>
    </row>
    <row r="2768" spans="1:3">
      <c r="A2768">
        <v>2767</v>
      </c>
      <c r="B2768">
        <v>76562890</v>
      </c>
      <c r="C2768">
        <v>76562890</v>
      </c>
    </row>
    <row r="2769" spans="1:3">
      <c r="A2769">
        <v>2768</v>
      </c>
      <c r="B2769">
        <v>76618240</v>
      </c>
      <c r="C2769">
        <v>76618240</v>
      </c>
    </row>
    <row r="2770" spans="1:3">
      <c r="A2770">
        <v>2769</v>
      </c>
      <c r="B2770">
        <v>76673610</v>
      </c>
      <c r="C2770">
        <v>76673610</v>
      </c>
    </row>
    <row r="2771" spans="1:3">
      <c r="A2771">
        <v>2770</v>
      </c>
      <c r="B2771">
        <v>76729000</v>
      </c>
      <c r="C2771">
        <v>76729000</v>
      </c>
    </row>
    <row r="2772" spans="1:3">
      <c r="A2772">
        <v>2771</v>
      </c>
      <c r="B2772">
        <v>76784410</v>
      </c>
      <c r="C2772">
        <v>76784410</v>
      </c>
    </row>
    <row r="2773" spans="1:3">
      <c r="A2773">
        <v>2772</v>
      </c>
      <c r="B2773">
        <v>76839840</v>
      </c>
      <c r="C2773">
        <v>76839840</v>
      </c>
    </row>
    <row r="2774" spans="1:3">
      <c r="A2774">
        <v>2773</v>
      </c>
      <c r="B2774">
        <v>76895290</v>
      </c>
      <c r="C2774">
        <v>76895290</v>
      </c>
    </row>
    <row r="2775" spans="1:3">
      <c r="A2775">
        <v>2774</v>
      </c>
      <c r="B2775">
        <v>76950760</v>
      </c>
      <c r="C2775">
        <v>76950760</v>
      </c>
    </row>
    <row r="2776" spans="1:3">
      <c r="A2776">
        <v>2775</v>
      </c>
      <c r="B2776">
        <v>77006250</v>
      </c>
      <c r="C2776">
        <v>77006250</v>
      </c>
    </row>
    <row r="2777" spans="1:3">
      <c r="A2777">
        <v>2776</v>
      </c>
      <c r="B2777">
        <v>77061760</v>
      </c>
      <c r="C2777">
        <v>77061760</v>
      </c>
    </row>
    <row r="2778" spans="1:3">
      <c r="A2778">
        <v>2777</v>
      </c>
      <c r="B2778">
        <v>77117290</v>
      </c>
      <c r="C2778">
        <v>77117290</v>
      </c>
    </row>
    <row r="2779" spans="1:3">
      <c r="A2779">
        <v>2778</v>
      </c>
      <c r="B2779">
        <v>77172840</v>
      </c>
      <c r="C2779">
        <v>77172840</v>
      </c>
    </row>
    <row r="2780" spans="1:3">
      <c r="A2780">
        <v>2779</v>
      </c>
      <c r="B2780">
        <v>77228410</v>
      </c>
      <c r="C2780">
        <v>77228410</v>
      </c>
    </row>
    <row r="2781" spans="1:3">
      <c r="A2781">
        <v>2780</v>
      </c>
      <c r="B2781">
        <v>77284000</v>
      </c>
      <c r="C2781">
        <v>77284000</v>
      </c>
    </row>
    <row r="2782" spans="1:3">
      <c r="A2782">
        <v>2781</v>
      </c>
      <c r="B2782">
        <v>77339610</v>
      </c>
      <c r="C2782">
        <v>77339610</v>
      </c>
    </row>
    <row r="2783" spans="1:3">
      <c r="A2783">
        <v>2782</v>
      </c>
      <c r="B2783">
        <v>77395240</v>
      </c>
      <c r="C2783">
        <v>77395240</v>
      </c>
    </row>
    <row r="2784" spans="1:3">
      <c r="A2784">
        <v>2783</v>
      </c>
      <c r="B2784">
        <v>77450890</v>
      </c>
      <c r="C2784">
        <v>77450890</v>
      </c>
    </row>
    <row r="2785" spans="1:3">
      <c r="A2785">
        <v>2784</v>
      </c>
      <c r="B2785">
        <v>77506560</v>
      </c>
      <c r="C2785">
        <v>77506560</v>
      </c>
    </row>
    <row r="2786" spans="1:3">
      <c r="A2786">
        <v>2785</v>
      </c>
      <c r="B2786">
        <v>77562250</v>
      </c>
      <c r="C2786">
        <v>77562250</v>
      </c>
    </row>
    <row r="2787" spans="1:3">
      <c r="A2787">
        <v>2786</v>
      </c>
      <c r="B2787">
        <v>77617960</v>
      </c>
      <c r="C2787">
        <v>77617960</v>
      </c>
    </row>
    <row r="2788" spans="1:3">
      <c r="A2788">
        <v>2787</v>
      </c>
      <c r="B2788">
        <v>77673690</v>
      </c>
      <c r="C2788">
        <v>77673690</v>
      </c>
    </row>
    <row r="2789" spans="1:3">
      <c r="A2789">
        <v>2788</v>
      </c>
      <c r="B2789">
        <v>77729440</v>
      </c>
      <c r="C2789">
        <v>77729440</v>
      </c>
    </row>
    <row r="2790" spans="1:3">
      <c r="A2790">
        <v>2789</v>
      </c>
      <c r="B2790">
        <v>77785210</v>
      </c>
      <c r="C2790">
        <v>77785210</v>
      </c>
    </row>
    <row r="2791" spans="1:3">
      <c r="A2791">
        <v>2790</v>
      </c>
      <c r="B2791">
        <v>77841000</v>
      </c>
      <c r="C2791">
        <v>77841000</v>
      </c>
    </row>
    <row r="2792" spans="1:3">
      <c r="A2792">
        <v>2791</v>
      </c>
      <c r="B2792">
        <v>77896810</v>
      </c>
      <c r="C2792">
        <v>77896810</v>
      </c>
    </row>
    <row r="2793" spans="1:3">
      <c r="A2793">
        <v>2792</v>
      </c>
      <c r="B2793">
        <v>77952640</v>
      </c>
      <c r="C2793">
        <v>77952640</v>
      </c>
    </row>
    <row r="2794" spans="1:3">
      <c r="A2794">
        <v>2793</v>
      </c>
      <c r="B2794">
        <v>78008490</v>
      </c>
      <c r="C2794">
        <v>78008490</v>
      </c>
    </row>
    <row r="2795" spans="1:3">
      <c r="A2795">
        <v>2794</v>
      </c>
      <c r="B2795">
        <v>78064360</v>
      </c>
      <c r="C2795">
        <v>78064360</v>
      </c>
    </row>
    <row r="2796" spans="1:3">
      <c r="A2796">
        <v>2795</v>
      </c>
      <c r="B2796">
        <v>78120250</v>
      </c>
      <c r="C2796">
        <v>78120250</v>
      </c>
    </row>
    <row r="2797" spans="1:3">
      <c r="A2797">
        <v>2796</v>
      </c>
      <c r="B2797">
        <v>78176160</v>
      </c>
      <c r="C2797">
        <v>78176160</v>
      </c>
    </row>
    <row r="2798" spans="1:3">
      <c r="A2798">
        <v>2797</v>
      </c>
      <c r="B2798">
        <v>78232090</v>
      </c>
      <c r="C2798">
        <v>78232090</v>
      </c>
    </row>
    <row r="2799" spans="1:3">
      <c r="A2799">
        <v>2798</v>
      </c>
      <c r="B2799">
        <v>78288040</v>
      </c>
      <c r="C2799">
        <v>78288040</v>
      </c>
    </row>
    <row r="2800" spans="1:3">
      <c r="A2800">
        <v>2799</v>
      </c>
      <c r="B2800">
        <v>78344010</v>
      </c>
      <c r="C2800">
        <v>78344010</v>
      </c>
    </row>
    <row r="2801" spans="1:3">
      <c r="A2801">
        <v>2800</v>
      </c>
      <c r="B2801">
        <v>78400000</v>
      </c>
      <c r="C2801">
        <v>78400000</v>
      </c>
    </row>
    <row r="2802" spans="1:3">
      <c r="A2802">
        <v>2801</v>
      </c>
      <c r="B2802">
        <v>78456010</v>
      </c>
      <c r="C2802">
        <v>78456010</v>
      </c>
    </row>
    <row r="2803" spans="1:3">
      <c r="A2803">
        <v>2802</v>
      </c>
      <c r="B2803">
        <v>78512040</v>
      </c>
      <c r="C2803">
        <v>78512040</v>
      </c>
    </row>
    <row r="2804" spans="1:3">
      <c r="A2804">
        <v>2803</v>
      </c>
      <c r="B2804">
        <v>78568090</v>
      </c>
      <c r="C2804">
        <v>78568090</v>
      </c>
    </row>
    <row r="2805" spans="1:3">
      <c r="A2805">
        <v>2804</v>
      </c>
      <c r="B2805">
        <v>78624160</v>
      </c>
      <c r="C2805">
        <v>78624160</v>
      </c>
    </row>
    <row r="2806" spans="1:3">
      <c r="A2806">
        <v>2805</v>
      </c>
      <c r="B2806">
        <v>78680250</v>
      </c>
      <c r="C2806">
        <v>78680250</v>
      </c>
    </row>
    <row r="2807" spans="1:3">
      <c r="A2807">
        <v>2806</v>
      </c>
      <c r="B2807">
        <v>78736360</v>
      </c>
      <c r="C2807">
        <v>78736360</v>
      </c>
    </row>
    <row r="2808" spans="1:3">
      <c r="A2808">
        <v>2807</v>
      </c>
      <c r="B2808">
        <v>78792490</v>
      </c>
      <c r="C2808">
        <v>78792490</v>
      </c>
    </row>
    <row r="2809" spans="1:3">
      <c r="A2809">
        <v>2808</v>
      </c>
      <c r="B2809">
        <v>78848640</v>
      </c>
      <c r="C2809">
        <v>78848640</v>
      </c>
    </row>
    <row r="2810" spans="1:3">
      <c r="A2810">
        <v>2809</v>
      </c>
      <c r="B2810">
        <v>78904810</v>
      </c>
      <c r="C2810">
        <v>78904810</v>
      </c>
    </row>
    <row r="2811" spans="1:3">
      <c r="A2811">
        <v>2810</v>
      </c>
      <c r="B2811">
        <v>78961000</v>
      </c>
      <c r="C2811">
        <v>78961000</v>
      </c>
    </row>
    <row r="2812" spans="1:3">
      <c r="A2812">
        <v>2811</v>
      </c>
      <c r="B2812">
        <v>79017210</v>
      </c>
      <c r="C2812">
        <v>79017210</v>
      </c>
    </row>
    <row r="2813" spans="1:3">
      <c r="A2813">
        <v>2812</v>
      </c>
      <c r="B2813">
        <v>79073440</v>
      </c>
      <c r="C2813">
        <v>79073440</v>
      </c>
    </row>
    <row r="2814" spans="1:3">
      <c r="A2814">
        <v>2813</v>
      </c>
      <c r="B2814">
        <v>79129690</v>
      </c>
      <c r="C2814">
        <v>79129690</v>
      </c>
    </row>
    <row r="2815" spans="1:3">
      <c r="A2815">
        <v>2814</v>
      </c>
      <c r="B2815">
        <v>79185960</v>
      </c>
      <c r="C2815">
        <v>79185960</v>
      </c>
    </row>
    <row r="2816" spans="1:3">
      <c r="A2816">
        <v>2815</v>
      </c>
      <c r="B2816">
        <v>79242250</v>
      </c>
      <c r="C2816">
        <v>79242250</v>
      </c>
    </row>
    <row r="2817" spans="1:3">
      <c r="A2817">
        <v>2816</v>
      </c>
      <c r="B2817">
        <v>79298560</v>
      </c>
      <c r="C2817">
        <v>79298560</v>
      </c>
    </row>
    <row r="2818" spans="1:3">
      <c r="A2818">
        <v>2817</v>
      </c>
      <c r="B2818">
        <v>79354890</v>
      </c>
      <c r="C2818">
        <v>79354890</v>
      </c>
    </row>
    <row r="2819" spans="1:3">
      <c r="A2819">
        <v>2818</v>
      </c>
      <c r="B2819">
        <v>79411240</v>
      </c>
      <c r="C2819">
        <v>79411240</v>
      </c>
    </row>
    <row r="2820" spans="1:3">
      <c r="A2820">
        <v>2819</v>
      </c>
      <c r="B2820">
        <v>79467610</v>
      </c>
      <c r="C2820">
        <v>79467610</v>
      </c>
    </row>
    <row r="2821" spans="1:3">
      <c r="A2821">
        <v>2820</v>
      </c>
      <c r="B2821">
        <v>79524000</v>
      </c>
      <c r="C2821">
        <v>79524000</v>
      </c>
    </row>
    <row r="2822" spans="1:3">
      <c r="A2822">
        <v>2821</v>
      </c>
      <c r="B2822">
        <v>79580410</v>
      </c>
      <c r="C2822">
        <v>79580410</v>
      </c>
    </row>
    <row r="2823" spans="1:3">
      <c r="A2823">
        <v>2822</v>
      </c>
      <c r="B2823">
        <v>79636840</v>
      </c>
      <c r="C2823">
        <v>79636840</v>
      </c>
    </row>
    <row r="2824" spans="1:3">
      <c r="A2824">
        <v>2823</v>
      </c>
      <c r="B2824">
        <v>79693290</v>
      </c>
      <c r="C2824">
        <v>79693290</v>
      </c>
    </row>
    <row r="2825" spans="1:3">
      <c r="A2825">
        <v>2824</v>
      </c>
      <c r="B2825">
        <v>79749760</v>
      </c>
      <c r="C2825">
        <v>79749760</v>
      </c>
    </row>
    <row r="2826" spans="1:3">
      <c r="A2826">
        <v>2825</v>
      </c>
      <c r="B2826">
        <v>79806250</v>
      </c>
      <c r="C2826">
        <v>79806250</v>
      </c>
    </row>
    <row r="2827" spans="1:3">
      <c r="A2827">
        <v>2826</v>
      </c>
      <c r="B2827">
        <v>79862760</v>
      </c>
      <c r="C2827">
        <v>79862760</v>
      </c>
    </row>
    <row r="2828" spans="1:3">
      <c r="A2828">
        <v>2827</v>
      </c>
      <c r="B2828">
        <v>79919290</v>
      </c>
      <c r="C2828">
        <v>79919290</v>
      </c>
    </row>
    <row r="2829" spans="1:3">
      <c r="A2829">
        <v>2828</v>
      </c>
      <c r="B2829">
        <v>79975840</v>
      </c>
      <c r="C2829">
        <v>79975840</v>
      </c>
    </row>
    <row r="2830" spans="1:3">
      <c r="A2830">
        <v>2829</v>
      </c>
      <c r="B2830">
        <v>80032410</v>
      </c>
      <c r="C2830">
        <v>80032410</v>
      </c>
    </row>
    <row r="2831" spans="1:3">
      <c r="A2831">
        <v>2830</v>
      </c>
      <c r="B2831">
        <v>80089000</v>
      </c>
      <c r="C2831">
        <v>80089000</v>
      </c>
    </row>
    <row r="2832" spans="1:3">
      <c r="A2832">
        <v>2831</v>
      </c>
      <c r="B2832">
        <v>80145610</v>
      </c>
      <c r="C2832">
        <v>80145610</v>
      </c>
    </row>
    <row r="2833" spans="1:3">
      <c r="A2833">
        <v>2832</v>
      </c>
      <c r="B2833">
        <v>80202240</v>
      </c>
      <c r="C2833">
        <v>80202240</v>
      </c>
    </row>
    <row r="2834" spans="1:3">
      <c r="A2834">
        <v>2833</v>
      </c>
      <c r="B2834">
        <v>80258890</v>
      </c>
      <c r="C2834">
        <v>80258890</v>
      </c>
    </row>
    <row r="2835" spans="1:3">
      <c r="A2835">
        <v>2834</v>
      </c>
      <c r="B2835">
        <v>80315560</v>
      </c>
      <c r="C2835">
        <v>80315560</v>
      </c>
    </row>
    <row r="2836" spans="1:3">
      <c r="A2836">
        <v>2835</v>
      </c>
      <c r="B2836">
        <v>80372250</v>
      </c>
      <c r="C2836">
        <v>80372250</v>
      </c>
    </row>
    <row r="2837" spans="1:3">
      <c r="A2837">
        <v>2836</v>
      </c>
      <c r="B2837">
        <v>80428960</v>
      </c>
      <c r="C2837">
        <v>80428960</v>
      </c>
    </row>
    <row r="2838" spans="1:3">
      <c r="A2838">
        <v>2837</v>
      </c>
      <c r="B2838">
        <v>80485690</v>
      </c>
      <c r="C2838">
        <v>80485690</v>
      </c>
    </row>
    <row r="2839" spans="1:3">
      <c r="A2839">
        <v>2838</v>
      </c>
      <c r="B2839">
        <v>80542440</v>
      </c>
      <c r="C2839">
        <v>80542440</v>
      </c>
    </row>
    <row r="2840" spans="1:3">
      <c r="A2840">
        <v>2839</v>
      </c>
      <c r="B2840">
        <v>80599210</v>
      </c>
      <c r="C2840">
        <v>80599210</v>
      </c>
    </row>
    <row r="2841" spans="1:3">
      <c r="A2841">
        <v>2840</v>
      </c>
      <c r="B2841">
        <v>80656000</v>
      </c>
      <c r="C2841">
        <v>80656000</v>
      </c>
    </row>
    <row r="2842" spans="1:3">
      <c r="A2842">
        <v>2841</v>
      </c>
      <c r="B2842">
        <v>80712810</v>
      </c>
      <c r="C2842">
        <v>80712810</v>
      </c>
    </row>
    <row r="2843" spans="1:3">
      <c r="A2843">
        <v>2842</v>
      </c>
      <c r="B2843">
        <v>80769640</v>
      </c>
      <c r="C2843">
        <v>80769640</v>
      </c>
    </row>
    <row r="2844" spans="1:3">
      <c r="A2844">
        <v>2843</v>
      </c>
      <c r="B2844">
        <v>80826490</v>
      </c>
      <c r="C2844">
        <v>80826490</v>
      </c>
    </row>
    <row r="2845" spans="1:3">
      <c r="A2845">
        <v>2844</v>
      </c>
      <c r="B2845">
        <v>80883360</v>
      </c>
      <c r="C2845">
        <v>80883360</v>
      </c>
    </row>
    <row r="2846" spans="1:3">
      <c r="A2846">
        <v>2845</v>
      </c>
      <c r="B2846">
        <v>80940250</v>
      </c>
      <c r="C2846">
        <v>80940250</v>
      </c>
    </row>
    <row r="2847" spans="1:3">
      <c r="A2847">
        <v>2846</v>
      </c>
      <c r="B2847">
        <v>80997160</v>
      </c>
      <c r="C2847">
        <v>80997160</v>
      </c>
    </row>
    <row r="2848" spans="1:3">
      <c r="A2848">
        <v>2847</v>
      </c>
      <c r="B2848">
        <v>81054090</v>
      </c>
      <c r="C2848">
        <v>81054090</v>
      </c>
    </row>
    <row r="2849" spans="1:3">
      <c r="A2849">
        <v>2848</v>
      </c>
      <c r="B2849">
        <v>81111040</v>
      </c>
      <c r="C2849">
        <v>81111040</v>
      </c>
    </row>
    <row r="2850" spans="1:3">
      <c r="A2850">
        <v>2849</v>
      </c>
      <c r="B2850">
        <v>81168010</v>
      </c>
      <c r="C2850">
        <v>81168010</v>
      </c>
    </row>
    <row r="2851" spans="1:3">
      <c r="A2851">
        <v>2850</v>
      </c>
      <c r="B2851">
        <v>81225000</v>
      </c>
      <c r="C2851">
        <v>81225000</v>
      </c>
    </row>
    <row r="2852" spans="1:3">
      <c r="A2852">
        <v>2851</v>
      </c>
      <c r="B2852">
        <v>81282010</v>
      </c>
      <c r="C2852">
        <v>81282010</v>
      </c>
    </row>
    <row r="2853" spans="1:3">
      <c r="A2853">
        <v>2852</v>
      </c>
      <c r="B2853">
        <v>81339040</v>
      </c>
      <c r="C2853">
        <v>81339040</v>
      </c>
    </row>
    <row r="2854" spans="1:3">
      <c r="A2854">
        <v>2853</v>
      </c>
      <c r="B2854">
        <v>81396090</v>
      </c>
      <c r="C2854">
        <v>81396090</v>
      </c>
    </row>
    <row r="2855" spans="1:3">
      <c r="A2855">
        <v>2854</v>
      </c>
      <c r="B2855">
        <v>81453160</v>
      </c>
      <c r="C2855">
        <v>81453160</v>
      </c>
    </row>
    <row r="2856" spans="1:3">
      <c r="A2856">
        <v>2855</v>
      </c>
      <c r="B2856">
        <v>81510250</v>
      </c>
      <c r="C2856">
        <v>81510250</v>
      </c>
    </row>
    <row r="2857" spans="1:3">
      <c r="A2857">
        <v>2856</v>
      </c>
      <c r="B2857">
        <v>81567360</v>
      </c>
      <c r="C2857">
        <v>81567360</v>
      </c>
    </row>
    <row r="2858" spans="1:3">
      <c r="A2858">
        <v>2857</v>
      </c>
      <c r="B2858">
        <v>81624490</v>
      </c>
      <c r="C2858">
        <v>81624490</v>
      </c>
    </row>
    <row r="2859" spans="1:3">
      <c r="A2859">
        <v>2858</v>
      </c>
      <c r="B2859">
        <v>81681640</v>
      </c>
      <c r="C2859">
        <v>81681640</v>
      </c>
    </row>
    <row r="2860" spans="1:3">
      <c r="A2860">
        <v>2859</v>
      </c>
      <c r="B2860">
        <v>81738810</v>
      </c>
      <c r="C2860">
        <v>81738810</v>
      </c>
    </row>
    <row r="2861" spans="1:3">
      <c r="A2861">
        <v>2860</v>
      </c>
      <c r="B2861">
        <v>81796000</v>
      </c>
      <c r="C2861">
        <v>81796000</v>
      </c>
    </row>
    <row r="2862" spans="1:3">
      <c r="A2862">
        <v>2861</v>
      </c>
      <c r="B2862">
        <v>81853210</v>
      </c>
      <c r="C2862">
        <v>81853210</v>
      </c>
    </row>
    <row r="2863" spans="1:3">
      <c r="A2863">
        <v>2862</v>
      </c>
      <c r="B2863">
        <v>81910440</v>
      </c>
      <c r="C2863">
        <v>81910440</v>
      </c>
    </row>
    <row r="2864" spans="1:3">
      <c r="A2864">
        <v>2863</v>
      </c>
      <c r="B2864">
        <v>81967690</v>
      </c>
      <c r="C2864">
        <v>81967690</v>
      </c>
    </row>
    <row r="2865" spans="1:3">
      <c r="A2865">
        <v>2864</v>
      </c>
      <c r="B2865">
        <v>82024960</v>
      </c>
      <c r="C2865">
        <v>82024960</v>
      </c>
    </row>
    <row r="2866" spans="1:3">
      <c r="A2866">
        <v>2865</v>
      </c>
      <c r="B2866">
        <v>82082250</v>
      </c>
      <c r="C2866">
        <v>82082250</v>
      </c>
    </row>
    <row r="2867" spans="1:3">
      <c r="A2867">
        <v>2866</v>
      </c>
      <c r="B2867">
        <v>82139560</v>
      </c>
      <c r="C2867">
        <v>82139560</v>
      </c>
    </row>
    <row r="2868" spans="1:3">
      <c r="A2868">
        <v>2867</v>
      </c>
      <c r="B2868">
        <v>82196890</v>
      </c>
      <c r="C2868">
        <v>82196890</v>
      </c>
    </row>
    <row r="2869" spans="1:3">
      <c r="A2869">
        <v>2868</v>
      </c>
      <c r="B2869">
        <v>82254240</v>
      </c>
      <c r="C2869">
        <v>82254240</v>
      </c>
    </row>
    <row r="2870" spans="1:3">
      <c r="A2870">
        <v>2869</v>
      </c>
      <c r="B2870">
        <v>82311610</v>
      </c>
      <c r="C2870">
        <v>82311610</v>
      </c>
    </row>
    <row r="2871" spans="1:3">
      <c r="A2871">
        <v>2870</v>
      </c>
      <c r="B2871">
        <v>82369000</v>
      </c>
      <c r="C2871">
        <v>82369000</v>
      </c>
    </row>
    <row r="2872" spans="1:3">
      <c r="A2872">
        <v>2871</v>
      </c>
      <c r="B2872">
        <v>82426410</v>
      </c>
      <c r="C2872">
        <v>82426410</v>
      </c>
    </row>
    <row r="2873" spans="1:3">
      <c r="A2873">
        <v>2872</v>
      </c>
      <c r="B2873">
        <v>82483840</v>
      </c>
      <c r="C2873">
        <v>82483840</v>
      </c>
    </row>
    <row r="2874" spans="1:3">
      <c r="A2874">
        <v>2873</v>
      </c>
      <c r="B2874">
        <v>82541290</v>
      </c>
      <c r="C2874">
        <v>82541290</v>
      </c>
    </row>
    <row r="2875" spans="1:3">
      <c r="A2875">
        <v>2874</v>
      </c>
      <c r="B2875">
        <v>82598760</v>
      </c>
      <c r="C2875">
        <v>82598760</v>
      </c>
    </row>
    <row r="2876" spans="1:3">
      <c r="A2876">
        <v>2875</v>
      </c>
      <c r="B2876">
        <v>82656250</v>
      </c>
      <c r="C2876">
        <v>82656250</v>
      </c>
    </row>
    <row r="2877" spans="1:3">
      <c r="A2877">
        <v>2876</v>
      </c>
      <c r="B2877">
        <v>82713760</v>
      </c>
      <c r="C2877">
        <v>82713760</v>
      </c>
    </row>
    <row r="2878" spans="1:3">
      <c r="A2878">
        <v>2877</v>
      </c>
      <c r="B2878">
        <v>82771290</v>
      </c>
      <c r="C2878">
        <v>82771290</v>
      </c>
    </row>
    <row r="2879" spans="1:3">
      <c r="A2879">
        <v>2878</v>
      </c>
      <c r="B2879">
        <v>82828840</v>
      </c>
      <c r="C2879">
        <v>82828840</v>
      </c>
    </row>
    <row r="2880" spans="1:3">
      <c r="A2880">
        <v>2879</v>
      </c>
      <c r="B2880">
        <v>82886410</v>
      </c>
      <c r="C2880">
        <v>82886410</v>
      </c>
    </row>
    <row r="2881" spans="1:3">
      <c r="A2881">
        <v>2880</v>
      </c>
      <c r="B2881">
        <v>82944000</v>
      </c>
      <c r="C2881">
        <v>82944000</v>
      </c>
    </row>
    <row r="2882" spans="1:3">
      <c r="A2882">
        <v>2881</v>
      </c>
      <c r="B2882">
        <v>83001610</v>
      </c>
      <c r="C2882">
        <v>83001610</v>
      </c>
    </row>
    <row r="2883" spans="1:3">
      <c r="A2883">
        <v>2882</v>
      </c>
      <c r="B2883">
        <v>83059240</v>
      </c>
      <c r="C2883">
        <v>83059240</v>
      </c>
    </row>
    <row r="2884" spans="1:3">
      <c r="A2884">
        <v>2883</v>
      </c>
      <c r="B2884">
        <v>83116890</v>
      </c>
      <c r="C2884">
        <v>83116890</v>
      </c>
    </row>
    <row r="2885" spans="1:3">
      <c r="A2885">
        <v>2884</v>
      </c>
      <c r="B2885">
        <v>83174560</v>
      </c>
      <c r="C2885">
        <v>83174560</v>
      </c>
    </row>
    <row r="2886" spans="1:3">
      <c r="A2886">
        <v>2885</v>
      </c>
      <c r="B2886">
        <v>83232250</v>
      </c>
      <c r="C2886">
        <v>83232250</v>
      </c>
    </row>
    <row r="2887" spans="1:3">
      <c r="A2887">
        <v>2886</v>
      </c>
      <c r="B2887">
        <v>83289960</v>
      </c>
      <c r="C2887">
        <v>83289960</v>
      </c>
    </row>
    <row r="2888" spans="1:3">
      <c r="A2888">
        <v>2887</v>
      </c>
      <c r="B2888">
        <v>83347690</v>
      </c>
      <c r="C2888">
        <v>83347690</v>
      </c>
    </row>
    <row r="2889" spans="1:3">
      <c r="A2889">
        <v>2888</v>
      </c>
      <c r="B2889">
        <v>83405440</v>
      </c>
      <c r="C2889">
        <v>83405440</v>
      </c>
    </row>
    <row r="2890" spans="1:3">
      <c r="A2890">
        <v>2889</v>
      </c>
      <c r="B2890">
        <v>83463210</v>
      </c>
      <c r="C2890">
        <v>83463210</v>
      </c>
    </row>
    <row r="2891" spans="1:3">
      <c r="A2891">
        <v>2890</v>
      </c>
      <c r="B2891">
        <v>83521000</v>
      </c>
      <c r="C2891">
        <v>83521000</v>
      </c>
    </row>
    <row r="2892" spans="1:3">
      <c r="A2892">
        <v>2891</v>
      </c>
      <c r="B2892">
        <v>83578810</v>
      </c>
      <c r="C2892">
        <v>83578810</v>
      </c>
    </row>
    <row r="2893" spans="1:3">
      <c r="A2893">
        <v>2892</v>
      </c>
      <c r="B2893">
        <v>83636640</v>
      </c>
      <c r="C2893">
        <v>83636640</v>
      </c>
    </row>
    <row r="2894" spans="1:3">
      <c r="A2894">
        <v>2893</v>
      </c>
      <c r="B2894">
        <v>83694490</v>
      </c>
      <c r="C2894">
        <v>83694490</v>
      </c>
    </row>
    <row r="2895" spans="1:3">
      <c r="A2895">
        <v>2894</v>
      </c>
      <c r="B2895">
        <v>83752360</v>
      </c>
      <c r="C2895">
        <v>83752360</v>
      </c>
    </row>
    <row r="2896" spans="1:3">
      <c r="A2896">
        <v>2895</v>
      </c>
      <c r="B2896">
        <v>83810250</v>
      </c>
      <c r="C2896">
        <v>83810250</v>
      </c>
    </row>
    <row r="2897" spans="1:3">
      <c r="A2897">
        <v>2896</v>
      </c>
      <c r="B2897">
        <v>83868160</v>
      </c>
      <c r="C2897">
        <v>83868160</v>
      </c>
    </row>
    <row r="2898" spans="1:3">
      <c r="A2898">
        <v>2897</v>
      </c>
      <c r="B2898">
        <v>83926090</v>
      </c>
      <c r="C2898">
        <v>83926090</v>
      </c>
    </row>
    <row r="2899" spans="1:3">
      <c r="A2899">
        <v>2898</v>
      </c>
      <c r="B2899">
        <v>83984040</v>
      </c>
      <c r="C2899">
        <v>83984040</v>
      </c>
    </row>
    <row r="2900" spans="1:3">
      <c r="A2900">
        <v>2899</v>
      </c>
      <c r="B2900">
        <v>84042010</v>
      </c>
      <c r="C2900">
        <v>84042010</v>
      </c>
    </row>
    <row r="2901" spans="1:3">
      <c r="A2901">
        <v>2900</v>
      </c>
      <c r="B2901">
        <v>84100000</v>
      </c>
      <c r="C2901">
        <v>84100000</v>
      </c>
    </row>
    <row r="2902" spans="1:3">
      <c r="A2902">
        <v>2901</v>
      </c>
      <c r="B2902">
        <v>84158010</v>
      </c>
      <c r="C2902">
        <v>84158010</v>
      </c>
    </row>
    <row r="2903" spans="1:3">
      <c r="A2903">
        <v>2902</v>
      </c>
      <c r="B2903">
        <v>84216040</v>
      </c>
      <c r="C2903">
        <v>84216040</v>
      </c>
    </row>
    <row r="2904" spans="1:3">
      <c r="A2904">
        <v>2903</v>
      </c>
      <c r="B2904">
        <v>84274090</v>
      </c>
      <c r="C2904">
        <v>84274090</v>
      </c>
    </row>
    <row r="2905" spans="1:3">
      <c r="A2905">
        <v>2904</v>
      </c>
      <c r="B2905">
        <v>84332160</v>
      </c>
      <c r="C2905">
        <v>84332160</v>
      </c>
    </row>
    <row r="2906" spans="1:3">
      <c r="A2906">
        <v>2905</v>
      </c>
      <c r="B2906">
        <v>84390250</v>
      </c>
      <c r="C2906">
        <v>84390250</v>
      </c>
    </row>
    <row r="2907" spans="1:3">
      <c r="A2907">
        <v>2906</v>
      </c>
      <c r="B2907">
        <v>84448360</v>
      </c>
      <c r="C2907">
        <v>84448360</v>
      </c>
    </row>
    <row r="2908" spans="1:3">
      <c r="A2908">
        <v>2907</v>
      </c>
      <c r="B2908">
        <v>84506490</v>
      </c>
      <c r="C2908">
        <v>84506490</v>
      </c>
    </row>
    <row r="2909" spans="1:3">
      <c r="A2909">
        <v>2908</v>
      </c>
      <c r="B2909">
        <v>84564640</v>
      </c>
      <c r="C2909">
        <v>84564640</v>
      </c>
    </row>
    <row r="2910" spans="1:3">
      <c r="A2910">
        <v>2909</v>
      </c>
      <c r="B2910">
        <v>84622810</v>
      </c>
      <c r="C2910">
        <v>84622810</v>
      </c>
    </row>
    <row r="2911" spans="1:3">
      <c r="A2911">
        <v>2910</v>
      </c>
      <c r="B2911">
        <v>84681000</v>
      </c>
      <c r="C2911">
        <v>84681000</v>
      </c>
    </row>
    <row r="2912" spans="1:3">
      <c r="A2912">
        <v>2911</v>
      </c>
      <c r="B2912">
        <v>84739210</v>
      </c>
      <c r="C2912">
        <v>84739210</v>
      </c>
    </row>
    <row r="2913" spans="1:3">
      <c r="A2913">
        <v>2912</v>
      </c>
      <c r="B2913">
        <v>84797440</v>
      </c>
      <c r="C2913">
        <v>84797440</v>
      </c>
    </row>
    <row r="2914" spans="1:3">
      <c r="A2914">
        <v>2913</v>
      </c>
      <c r="B2914">
        <v>84855690</v>
      </c>
      <c r="C2914">
        <v>84855690</v>
      </c>
    </row>
    <row r="2915" spans="1:3">
      <c r="A2915">
        <v>2914</v>
      </c>
      <c r="B2915">
        <v>84913960</v>
      </c>
      <c r="C2915">
        <v>84913960</v>
      </c>
    </row>
    <row r="2916" spans="1:3">
      <c r="A2916">
        <v>2915</v>
      </c>
      <c r="B2916">
        <v>84972250</v>
      </c>
      <c r="C2916">
        <v>84972250</v>
      </c>
    </row>
    <row r="2917" spans="1:3">
      <c r="A2917">
        <v>2916</v>
      </c>
      <c r="B2917">
        <v>85030560</v>
      </c>
      <c r="C2917">
        <v>85030560</v>
      </c>
    </row>
    <row r="2918" spans="1:3">
      <c r="A2918">
        <v>2917</v>
      </c>
      <c r="B2918">
        <v>85088890</v>
      </c>
      <c r="C2918">
        <v>85088890</v>
      </c>
    </row>
    <row r="2919" spans="1:3">
      <c r="A2919">
        <v>2918</v>
      </c>
      <c r="B2919">
        <v>85147240</v>
      </c>
      <c r="C2919">
        <v>85147240</v>
      </c>
    </row>
    <row r="2920" spans="1:3">
      <c r="A2920">
        <v>2919</v>
      </c>
      <c r="B2920">
        <v>85205610</v>
      </c>
      <c r="C2920">
        <v>85205610</v>
      </c>
    </row>
    <row r="2921" spans="1:3">
      <c r="A2921">
        <v>2920</v>
      </c>
      <c r="B2921">
        <v>85264000</v>
      </c>
      <c r="C2921">
        <v>85264000</v>
      </c>
    </row>
    <row r="2922" spans="1:3">
      <c r="A2922">
        <v>2921</v>
      </c>
      <c r="B2922">
        <v>85322410</v>
      </c>
      <c r="C2922">
        <v>85322410</v>
      </c>
    </row>
    <row r="2923" spans="1:3">
      <c r="A2923">
        <v>2922</v>
      </c>
      <c r="B2923">
        <v>85380840</v>
      </c>
      <c r="C2923">
        <v>85380840</v>
      </c>
    </row>
    <row r="2924" spans="1:3">
      <c r="A2924">
        <v>2923</v>
      </c>
      <c r="B2924">
        <v>85439290</v>
      </c>
      <c r="C2924">
        <v>85439290</v>
      </c>
    </row>
    <row r="2925" spans="1:3">
      <c r="A2925">
        <v>2924</v>
      </c>
      <c r="B2925">
        <v>85497760</v>
      </c>
      <c r="C2925">
        <v>85497760</v>
      </c>
    </row>
    <row r="2926" spans="1:3">
      <c r="A2926">
        <v>2925</v>
      </c>
      <c r="B2926">
        <v>85556250</v>
      </c>
      <c r="C2926">
        <v>85556250</v>
      </c>
    </row>
    <row r="2927" spans="1:3">
      <c r="A2927">
        <v>2926</v>
      </c>
      <c r="B2927">
        <v>85614760</v>
      </c>
      <c r="C2927">
        <v>85614760</v>
      </c>
    </row>
    <row r="2928" spans="1:3">
      <c r="A2928">
        <v>2927</v>
      </c>
      <c r="B2928">
        <v>85673290</v>
      </c>
      <c r="C2928">
        <v>85673290</v>
      </c>
    </row>
    <row r="2929" spans="1:3">
      <c r="A2929">
        <v>2928</v>
      </c>
      <c r="B2929">
        <v>85731840</v>
      </c>
      <c r="C2929">
        <v>85731840</v>
      </c>
    </row>
    <row r="2930" spans="1:3">
      <c r="A2930">
        <v>2929</v>
      </c>
      <c r="B2930">
        <v>85790410</v>
      </c>
      <c r="C2930">
        <v>85790410</v>
      </c>
    </row>
    <row r="2931" spans="1:3">
      <c r="A2931">
        <v>2930</v>
      </c>
      <c r="B2931">
        <v>85849000</v>
      </c>
      <c r="C2931">
        <v>85849000</v>
      </c>
    </row>
    <row r="2932" spans="1:3">
      <c r="A2932">
        <v>2931</v>
      </c>
      <c r="B2932">
        <v>85907610</v>
      </c>
      <c r="C2932">
        <v>85907610</v>
      </c>
    </row>
    <row r="2933" spans="1:3">
      <c r="A2933">
        <v>2932</v>
      </c>
      <c r="B2933">
        <v>85966240</v>
      </c>
      <c r="C2933">
        <v>85966240</v>
      </c>
    </row>
    <row r="2934" spans="1:3">
      <c r="A2934">
        <v>2933</v>
      </c>
      <c r="B2934">
        <v>86024890</v>
      </c>
      <c r="C2934">
        <v>86024890</v>
      </c>
    </row>
    <row r="2935" spans="1:3">
      <c r="A2935">
        <v>2934</v>
      </c>
      <c r="B2935">
        <v>86083560</v>
      </c>
      <c r="C2935">
        <v>86083560</v>
      </c>
    </row>
    <row r="2936" spans="1:3">
      <c r="A2936">
        <v>2935</v>
      </c>
      <c r="B2936">
        <v>86142250</v>
      </c>
      <c r="C2936">
        <v>86142250</v>
      </c>
    </row>
    <row r="2937" spans="1:3">
      <c r="A2937">
        <v>2936</v>
      </c>
      <c r="B2937">
        <v>86200960</v>
      </c>
      <c r="C2937">
        <v>86200960</v>
      </c>
    </row>
    <row r="2938" spans="1:3">
      <c r="A2938">
        <v>2937</v>
      </c>
      <c r="B2938">
        <v>86259690</v>
      </c>
      <c r="C2938">
        <v>86259690</v>
      </c>
    </row>
    <row r="2939" spans="1:3">
      <c r="A2939">
        <v>2938</v>
      </c>
      <c r="B2939">
        <v>86318440</v>
      </c>
      <c r="C2939">
        <v>86318440</v>
      </c>
    </row>
    <row r="2940" spans="1:3">
      <c r="A2940">
        <v>2939</v>
      </c>
      <c r="B2940">
        <v>86377210</v>
      </c>
      <c r="C2940">
        <v>86377210</v>
      </c>
    </row>
    <row r="2941" spans="1:3">
      <c r="A2941">
        <v>2940</v>
      </c>
      <c r="B2941">
        <v>86436000</v>
      </c>
      <c r="C2941">
        <v>86436000</v>
      </c>
    </row>
    <row r="2942" spans="1:3">
      <c r="A2942">
        <v>2941</v>
      </c>
      <c r="B2942">
        <v>86494810</v>
      </c>
      <c r="C2942">
        <v>86494810</v>
      </c>
    </row>
    <row r="2943" spans="1:3">
      <c r="A2943">
        <v>2942</v>
      </c>
      <c r="B2943">
        <v>86553640</v>
      </c>
      <c r="C2943">
        <v>86553640</v>
      </c>
    </row>
    <row r="2944" spans="1:3">
      <c r="A2944">
        <v>2943</v>
      </c>
      <c r="B2944">
        <v>86612490</v>
      </c>
      <c r="C2944">
        <v>86612490</v>
      </c>
    </row>
    <row r="2945" spans="1:3">
      <c r="A2945">
        <v>2944</v>
      </c>
      <c r="B2945">
        <v>86671360</v>
      </c>
      <c r="C2945">
        <v>86671360</v>
      </c>
    </row>
    <row r="2946" spans="1:3">
      <c r="A2946">
        <v>2945</v>
      </c>
      <c r="B2946">
        <v>86730250</v>
      </c>
      <c r="C2946">
        <v>86730250</v>
      </c>
    </row>
    <row r="2947" spans="1:3">
      <c r="A2947">
        <v>2946</v>
      </c>
      <c r="B2947">
        <v>86789160</v>
      </c>
      <c r="C2947">
        <v>86789160</v>
      </c>
    </row>
    <row r="2948" spans="1:3">
      <c r="A2948">
        <v>2947</v>
      </c>
      <c r="B2948">
        <v>86848090</v>
      </c>
      <c r="C2948">
        <v>86848090</v>
      </c>
    </row>
    <row r="2949" spans="1:3">
      <c r="A2949">
        <v>2948</v>
      </c>
      <c r="B2949">
        <v>86907040</v>
      </c>
      <c r="C2949">
        <v>86907040</v>
      </c>
    </row>
    <row r="2950" spans="1:3">
      <c r="A2950">
        <v>2949</v>
      </c>
      <c r="B2950">
        <v>86966010</v>
      </c>
      <c r="C2950">
        <v>86966010</v>
      </c>
    </row>
    <row r="2951" spans="1:3">
      <c r="A2951">
        <v>2950</v>
      </c>
      <c r="B2951">
        <v>87025000</v>
      </c>
      <c r="C2951">
        <v>87025000</v>
      </c>
    </row>
    <row r="2952" spans="1:3">
      <c r="A2952">
        <v>2951</v>
      </c>
      <c r="B2952">
        <v>87084010</v>
      </c>
      <c r="C2952">
        <v>87084010</v>
      </c>
    </row>
    <row r="2953" spans="1:3">
      <c r="A2953">
        <v>2952</v>
      </c>
      <c r="B2953">
        <v>87143040</v>
      </c>
      <c r="C2953">
        <v>87143040</v>
      </c>
    </row>
    <row r="2954" spans="1:3">
      <c r="A2954">
        <v>2953</v>
      </c>
      <c r="B2954">
        <v>87202090</v>
      </c>
      <c r="C2954">
        <v>87202090</v>
      </c>
    </row>
    <row r="2955" spans="1:3">
      <c r="A2955">
        <v>2954</v>
      </c>
      <c r="B2955">
        <v>87261160</v>
      </c>
      <c r="C2955">
        <v>87261160</v>
      </c>
    </row>
    <row r="2956" spans="1:3">
      <c r="A2956">
        <v>2955</v>
      </c>
      <c r="B2956">
        <v>87320250</v>
      </c>
      <c r="C2956">
        <v>87320250</v>
      </c>
    </row>
    <row r="2957" spans="1:3">
      <c r="A2957">
        <v>2956</v>
      </c>
      <c r="B2957">
        <v>87379360</v>
      </c>
      <c r="C2957">
        <v>87379360</v>
      </c>
    </row>
    <row r="2958" spans="1:3">
      <c r="A2958">
        <v>2957</v>
      </c>
      <c r="B2958">
        <v>87438490</v>
      </c>
      <c r="C2958">
        <v>87438490</v>
      </c>
    </row>
    <row r="2959" spans="1:3">
      <c r="A2959">
        <v>2958</v>
      </c>
      <c r="B2959">
        <v>87497640</v>
      </c>
      <c r="C2959">
        <v>87497640</v>
      </c>
    </row>
    <row r="2960" spans="1:3">
      <c r="A2960">
        <v>2959</v>
      </c>
      <c r="B2960">
        <v>87556810</v>
      </c>
      <c r="C2960">
        <v>87556810</v>
      </c>
    </row>
    <row r="2961" spans="1:3">
      <c r="A2961">
        <v>2960</v>
      </c>
      <c r="B2961">
        <v>87616000</v>
      </c>
      <c r="C2961">
        <v>87616000</v>
      </c>
    </row>
    <row r="2962" spans="1:3">
      <c r="A2962">
        <v>2961</v>
      </c>
      <c r="B2962">
        <v>87675210</v>
      </c>
      <c r="C2962">
        <v>87675210</v>
      </c>
    </row>
    <row r="2963" spans="1:3">
      <c r="A2963">
        <v>2962</v>
      </c>
      <c r="B2963">
        <v>87734440</v>
      </c>
      <c r="C2963">
        <v>87734440</v>
      </c>
    </row>
    <row r="2964" spans="1:3">
      <c r="A2964">
        <v>2963</v>
      </c>
      <c r="B2964">
        <v>87793690</v>
      </c>
      <c r="C2964">
        <v>87793690</v>
      </c>
    </row>
    <row r="2965" spans="1:3">
      <c r="A2965">
        <v>2964</v>
      </c>
      <c r="B2965">
        <v>87852960</v>
      </c>
      <c r="C2965">
        <v>87852960</v>
      </c>
    </row>
    <row r="2966" spans="1:3">
      <c r="A2966">
        <v>2965</v>
      </c>
      <c r="B2966">
        <v>87912250</v>
      </c>
      <c r="C2966">
        <v>87912250</v>
      </c>
    </row>
    <row r="2967" spans="1:3">
      <c r="A2967">
        <v>2966</v>
      </c>
      <c r="B2967">
        <v>87971560</v>
      </c>
      <c r="C2967">
        <v>87971560</v>
      </c>
    </row>
    <row r="2968" spans="1:3">
      <c r="A2968">
        <v>2967</v>
      </c>
      <c r="B2968">
        <v>88030890</v>
      </c>
      <c r="C2968">
        <v>88030890</v>
      </c>
    </row>
    <row r="2969" spans="1:3">
      <c r="A2969">
        <v>2968</v>
      </c>
      <c r="B2969">
        <v>88090240</v>
      </c>
      <c r="C2969">
        <v>88090240</v>
      </c>
    </row>
    <row r="2970" spans="1:3">
      <c r="A2970">
        <v>2969</v>
      </c>
      <c r="B2970">
        <v>88149610</v>
      </c>
      <c r="C2970">
        <v>88149610</v>
      </c>
    </row>
    <row r="2971" spans="1:3">
      <c r="A2971">
        <v>2970</v>
      </c>
      <c r="B2971">
        <v>88209000</v>
      </c>
      <c r="C2971">
        <v>88209000</v>
      </c>
    </row>
    <row r="2972" spans="1:3">
      <c r="A2972">
        <v>2971</v>
      </c>
      <c r="B2972">
        <v>88268410</v>
      </c>
      <c r="C2972">
        <v>88268410</v>
      </c>
    </row>
    <row r="2973" spans="1:3">
      <c r="A2973">
        <v>2972</v>
      </c>
      <c r="B2973">
        <v>88327840</v>
      </c>
      <c r="C2973">
        <v>88327840</v>
      </c>
    </row>
    <row r="2974" spans="1:3">
      <c r="A2974">
        <v>2973</v>
      </c>
      <c r="B2974">
        <v>88387290</v>
      </c>
      <c r="C2974">
        <v>88387290</v>
      </c>
    </row>
    <row r="2975" spans="1:3">
      <c r="A2975">
        <v>2974</v>
      </c>
      <c r="B2975">
        <v>88446760</v>
      </c>
      <c r="C2975">
        <v>88446760</v>
      </c>
    </row>
    <row r="2976" spans="1:3">
      <c r="A2976">
        <v>2975</v>
      </c>
      <c r="B2976">
        <v>88506250</v>
      </c>
      <c r="C2976">
        <v>88506250</v>
      </c>
    </row>
    <row r="2977" spans="1:3">
      <c r="A2977">
        <v>2976</v>
      </c>
      <c r="B2977">
        <v>88565760</v>
      </c>
      <c r="C2977">
        <v>88565760</v>
      </c>
    </row>
    <row r="2978" spans="1:3">
      <c r="A2978">
        <v>2977</v>
      </c>
      <c r="B2978">
        <v>88625290</v>
      </c>
      <c r="C2978">
        <v>88625290</v>
      </c>
    </row>
    <row r="2979" spans="1:3">
      <c r="A2979">
        <v>2978</v>
      </c>
      <c r="B2979">
        <v>88684840</v>
      </c>
      <c r="C2979">
        <v>88684840</v>
      </c>
    </row>
    <row r="2980" spans="1:3">
      <c r="A2980">
        <v>2979</v>
      </c>
      <c r="B2980">
        <v>88744410</v>
      </c>
      <c r="C2980">
        <v>88744410</v>
      </c>
    </row>
    <row r="2981" spans="1:3">
      <c r="A2981">
        <v>2980</v>
      </c>
      <c r="B2981">
        <v>88804000</v>
      </c>
      <c r="C2981">
        <v>88804000</v>
      </c>
    </row>
    <row r="2982" spans="1:3">
      <c r="A2982">
        <v>2981</v>
      </c>
      <c r="B2982">
        <v>88863610</v>
      </c>
      <c r="C2982">
        <v>88863610</v>
      </c>
    </row>
    <row r="2983" spans="1:3">
      <c r="A2983">
        <v>2982</v>
      </c>
      <c r="B2983">
        <v>88923240</v>
      </c>
      <c r="C2983">
        <v>88923240</v>
      </c>
    </row>
    <row r="2984" spans="1:3">
      <c r="A2984">
        <v>2983</v>
      </c>
      <c r="B2984">
        <v>88982890</v>
      </c>
      <c r="C2984">
        <v>88982890</v>
      </c>
    </row>
    <row r="2985" spans="1:3">
      <c r="A2985">
        <v>2984</v>
      </c>
      <c r="B2985">
        <v>89042560</v>
      </c>
      <c r="C2985">
        <v>89042560</v>
      </c>
    </row>
    <row r="2986" spans="1:3">
      <c r="A2986">
        <v>2985</v>
      </c>
      <c r="B2986">
        <v>89102250</v>
      </c>
      <c r="C2986">
        <v>89102250</v>
      </c>
    </row>
    <row r="2987" spans="1:3">
      <c r="A2987">
        <v>2986</v>
      </c>
      <c r="B2987">
        <v>89161960</v>
      </c>
      <c r="C2987">
        <v>89161960</v>
      </c>
    </row>
    <row r="2988" spans="1:3">
      <c r="A2988">
        <v>2987</v>
      </c>
      <c r="B2988">
        <v>89221690</v>
      </c>
      <c r="C2988">
        <v>89221690</v>
      </c>
    </row>
    <row r="2989" spans="1:3">
      <c r="A2989">
        <v>2988</v>
      </c>
      <c r="B2989">
        <v>89281440</v>
      </c>
      <c r="C2989">
        <v>89281440</v>
      </c>
    </row>
    <row r="2990" spans="1:3">
      <c r="A2990">
        <v>2989</v>
      </c>
      <c r="B2990">
        <v>89341210</v>
      </c>
      <c r="C2990">
        <v>89341210</v>
      </c>
    </row>
    <row r="2991" spans="1:3">
      <c r="A2991">
        <v>2990</v>
      </c>
      <c r="B2991">
        <v>89401000</v>
      </c>
      <c r="C2991">
        <v>89401000</v>
      </c>
    </row>
    <row r="2992" spans="1:3">
      <c r="A2992">
        <v>2991</v>
      </c>
      <c r="B2992">
        <v>89460810</v>
      </c>
      <c r="C2992">
        <v>89460810</v>
      </c>
    </row>
    <row r="2993" spans="1:3">
      <c r="A2993">
        <v>2992</v>
      </c>
      <c r="B2993">
        <v>89520640</v>
      </c>
      <c r="C2993">
        <v>89520640</v>
      </c>
    </row>
    <row r="2994" spans="1:3">
      <c r="A2994">
        <v>2993</v>
      </c>
      <c r="B2994">
        <v>89580490</v>
      </c>
      <c r="C2994">
        <v>89580490</v>
      </c>
    </row>
    <row r="2995" spans="1:3">
      <c r="A2995">
        <v>2994</v>
      </c>
      <c r="B2995">
        <v>89640360</v>
      </c>
      <c r="C2995">
        <v>89640360</v>
      </c>
    </row>
    <row r="2996" spans="1:3">
      <c r="A2996">
        <v>2995</v>
      </c>
      <c r="B2996">
        <v>89700250</v>
      </c>
      <c r="C2996">
        <v>89700250</v>
      </c>
    </row>
    <row r="2997" spans="1:3">
      <c r="A2997">
        <v>2996</v>
      </c>
      <c r="B2997">
        <v>89760160</v>
      </c>
      <c r="C2997">
        <v>89760160</v>
      </c>
    </row>
    <row r="2998" spans="1:3">
      <c r="A2998">
        <v>2997</v>
      </c>
      <c r="B2998">
        <v>89820090</v>
      </c>
      <c r="C2998">
        <v>89820090</v>
      </c>
    </row>
    <row r="2999" spans="1:3">
      <c r="A2999">
        <v>2998</v>
      </c>
      <c r="B2999">
        <v>89880040</v>
      </c>
      <c r="C2999">
        <v>89880040</v>
      </c>
    </row>
    <row r="3000" spans="1:3">
      <c r="A3000">
        <v>2999</v>
      </c>
      <c r="B3000">
        <v>89940010</v>
      </c>
      <c r="C3000">
        <v>89940010</v>
      </c>
    </row>
    <row r="3001" spans="1:3">
      <c r="A3001">
        <v>3000</v>
      </c>
      <c r="B3001">
        <v>90000000</v>
      </c>
      <c r="C3001">
        <v>90000000</v>
      </c>
    </row>
    <row r="3002" spans="1:3">
      <c r="A3002">
        <v>3001</v>
      </c>
      <c r="B3002">
        <v>90060010</v>
      </c>
      <c r="C3002">
        <v>90060010</v>
      </c>
    </row>
    <row r="3003" spans="1:3">
      <c r="A3003">
        <v>3002</v>
      </c>
      <c r="B3003">
        <v>90120040</v>
      </c>
      <c r="C3003">
        <v>90120040</v>
      </c>
    </row>
    <row r="3004" spans="1:3">
      <c r="A3004">
        <v>3003</v>
      </c>
      <c r="B3004">
        <v>90180090</v>
      </c>
      <c r="C3004">
        <v>90180090</v>
      </c>
    </row>
    <row r="3005" spans="1:3">
      <c r="A3005">
        <v>3004</v>
      </c>
      <c r="B3005">
        <v>90240160</v>
      </c>
      <c r="C3005">
        <v>90240160</v>
      </c>
    </row>
    <row r="3006" spans="1:3">
      <c r="A3006">
        <v>3005</v>
      </c>
      <c r="B3006">
        <v>90300250</v>
      </c>
      <c r="C3006">
        <v>90300250</v>
      </c>
    </row>
    <row r="3007" spans="1:3">
      <c r="A3007">
        <v>3006</v>
      </c>
      <c r="B3007">
        <v>90360360</v>
      </c>
      <c r="C3007">
        <v>90360360</v>
      </c>
    </row>
    <row r="3008" spans="1:3">
      <c r="A3008">
        <v>3007</v>
      </c>
      <c r="B3008">
        <v>90420490</v>
      </c>
      <c r="C3008">
        <v>90420490</v>
      </c>
    </row>
    <row r="3009" spans="1:3">
      <c r="A3009">
        <v>3008</v>
      </c>
      <c r="B3009">
        <v>90480640</v>
      </c>
      <c r="C3009">
        <v>90480640</v>
      </c>
    </row>
    <row r="3010" spans="1:3">
      <c r="A3010">
        <v>3009</v>
      </c>
      <c r="B3010">
        <v>90540810</v>
      </c>
      <c r="C3010">
        <v>90540810</v>
      </c>
    </row>
    <row r="3011" spans="1:3">
      <c r="A3011">
        <v>3010</v>
      </c>
      <c r="B3011">
        <v>90601000</v>
      </c>
      <c r="C3011">
        <v>90601000</v>
      </c>
    </row>
    <row r="3012" spans="1:3">
      <c r="A3012">
        <v>3011</v>
      </c>
      <c r="B3012">
        <v>90661210</v>
      </c>
      <c r="C3012">
        <v>90661210</v>
      </c>
    </row>
    <row r="3013" spans="1:3">
      <c r="A3013">
        <v>3012</v>
      </c>
      <c r="B3013">
        <v>90721440</v>
      </c>
      <c r="C3013">
        <v>90721440</v>
      </c>
    </row>
    <row r="3014" spans="1:3">
      <c r="A3014">
        <v>3013</v>
      </c>
      <c r="B3014">
        <v>90781690</v>
      </c>
      <c r="C3014">
        <v>90781690</v>
      </c>
    </row>
    <row r="3015" spans="1:3">
      <c r="A3015">
        <v>3014</v>
      </c>
      <c r="B3015">
        <v>90841960</v>
      </c>
      <c r="C3015">
        <v>90841960</v>
      </c>
    </row>
    <row r="3016" spans="1:3">
      <c r="A3016">
        <v>3015</v>
      </c>
      <c r="B3016">
        <v>90902250</v>
      </c>
      <c r="C3016">
        <v>90902250</v>
      </c>
    </row>
    <row r="3017" spans="1:3">
      <c r="A3017">
        <v>3016</v>
      </c>
      <c r="B3017">
        <v>90962560</v>
      </c>
      <c r="C3017">
        <v>90962560</v>
      </c>
    </row>
    <row r="3018" spans="1:3">
      <c r="A3018">
        <v>3017</v>
      </c>
      <c r="B3018">
        <v>91022890</v>
      </c>
      <c r="C3018">
        <v>91022890</v>
      </c>
    </row>
    <row r="3019" spans="1:3">
      <c r="A3019">
        <v>3018</v>
      </c>
      <c r="B3019">
        <v>91083240</v>
      </c>
      <c r="C3019">
        <v>91083240</v>
      </c>
    </row>
    <row r="3020" spans="1:3">
      <c r="A3020">
        <v>3019</v>
      </c>
      <c r="B3020">
        <v>91143610</v>
      </c>
      <c r="C3020">
        <v>91143610</v>
      </c>
    </row>
    <row r="3021" spans="1:3">
      <c r="A3021">
        <v>3020</v>
      </c>
      <c r="B3021">
        <v>91204000</v>
      </c>
      <c r="C3021">
        <v>91204000</v>
      </c>
    </row>
    <row r="3022" spans="1:3">
      <c r="A3022">
        <v>3021</v>
      </c>
      <c r="B3022">
        <v>91264410</v>
      </c>
      <c r="C3022">
        <v>91264410</v>
      </c>
    </row>
    <row r="3023" spans="1:3">
      <c r="A3023">
        <v>3022</v>
      </c>
      <c r="B3023">
        <v>91324840</v>
      </c>
      <c r="C3023">
        <v>91324840</v>
      </c>
    </row>
    <row r="3024" spans="1:3">
      <c r="A3024">
        <v>3023</v>
      </c>
      <c r="B3024">
        <v>91385290</v>
      </c>
      <c r="C3024">
        <v>91385290</v>
      </c>
    </row>
    <row r="3025" spans="1:3">
      <c r="A3025">
        <v>3024</v>
      </c>
      <c r="B3025">
        <v>91445760</v>
      </c>
      <c r="C3025">
        <v>91445760</v>
      </c>
    </row>
    <row r="3026" spans="1:3">
      <c r="A3026">
        <v>3025</v>
      </c>
      <c r="B3026">
        <v>91506250</v>
      </c>
      <c r="C3026">
        <v>91506250</v>
      </c>
    </row>
    <row r="3027" spans="1:3">
      <c r="A3027">
        <v>3026</v>
      </c>
      <c r="B3027">
        <v>91566760</v>
      </c>
      <c r="C3027">
        <v>91566760</v>
      </c>
    </row>
    <row r="3028" spans="1:3">
      <c r="A3028">
        <v>3027</v>
      </c>
      <c r="B3028">
        <v>91627290</v>
      </c>
      <c r="C3028">
        <v>91627290</v>
      </c>
    </row>
    <row r="3029" spans="1:3">
      <c r="A3029">
        <v>3028</v>
      </c>
      <c r="B3029">
        <v>91687840</v>
      </c>
      <c r="C3029">
        <v>91687840</v>
      </c>
    </row>
    <row r="3030" spans="1:3">
      <c r="A3030">
        <v>3029</v>
      </c>
      <c r="B3030">
        <v>91748410</v>
      </c>
      <c r="C3030">
        <v>91748410</v>
      </c>
    </row>
    <row r="3031" spans="1:3">
      <c r="A3031">
        <v>3030</v>
      </c>
      <c r="B3031">
        <v>91809000</v>
      </c>
      <c r="C3031">
        <v>91809000</v>
      </c>
    </row>
    <row r="3032" spans="1:3">
      <c r="A3032">
        <v>3031</v>
      </c>
      <c r="B3032">
        <v>91869610</v>
      </c>
      <c r="C3032">
        <v>91869610</v>
      </c>
    </row>
    <row r="3033" spans="1:3">
      <c r="A3033">
        <v>3032</v>
      </c>
      <c r="B3033">
        <v>91930240</v>
      </c>
      <c r="C3033">
        <v>91930240</v>
      </c>
    </row>
    <row r="3034" spans="1:3">
      <c r="A3034">
        <v>3033</v>
      </c>
      <c r="B3034">
        <v>91990890</v>
      </c>
      <c r="C3034">
        <v>91990890</v>
      </c>
    </row>
    <row r="3035" spans="1:3">
      <c r="A3035">
        <v>3034</v>
      </c>
      <c r="B3035">
        <v>92051560</v>
      </c>
      <c r="C3035">
        <v>92051560</v>
      </c>
    </row>
    <row r="3036" spans="1:3">
      <c r="A3036">
        <v>3035</v>
      </c>
      <c r="B3036">
        <v>92112250</v>
      </c>
      <c r="C3036">
        <v>92112250</v>
      </c>
    </row>
    <row r="3037" spans="1:3">
      <c r="A3037">
        <v>3036</v>
      </c>
      <c r="B3037">
        <v>92172960</v>
      </c>
      <c r="C3037">
        <v>92172960</v>
      </c>
    </row>
    <row r="3038" spans="1:3">
      <c r="A3038">
        <v>3037</v>
      </c>
      <c r="B3038">
        <v>92233690</v>
      </c>
      <c r="C3038">
        <v>92233690</v>
      </c>
    </row>
    <row r="3039" spans="1:3">
      <c r="A3039">
        <v>3038</v>
      </c>
      <c r="B3039">
        <v>92294440</v>
      </c>
      <c r="C3039">
        <v>92294440</v>
      </c>
    </row>
    <row r="3040" spans="1:3">
      <c r="A3040">
        <v>3039</v>
      </c>
      <c r="B3040">
        <v>92355210</v>
      </c>
      <c r="C3040">
        <v>92355210</v>
      </c>
    </row>
    <row r="3041" spans="1:3">
      <c r="A3041">
        <v>3040</v>
      </c>
      <c r="B3041">
        <v>92416000</v>
      </c>
      <c r="C3041">
        <v>92416000</v>
      </c>
    </row>
    <row r="3042" spans="1:3">
      <c r="A3042">
        <v>3041</v>
      </c>
      <c r="B3042">
        <v>92476810</v>
      </c>
      <c r="C3042">
        <v>92476810</v>
      </c>
    </row>
    <row r="3043" spans="1:3">
      <c r="A3043">
        <v>3042</v>
      </c>
      <c r="B3043">
        <v>92537640</v>
      </c>
      <c r="C3043">
        <v>92537640</v>
      </c>
    </row>
    <row r="3044" spans="1:3">
      <c r="A3044">
        <v>3043</v>
      </c>
      <c r="B3044">
        <v>92598490</v>
      </c>
      <c r="C3044">
        <v>92598490</v>
      </c>
    </row>
    <row r="3045" spans="1:3">
      <c r="A3045">
        <v>3044</v>
      </c>
      <c r="B3045">
        <v>92659360</v>
      </c>
      <c r="C3045">
        <v>92659360</v>
      </c>
    </row>
    <row r="3046" spans="1:3">
      <c r="A3046">
        <v>3045</v>
      </c>
      <c r="B3046">
        <v>92720250</v>
      </c>
      <c r="C3046">
        <v>92720250</v>
      </c>
    </row>
    <row r="3047" spans="1:3">
      <c r="A3047">
        <v>3046</v>
      </c>
      <c r="B3047">
        <v>92781160</v>
      </c>
      <c r="C3047">
        <v>92781160</v>
      </c>
    </row>
    <row r="3048" spans="1:3">
      <c r="A3048">
        <v>3047</v>
      </c>
      <c r="B3048">
        <v>92842090</v>
      </c>
      <c r="C3048">
        <v>92842090</v>
      </c>
    </row>
    <row r="3049" spans="1:3">
      <c r="A3049">
        <v>3048</v>
      </c>
      <c r="B3049">
        <v>92903040</v>
      </c>
      <c r="C3049">
        <v>92903040</v>
      </c>
    </row>
    <row r="3050" spans="1:3">
      <c r="A3050">
        <v>3049</v>
      </c>
      <c r="B3050">
        <v>92964010</v>
      </c>
      <c r="C3050">
        <v>92964010</v>
      </c>
    </row>
    <row r="3051" spans="1:3">
      <c r="A3051">
        <v>3050</v>
      </c>
      <c r="B3051">
        <v>93025000</v>
      </c>
      <c r="C3051">
        <v>93025000</v>
      </c>
    </row>
    <row r="3052" spans="1:3">
      <c r="A3052">
        <v>3051</v>
      </c>
      <c r="B3052">
        <v>93086010</v>
      </c>
      <c r="C3052">
        <v>93086010</v>
      </c>
    </row>
    <row r="3053" spans="1:3">
      <c r="A3053">
        <v>3052</v>
      </c>
      <c r="B3053">
        <v>93147040</v>
      </c>
      <c r="C3053">
        <v>93147040</v>
      </c>
    </row>
    <row r="3054" spans="1:3">
      <c r="A3054">
        <v>3053</v>
      </c>
      <c r="B3054">
        <v>93208090</v>
      </c>
      <c r="C3054">
        <v>93208090</v>
      </c>
    </row>
    <row r="3055" spans="1:3">
      <c r="A3055">
        <v>3054</v>
      </c>
      <c r="B3055">
        <v>93269160</v>
      </c>
      <c r="C3055">
        <v>93269160</v>
      </c>
    </row>
    <row r="3056" spans="1:3">
      <c r="A3056">
        <v>3055</v>
      </c>
      <c r="B3056">
        <v>93330250</v>
      </c>
      <c r="C3056">
        <v>93330250</v>
      </c>
    </row>
    <row r="3057" spans="1:3">
      <c r="A3057">
        <v>3056</v>
      </c>
      <c r="B3057">
        <v>93391360</v>
      </c>
      <c r="C3057">
        <v>93391360</v>
      </c>
    </row>
    <row r="3058" spans="1:3">
      <c r="A3058">
        <v>3057</v>
      </c>
      <c r="B3058">
        <v>93452490</v>
      </c>
      <c r="C3058">
        <v>93452490</v>
      </c>
    </row>
    <row r="3059" spans="1:3">
      <c r="A3059">
        <v>3058</v>
      </c>
      <c r="B3059">
        <v>93513640</v>
      </c>
      <c r="C3059">
        <v>93513640</v>
      </c>
    </row>
    <row r="3060" spans="1:3">
      <c r="A3060">
        <v>3059</v>
      </c>
      <c r="B3060">
        <v>93574810</v>
      </c>
      <c r="C3060">
        <v>93574810</v>
      </c>
    </row>
    <row r="3061" spans="1:3">
      <c r="A3061">
        <v>3060</v>
      </c>
      <c r="B3061">
        <v>93636000</v>
      </c>
      <c r="C3061">
        <v>93636000</v>
      </c>
    </row>
    <row r="3062" spans="1:3">
      <c r="A3062">
        <v>3061</v>
      </c>
      <c r="B3062">
        <v>93697210</v>
      </c>
      <c r="C3062">
        <v>93697210</v>
      </c>
    </row>
    <row r="3063" spans="1:3">
      <c r="A3063">
        <v>3062</v>
      </c>
      <c r="B3063">
        <v>93758440</v>
      </c>
      <c r="C3063">
        <v>93758440</v>
      </c>
    </row>
    <row r="3064" spans="1:3">
      <c r="A3064">
        <v>3063</v>
      </c>
      <c r="B3064">
        <v>93819690</v>
      </c>
      <c r="C3064">
        <v>93819690</v>
      </c>
    </row>
    <row r="3065" spans="1:3">
      <c r="A3065">
        <v>3064</v>
      </c>
      <c r="B3065">
        <v>93880960</v>
      </c>
      <c r="C3065">
        <v>93880960</v>
      </c>
    </row>
    <row r="3066" spans="1:3">
      <c r="A3066">
        <v>3065</v>
      </c>
      <c r="B3066">
        <v>93942250</v>
      </c>
      <c r="C3066">
        <v>93942250</v>
      </c>
    </row>
    <row r="3067" spans="1:3">
      <c r="A3067">
        <v>3066</v>
      </c>
      <c r="B3067">
        <v>94003560</v>
      </c>
      <c r="C3067">
        <v>94003560</v>
      </c>
    </row>
    <row r="3068" spans="1:3">
      <c r="A3068">
        <v>3067</v>
      </c>
      <c r="B3068">
        <v>94064890</v>
      </c>
      <c r="C3068">
        <v>94064890</v>
      </c>
    </row>
    <row r="3069" spans="1:3">
      <c r="A3069">
        <v>3068</v>
      </c>
      <c r="B3069">
        <v>94126240</v>
      </c>
      <c r="C3069">
        <v>94126240</v>
      </c>
    </row>
    <row r="3070" spans="1:3">
      <c r="A3070">
        <v>3069</v>
      </c>
      <c r="B3070">
        <v>94187610</v>
      </c>
      <c r="C3070">
        <v>94187610</v>
      </c>
    </row>
    <row r="3071" spans="1:3">
      <c r="A3071">
        <v>3070</v>
      </c>
      <c r="B3071">
        <v>94249000</v>
      </c>
      <c r="C3071">
        <v>94249000</v>
      </c>
    </row>
    <row r="3072" spans="1:3">
      <c r="A3072">
        <v>3071</v>
      </c>
      <c r="B3072">
        <v>94310410</v>
      </c>
      <c r="C3072">
        <v>94310410</v>
      </c>
    </row>
    <row r="3073" spans="1:3">
      <c r="A3073">
        <v>3072</v>
      </c>
      <c r="B3073">
        <v>94371840</v>
      </c>
      <c r="C3073">
        <v>94371840</v>
      </c>
    </row>
    <row r="3074" spans="1:3">
      <c r="A3074">
        <v>3073</v>
      </c>
      <c r="B3074">
        <v>94433290</v>
      </c>
      <c r="C3074">
        <v>94433290</v>
      </c>
    </row>
    <row r="3075" spans="1:3">
      <c r="A3075">
        <v>3074</v>
      </c>
      <c r="B3075">
        <v>94494760</v>
      </c>
      <c r="C3075">
        <v>94494760</v>
      </c>
    </row>
    <row r="3076" spans="1:3">
      <c r="A3076">
        <v>3075</v>
      </c>
      <c r="B3076">
        <v>94556250</v>
      </c>
      <c r="C3076">
        <v>94556250</v>
      </c>
    </row>
    <row r="3077" spans="1:3">
      <c r="A3077">
        <v>3076</v>
      </c>
      <c r="B3077">
        <v>94617760</v>
      </c>
      <c r="C3077">
        <v>94617760</v>
      </c>
    </row>
    <row r="3078" spans="1:3">
      <c r="A3078">
        <v>3077</v>
      </c>
      <c r="B3078">
        <v>94679290</v>
      </c>
      <c r="C3078">
        <v>94679290</v>
      </c>
    </row>
    <row r="3079" spans="1:3">
      <c r="A3079">
        <v>3078</v>
      </c>
      <c r="B3079">
        <v>94740840</v>
      </c>
      <c r="C3079">
        <v>94740840</v>
      </c>
    </row>
    <row r="3080" spans="1:3">
      <c r="A3080">
        <v>3079</v>
      </c>
      <c r="B3080">
        <v>94802410</v>
      </c>
      <c r="C3080">
        <v>94802410</v>
      </c>
    </row>
    <row r="3081" spans="1:3">
      <c r="A3081">
        <v>3080</v>
      </c>
      <c r="B3081">
        <v>94864000</v>
      </c>
      <c r="C3081">
        <v>94864000</v>
      </c>
    </row>
    <row r="3082" spans="1:3">
      <c r="A3082">
        <v>3081</v>
      </c>
      <c r="B3082">
        <v>94925610</v>
      </c>
      <c r="C3082">
        <v>94925610</v>
      </c>
    </row>
    <row r="3083" spans="1:3">
      <c r="A3083">
        <v>3082</v>
      </c>
      <c r="B3083">
        <v>94987240</v>
      </c>
      <c r="C3083">
        <v>94987240</v>
      </c>
    </row>
    <row r="3084" spans="1:3">
      <c r="A3084">
        <v>3083</v>
      </c>
      <c r="B3084">
        <v>95048890</v>
      </c>
      <c r="C3084">
        <v>95048890</v>
      </c>
    </row>
    <row r="3085" spans="1:3">
      <c r="A3085">
        <v>3084</v>
      </c>
      <c r="B3085">
        <v>95110560</v>
      </c>
      <c r="C3085">
        <v>95110560</v>
      </c>
    </row>
    <row r="3086" spans="1:3">
      <c r="A3086">
        <v>3085</v>
      </c>
      <c r="B3086">
        <v>95172250</v>
      </c>
      <c r="C3086">
        <v>95172250</v>
      </c>
    </row>
    <row r="3087" spans="1:3">
      <c r="A3087">
        <v>3086</v>
      </c>
      <c r="B3087">
        <v>95233960</v>
      </c>
      <c r="C3087">
        <v>95233960</v>
      </c>
    </row>
    <row r="3088" spans="1:3">
      <c r="A3088">
        <v>3087</v>
      </c>
      <c r="B3088">
        <v>95295690</v>
      </c>
      <c r="C3088">
        <v>95295690</v>
      </c>
    </row>
    <row r="3089" spans="1:3">
      <c r="A3089">
        <v>3088</v>
      </c>
      <c r="B3089">
        <v>95357440</v>
      </c>
      <c r="C3089">
        <v>95357440</v>
      </c>
    </row>
    <row r="3090" spans="1:3">
      <c r="A3090">
        <v>3089</v>
      </c>
      <c r="B3090">
        <v>95419210</v>
      </c>
      <c r="C3090">
        <v>95419210</v>
      </c>
    </row>
    <row r="3091" spans="1:3">
      <c r="A3091">
        <v>3090</v>
      </c>
      <c r="B3091">
        <v>95481000</v>
      </c>
      <c r="C3091">
        <v>95481000</v>
      </c>
    </row>
    <row r="3092" spans="1:3">
      <c r="A3092">
        <v>3091</v>
      </c>
      <c r="B3092">
        <v>95542810</v>
      </c>
      <c r="C3092">
        <v>95542810</v>
      </c>
    </row>
    <row r="3093" spans="1:3">
      <c r="A3093">
        <v>3092</v>
      </c>
      <c r="B3093">
        <v>95604640</v>
      </c>
      <c r="C3093">
        <v>95604640</v>
      </c>
    </row>
    <row r="3094" spans="1:3">
      <c r="A3094">
        <v>3093</v>
      </c>
      <c r="B3094">
        <v>95666490</v>
      </c>
      <c r="C3094">
        <v>95666490</v>
      </c>
    </row>
    <row r="3095" spans="1:3">
      <c r="A3095">
        <v>3094</v>
      </c>
      <c r="B3095">
        <v>95728360</v>
      </c>
      <c r="C3095">
        <v>95728360</v>
      </c>
    </row>
    <row r="3096" spans="1:3">
      <c r="A3096">
        <v>3095</v>
      </c>
      <c r="B3096">
        <v>95790250</v>
      </c>
      <c r="C3096">
        <v>95790250</v>
      </c>
    </row>
    <row r="3097" spans="1:3">
      <c r="A3097">
        <v>3096</v>
      </c>
      <c r="B3097">
        <v>95852160</v>
      </c>
      <c r="C3097">
        <v>95852160</v>
      </c>
    </row>
    <row r="3098" spans="1:3">
      <c r="A3098">
        <v>3097</v>
      </c>
      <c r="B3098">
        <v>95914090</v>
      </c>
      <c r="C3098">
        <v>95914090</v>
      </c>
    </row>
    <row r="3099" spans="1:3">
      <c r="A3099">
        <v>3098</v>
      </c>
      <c r="B3099">
        <v>95976040</v>
      </c>
      <c r="C3099">
        <v>95976040</v>
      </c>
    </row>
    <row r="3100" spans="1:3">
      <c r="A3100">
        <v>3099</v>
      </c>
      <c r="B3100">
        <v>96038010</v>
      </c>
      <c r="C3100">
        <v>96038010</v>
      </c>
    </row>
    <row r="3101" spans="1:3">
      <c r="A3101">
        <v>3100</v>
      </c>
      <c r="B3101">
        <v>96100000</v>
      </c>
      <c r="C3101">
        <v>96100000</v>
      </c>
    </row>
    <row r="3102" spans="1:3">
      <c r="A3102">
        <v>3101</v>
      </c>
      <c r="B3102">
        <v>96162010</v>
      </c>
      <c r="C3102">
        <v>96162010</v>
      </c>
    </row>
    <row r="3103" spans="1:3">
      <c r="A3103">
        <v>3102</v>
      </c>
      <c r="B3103">
        <v>96224040</v>
      </c>
      <c r="C3103">
        <v>96224040</v>
      </c>
    </row>
    <row r="3104" spans="1:3">
      <c r="A3104">
        <v>3103</v>
      </c>
      <c r="B3104">
        <v>96286090</v>
      </c>
      <c r="C3104">
        <v>96286090</v>
      </c>
    </row>
    <row r="3105" spans="1:3">
      <c r="A3105">
        <v>3104</v>
      </c>
      <c r="B3105">
        <v>96348160</v>
      </c>
      <c r="C3105">
        <v>96348160</v>
      </c>
    </row>
    <row r="3106" spans="1:3">
      <c r="A3106">
        <v>3105</v>
      </c>
      <c r="B3106">
        <v>96410250</v>
      </c>
      <c r="C3106">
        <v>96410250</v>
      </c>
    </row>
    <row r="3107" spans="1:3">
      <c r="A3107">
        <v>3106</v>
      </c>
      <c r="B3107">
        <v>96472360</v>
      </c>
      <c r="C3107">
        <v>96472360</v>
      </c>
    </row>
    <row r="3108" spans="1:3">
      <c r="A3108">
        <v>3107</v>
      </c>
      <c r="B3108">
        <v>96534490</v>
      </c>
      <c r="C3108">
        <v>96534490</v>
      </c>
    </row>
    <row r="3109" spans="1:3">
      <c r="A3109">
        <v>3108</v>
      </c>
      <c r="B3109">
        <v>96596640</v>
      </c>
      <c r="C3109">
        <v>96596640</v>
      </c>
    </row>
    <row r="3110" spans="1:3">
      <c r="A3110">
        <v>3109</v>
      </c>
      <c r="B3110">
        <v>96658810</v>
      </c>
      <c r="C3110">
        <v>96658810</v>
      </c>
    </row>
    <row r="3111" spans="1:3">
      <c r="A3111">
        <v>3110</v>
      </c>
      <c r="B3111">
        <v>96721000</v>
      </c>
      <c r="C3111">
        <v>96721000</v>
      </c>
    </row>
    <row r="3112" spans="1:3">
      <c r="A3112">
        <v>3111</v>
      </c>
      <c r="B3112">
        <v>96783210</v>
      </c>
      <c r="C3112">
        <v>96783210</v>
      </c>
    </row>
    <row r="3113" spans="1:3">
      <c r="A3113">
        <v>3112</v>
      </c>
      <c r="B3113">
        <v>96845440</v>
      </c>
      <c r="C3113">
        <v>96845440</v>
      </c>
    </row>
    <row r="3114" spans="1:3">
      <c r="A3114">
        <v>3113</v>
      </c>
      <c r="B3114">
        <v>96907690</v>
      </c>
      <c r="C3114">
        <v>96907690</v>
      </c>
    </row>
    <row r="3115" spans="1:3">
      <c r="A3115">
        <v>3114</v>
      </c>
      <c r="B3115">
        <v>96969960</v>
      </c>
      <c r="C3115">
        <v>96969960</v>
      </c>
    </row>
    <row r="3116" spans="1:3">
      <c r="A3116">
        <v>3115</v>
      </c>
      <c r="B3116">
        <v>97032250</v>
      </c>
      <c r="C3116">
        <v>97032250</v>
      </c>
    </row>
    <row r="3117" spans="1:3">
      <c r="A3117">
        <v>3116</v>
      </c>
      <c r="B3117">
        <v>97094560</v>
      </c>
      <c r="C3117">
        <v>97094560</v>
      </c>
    </row>
    <row r="3118" spans="1:3">
      <c r="A3118">
        <v>3117</v>
      </c>
      <c r="B3118">
        <v>97156890</v>
      </c>
      <c r="C3118">
        <v>97156890</v>
      </c>
    </row>
    <row r="3119" spans="1:3">
      <c r="A3119">
        <v>3118</v>
      </c>
      <c r="B3119">
        <v>97219240</v>
      </c>
      <c r="C3119">
        <v>97219240</v>
      </c>
    </row>
    <row r="3120" spans="1:3">
      <c r="A3120">
        <v>3119</v>
      </c>
      <c r="B3120">
        <v>97281610</v>
      </c>
      <c r="C3120">
        <v>97281610</v>
      </c>
    </row>
    <row r="3121" spans="1:3">
      <c r="A3121">
        <v>3120</v>
      </c>
      <c r="B3121">
        <v>97344000</v>
      </c>
      <c r="C3121">
        <v>97344000</v>
      </c>
    </row>
    <row r="3122" spans="1:3">
      <c r="A3122">
        <v>3121</v>
      </c>
      <c r="B3122">
        <v>97406410</v>
      </c>
      <c r="C3122">
        <v>97406410</v>
      </c>
    </row>
    <row r="3123" spans="1:3">
      <c r="A3123">
        <v>3122</v>
      </c>
      <c r="B3123">
        <v>97468840</v>
      </c>
      <c r="C3123">
        <v>97468840</v>
      </c>
    </row>
    <row r="3124" spans="1:3">
      <c r="A3124">
        <v>3123</v>
      </c>
      <c r="B3124">
        <v>97531290</v>
      </c>
      <c r="C3124">
        <v>97531290</v>
      </c>
    </row>
    <row r="3125" spans="1:3">
      <c r="A3125">
        <v>3124</v>
      </c>
      <c r="B3125">
        <v>97593760</v>
      </c>
      <c r="C3125">
        <v>97593760</v>
      </c>
    </row>
    <row r="3126" spans="1:3">
      <c r="A3126">
        <v>3125</v>
      </c>
      <c r="B3126">
        <v>97656250</v>
      </c>
      <c r="C3126">
        <v>97656250</v>
      </c>
    </row>
    <row r="3127" spans="1:3">
      <c r="A3127">
        <v>3126</v>
      </c>
      <c r="B3127">
        <v>97718760</v>
      </c>
      <c r="C3127">
        <v>97718760</v>
      </c>
    </row>
    <row r="3128" spans="1:3">
      <c r="A3128">
        <v>3127</v>
      </c>
      <c r="B3128">
        <v>97781290</v>
      </c>
      <c r="C3128">
        <v>97781290</v>
      </c>
    </row>
    <row r="3129" spans="1:3">
      <c r="A3129">
        <v>3128</v>
      </c>
      <c r="B3129">
        <v>97843840</v>
      </c>
      <c r="C3129">
        <v>97843840</v>
      </c>
    </row>
    <row r="3130" spans="1:3">
      <c r="A3130">
        <v>3129</v>
      </c>
      <c r="B3130">
        <v>97906410</v>
      </c>
      <c r="C3130">
        <v>97906410</v>
      </c>
    </row>
    <row r="3131" spans="1:3">
      <c r="A3131">
        <v>3130</v>
      </c>
      <c r="B3131">
        <v>97969000</v>
      </c>
      <c r="C3131">
        <v>97969000</v>
      </c>
    </row>
    <row r="3132" spans="1:3">
      <c r="A3132">
        <v>3131</v>
      </c>
      <c r="B3132">
        <v>98031610</v>
      </c>
      <c r="C3132">
        <v>98031610</v>
      </c>
    </row>
    <row r="3133" spans="1:3">
      <c r="A3133">
        <v>3132</v>
      </c>
      <c r="B3133">
        <v>98094240</v>
      </c>
      <c r="C3133">
        <v>98094240</v>
      </c>
    </row>
    <row r="3134" spans="1:3">
      <c r="A3134">
        <v>3133</v>
      </c>
      <c r="B3134">
        <v>98156890</v>
      </c>
      <c r="C3134">
        <v>98156890</v>
      </c>
    </row>
    <row r="3135" spans="1:3">
      <c r="A3135">
        <v>3134</v>
      </c>
      <c r="B3135">
        <v>98219560</v>
      </c>
      <c r="C3135">
        <v>98219560</v>
      </c>
    </row>
    <row r="3136" spans="1:3">
      <c r="A3136">
        <v>3135</v>
      </c>
      <c r="B3136">
        <v>98282250</v>
      </c>
      <c r="C3136">
        <v>98282250</v>
      </c>
    </row>
    <row r="3137" spans="1:3">
      <c r="A3137">
        <v>3136</v>
      </c>
      <c r="B3137">
        <v>98344960</v>
      </c>
      <c r="C3137">
        <v>98344960</v>
      </c>
    </row>
    <row r="3138" spans="1:3">
      <c r="A3138">
        <v>3137</v>
      </c>
      <c r="B3138">
        <v>98407690</v>
      </c>
      <c r="C3138">
        <v>98407690</v>
      </c>
    </row>
    <row r="3139" spans="1:3">
      <c r="A3139">
        <v>3138</v>
      </c>
      <c r="B3139">
        <v>98470440</v>
      </c>
      <c r="C3139">
        <v>98470440</v>
      </c>
    </row>
    <row r="3140" spans="1:3">
      <c r="A3140">
        <v>3139</v>
      </c>
      <c r="B3140">
        <v>98533210</v>
      </c>
      <c r="C3140">
        <v>98533210</v>
      </c>
    </row>
    <row r="3141" spans="1:3">
      <c r="A3141">
        <v>3140</v>
      </c>
      <c r="B3141">
        <v>98596000</v>
      </c>
      <c r="C3141">
        <v>98596000</v>
      </c>
    </row>
    <row r="3142" spans="1:3">
      <c r="A3142">
        <v>3141</v>
      </c>
      <c r="B3142">
        <v>98658810</v>
      </c>
      <c r="C3142">
        <v>98658810</v>
      </c>
    </row>
    <row r="3143" spans="1:3">
      <c r="A3143">
        <v>3142</v>
      </c>
      <c r="B3143">
        <v>98721640</v>
      </c>
      <c r="C3143">
        <v>98721640</v>
      </c>
    </row>
    <row r="3144" spans="1:3">
      <c r="A3144">
        <v>3143</v>
      </c>
      <c r="B3144">
        <v>98784490</v>
      </c>
      <c r="C3144">
        <v>98784490</v>
      </c>
    </row>
    <row r="3145" spans="1:3">
      <c r="A3145">
        <v>3144</v>
      </c>
      <c r="B3145">
        <v>98847360</v>
      </c>
      <c r="C3145">
        <v>98847360</v>
      </c>
    </row>
    <row r="3146" spans="1:3">
      <c r="A3146">
        <v>3145</v>
      </c>
      <c r="B3146">
        <v>98910250</v>
      </c>
      <c r="C3146">
        <v>98910250</v>
      </c>
    </row>
    <row r="3147" spans="1:3">
      <c r="A3147">
        <v>3146</v>
      </c>
      <c r="B3147">
        <v>98973160</v>
      </c>
      <c r="C3147">
        <v>98973160</v>
      </c>
    </row>
    <row r="3148" spans="1:3">
      <c r="A3148">
        <v>3147</v>
      </c>
      <c r="B3148">
        <v>99036090</v>
      </c>
      <c r="C3148">
        <v>99036090</v>
      </c>
    </row>
    <row r="3149" spans="1:3">
      <c r="A3149">
        <v>3148</v>
      </c>
      <c r="B3149">
        <v>99099040</v>
      </c>
      <c r="C3149">
        <v>99099040</v>
      </c>
    </row>
    <row r="3150" spans="1:3">
      <c r="A3150">
        <v>3149</v>
      </c>
      <c r="B3150">
        <v>99162010</v>
      </c>
      <c r="C3150">
        <v>99162010</v>
      </c>
    </row>
    <row r="3151" spans="1:3">
      <c r="A3151">
        <v>3150</v>
      </c>
      <c r="B3151">
        <v>99225000</v>
      </c>
      <c r="C3151">
        <v>99225000</v>
      </c>
    </row>
    <row r="3152" spans="1:3">
      <c r="A3152">
        <v>3151</v>
      </c>
      <c r="B3152">
        <v>99288010</v>
      </c>
      <c r="C3152">
        <v>99288010</v>
      </c>
    </row>
    <row r="3153" spans="1:3">
      <c r="A3153">
        <v>3152</v>
      </c>
      <c r="B3153">
        <v>99351040</v>
      </c>
      <c r="C3153">
        <v>99351040</v>
      </c>
    </row>
    <row r="3154" spans="1:3">
      <c r="A3154">
        <v>3153</v>
      </c>
      <c r="B3154">
        <v>99414090</v>
      </c>
      <c r="C3154">
        <v>99414090</v>
      </c>
    </row>
    <row r="3155" spans="1:3">
      <c r="A3155">
        <v>3154</v>
      </c>
      <c r="B3155">
        <v>99477160</v>
      </c>
      <c r="C3155">
        <v>99477160</v>
      </c>
    </row>
    <row r="3156" spans="1:3">
      <c r="A3156">
        <v>3155</v>
      </c>
      <c r="B3156">
        <v>99540250</v>
      </c>
      <c r="C3156">
        <v>99540250</v>
      </c>
    </row>
    <row r="3157" spans="1:3">
      <c r="A3157">
        <v>3156</v>
      </c>
      <c r="B3157">
        <v>99603360</v>
      </c>
      <c r="C3157">
        <v>99603360</v>
      </c>
    </row>
    <row r="3158" spans="1:3">
      <c r="A3158">
        <v>3157</v>
      </c>
      <c r="B3158">
        <v>99666490</v>
      </c>
      <c r="C3158">
        <v>99666490</v>
      </c>
    </row>
    <row r="3159" spans="1:3">
      <c r="A3159">
        <v>3158</v>
      </c>
      <c r="B3159">
        <v>99729640</v>
      </c>
      <c r="C3159">
        <v>99729640</v>
      </c>
    </row>
    <row r="3160" spans="1:3">
      <c r="A3160">
        <v>3159</v>
      </c>
      <c r="B3160">
        <v>99792810</v>
      </c>
      <c r="C3160">
        <v>99792810</v>
      </c>
    </row>
    <row r="3161" spans="1:3">
      <c r="A3161">
        <v>3160</v>
      </c>
      <c r="B3161">
        <v>99856000</v>
      </c>
      <c r="C3161">
        <v>99856000</v>
      </c>
    </row>
    <row r="3162" spans="1:3">
      <c r="A3162">
        <v>3161</v>
      </c>
      <c r="B3162">
        <v>99919210</v>
      </c>
      <c r="C3162">
        <v>99919210</v>
      </c>
    </row>
    <row r="3163" spans="1:3">
      <c r="A3163">
        <v>3162</v>
      </c>
      <c r="B3163">
        <v>99982440</v>
      </c>
      <c r="C3163">
        <v>99982440</v>
      </c>
    </row>
    <row r="3164" spans="1:3">
      <c r="A3164">
        <v>3163</v>
      </c>
      <c r="B3164">
        <v>100045690</v>
      </c>
      <c r="C3164">
        <v>100045690</v>
      </c>
    </row>
    <row r="3165" spans="1:3">
      <c r="A3165">
        <v>3164</v>
      </c>
      <c r="B3165">
        <v>100108960</v>
      </c>
      <c r="C3165">
        <v>100108960</v>
      </c>
    </row>
    <row r="3166" spans="1:3">
      <c r="A3166">
        <v>3165</v>
      </c>
      <c r="B3166">
        <v>100172250</v>
      </c>
      <c r="C3166">
        <v>100172250</v>
      </c>
    </row>
    <row r="3167" spans="1:3">
      <c r="A3167">
        <v>3166</v>
      </c>
      <c r="B3167">
        <v>100235560</v>
      </c>
      <c r="C3167">
        <v>100235560</v>
      </c>
    </row>
    <row r="3168" spans="1:3">
      <c r="A3168">
        <v>3167</v>
      </c>
      <c r="B3168">
        <v>100298890</v>
      </c>
      <c r="C3168">
        <v>100298890</v>
      </c>
    </row>
    <row r="3169" spans="1:3">
      <c r="A3169">
        <v>3168</v>
      </c>
      <c r="B3169">
        <v>100362240</v>
      </c>
      <c r="C3169">
        <v>100362240</v>
      </c>
    </row>
    <row r="3170" spans="1:3">
      <c r="A3170">
        <v>3169</v>
      </c>
      <c r="B3170">
        <v>100425610</v>
      </c>
      <c r="C3170">
        <v>100425610</v>
      </c>
    </row>
    <row r="3171" spans="1:3">
      <c r="A3171">
        <v>3170</v>
      </c>
      <c r="B3171">
        <v>100489000</v>
      </c>
      <c r="C3171">
        <v>100489000</v>
      </c>
    </row>
    <row r="3172" spans="1:3">
      <c r="A3172">
        <v>3171</v>
      </c>
      <c r="B3172">
        <v>100552410</v>
      </c>
      <c r="C3172">
        <v>100552410</v>
      </c>
    </row>
    <row r="3173" spans="1:3">
      <c r="A3173">
        <v>3172</v>
      </c>
      <c r="B3173">
        <v>100615840</v>
      </c>
      <c r="C3173">
        <v>100615840</v>
      </c>
    </row>
    <row r="3174" spans="1:3">
      <c r="A3174">
        <v>3173</v>
      </c>
      <c r="B3174">
        <v>100679290</v>
      </c>
      <c r="C3174">
        <v>100679290</v>
      </c>
    </row>
    <row r="3175" spans="1:3">
      <c r="A3175">
        <v>3174</v>
      </c>
      <c r="B3175">
        <v>100742760</v>
      </c>
      <c r="C3175">
        <v>100742760</v>
      </c>
    </row>
    <row r="3176" spans="1:3">
      <c r="A3176">
        <v>3175</v>
      </c>
      <c r="B3176">
        <v>100806250</v>
      </c>
      <c r="C3176">
        <v>100806250</v>
      </c>
    </row>
    <row r="3177" spans="1:3">
      <c r="A3177">
        <v>3176</v>
      </c>
      <c r="B3177">
        <v>100869760</v>
      </c>
      <c r="C3177">
        <v>100869760</v>
      </c>
    </row>
    <row r="3178" spans="1:3">
      <c r="A3178">
        <v>3177</v>
      </c>
      <c r="B3178">
        <v>100933290</v>
      </c>
      <c r="C3178">
        <v>100933290</v>
      </c>
    </row>
    <row r="3179" spans="1:3">
      <c r="A3179">
        <v>3178</v>
      </c>
      <c r="B3179">
        <v>100996840</v>
      </c>
      <c r="C3179">
        <v>100996840</v>
      </c>
    </row>
    <row r="3180" spans="1:3">
      <c r="A3180">
        <v>3179</v>
      </c>
      <c r="B3180">
        <v>101060410</v>
      </c>
      <c r="C3180">
        <v>101060410</v>
      </c>
    </row>
    <row r="3181" spans="1:3">
      <c r="A3181">
        <v>3180</v>
      </c>
      <c r="B3181">
        <v>101124000</v>
      </c>
      <c r="C3181">
        <v>101124000</v>
      </c>
    </row>
    <row r="3182" spans="1:3">
      <c r="A3182">
        <v>3181</v>
      </c>
      <c r="B3182">
        <v>101187610</v>
      </c>
      <c r="C3182">
        <v>101187610</v>
      </c>
    </row>
    <row r="3183" spans="1:3">
      <c r="A3183">
        <v>3182</v>
      </c>
      <c r="B3183">
        <v>101251240</v>
      </c>
      <c r="C3183">
        <v>101251240</v>
      </c>
    </row>
    <row r="3184" spans="1:3">
      <c r="A3184">
        <v>3183</v>
      </c>
      <c r="B3184">
        <v>101314890</v>
      </c>
      <c r="C3184">
        <v>101314890</v>
      </c>
    </row>
    <row r="3185" spans="1:3">
      <c r="A3185">
        <v>3184</v>
      </c>
      <c r="B3185">
        <v>101378560</v>
      </c>
      <c r="C3185">
        <v>101378560</v>
      </c>
    </row>
    <row r="3186" spans="1:3">
      <c r="A3186">
        <v>3185</v>
      </c>
      <c r="B3186">
        <v>101442250</v>
      </c>
      <c r="C3186">
        <v>101442250</v>
      </c>
    </row>
    <row r="3187" spans="1:3">
      <c r="A3187">
        <v>3186</v>
      </c>
      <c r="B3187">
        <v>101505960</v>
      </c>
      <c r="C3187">
        <v>101505960</v>
      </c>
    </row>
    <row r="3188" spans="1:3">
      <c r="A3188">
        <v>3187</v>
      </c>
      <c r="B3188">
        <v>101569690</v>
      </c>
      <c r="C3188">
        <v>101569690</v>
      </c>
    </row>
    <row r="3189" spans="1:3">
      <c r="A3189">
        <v>3188</v>
      </c>
      <c r="B3189">
        <v>101633440</v>
      </c>
      <c r="C3189">
        <v>101633440</v>
      </c>
    </row>
    <row r="3190" spans="1:3">
      <c r="A3190">
        <v>3189</v>
      </c>
      <c r="B3190">
        <v>101697210</v>
      </c>
      <c r="C3190">
        <v>101697210</v>
      </c>
    </row>
    <row r="3191" spans="1:3">
      <c r="A3191">
        <v>3190</v>
      </c>
      <c r="B3191">
        <v>101761000</v>
      </c>
      <c r="C3191">
        <v>101761000</v>
      </c>
    </row>
    <row r="3192" spans="1:3">
      <c r="A3192">
        <v>3191</v>
      </c>
      <c r="B3192">
        <v>101824810</v>
      </c>
      <c r="C3192">
        <v>101824810</v>
      </c>
    </row>
    <row r="3193" spans="1:3">
      <c r="A3193">
        <v>3192</v>
      </c>
      <c r="B3193">
        <v>101888640</v>
      </c>
      <c r="C3193">
        <v>101888640</v>
      </c>
    </row>
    <row r="3194" spans="1:3">
      <c r="A3194">
        <v>3193</v>
      </c>
      <c r="B3194">
        <v>101952490</v>
      </c>
      <c r="C3194">
        <v>101952490</v>
      </c>
    </row>
    <row r="3195" spans="1:3">
      <c r="A3195">
        <v>3194</v>
      </c>
      <c r="B3195">
        <v>102016360</v>
      </c>
      <c r="C3195">
        <v>102016360</v>
      </c>
    </row>
    <row r="3196" spans="1:3">
      <c r="A3196">
        <v>3195</v>
      </c>
      <c r="B3196">
        <v>102080250</v>
      </c>
      <c r="C3196">
        <v>102080250</v>
      </c>
    </row>
    <row r="3197" spans="1:3">
      <c r="A3197">
        <v>3196</v>
      </c>
      <c r="B3197">
        <v>102144160</v>
      </c>
      <c r="C3197">
        <v>102144160</v>
      </c>
    </row>
    <row r="3198" spans="1:3">
      <c r="A3198">
        <v>3197</v>
      </c>
      <c r="B3198">
        <v>102208090</v>
      </c>
      <c r="C3198">
        <v>102208090</v>
      </c>
    </row>
    <row r="3199" spans="1:3">
      <c r="A3199">
        <v>3198</v>
      </c>
      <c r="B3199">
        <v>102272040</v>
      </c>
      <c r="C3199">
        <v>102272040</v>
      </c>
    </row>
    <row r="3200" spans="1:3">
      <c r="A3200">
        <v>3199</v>
      </c>
      <c r="B3200">
        <v>102336010</v>
      </c>
      <c r="C3200">
        <v>102336010</v>
      </c>
    </row>
    <row r="3201" spans="1:3">
      <c r="A3201">
        <v>3200</v>
      </c>
      <c r="B3201">
        <v>102400000</v>
      </c>
      <c r="C3201">
        <v>102400000</v>
      </c>
    </row>
    <row r="3202" spans="1:3">
      <c r="A3202">
        <v>3201</v>
      </c>
      <c r="B3202">
        <v>102464010</v>
      </c>
      <c r="C3202">
        <v>102464010</v>
      </c>
    </row>
    <row r="3203" spans="1:3">
      <c r="A3203">
        <v>3202</v>
      </c>
      <c r="B3203">
        <v>102528040</v>
      </c>
      <c r="C3203">
        <v>102528040</v>
      </c>
    </row>
    <row r="3204" spans="1:3">
      <c r="A3204">
        <v>3203</v>
      </c>
      <c r="B3204">
        <v>102592090</v>
      </c>
      <c r="C3204">
        <v>102592090</v>
      </c>
    </row>
    <row r="3205" spans="1:3">
      <c r="A3205">
        <v>3204</v>
      </c>
      <c r="B3205">
        <v>102656160</v>
      </c>
      <c r="C3205">
        <v>102656160</v>
      </c>
    </row>
    <row r="3206" spans="1:3">
      <c r="A3206">
        <v>3205</v>
      </c>
      <c r="B3206">
        <v>102720250</v>
      </c>
      <c r="C3206">
        <v>102720250</v>
      </c>
    </row>
    <row r="3207" spans="1:3">
      <c r="A3207">
        <v>3206</v>
      </c>
      <c r="B3207">
        <v>102784360</v>
      </c>
      <c r="C3207">
        <v>102784360</v>
      </c>
    </row>
    <row r="3208" spans="1:3">
      <c r="A3208">
        <v>3207</v>
      </c>
      <c r="B3208">
        <v>102848490</v>
      </c>
      <c r="C3208">
        <v>102848490</v>
      </c>
    </row>
    <row r="3209" spans="1:3">
      <c r="A3209">
        <v>3208</v>
      </c>
      <c r="B3209">
        <v>102912640</v>
      </c>
      <c r="C3209">
        <v>102912640</v>
      </c>
    </row>
    <row r="3210" spans="1:3">
      <c r="A3210">
        <v>3209</v>
      </c>
      <c r="B3210">
        <v>102976810</v>
      </c>
      <c r="C3210">
        <v>102976810</v>
      </c>
    </row>
    <row r="3211" spans="1:3">
      <c r="A3211">
        <v>3210</v>
      </c>
      <c r="B3211">
        <v>103041000</v>
      </c>
      <c r="C3211">
        <v>103041000</v>
      </c>
    </row>
    <row r="3212" spans="1:3">
      <c r="A3212">
        <v>3211</v>
      </c>
      <c r="B3212">
        <v>103105210</v>
      </c>
      <c r="C3212">
        <v>103105210</v>
      </c>
    </row>
    <row r="3213" spans="1:3">
      <c r="A3213">
        <v>3212</v>
      </c>
      <c r="B3213">
        <v>103169440</v>
      </c>
      <c r="C3213">
        <v>103169440</v>
      </c>
    </row>
    <row r="3214" spans="1:3">
      <c r="A3214">
        <v>3213</v>
      </c>
      <c r="B3214">
        <v>103233690</v>
      </c>
      <c r="C3214">
        <v>103233690</v>
      </c>
    </row>
    <row r="3215" spans="1:3">
      <c r="A3215">
        <v>3214</v>
      </c>
      <c r="B3215">
        <v>103297960</v>
      </c>
      <c r="C3215">
        <v>103297960</v>
      </c>
    </row>
    <row r="3216" spans="1:3">
      <c r="A3216">
        <v>3215</v>
      </c>
      <c r="B3216">
        <v>103362250</v>
      </c>
      <c r="C3216">
        <v>103362250</v>
      </c>
    </row>
    <row r="3217" spans="1:3">
      <c r="A3217">
        <v>3216</v>
      </c>
      <c r="B3217">
        <v>103426560</v>
      </c>
      <c r="C3217">
        <v>103426560</v>
      </c>
    </row>
    <row r="3218" spans="1:3">
      <c r="A3218">
        <v>3217</v>
      </c>
      <c r="B3218">
        <v>103490890</v>
      </c>
      <c r="C3218">
        <v>103490890</v>
      </c>
    </row>
    <row r="3219" spans="1:3">
      <c r="A3219">
        <v>3218</v>
      </c>
      <c r="B3219">
        <v>103555240</v>
      </c>
      <c r="C3219">
        <v>103555240</v>
      </c>
    </row>
    <row r="3220" spans="1:3">
      <c r="A3220">
        <v>3219</v>
      </c>
      <c r="B3220">
        <v>103619610</v>
      </c>
      <c r="C3220">
        <v>103619610</v>
      </c>
    </row>
    <row r="3221" spans="1:3">
      <c r="A3221">
        <v>3220</v>
      </c>
      <c r="B3221">
        <v>103684000</v>
      </c>
      <c r="C3221">
        <v>103684000</v>
      </c>
    </row>
    <row r="3222" spans="1:3">
      <c r="A3222">
        <v>3221</v>
      </c>
      <c r="B3222">
        <v>103748410</v>
      </c>
      <c r="C3222">
        <v>103748410</v>
      </c>
    </row>
    <row r="3223" spans="1:3">
      <c r="A3223">
        <v>3222</v>
      </c>
      <c r="B3223">
        <v>103812840</v>
      </c>
      <c r="C3223">
        <v>103812840</v>
      </c>
    </row>
    <row r="3224" spans="1:3">
      <c r="A3224">
        <v>3223</v>
      </c>
      <c r="B3224">
        <v>103877290</v>
      </c>
      <c r="C3224">
        <v>103877290</v>
      </c>
    </row>
    <row r="3225" spans="1:3">
      <c r="A3225">
        <v>3224</v>
      </c>
      <c r="B3225">
        <v>103941760</v>
      </c>
      <c r="C3225">
        <v>103941760</v>
      </c>
    </row>
    <row r="3226" spans="1:3">
      <c r="A3226">
        <v>3225</v>
      </c>
      <c r="B3226">
        <v>104006250</v>
      </c>
      <c r="C3226">
        <v>104006250</v>
      </c>
    </row>
    <row r="3227" spans="1:3">
      <c r="A3227">
        <v>3226</v>
      </c>
      <c r="B3227">
        <v>104070760</v>
      </c>
      <c r="C3227">
        <v>104070760</v>
      </c>
    </row>
    <row r="3228" spans="1:3">
      <c r="A3228">
        <v>3227</v>
      </c>
      <c r="B3228">
        <v>104135290</v>
      </c>
      <c r="C3228">
        <v>104135290</v>
      </c>
    </row>
    <row r="3229" spans="1:3">
      <c r="A3229">
        <v>3228</v>
      </c>
      <c r="B3229">
        <v>104199840</v>
      </c>
      <c r="C3229">
        <v>104199840</v>
      </c>
    </row>
    <row r="3230" spans="1:3">
      <c r="A3230">
        <v>3229</v>
      </c>
      <c r="B3230">
        <v>104264410</v>
      </c>
      <c r="C3230">
        <v>104264410</v>
      </c>
    </row>
    <row r="3231" spans="1:3">
      <c r="A3231">
        <v>3230</v>
      </c>
      <c r="B3231">
        <v>104329000</v>
      </c>
      <c r="C3231">
        <v>104329000</v>
      </c>
    </row>
    <row r="3232" spans="1:3">
      <c r="A3232">
        <v>3231</v>
      </c>
      <c r="B3232">
        <v>104393610</v>
      </c>
      <c r="C3232">
        <v>104393610</v>
      </c>
    </row>
    <row r="3233" spans="1:3">
      <c r="A3233">
        <v>3232</v>
      </c>
      <c r="B3233">
        <v>104458240</v>
      </c>
      <c r="C3233">
        <v>104458240</v>
      </c>
    </row>
    <row r="3234" spans="1:3">
      <c r="A3234">
        <v>3233</v>
      </c>
      <c r="B3234">
        <v>104522890</v>
      </c>
      <c r="C3234">
        <v>104522890</v>
      </c>
    </row>
    <row r="3235" spans="1:3">
      <c r="A3235">
        <v>3234</v>
      </c>
      <c r="B3235">
        <v>104587560</v>
      </c>
      <c r="C3235">
        <v>104587560</v>
      </c>
    </row>
    <row r="3236" spans="1:3">
      <c r="A3236">
        <v>3235</v>
      </c>
      <c r="B3236">
        <v>104652250</v>
      </c>
      <c r="C3236">
        <v>104652250</v>
      </c>
    </row>
    <row r="3237" spans="1:3">
      <c r="A3237">
        <v>3236</v>
      </c>
      <c r="B3237">
        <v>104716960</v>
      </c>
      <c r="C3237">
        <v>104716960</v>
      </c>
    </row>
    <row r="3238" spans="1:3">
      <c r="A3238">
        <v>3237</v>
      </c>
      <c r="B3238">
        <v>104781690</v>
      </c>
      <c r="C3238">
        <v>104781690</v>
      </c>
    </row>
    <row r="3239" spans="1:3">
      <c r="A3239">
        <v>3238</v>
      </c>
      <c r="B3239">
        <v>104846440</v>
      </c>
      <c r="C3239">
        <v>104846440</v>
      </c>
    </row>
    <row r="3240" spans="1:3">
      <c r="A3240">
        <v>3239</v>
      </c>
      <c r="B3240">
        <v>104911210</v>
      </c>
      <c r="C3240">
        <v>104911210</v>
      </c>
    </row>
    <row r="3241" spans="1:3">
      <c r="A3241">
        <v>3240</v>
      </c>
      <c r="B3241">
        <v>104976000</v>
      </c>
      <c r="C3241">
        <v>104976000</v>
      </c>
    </row>
    <row r="3242" spans="1:3">
      <c r="A3242">
        <v>3241</v>
      </c>
      <c r="B3242">
        <v>105040810</v>
      </c>
      <c r="C3242">
        <v>105040810</v>
      </c>
    </row>
    <row r="3243" spans="1:3">
      <c r="A3243">
        <v>3242</v>
      </c>
      <c r="B3243">
        <v>105105640</v>
      </c>
      <c r="C3243">
        <v>105105640</v>
      </c>
    </row>
    <row r="3244" spans="1:3">
      <c r="A3244">
        <v>3243</v>
      </c>
      <c r="B3244">
        <v>105170490</v>
      </c>
      <c r="C3244">
        <v>105170490</v>
      </c>
    </row>
    <row r="3245" spans="1:3">
      <c r="A3245">
        <v>3244</v>
      </c>
      <c r="B3245">
        <v>105235360</v>
      </c>
      <c r="C3245">
        <v>105235360</v>
      </c>
    </row>
    <row r="3246" spans="1:3">
      <c r="A3246">
        <v>3245</v>
      </c>
      <c r="B3246">
        <v>105300250</v>
      </c>
      <c r="C3246">
        <v>105300250</v>
      </c>
    </row>
    <row r="3247" spans="1:3">
      <c r="A3247">
        <v>3246</v>
      </c>
      <c r="B3247">
        <v>105365160</v>
      </c>
      <c r="C3247">
        <v>105365160</v>
      </c>
    </row>
    <row r="3248" spans="1:3">
      <c r="A3248">
        <v>3247</v>
      </c>
      <c r="B3248">
        <v>105430090</v>
      </c>
      <c r="C3248">
        <v>105430090</v>
      </c>
    </row>
    <row r="3249" spans="1:3">
      <c r="A3249">
        <v>3248</v>
      </c>
      <c r="B3249">
        <v>105495040</v>
      </c>
      <c r="C3249">
        <v>105495040</v>
      </c>
    </row>
    <row r="3250" spans="1:3">
      <c r="A3250">
        <v>3249</v>
      </c>
      <c r="B3250">
        <v>105560010</v>
      </c>
      <c r="C3250">
        <v>105560010</v>
      </c>
    </row>
    <row r="3251" spans="1:3">
      <c r="A3251">
        <v>3250</v>
      </c>
      <c r="B3251">
        <v>105625000</v>
      </c>
      <c r="C3251">
        <v>105625000</v>
      </c>
    </row>
    <row r="3252" spans="1:3">
      <c r="A3252">
        <v>3251</v>
      </c>
      <c r="B3252">
        <v>105690010</v>
      </c>
      <c r="C3252">
        <v>105690010</v>
      </c>
    </row>
    <row r="3253" spans="1:3">
      <c r="A3253">
        <v>3252</v>
      </c>
      <c r="B3253">
        <v>105755040</v>
      </c>
      <c r="C3253">
        <v>105755040</v>
      </c>
    </row>
    <row r="3254" spans="1:3">
      <c r="A3254">
        <v>3253</v>
      </c>
      <c r="B3254">
        <v>105820090</v>
      </c>
      <c r="C3254">
        <v>105820090</v>
      </c>
    </row>
    <row r="3255" spans="1:3">
      <c r="A3255">
        <v>3254</v>
      </c>
      <c r="B3255">
        <v>105885160</v>
      </c>
      <c r="C3255">
        <v>105885160</v>
      </c>
    </row>
    <row r="3256" spans="1:3">
      <c r="A3256">
        <v>3255</v>
      </c>
      <c r="B3256">
        <v>105950250</v>
      </c>
      <c r="C3256">
        <v>105950250</v>
      </c>
    </row>
    <row r="3257" spans="1:3">
      <c r="A3257">
        <v>3256</v>
      </c>
      <c r="B3257">
        <v>106015360</v>
      </c>
      <c r="C3257">
        <v>106015360</v>
      </c>
    </row>
    <row r="3258" spans="1:3">
      <c r="A3258">
        <v>3257</v>
      </c>
      <c r="B3258">
        <v>106080490</v>
      </c>
      <c r="C3258">
        <v>106080490</v>
      </c>
    </row>
    <row r="3259" spans="1:3">
      <c r="A3259">
        <v>3258</v>
      </c>
      <c r="B3259">
        <v>106145640</v>
      </c>
      <c r="C3259">
        <v>106145640</v>
      </c>
    </row>
    <row r="3260" spans="1:3">
      <c r="A3260">
        <v>3259</v>
      </c>
      <c r="B3260">
        <v>106210810</v>
      </c>
      <c r="C3260">
        <v>106210810</v>
      </c>
    </row>
    <row r="3261" spans="1:3">
      <c r="A3261">
        <v>3260</v>
      </c>
      <c r="B3261">
        <v>106276000</v>
      </c>
      <c r="C3261">
        <v>106276000</v>
      </c>
    </row>
    <row r="3262" spans="1:3">
      <c r="A3262">
        <v>3261</v>
      </c>
      <c r="B3262">
        <v>106341210</v>
      </c>
      <c r="C3262">
        <v>106341210</v>
      </c>
    </row>
    <row r="3263" spans="1:3">
      <c r="A3263">
        <v>3262</v>
      </c>
      <c r="B3263">
        <v>106406440</v>
      </c>
      <c r="C3263">
        <v>106406440</v>
      </c>
    </row>
    <row r="3264" spans="1:3">
      <c r="A3264">
        <v>3263</v>
      </c>
      <c r="B3264">
        <v>106471690</v>
      </c>
      <c r="C3264">
        <v>106471690</v>
      </c>
    </row>
    <row r="3265" spans="1:3">
      <c r="A3265">
        <v>3264</v>
      </c>
      <c r="B3265">
        <v>106536960</v>
      </c>
      <c r="C3265">
        <v>106536960</v>
      </c>
    </row>
    <row r="3266" spans="1:3">
      <c r="A3266">
        <v>3265</v>
      </c>
      <c r="B3266">
        <v>106602250</v>
      </c>
      <c r="C3266">
        <v>106602250</v>
      </c>
    </row>
    <row r="3267" spans="1:3">
      <c r="A3267">
        <v>3266</v>
      </c>
      <c r="B3267">
        <v>106667560</v>
      </c>
      <c r="C3267">
        <v>106667560</v>
      </c>
    </row>
    <row r="3268" spans="1:3">
      <c r="A3268">
        <v>3267</v>
      </c>
      <c r="B3268">
        <v>106732890</v>
      </c>
      <c r="C3268">
        <v>106732890</v>
      </c>
    </row>
    <row r="3269" spans="1:3">
      <c r="A3269">
        <v>3268</v>
      </c>
      <c r="B3269">
        <v>106798240</v>
      </c>
      <c r="C3269">
        <v>106798240</v>
      </c>
    </row>
    <row r="3270" spans="1:3">
      <c r="A3270">
        <v>3269</v>
      </c>
      <c r="B3270">
        <v>106863610</v>
      </c>
      <c r="C3270">
        <v>106863610</v>
      </c>
    </row>
    <row r="3271" spans="1:3">
      <c r="A3271">
        <v>3270</v>
      </c>
      <c r="B3271">
        <v>106929000</v>
      </c>
      <c r="C3271">
        <v>106929000</v>
      </c>
    </row>
    <row r="3272" spans="1:3">
      <c r="A3272">
        <v>3271</v>
      </c>
      <c r="B3272">
        <v>106994410</v>
      </c>
      <c r="C3272">
        <v>106994410</v>
      </c>
    </row>
    <row r="3273" spans="1:3">
      <c r="A3273">
        <v>3272</v>
      </c>
      <c r="B3273">
        <v>107059840</v>
      </c>
      <c r="C3273">
        <v>107059840</v>
      </c>
    </row>
    <row r="3274" spans="1:3">
      <c r="A3274">
        <v>3273</v>
      </c>
      <c r="B3274">
        <v>107125290</v>
      </c>
      <c r="C3274">
        <v>107125290</v>
      </c>
    </row>
    <row r="3275" spans="1:3">
      <c r="A3275">
        <v>3274</v>
      </c>
      <c r="B3275">
        <v>107190760</v>
      </c>
      <c r="C3275">
        <v>107190760</v>
      </c>
    </row>
    <row r="3276" spans="1:3">
      <c r="A3276">
        <v>3275</v>
      </c>
      <c r="B3276">
        <v>107256250</v>
      </c>
      <c r="C3276">
        <v>107256250</v>
      </c>
    </row>
    <row r="3277" spans="1:3">
      <c r="A3277">
        <v>3276</v>
      </c>
      <c r="B3277">
        <v>107321760</v>
      </c>
      <c r="C3277">
        <v>107321760</v>
      </c>
    </row>
    <row r="3278" spans="1:3">
      <c r="A3278">
        <v>3277</v>
      </c>
      <c r="B3278">
        <v>107387290</v>
      </c>
      <c r="C3278">
        <v>107387290</v>
      </c>
    </row>
    <row r="3279" spans="1:3">
      <c r="A3279">
        <v>3278</v>
      </c>
      <c r="B3279">
        <v>107452840</v>
      </c>
      <c r="C3279">
        <v>107452840</v>
      </c>
    </row>
    <row r="3280" spans="1:3">
      <c r="A3280">
        <v>3279</v>
      </c>
      <c r="B3280">
        <v>107518410</v>
      </c>
      <c r="C3280">
        <v>107518410</v>
      </c>
    </row>
    <row r="3281" spans="1:3">
      <c r="A3281">
        <v>3280</v>
      </c>
      <c r="B3281">
        <v>107584000</v>
      </c>
      <c r="C3281">
        <v>107584000</v>
      </c>
    </row>
    <row r="3282" spans="1:3">
      <c r="A3282">
        <v>3281</v>
      </c>
      <c r="B3282">
        <v>107649610</v>
      </c>
      <c r="C3282">
        <v>107649610</v>
      </c>
    </row>
    <row r="3283" spans="1:3">
      <c r="A3283">
        <v>3282</v>
      </c>
      <c r="B3283">
        <v>107715240</v>
      </c>
      <c r="C3283">
        <v>107715240</v>
      </c>
    </row>
    <row r="3284" spans="1:3">
      <c r="A3284">
        <v>3283</v>
      </c>
      <c r="B3284">
        <v>107780890</v>
      </c>
      <c r="C3284">
        <v>107780890</v>
      </c>
    </row>
    <row r="3285" spans="1:3">
      <c r="A3285">
        <v>3284</v>
      </c>
      <c r="B3285">
        <v>107846560</v>
      </c>
      <c r="C3285">
        <v>107846560</v>
      </c>
    </row>
    <row r="3286" spans="1:3">
      <c r="A3286">
        <v>3285</v>
      </c>
      <c r="B3286">
        <v>107912250</v>
      </c>
      <c r="C3286">
        <v>107912250</v>
      </c>
    </row>
    <row r="3287" spans="1:3">
      <c r="A3287">
        <v>3286</v>
      </c>
      <c r="B3287">
        <v>107977960</v>
      </c>
      <c r="C3287">
        <v>107977960</v>
      </c>
    </row>
    <row r="3288" spans="1:3">
      <c r="A3288">
        <v>3287</v>
      </c>
      <c r="B3288">
        <v>108043690</v>
      </c>
      <c r="C3288">
        <v>108043690</v>
      </c>
    </row>
    <row r="3289" spans="1:3">
      <c r="A3289">
        <v>3288</v>
      </c>
      <c r="B3289">
        <v>108109440</v>
      </c>
      <c r="C3289">
        <v>108109440</v>
      </c>
    </row>
    <row r="3290" spans="1:3">
      <c r="A3290">
        <v>3289</v>
      </c>
      <c r="B3290">
        <v>108175210</v>
      </c>
      <c r="C3290">
        <v>108175210</v>
      </c>
    </row>
    <row r="3291" spans="1:3">
      <c r="A3291">
        <v>3290</v>
      </c>
      <c r="B3291">
        <v>108241000</v>
      </c>
      <c r="C3291">
        <v>108241000</v>
      </c>
    </row>
    <row r="3292" spans="1:3">
      <c r="A3292">
        <v>3291</v>
      </c>
      <c r="B3292">
        <v>108306810</v>
      </c>
      <c r="C3292">
        <v>108306810</v>
      </c>
    </row>
    <row r="3293" spans="1:3">
      <c r="A3293">
        <v>3292</v>
      </c>
      <c r="B3293">
        <v>108372640</v>
      </c>
      <c r="C3293">
        <v>108372640</v>
      </c>
    </row>
    <row r="3294" spans="1:3">
      <c r="A3294">
        <v>3293</v>
      </c>
      <c r="B3294">
        <v>108438490</v>
      </c>
      <c r="C3294">
        <v>108438490</v>
      </c>
    </row>
    <row r="3295" spans="1:3">
      <c r="A3295">
        <v>3294</v>
      </c>
      <c r="B3295">
        <v>108504360</v>
      </c>
      <c r="C3295">
        <v>108504360</v>
      </c>
    </row>
    <row r="3296" spans="1:3">
      <c r="A3296">
        <v>3295</v>
      </c>
      <c r="B3296">
        <v>108570250</v>
      </c>
      <c r="C3296">
        <v>108570250</v>
      </c>
    </row>
    <row r="3297" spans="1:3">
      <c r="A3297">
        <v>3296</v>
      </c>
      <c r="B3297">
        <v>108636160</v>
      </c>
      <c r="C3297">
        <v>108636160</v>
      </c>
    </row>
    <row r="3298" spans="1:3">
      <c r="A3298">
        <v>3297</v>
      </c>
      <c r="B3298">
        <v>108702090</v>
      </c>
      <c r="C3298">
        <v>108702090</v>
      </c>
    </row>
    <row r="3299" spans="1:3">
      <c r="A3299">
        <v>3298</v>
      </c>
      <c r="B3299">
        <v>108768040</v>
      </c>
      <c r="C3299">
        <v>108768040</v>
      </c>
    </row>
    <row r="3300" spans="1:3">
      <c r="A3300">
        <v>3299</v>
      </c>
      <c r="B3300">
        <v>108834010</v>
      </c>
      <c r="C3300">
        <v>108834010</v>
      </c>
    </row>
    <row r="3301" spans="1:3">
      <c r="A3301">
        <v>3300</v>
      </c>
      <c r="B3301">
        <v>108900000</v>
      </c>
      <c r="C3301">
        <v>108900000</v>
      </c>
    </row>
    <row r="3302" spans="1:3">
      <c r="A3302">
        <v>3301</v>
      </c>
      <c r="B3302">
        <v>108966010</v>
      </c>
      <c r="C3302">
        <v>108966010</v>
      </c>
    </row>
    <row r="3303" spans="1:3">
      <c r="A3303">
        <v>3302</v>
      </c>
      <c r="B3303">
        <v>109032040</v>
      </c>
      <c r="C3303">
        <v>109032040</v>
      </c>
    </row>
    <row r="3304" spans="1:3">
      <c r="A3304">
        <v>3303</v>
      </c>
      <c r="B3304">
        <v>109098090</v>
      </c>
      <c r="C3304">
        <v>109098090</v>
      </c>
    </row>
    <row r="3305" spans="1:3">
      <c r="A3305">
        <v>3304</v>
      </c>
      <c r="B3305">
        <v>109164160</v>
      </c>
      <c r="C3305">
        <v>109164160</v>
      </c>
    </row>
    <row r="3306" spans="1:3">
      <c r="A3306">
        <v>3305</v>
      </c>
      <c r="B3306">
        <v>109230250</v>
      </c>
      <c r="C3306">
        <v>109230250</v>
      </c>
    </row>
    <row r="3307" spans="1:3">
      <c r="A3307">
        <v>3306</v>
      </c>
      <c r="B3307">
        <v>109296360</v>
      </c>
      <c r="C3307">
        <v>109296360</v>
      </c>
    </row>
    <row r="3308" spans="1:3">
      <c r="A3308">
        <v>3307</v>
      </c>
      <c r="B3308">
        <v>109362490</v>
      </c>
      <c r="C3308">
        <v>109362490</v>
      </c>
    </row>
    <row r="3309" spans="1:3">
      <c r="A3309">
        <v>3308</v>
      </c>
      <c r="B3309">
        <v>109428640</v>
      </c>
      <c r="C3309">
        <v>109428640</v>
      </c>
    </row>
    <row r="3310" spans="1:3">
      <c r="A3310">
        <v>3309</v>
      </c>
      <c r="B3310">
        <v>109494810</v>
      </c>
      <c r="C3310">
        <v>109494810</v>
      </c>
    </row>
    <row r="3311" spans="1:3">
      <c r="A3311">
        <v>3310</v>
      </c>
      <c r="B3311">
        <v>109561000</v>
      </c>
      <c r="C3311">
        <v>109561000</v>
      </c>
    </row>
    <row r="3312" spans="1:3">
      <c r="A3312">
        <v>3311</v>
      </c>
      <c r="B3312">
        <v>109627210</v>
      </c>
      <c r="C3312">
        <v>109627210</v>
      </c>
    </row>
    <row r="3313" spans="1:3">
      <c r="A3313">
        <v>3312</v>
      </c>
      <c r="B3313">
        <v>109693440</v>
      </c>
      <c r="C3313">
        <v>109693440</v>
      </c>
    </row>
    <row r="3314" spans="1:3">
      <c r="A3314">
        <v>3313</v>
      </c>
      <c r="B3314">
        <v>109759690</v>
      </c>
      <c r="C3314">
        <v>109759690</v>
      </c>
    </row>
    <row r="3315" spans="1:3">
      <c r="A3315">
        <v>3314</v>
      </c>
      <c r="B3315">
        <v>109825960</v>
      </c>
      <c r="C3315">
        <v>109825960</v>
      </c>
    </row>
    <row r="3316" spans="1:3">
      <c r="A3316">
        <v>3315</v>
      </c>
      <c r="B3316">
        <v>109892250</v>
      </c>
      <c r="C3316">
        <v>109892250</v>
      </c>
    </row>
    <row r="3317" spans="1:3">
      <c r="A3317">
        <v>3316</v>
      </c>
      <c r="B3317">
        <v>109958560</v>
      </c>
      <c r="C3317">
        <v>109958560</v>
      </c>
    </row>
    <row r="3318" spans="1:3">
      <c r="A3318">
        <v>3317</v>
      </c>
      <c r="B3318">
        <v>110024890</v>
      </c>
      <c r="C3318">
        <v>110024890</v>
      </c>
    </row>
    <row r="3319" spans="1:3">
      <c r="A3319">
        <v>3318</v>
      </c>
      <c r="B3319">
        <v>110091240</v>
      </c>
      <c r="C3319">
        <v>110091240</v>
      </c>
    </row>
    <row r="3320" spans="1:3">
      <c r="A3320">
        <v>3319</v>
      </c>
      <c r="B3320">
        <v>110157610</v>
      </c>
      <c r="C3320">
        <v>110157610</v>
      </c>
    </row>
    <row r="3321" spans="1:3">
      <c r="A3321">
        <v>3320</v>
      </c>
      <c r="B3321">
        <v>110224000</v>
      </c>
      <c r="C3321">
        <v>110224000</v>
      </c>
    </row>
    <row r="3322" spans="1:3">
      <c r="A3322">
        <v>3321</v>
      </c>
      <c r="B3322">
        <v>110290410</v>
      </c>
      <c r="C3322">
        <v>110290410</v>
      </c>
    </row>
    <row r="3323" spans="1:3">
      <c r="A3323">
        <v>3322</v>
      </c>
      <c r="B3323">
        <v>110356840</v>
      </c>
      <c r="C3323">
        <v>110356840</v>
      </c>
    </row>
    <row r="3324" spans="1:3">
      <c r="A3324">
        <v>3323</v>
      </c>
      <c r="B3324">
        <v>110423290</v>
      </c>
      <c r="C3324">
        <v>110423290</v>
      </c>
    </row>
    <row r="3325" spans="1:3">
      <c r="A3325">
        <v>3324</v>
      </c>
      <c r="B3325">
        <v>110489760</v>
      </c>
      <c r="C3325">
        <v>110489760</v>
      </c>
    </row>
    <row r="3326" spans="1:3">
      <c r="A3326">
        <v>3325</v>
      </c>
      <c r="B3326">
        <v>110556250</v>
      </c>
      <c r="C3326">
        <v>110556250</v>
      </c>
    </row>
    <row r="3327" spans="1:3">
      <c r="A3327">
        <v>3326</v>
      </c>
      <c r="B3327">
        <v>110622760</v>
      </c>
      <c r="C3327">
        <v>110622760</v>
      </c>
    </row>
    <row r="3328" spans="1:3">
      <c r="A3328">
        <v>3327</v>
      </c>
      <c r="B3328">
        <v>110689290</v>
      </c>
      <c r="C3328">
        <v>110689290</v>
      </c>
    </row>
    <row r="3329" spans="1:3">
      <c r="A3329">
        <v>3328</v>
      </c>
      <c r="B3329">
        <v>110755840</v>
      </c>
      <c r="C3329">
        <v>110755840</v>
      </c>
    </row>
    <row r="3330" spans="1:3">
      <c r="A3330">
        <v>3329</v>
      </c>
      <c r="B3330">
        <v>110822410</v>
      </c>
      <c r="C3330">
        <v>110822410</v>
      </c>
    </row>
    <row r="3331" spans="1:3">
      <c r="A3331">
        <v>3330</v>
      </c>
      <c r="B3331">
        <v>110889000</v>
      </c>
      <c r="C3331">
        <v>110889000</v>
      </c>
    </row>
    <row r="3332" spans="1:3">
      <c r="A3332">
        <v>3331</v>
      </c>
      <c r="B3332">
        <v>110955610</v>
      </c>
      <c r="C3332">
        <v>110955610</v>
      </c>
    </row>
    <row r="3333" spans="1:3">
      <c r="A3333">
        <v>3332</v>
      </c>
      <c r="B3333">
        <v>111022240</v>
      </c>
      <c r="C3333">
        <v>111022240</v>
      </c>
    </row>
    <row r="3334" spans="1:3">
      <c r="A3334">
        <v>3333</v>
      </c>
      <c r="B3334">
        <v>111088890</v>
      </c>
      <c r="C3334">
        <v>111088890</v>
      </c>
    </row>
    <row r="3335" spans="1:3">
      <c r="A3335">
        <v>3334</v>
      </c>
      <c r="B3335">
        <v>111155560</v>
      </c>
      <c r="C3335">
        <v>111155560</v>
      </c>
    </row>
    <row r="3336" spans="1:3">
      <c r="A3336">
        <v>3335</v>
      </c>
      <c r="B3336">
        <v>111222250</v>
      </c>
      <c r="C3336">
        <v>111222250</v>
      </c>
    </row>
    <row r="3337" spans="1:3">
      <c r="A3337">
        <v>3336</v>
      </c>
      <c r="B3337">
        <v>111288960</v>
      </c>
      <c r="C3337">
        <v>111288960</v>
      </c>
    </row>
    <row r="3338" spans="1:3">
      <c r="A3338">
        <v>3337</v>
      </c>
      <c r="B3338">
        <v>111355690</v>
      </c>
      <c r="C3338">
        <v>111355690</v>
      </c>
    </row>
    <row r="3339" spans="1:3">
      <c r="A3339">
        <v>3338</v>
      </c>
      <c r="B3339">
        <v>111422440</v>
      </c>
      <c r="C3339">
        <v>111422440</v>
      </c>
    </row>
    <row r="3340" spans="1:3">
      <c r="A3340">
        <v>3339</v>
      </c>
      <c r="B3340">
        <v>111489210</v>
      </c>
      <c r="C3340">
        <v>111489210</v>
      </c>
    </row>
    <row r="3341" spans="1:3">
      <c r="A3341">
        <v>3340</v>
      </c>
      <c r="B3341">
        <v>111556000</v>
      </c>
      <c r="C3341">
        <v>111556000</v>
      </c>
    </row>
    <row r="3342" spans="1:3">
      <c r="A3342">
        <v>3341</v>
      </c>
      <c r="B3342">
        <v>111622810</v>
      </c>
      <c r="C3342">
        <v>111622810</v>
      </c>
    </row>
    <row r="3343" spans="1:3">
      <c r="A3343">
        <v>3342</v>
      </c>
      <c r="B3343">
        <v>111689640</v>
      </c>
      <c r="C3343">
        <v>111689640</v>
      </c>
    </row>
    <row r="3344" spans="1:3">
      <c r="A3344">
        <v>3343</v>
      </c>
      <c r="B3344">
        <v>111756490</v>
      </c>
      <c r="C3344">
        <v>111756490</v>
      </c>
    </row>
    <row r="3345" spans="1:3">
      <c r="A3345">
        <v>3344</v>
      </c>
      <c r="B3345">
        <v>111823360</v>
      </c>
      <c r="C3345">
        <v>111823360</v>
      </c>
    </row>
    <row r="3346" spans="1:3">
      <c r="A3346">
        <v>3345</v>
      </c>
      <c r="B3346">
        <v>111890250</v>
      </c>
      <c r="C3346">
        <v>111890250</v>
      </c>
    </row>
    <row r="3347" spans="1:3">
      <c r="A3347">
        <v>3346</v>
      </c>
      <c r="B3347">
        <v>111957160</v>
      </c>
      <c r="C3347">
        <v>111957160</v>
      </c>
    </row>
    <row r="3348" spans="1:3">
      <c r="A3348">
        <v>3347</v>
      </c>
      <c r="B3348">
        <v>112024090</v>
      </c>
      <c r="C3348">
        <v>112024090</v>
      </c>
    </row>
    <row r="3349" spans="1:3">
      <c r="A3349">
        <v>3348</v>
      </c>
      <c r="B3349">
        <v>112091040</v>
      </c>
      <c r="C3349">
        <v>112091040</v>
      </c>
    </row>
    <row r="3350" spans="1:3">
      <c r="A3350">
        <v>3349</v>
      </c>
      <c r="B3350">
        <v>112158010</v>
      </c>
      <c r="C3350">
        <v>112158010</v>
      </c>
    </row>
    <row r="3351" spans="1:3">
      <c r="A3351">
        <v>3350</v>
      </c>
      <c r="B3351">
        <v>112225000</v>
      </c>
      <c r="C3351">
        <v>112225000</v>
      </c>
    </row>
    <row r="3352" spans="1:3">
      <c r="A3352">
        <v>3351</v>
      </c>
      <c r="B3352">
        <v>112292010</v>
      </c>
      <c r="C3352">
        <v>112292010</v>
      </c>
    </row>
    <row r="3353" spans="1:3">
      <c r="A3353">
        <v>3352</v>
      </c>
      <c r="B3353">
        <v>112359040</v>
      </c>
      <c r="C3353">
        <v>112359040</v>
      </c>
    </row>
    <row r="3354" spans="1:3">
      <c r="A3354">
        <v>3353</v>
      </c>
      <c r="B3354">
        <v>112426090</v>
      </c>
      <c r="C3354">
        <v>112426090</v>
      </c>
    </row>
    <row r="3355" spans="1:3">
      <c r="A3355">
        <v>3354</v>
      </c>
      <c r="B3355">
        <v>112493160</v>
      </c>
      <c r="C3355">
        <v>112493160</v>
      </c>
    </row>
    <row r="3356" spans="1:3">
      <c r="A3356">
        <v>3355</v>
      </c>
      <c r="B3356">
        <v>112560250</v>
      </c>
      <c r="C3356">
        <v>112560250</v>
      </c>
    </row>
    <row r="3357" spans="1:3">
      <c r="A3357">
        <v>3356</v>
      </c>
      <c r="B3357">
        <v>112627360</v>
      </c>
      <c r="C3357">
        <v>112627360</v>
      </c>
    </row>
    <row r="3358" spans="1:3">
      <c r="A3358">
        <v>3357</v>
      </c>
      <c r="B3358">
        <v>112694490</v>
      </c>
      <c r="C3358">
        <v>112694490</v>
      </c>
    </row>
    <row r="3359" spans="1:3">
      <c r="A3359">
        <v>3358</v>
      </c>
      <c r="B3359">
        <v>112761640</v>
      </c>
      <c r="C3359">
        <v>112761640</v>
      </c>
    </row>
    <row r="3360" spans="1:3">
      <c r="A3360">
        <v>3359</v>
      </c>
      <c r="B3360">
        <v>112828810</v>
      </c>
      <c r="C3360">
        <v>112828810</v>
      </c>
    </row>
    <row r="3361" spans="1:3">
      <c r="A3361">
        <v>3360</v>
      </c>
      <c r="B3361">
        <v>112896000</v>
      </c>
      <c r="C3361">
        <v>112896000</v>
      </c>
    </row>
    <row r="3362" spans="1:3">
      <c r="A3362">
        <v>3361</v>
      </c>
      <c r="B3362">
        <v>112963210</v>
      </c>
      <c r="C3362">
        <v>112963210</v>
      </c>
    </row>
    <row r="3363" spans="1:3">
      <c r="A3363">
        <v>3362</v>
      </c>
      <c r="B3363">
        <v>113030440</v>
      </c>
      <c r="C3363">
        <v>113030440</v>
      </c>
    </row>
    <row r="3364" spans="1:3">
      <c r="A3364">
        <v>3363</v>
      </c>
      <c r="B3364">
        <v>113097690</v>
      </c>
      <c r="C3364">
        <v>113097690</v>
      </c>
    </row>
    <row r="3365" spans="1:3">
      <c r="A3365">
        <v>3364</v>
      </c>
      <c r="B3365">
        <v>113164960</v>
      </c>
      <c r="C3365">
        <v>113164960</v>
      </c>
    </row>
    <row r="3366" spans="1:3">
      <c r="A3366">
        <v>3365</v>
      </c>
      <c r="B3366">
        <v>113232250</v>
      </c>
      <c r="C3366">
        <v>113232250</v>
      </c>
    </row>
    <row r="3367" spans="1:3">
      <c r="A3367">
        <v>3366</v>
      </c>
      <c r="B3367">
        <v>113299560</v>
      </c>
      <c r="C3367">
        <v>113299560</v>
      </c>
    </row>
    <row r="3368" spans="1:3">
      <c r="A3368">
        <v>3367</v>
      </c>
      <c r="B3368">
        <v>113366890</v>
      </c>
      <c r="C3368">
        <v>113366890</v>
      </c>
    </row>
    <row r="3369" spans="1:3">
      <c r="A3369">
        <v>3368</v>
      </c>
      <c r="B3369">
        <v>113434240</v>
      </c>
      <c r="C3369">
        <v>113434240</v>
      </c>
    </row>
    <row r="3370" spans="1:3">
      <c r="A3370">
        <v>3369</v>
      </c>
      <c r="B3370">
        <v>113501610</v>
      </c>
      <c r="C3370">
        <v>113501610</v>
      </c>
    </row>
    <row r="3371" spans="1:3">
      <c r="A3371">
        <v>3370</v>
      </c>
      <c r="B3371">
        <v>113569000</v>
      </c>
      <c r="C3371">
        <v>113569000</v>
      </c>
    </row>
    <row r="3372" spans="1:3">
      <c r="A3372">
        <v>3371</v>
      </c>
      <c r="B3372">
        <v>113636410</v>
      </c>
      <c r="C3372">
        <v>113636410</v>
      </c>
    </row>
    <row r="3373" spans="1:3">
      <c r="A3373">
        <v>3372</v>
      </c>
      <c r="B3373">
        <v>113703840</v>
      </c>
      <c r="C3373">
        <v>113703840</v>
      </c>
    </row>
    <row r="3374" spans="1:3">
      <c r="A3374">
        <v>3373</v>
      </c>
      <c r="B3374">
        <v>113771290</v>
      </c>
      <c r="C3374">
        <v>113771290</v>
      </c>
    </row>
    <row r="3375" spans="1:3">
      <c r="A3375">
        <v>3374</v>
      </c>
      <c r="B3375">
        <v>113838760</v>
      </c>
      <c r="C3375">
        <v>113838760</v>
      </c>
    </row>
    <row r="3376" spans="1:3">
      <c r="A3376">
        <v>3375</v>
      </c>
      <c r="B3376">
        <v>113906250</v>
      </c>
      <c r="C3376">
        <v>113906250</v>
      </c>
    </row>
    <row r="3377" spans="1:3">
      <c r="A3377">
        <v>3376</v>
      </c>
      <c r="B3377">
        <v>113973760</v>
      </c>
      <c r="C3377">
        <v>113973760</v>
      </c>
    </row>
    <row r="3378" spans="1:3">
      <c r="A3378">
        <v>3377</v>
      </c>
      <c r="B3378">
        <v>114041290</v>
      </c>
      <c r="C3378">
        <v>114041290</v>
      </c>
    </row>
    <row r="3379" spans="1:3">
      <c r="A3379">
        <v>3378</v>
      </c>
      <c r="B3379">
        <v>114108840</v>
      </c>
      <c r="C3379">
        <v>114108840</v>
      </c>
    </row>
    <row r="3380" spans="1:3">
      <c r="A3380">
        <v>3379</v>
      </c>
      <c r="B3380">
        <v>114176410</v>
      </c>
      <c r="C3380">
        <v>114176410</v>
      </c>
    </row>
    <row r="3381" spans="1:3">
      <c r="A3381">
        <v>3380</v>
      </c>
      <c r="B3381">
        <v>114244000</v>
      </c>
      <c r="C3381">
        <v>114244000</v>
      </c>
    </row>
    <row r="3382" spans="1:3">
      <c r="A3382">
        <v>3381</v>
      </c>
      <c r="B3382">
        <v>114311610</v>
      </c>
      <c r="C3382">
        <v>114311610</v>
      </c>
    </row>
    <row r="3383" spans="1:3">
      <c r="A3383">
        <v>3382</v>
      </c>
      <c r="B3383">
        <v>114379240</v>
      </c>
      <c r="C3383">
        <v>114379240</v>
      </c>
    </row>
    <row r="3384" spans="1:3">
      <c r="A3384">
        <v>3383</v>
      </c>
      <c r="B3384">
        <v>114446890</v>
      </c>
      <c r="C3384">
        <v>114446890</v>
      </c>
    </row>
    <row r="3385" spans="1:3">
      <c r="A3385">
        <v>3384</v>
      </c>
      <c r="B3385">
        <v>114514560</v>
      </c>
      <c r="C3385">
        <v>114514560</v>
      </c>
    </row>
    <row r="3386" spans="1:3">
      <c r="A3386">
        <v>3385</v>
      </c>
      <c r="B3386">
        <v>114582250</v>
      </c>
      <c r="C3386">
        <v>114582250</v>
      </c>
    </row>
    <row r="3387" spans="1:3">
      <c r="A3387">
        <v>3386</v>
      </c>
      <c r="B3387">
        <v>114649960</v>
      </c>
      <c r="C3387">
        <v>114649960</v>
      </c>
    </row>
    <row r="3388" spans="1:3">
      <c r="A3388">
        <v>3387</v>
      </c>
      <c r="B3388">
        <v>114717690</v>
      </c>
      <c r="C3388">
        <v>114717690</v>
      </c>
    </row>
    <row r="3389" spans="1:3">
      <c r="A3389">
        <v>3388</v>
      </c>
      <c r="B3389">
        <v>114785440</v>
      </c>
      <c r="C3389">
        <v>114785440</v>
      </c>
    </row>
    <row r="3390" spans="1:3">
      <c r="A3390">
        <v>3389</v>
      </c>
      <c r="B3390">
        <v>114853210</v>
      </c>
      <c r="C3390">
        <v>114853210</v>
      </c>
    </row>
    <row r="3391" spans="1:3">
      <c r="A3391">
        <v>3390</v>
      </c>
      <c r="B3391">
        <v>114921000</v>
      </c>
      <c r="C3391">
        <v>114921000</v>
      </c>
    </row>
    <row r="3392" spans="1:3">
      <c r="A3392">
        <v>3391</v>
      </c>
      <c r="B3392">
        <v>114988810</v>
      </c>
      <c r="C3392">
        <v>114988810</v>
      </c>
    </row>
    <row r="3393" spans="1:3">
      <c r="A3393">
        <v>3392</v>
      </c>
      <c r="B3393">
        <v>115056640</v>
      </c>
      <c r="C3393">
        <v>115056640</v>
      </c>
    </row>
    <row r="3394" spans="1:3">
      <c r="A3394">
        <v>3393</v>
      </c>
      <c r="B3394">
        <v>115124490</v>
      </c>
      <c r="C3394">
        <v>115124490</v>
      </c>
    </row>
    <row r="3395" spans="1:3">
      <c r="A3395">
        <v>3394</v>
      </c>
      <c r="B3395">
        <v>115192360</v>
      </c>
      <c r="C3395">
        <v>115192360</v>
      </c>
    </row>
    <row r="3396" spans="1:3">
      <c r="A3396">
        <v>3395</v>
      </c>
      <c r="B3396">
        <v>115260250</v>
      </c>
      <c r="C3396">
        <v>115260250</v>
      </c>
    </row>
    <row r="3397" spans="1:3">
      <c r="A3397">
        <v>3396</v>
      </c>
      <c r="B3397">
        <v>115328160</v>
      </c>
      <c r="C3397">
        <v>115328160</v>
      </c>
    </row>
    <row r="3398" spans="1:3">
      <c r="A3398">
        <v>3397</v>
      </c>
      <c r="B3398">
        <v>115396090</v>
      </c>
      <c r="C3398">
        <v>115396090</v>
      </c>
    </row>
    <row r="3399" spans="1:3">
      <c r="A3399">
        <v>3398</v>
      </c>
      <c r="B3399">
        <v>115464040</v>
      </c>
      <c r="C3399">
        <v>115464040</v>
      </c>
    </row>
    <row r="3400" spans="1:3">
      <c r="A3400">
        <v>3399</v>
      </c>
      <c r="B3400">
        <v>115532010</v>
      </c>
      <c r="C3400">
        <v>115532010</v>
      </c>
    </row>
    <row r="3401" spans="1:3">
      <c r="A3401">
        <v>3400</v>
      </c>
      <c r="B3401">
        <v>115600000</v>
      </c>
      <c r="C3401">
        <v>115600000</v>
      </c>
    </row>
    <row r="3402" spans="1:3">
      <c r="A3402">
        <v>3401</v>
      </c>
      <c r="B3402">
        <v>115668010</v>
      </c>
      <c r="C3402">
        <v>115668010</v>
      </c>
    </row>
    <row r="3403" spans="1:3">
      <c r="A3403">
        <v>3402</v>
      </c>
      <c r="B3403">
        <v>115736040</v>
      </c>
      <c r="C3403">
        <v>115736040</v>
      </c>
    </row>
    <row r="3404" spans="1:3">
      <c r="A3404">
        <v>3403</v>
      </c>
      <c r="B3404">
        <v>115804090</v>
      </c>
      <c r="C3404">
        <v>115804090</v>
      </c>
    </row>
    <row r="3405" spans="1:3">
      <c r="A3405">
        <v>3404</v>
      </c>
      <c r="B3405">
        <v>115872160</v>
      </c>
      <c r="C3405">
        <v>115872160</v>
      </c>
    </row>
    <row r="3406" spans="1:3">
      <c r="A3406">
        <v>3405</v>
      </c>
      <c r="B3406">
        <v>115940250</v>
      </c>
      <c r="C3406">
        <v>115940250</v>
      </c>
    </row>
    <row r="3407" spans="1:3">
      <c r="A3407">
        <v>3406</v>
      </c>
      <c r="B3407">
        <v>116008360</v>
      </c>
      <c r="C3407">
        <v>116008360</v>
      </c>
    </row>
    <row r="3408" spans="1:3">
      <c r="A3408">
        <v>3407</v>
      </c>
      <c r="B3408">
        <v>116076490</v>
      </c>
      <c r="C3408">
        <v>116076490</v>
      </c>
    </row>
    <row r="3409" spans="1:3">
      <c r="A3409">
        <v>3408</v>
      </c>
      <c r="B3409">
        <v>116144640</v>
      </c>
      <c r="C3409">
        <v>116144640</v>
      </c>
    </row>
    <row r="3410" spans="1:3">
      <c r="A3410">
        <v>3409</v>
      </c>
      <c r="B3410">
        <v>116212810</v>
      </c>
      <c r="C3410">
        <v>116212810</v>
      </c>
    </row>
    <row r="3411" spans="1:3">
      <c r="A3411">
        <v>3410</v>
      </c>
      <c r="B3411">
        <v>116281000</v>
      </c>
      <c r="C3411">
        <v>116281000</v>
      </c>
    </row>
    <row r="3412" spans="1:3">
      <c r="A3412">
        <v>3411</v>
      </c>
      <c r="B3412">
        <v>116349210</v>
      </c>
      <c r="C3412">
        <v>116349210</v>
      </c>
    </row>
    <row r="3413" spans="1:3">
      <c r="A3413">
        <v>3412</v>
      </c>
      <c r="B3413">
        <v>116417440</v>
      </c>
      <c r="C3413">
        <v>116417440</v>
      </c>
    </row>
    <row r="3414" spans="1:3">
      <c r="A3414">
        <v>3413</v>
      </c>
      <c r="B3414">
        <v>116485690</v>
      </c>
      <c r="C3414">
        <v>116485690</v>
      </c>
    </row>
    <row r="3415" spans="1:3">
      <c r="A3415">
        <v>3414</v>
      </c>
      <c r="B3415">
        <v>116553960</v>
      </c>
      <c r="C3415">
        <v>116553960</v>
      </c>
    </row>
    <row r="3416" spans="1:3">
      <c r="A3416">
        <v>3415</v>
      </c>
      <c r="B3416">
        <v>116622250</v>
      </c>
      <c r="C3416">
        <v>116622250</v>
      </c>
    </row>
    <row r="3417" spans="1:3">
      <c r="A3417">
        <v>3416</v>
      </c>
      <c r="B3417">
        <v>116690560</v>
      </c>
      <c r="C3417">
        <v>116690560</v>
      </c>
    </row>
    <row r="3418" spans="1:3">
      <c r="A3418">
        <v>3417</v>
      </c>
      <c r="B3418">
        <v>116758890</v>
      </c>
      <c r="C3418">
        <v>116758890</v>
      </c>
    </row>
    <row r="3419" spans="1:3">
      <c r="A3419">
        <v>3418</v>
      </c>
      <c r="B3419">
        <v>116827240</v>
      </c>
      <c r="C3419">
        <v>116827240</v>
      </c>
    </row>
    <row r="3420" spans="1:3">
      <c r="A3420">
        <v>3419</v>
      </c>
      <c r="B3420">
        <v>116895610</v>
      </c>
      <c r="C3420">
        <v>116895610</v>
      </c>
    </row>
    <row r="3421" spans="1:3">
      <c r="A3421">
        <v>3420</v>
      </c>
      <c r="B3421">
        <v>116964000</v>
      </c>
      <c r="C3421">
        <v>116964000</v>
      </c>
    </row>
    <row r="3422" spans="1:3">
      <c r="A3422">
        <v>3421</v>
      </c>
      <c r="B3422">
        <v>117032410</v>
      </c>
      <c r="C3422">
        <v>117032410</v>
      </c>
    </row>
    <row r="3423" spans="1:3">
      <c r="A3423">
        <v>3422</v>
      </c>
      <c r="B3423">
        <v>117100840</v>
      </c>
      <c r="C3423">
        <v>117100840</v>
      </c>
    </row>
    <row r="3424" spans="1:3">
      <c r="A3424">
        <v>3423</v>
      </c>
      <c r="B3424">
        <v>117169290</v>
      </c>
      <c r="C3424">
        <v>117169290</v>
      </c>
    </row>
    <row r="3425" spans="1:3">
      <c r="A3425">
        <v>3424</v>
      </c>
      <c r="B3425">
        <v>117237760</v>
      </c>
      <c r="C3425">
        <v>117237760</v>
      </c>
    </row>
    <row r="3426" spans="1:3">
      <c r="A3426">
        <v>3425</v>
      </c>
      <c r="B3426">
        <v>117306250</v>
      </c>
      <c r="C3426">
        <v>117306250</v>
      </c>
    </row>
    <row r="3427" spans="1:3">
      <c r="A3427">
        <v>3426</v>
      </c>
      <c r="B3427">
        <v>117374760</v>
      </c>
      <c r="C3427">
        <v>117374760</v>
      </c>
    </row>
    <row r="3428" spans="1:3">
      <c r="A3428">
        <v>3427</v>
      </c>
      <c r="B3428">
        <v>117443290</v>
      </c>
      <c r="C3428">
        <v>117443290</v>
      </c>
    </row>
    <row r="3429" spans="1:3">
      <c r="A3429">
        <v>3428</v>
      </c>
      <c r="B3429">
        <v>117511840</v>
      </c>
      <c r="C3429">
        <v>117511840</v>
      </c>
    </row>
    <row r="3430" spans="1:3">
      <c r="A3430">
        <v>3429</v>
      </c>
      <c r="B3430">
        <v>117580410</v>
      </c>
      <c r="C3430">
        <v>117580410</v>
      </c>
    </row>
    <row r="3431" spans="1:3">
      <c r="A3431">
        <v>3430</v>
      </c>
      <c r="B3431">
        <v>117649000</v>
      </c>
      <c r="C3431">
        <v>117649000</v>
      </c>
    </row>
    <row r="3432" spans="1:3">
      <c r="A3432">
        <v>3431</v>
      </c>
      <c r="B3432">
        <v>117717610</v>
      </c>
      <c r="C3432">
        <v>117717610</v>
      </c>
    </row>
    <row r="3433" spans="1:3">
      <c r="A3433">
        <v>3432</v>
      </c>
      <c r="B3433">
        <v>117786240</v>
      </c>
      <c r="C3433">
        <v>117786240</v>
      </c>
    </row>
    <row r="3434" spans="1:3">
      <c r="A3434">
        <v>3433</v>
      </c>
      <c r="B3434">
        <v>117854890</v>
      </c>
      <c r="C3434">
        <v>117854890</v>
      </c>
    </row>
    <row r="3435" spans="1:3">
      <c r="A3435">
        <v>3434</v>
      </c>
      <c r="B3435">
        <v>117923560</v>
      </c>
      <c r="C3435">
        <v>117923560</v>
      </c>
    </row>
    <row r="3436" spans="1:3">
      <c r="A3436">
        <v>3435</v>
      </c>
      <c r="B3436">
        <v>117992250</v>
      </c>
      <c r="C3436">
        <v>117992250</v>
      </c>
    </row>
    <row r="3437" spans="1:3">
      <c r="A3437">
        <v>3436</v>
      </c>
      <c r="B3437">
        <v>118060960</v>
      </c>
      <c r="C3437">
        <v>118060960</v>
      </c>
    </row>
    <row r="3438" spans="1:3">
      <c r="A3438">
        <v>3437</v>
      </c>
      <c r="B3438">
        <v>118129690</v>
      </c>
      <c r="C3438">
        <v>118129690</v>
      </c>
    </row>
    <row r="3439" spans="1:3">
      <c r="A3439">
        <v>3438</v>
      </c>
      <c r="B3439">
        <v>118198440</v>
      </c>
      <c r="C3439">
        <v>118198440</v>
      </c>
    </row>
    <row r="3440" spans="1:3">
      <c r="A3440">
        <v>3439</v>
      </c>
      <c r="B3440">
        <v>118267210</v>
      </c>
      <c r="C3440">
        <v>118267210</v>
      </c>
    </row>
    <row r="3441" spans="1:3">
      <c r="A3441">
        <v>3440</v>
      </c>
      <c r="B3441">
        <v>118336000</v>
      </c>
      <c r="C3441">
        <v>118336000</v>
      </c>
    </row>
    <row r="3442" spans="1:3">
      <c r="A3442">
        <v>3441</v>
      </c>
      <c r="B3442">
        <v>118404810</v>
      </c>
      <c r="C3442">
        <v>118404810</v>
      </c>
    </row>
    <row r="3443" spans="1:3">
      <c r="A3443">
        <v>3442</v>
      </c>
      <c r="B3443">
        <v>118473640</v>
      </c>
      <c r="C3443">
        <v>118473640</v>
      </c>
    </row>
    <row r="3444" spans="1:3">
      <c r="A3444">
        <v>3443</v>
      </c>
      <c r="B3444">
        <v>118542490</v>
      </c>
      <c r="C3444">
        <v>118542490</v>
      </c>
    </row>
    <row r="3445" spans="1:3">
      <c r="A3445">
        <v>3444</v>
      </c>
      <c r="B3445">
        <v>118611360</v>
      </c>
      <c r="C3445">
        <v>118611360</v>
      </c>
    </row>
    <row r="3446" spans="1:3">
      <c r="A3446">
        <v>3445</v>
      </c>
      <c r="B3446">
        <v>118680250</v>
      </c>
      <c r="C3446">
        <v>118680250</v>
      </c>
    </row>
    <row r="3447" spans="1:3">
      <c r="A3447">
        <v>3446</v>
      </c>
      <c r="B3447">
        <v>118749160</v>
      </c>
      <c r="C3447">
        <v>118749160</v>
      </c>
    </row>
    <row r="3448" spans="1:3">
      <c r="A3448">
        <v>3447</v>
      </c>
      <c r="B3448">
        <v>118818090</v>
      </c>
      <c r="C3448">
        <v>118818090</v>
      </c>
    </row>
    <row r="3449" spans="1:3">
      <c r="A3449">
        <v>3448</v>
      </c>
      <c r="B3449">
        <v>118887040</v>
      </c>
      <c r="C3449">
        <v>118887040</v>
      </c>
    </row>
    <row r="3450" spans="1:3">
      <c r="A3450">
        <v>3449</v>
      </c>
      <c r="B3450">
        <v>118956010</v>
      </c>
      <c r="C3450">
        <v>118956010</v>
      </c>
    </row>
    <row r="3451" spans="1:3">
      <c r="A3451">
        <v>3450</v>
      </c>
      <c r="B3451">
        <v>119025000</v>
      </c>
      <c r="C3451">
        <v>119025000</v>
      </c>
    </row>
    <row r="3452" spans="1:3">
      <c r="A3452">
        <v>3451</v>
      </c>
      <c r="B3452">
        <v>119094010</v>
      </c>
      <c r="C3452">
        <v>119094010</v>
      </c>
    </row>
    <row r="3453" spans="1:3">
      <c r="A3453">
        <v>3452</v>
      </c>
      <c r="B3453">
        <v>119163040</v>
      </c>
      <c r="C3453">
        <v>119163040</v>
      </c>
    </row>
    <row r="3454" spans="1:3">
      <c r="A3454">
        <v>3453</v>
      </c>
      <c r="B3454">
        <v>119232090</v>
      </c>
      <c r="C3454">
        <v>119232090</v>
      </c>
    </row>
    <row r="3455" spans="1:3">
      <c r="A3455">
        <v>3454</v>
      </c>
      <c r="B3455">
        <v>119301160</v>
      </c>
      <c r="C3455">
        <v>119301160</v>
      </c>
    </row>
    <row r="3456" spans="1:3">
      <c r="A3456">
        <v>3455</v>
      </c>
      <c r="B3456">
        <v>119370250</v>
      </c>
      <c r="C3456">
        <v>119370250</v>
      </c>
    </row>
    <row r="3457" spans="1:3">
      <c r="A3457">
        <v>3456</v>
      </c>
      <c r="B3457">
        <v>119439360</v>
      </c>
      <c r="C3457">
        <v>119439360</v>
      </c>
    </row>
    <row r="3458" spans="1:3">
      <c r="A3458">
        <v>3457</v>
      </c>
      <c r="B3458">
        <v>119508490</v>
      </c>
      <c r="C3458">
        <v>119508490</v>
      </c>
    </row>
    <row r="3459" spans="1:3">
      <c r="A3459">
        <v>3458</v>
      </c>
      <c r="B3459">
        <v>119577640</v>
      </c>
      <c r="C3459">
        <v>119577640</v>
      </c>
    </row>
    <row r="3460" spans="1:3">
      <c r="A3460">
        <v>3459</v>
      </c>
      <c r="B3460">
        <v>119646810</v>
      </c>
      <c r="C3460">
        <v>119646810</v>
      </c>
    </row>
    <row r="3461" spans="1:3">
      <c r="A3461">
        <v>3460</v>
      </c>
      <c r="B3461">
        <v>119716000</v>
      </c>
      <c r="C3461">
        <v>119716000</v>
      </c>
    </row>
    <row r="3462" spans="1:3">
      <c r="A3462">
        <v>3461</v>
      </c>
      <c r="B3462">
        <v>119785210</v>
      </c>
      <c r="C3462">
        <v>119785210</v>
      </c>
    </row>
    <row r="3463" spans="1:3">
      <c r="A3463">
        <v>3462</v>
      </c>
      <c r="B3463">
        <v>119854440</v>
      </c>
      <c r="C3463">
        <v>119854440</v>
      </c>
    </row>
    <row r="3464" spans="1:3">
      <c r="A3464">
        <v>3463</v>
      </c>
      <c r="B3464">
        <v>119923690</v>
      </c>
      <c r="C3464">
        <v>119923690</v>
      </c>
    </row>
    <row r="3465" spans="1:3">
      <c r="A3465">
        <v>3464</v>
      </c>
      <c r="B3465">
        <v>119992960</v>
      </c>
      <c r="C3465">
        <v>119992960</v>
      </c>
    </row>
    <row r="3466" spans="1:3">
      <c r="A3466">
        <v>3465</v>
      </c>
      <c r="B3466">
        <v>120062250</v>
      </c>
      <c r="C3466">
        <v>120062250</v>
      </c>
    </row>
    <row r="3467" spans="1:3">
      <c r="A3467">
        <v>3466</v>
      </c>
      <c r="B3467">
        <v>120131560</v>
      </c>
      <c r="C3467">
        <v>120131560</v>
      </c>
    </row>
    <row r="3468" spans="1:3">
      <c r="A3468">
        <v>3467</v>
      </c>
      <c r="B3468">
        <v>120200890</v>
      </c>
      <c r="C3468">
        <v>120200890</v>
      </c>
    </row>
    <row r="3469" spans="1:3">
      <c r="A3469">
        <v>3468</v>
      </c>
      <c r="B3469">
        <v>120270240</v>
      </c>
      <c r="C3469">
        <v>120270240</v>
      </c>
    </row>
    <row r="3470" spans="1:3">
      <c r="A3470">
        <v>3469</v>
      </c>
      <c r="B3470">
        <v>120339610</v>
      </c>
      <c r="C3470">
        <v>120339610</v>
      </c>
    </row>
    <row r="3471" spans="1:3">
      <c r="A3471">
        <v>3470</v>
      </c>
      <c r="B3471">
        <v>120409000</v>
      </c>
      <c r="C3471">
        <v>120409000</v>
      </c>
    </row>
    <row r="3472" spans="1:3">
      <c r="A3472">
        <v>3471</v>
      </c>
      <c r="B3472">
        <v>120478410</v>
      </c>
      <c r="C3472">
        <v>120478410</v>
      </c>
    </row>
    <row r="3473" spans="1:3">
      <c r="A3473">
        <v>3472</v>
      </c>
      <c r="B3473">
        <v>120547840</v>
      </c>
      <c r="C3473">
        <v>120547840</v>
      </c>
    </row>
    <row r="3474" spans="1:3">
      <c r="A3474">
        <v>3473</v>
      </c>
      <c r="B3474">
        <v>120617290</v>
      </c>
      <c r="C3474">
        <v>120617290</v>
      </c>
    </row>
    <row r="3475" spans="1:3">
      <c r="A3475">
        <v>3474</v>
      </c>
      <c r="B3475">
        <v>120686760</v>
      </c>
      <c r="C3475">
        <v>120686760</v>
      </c>
    </row>
    <row r="3476" spans="1:3">
      <c r="A3476">
        <v>3475</v>
      </c>
      <c r="B3476">
        <v>120756250</v>
      </c>
      <c r="C3476">
        <v>120756250</v>
      </c>
    </row>
    <row r="3477" spans="1:3">
      <c r="A3477">
        <v>3476</v>
      </c>
      <c r="B3477">
        <v>120825760</v>
      </c>
      <c r="C3477">
        <v>120825760</v>
      </c>
    </row>
    <row r="3478" spans="1:3">
      <c r="A3478">
        <v>3477</v>
      </c>
      <c r="B3478">
        <v>120895290</v>
      </c>
      <c r="C3478">
        <v>120895290</v>
      </c>
    </row>
    <row r="3479" spans="1:3">
      <c r="A3479">
        <v>3478</v>
      </c>
      <c r="B3479">
        <v>120964840</v>
      </c>
      <c r="C3479">
        <v>120964840</v>
      </c>
    </row>
    <row r="3480" spans="1:3">
      <c r="A3480">
        <v>3479</v>
      </c>
      <c r="B3480">
        <v>121034410</v>
      </c>
      <c r="C3480">
        <v>121034410</v>
      </c>
    </row>
    <row r="3481" spans="1:3">
      <c r="A3481">
        <v>3480</v>
      </c>
      <c r="B3481">
        <v>121104000</v>
      </c>
      <c r="C3481">
        <v>121104000</v>
      </c>
    </row>
    <row r="3482" spans="1:3">
      <c r="A3482">
        <v>3481</v>
      </c>
      <c r="B3482">
        <v>121173610</v>
      </c>
      <c r="C3482">
        <v>121173610</v>
      </c>
    </row>
    <row r="3483" spans="1:3">
      <c r="A3483">
        <v>3482</v>
      </c>
      <c r="B3483">
        <v>121243240</v>
      </c>
      <c r="C3483">
        <v>121243240</v>
      </c>
    </row>
    <row r="3484" spans="1:3">
      <c r="A3484">
        <v>3483</v>
      </c>
      <c r="B3484">
        <v>121312890</v>
      </c>
      <c r="C3484">
        <v>121312890</v>
      </c>
    </row>
    <row r="3485" spans="1:3">
      <c r="A3485">
        <v>3484</v>
      </c>
      <c r="B3485">
        <v>121382560</v>
      </c>
      <c r="C3485">
        <v>121382560</v>
      </c>
    </row>
    <row r="3486" spans="1:3">
      <c r="A3486">
        <v>3485</v>
      </c>
      <c r="B3486">
        <v>121452250</v>
      </c>
      <c r="C3486">
        <v>121452250</v>
      </c>
    </row>
    <row r="3487" spans="1:3">
      <c r="A3487">
        <v>3486</v>
      </c>
      <c r="B3487">
        <v>121521960</v>
      </c>
      <c r="C3487">
        <v>121521960</v>
      </c>
    </row>
    <row r="3488" spans="1:3">
      <c r="A3488">
        <v>3487</v>
      </c>
      <c r="B3488">
        <v>121591690</v>
      </c>
      <c r="C3488">
        <v>121591690</v>
      </c>
    </row>
    <row r="3489" spans="1:3">
      <c r="A3489">
        <v>3488</v>
      </c>
      <c r="B3489">
        <v>121661440</v>
      </c>
      <c r="C3489">
        <v>121661440</v>
      </c>
    </row>
    <row r="3490" spans="1:3">
      <c r="A3490">
        <v>3489</v>
      </c>
      <c r="B3490">
        <v>121731210</v>
      </c>
      <c r="C3490">
        <v>121731210</v>
      </c>
    </row>
    <row r="3491" spans="1:3">
      <c r="A3491">
        <v>3490</v>
      </c>
      <c r="B3491">
        <v>121801000</v>
      </c>
      <c r="C3491">
        <v>121801000</v>
      </c>
    </row>
    <row r="3492" spans="1:3">
      <c r="A3492">
        <v>3491</v>
      </c>
      <c r="B3492">
        <v>121870810</v>
      </c>
      <c r="C3492">
        <v>121870810</v>
      </c>
    </row>
    <row r="3493" spans="1:3">
      <c r="A3493">
        <v>3492</v>
      </c>
      <c r="B3493">
        <v>121940640</v>
      </c>
      <c r="C3493">
        <v>121940640</v>
      </c>
    </row>
    <row r="3494" spans="1:3">
      <c r="A3494">
        <v>3493</v>
      </c>
      <c r="B3494">
        <v>122010490</v>
      </c>
      <c r="C3494">
        <v>122010490</v>
      </c>
    </row>
    <row r="3495" spans="1:3">
      <c r="A3495">
        <v>3494</v>
      </c>
      <c r="B3495">
        <v>122080360</v>
      </c>
      <c r="C3495">
        <v>122080360</v>
      </c>
    </row>
    <row r="3496" spans="1:3">
      <c r="A3496">
        <v>3495</v>
      </c>
      <c r="B3496">
        <v>122150250</v>
      </c>
      <c r="C3496">
        <v>122150250</v>
      </c>
    </row>
    <row r="3497" spans="1:3">
      <c r="A3497">
        <v>3496</v>
      </c>
      <c r="B3497">
        <v>122220160</v>
      </c>
      <c r="C3497">
        <v>122220160</v>
      </c>
    </row>
    <row r="3498" spans="1:3">
      <c r="A3498">
        <v>3497</v>
      </c>
      <c r="B3498">
        <v>122290090</v>
      </c>
      <c r="C3498">
        <v>122290090</v>
      </c>
    </row>
    <row r="3499" spans="1:3">
      <c r="A3499">
        <v>3498</v>
      </c>
      <c r="B3499">
        <v>122360040</v>
      </c>
      <c r="C3499">
        <v>122360040</v>
      </c>
    </row>
    <row r="3500" spans="1:3">
      <c r="A3500">
        <v>3499</v>
      </c>
      <c r="B3500">
        <v>122430010</v>
      </c>
      <c r="C3500">
        <v>122430010</v>
      </c>
    </row>
    <row r="3501" spans="1:3">
      <c r="A3501">
        <v>3500</v>
      </c>
      <c r="B3501">
        <v>122500000</v>
      </c>
      <c r="C3501">
        <v>122500000</v>
      </c>
    </row>
    <row r="3502" spans="1:3">
      <c r="A3502">
        <v>3501</v>
      </c>
      <c r="B3502">
        <v>122570010</v>
      </c>
      <c r="C3502">
        <v>122570010</v>
      </c>
    </row>
    <row r="3503" spans="1:3">
      <c r="A3503">
        <v>3502</v>
      </c>
      <c r="B3503">
        <v>122640040</v>
      </c>
      <c r="C3503">
        <v>122640040</v>
      </c>
    </row>
    <row r="3504" spans="1:3">
      <c r="A3504">
        <v>3503</v>
      </c>
      <c r="B3504">
        <v>122710090</v>
      </c>
      <c r="C3504">
        <v>122710090</v>
      </c>
    </row>
    <row r="3505" spans="1:3">
      <c r="A3505">
        <v>3504</v>
      </c>
      <c r="B3505">
        <v>122780160</v>
      </c>
      <c r="C3505">
        <v>122780160</v>
      </c>
    </row>
    <row r="3506" spans="1:3">
      <c r="A3506">
        <v>3505</v>
      </c>
      <c r="B3506">
        <v>122850250</v>
      </c>
      <c r="C3506">
        <v>122850250</v>
      </c>
    </row>
    <row r="3507" spans="1:3">
      <c r="A3507">
        <v>3506</v>
      </c>
      <c r="B3507">
        <v>122920360</v>
      </c>
      <c r="C3507">
        <v>122920360</v>
      </c>
    </row>
    <row r="3508" spans="1:3">
      <c r="A3508">
        <v>3507</v>
      </c>
      <c r="B3508">
        <v>122990490</v>
      </c>
      <c r="C3508">
        <v>122990490</v>
      </c>
    </row>
    <row r="3509" spans="1:3">
      <c r="A3509">
        <v>3508</v>
      </c>
      <c r="B3509">
        <v>123060640</v>
      </c>
      <c r="C3509">
        <v>123060640</v>
      </c>
    </row>
    <row r="3510" spans="1:3">
      <c r="A3510">
        <v>3509</v>
      </c>
      <c r="B3510">
        <v>123130810</v>
      </c>
      <c r="C3510">
        <v>123130810</v>
      </c>
    </row>
    <row r="3511" spans="1:3">
      <c r="A3511">
        <v>3510</v>
      </c>
      <c r="B3511">
        <v>123201000</v>
      </c>
      <c r="C3511">
        <v>123201000</v>
      </c>
    </row>
    <row r="3512" spans="1:3">
      <c r="A3512">
        <v>3511</v>
      </c>
      <c r="B3512">
        <v>123271210</v>
      </c>
      <c r="C3512">
        <v>123271210</v>
      </c>
    </row>
    <row r="3513" spans="1:3">
      <c r="A3513">
        <v>3512</v>
      </c>
      <c r="B3513">
        <v>123341440</v>
      </c>
      <c r="C3513">
        <v>123341440</v>
      </c>
    </row>
    <row r="3514" spans="1:3">
      <c r="A3514">
        <v>3513</v>
      </c>
      <c r="B3514">
        <v>123411690</v>
      </c>
      <c r="C3514">
        <v>123411690</v>
      </c>
    </row>
    <row r="3515" spans="1:3">
      <c r="A3515">
        <v>3514</v>
      </c>
      <c r="B3515">
        <v>123481960</v>
      </c>
      <c r="C3515">
        <v>123481960</v>
      </c>
    </row>
    <row r="3516" spans="1:3">
      <c r="A3516">
        <v>3515</v>
      </c>
      <c r="B3516">
        <v>123552250</v>
      </c>
      <c r="C3516">
        <v>123552250</v>
      </c>
    </row>
    <row r="3517" spans="1:3">
      <c r="A3517">
        <v>3516</v>
      </c>
      <c r="B3517">
        <v>123622560</v>
      </c>
      <c r="C3517">
        <v>123622560</v>
      </c>
    </row>
    <row r="3518" spans="1:3">
      <c r="A3518">
        <v>3517</v>
      </c>
      <c r="B3518">
        <v>123692890</v>
      </c>
      <c r="C3518">
        <v>123692890</v>
      </c>
    </row>
    <row r="3519" spans="1:3">
      <c r="A3519">
        <v>3518</v>
      </c>
      <c r="B3519">
        <v>123763240</v>
      </c>
      <c r="C3519">
        <v>123763240</v>
      </c>
    </row>
    <row r="3520" spans="1:3">
      <c r="A3520">
        <v>3519</v>
      </c>
      <c r="B3520">
        <v>123833610</v>
      </c>
      <c r="C3520">
        <v>123833610</v>
      </c>
    </row>
    <row r="3521" spans="1:3">
      <c r="A3521">
        <v>3520</v>
      </c>
      <c r="B3521">
        <v>123904000</v>
      </c>
      <c r="C3521">
        <v>123904000</v>
      </c>
    </row>
    <row r="3522" spans="1:3">
      <c r="A3522">
        <v>3521</v>
      </c>
      <c r="B3522">
        <v>123974410</v>
      </c>
      <c r="C3522">
        <v>123974410</v>
      </c>
    </row>
    <row r="3523" spans="1:3">
      <c r="A3523">
        <v>3522</v>
      </c>
      <c r="B3523">
        <v>124044840</v>
      </c>
      <c r="C3523">
        <v>124044840</v>
      </c>
    </row>
    <row r="3524" spans="1:3">
      <c r="A3524">
        <v>3523</v>
      </c>
      <c r="B3524">
        <v>124115290</v>
      </c>
      <c r="C3524">
        <v>124115290</v>
      </c>
    </row>
    <row r="3525" spans="1:3">
      <c r="A3525">
        <v>3524</v>
      </c>
      <c r="B3525">
        <v>124185760</v>
      </c>
      <c r="C3525">
        <v>124185760</v>
      </c>
    </row>
    <row r="3526" spans="1:3">
      <c r="A3526">
        <v>3525</v>
      </c>
      <c r="B3526">
        <v>124256250</v>
      </c>
      <c r="C3526">
        <v>124256250</v>
      </c>
    </row>
    <row r="3527" spans="1:3">
      <c r="A3527">
        <v>3526</v>
      </c>
      <c r="B3527">
        <v>124326760</v>
      </c>
      <c r="C3527">
        <v>124326760</v>
      </c>
    </row>
    <row r="3528" spans="1:3">
      <c r="A3528">
        <v>3527</v>
      </c>
      <c r="B3528">
        <v>124397290</v>
      </c>
      <c r="C3528">
        <v>124397290</v>
      </c>
    </row>
    <row r="3529" spans="1:3">
      <c r="A3529">
        <v>3528</v>
      </c>
      <c r="B3529">
        <v>124467840</v>
      </c>
      <c r="C3529">
        <v>124467840</v>
      </c>
    </row>
    <row r="3530" spans="1:3">
      <c r="A3530">
        <v>3529</v>
      </c>
      <c r="B3530">
        <v>124538410</v>
      </c>
      <c r="C3530">
        <v>124538410</v>
      </c>
    </row>
    <row r="3531" spans="1:3">
      <c r="A3531">
        <v>3530</v>
      </c>
      <c r="B3531">
        <v>124609000</v>
      </c>
      <c r="C3531">
        <v>124609000</v>
      </c>
    </row>
    <row r="3532" spans="1:3">
      <c r="A3532">
        <v>3531</v>
      </c>
      <c r="B3532">
        <v>124679610</v>
      </c>
      <c r="C3532">
        <v>124679610</v>
      </c>
    </row>
    <row r="3533" spans="1:3">
      <c r="A3533">
        <v>3532</v>
      </c>
      <c r="B3533">
        <v>124750240</v>
      </c>
      <c r="C3533">
        <v>124750240</v>
      </c>
    </row>
    <row r="3534" spans="1:3">
      <c r="A3534">
        <v>3533</v>
      </c>
      <c r="B3534">
        <v>124820890</v>
      </c>
      <c r="C3534">
        <v>124820890</v>
      </c>
    </row>
    <row r="3535" spans="1:3">
      <c r="A3535">
        <v>3534</v>
      </c>
      <c r="B3535">
        <v>124891560</v>
      </c>
      <c r="C3535">
        <v>124891560</v>
      </c>
    </row>
    <row r="3536" spans="1:3">
      <c r="A3536">
        <v>3535</v>
      </c>
      <c r="B3536">
        <v>124962250</v>
      </c>
      <c r="C3536">
        <v>124962250</v>
      </c>
    </row>
    <row r="3537" spans="1:3">
      <c r="A3537">
        <v>3536</v>
      </c>
      <c r="B3537">
        <v>125032960</v>
      </c>
      <c r="C3537">
        <v>125032960</v>
      </c>
    </row>
    <row r="3538" spans="1:3">
      <c r="A3538">
        <v>3537</v>
      </c>
      <c r="B3538">
        <v>125103690</v>
      </c>
      <c r="C3538">
        <v>125103690</v>
      </c>
    </row>
    <row r="3539" spans="1:3">
      <c r="A3539">
        <v>3538</v>
      </c>
      <c r="B3539">
        <v>125174440</v>
      </c>
      <c r="C3539">
        <v>125174440</v>
      </c>
    </row>
    <row r="3540" spans="1:3">
      <c r="A3540">
        <v>3539</v>
      </c>
      <c r="B3540">
        <v>125245210</v>
      </c>
      <c r="C3540">
        <v>125245210</v>
      </c>
    </row>
    <row r="3541" spans="1:3">
      <c r="A3541">
        <v>3540</v>
      </c>
      <c r="B3541">
        <v>125316000</v>
      </c>
      <c r="C3541">
        <v>125316000</v>
      </c>
    </row>
    <row r="3542" spans="1:3">
      <c r="A3542">
        <v>3541</v>
      </c>
      <c r="B3542">
        <v>125386810</v>
      </c>
      <c r="C3542">
        <v>125386810</v>
      </c>
    </row>
    <row r="3543" spans="1:3">
      <c r="A3543">
        <v>3542</v>
      </c>
      <c r="B3543">
        <v>125457640</v>
      </c>
      <c r="C3543">
        <v>125457640</v>
      </c>
    </row>
    <row r="3544" spans="1:3">
      <c r="A3544">
        <v>3543</v>
      </c>
      <c r="B3544">
        <v>125528490</v>
      </c>
      <c r="C3544">
        <v>125528490</v>
      </c>
    </row>
    <row r="3545" spans="1:3">
      <c r="A3545">
        <v>3544</v>
      </c>
      <c r="B3545">
        <v>125599360</v>
      </c>
      <c r="C3545">
        <v>125599360</v>
      </c>
    </row>
    <row r="3546" spans="1:3">
      <c r="A3546">
        <v>3545</v>
      </c>
      <c r="B3546">
        <v>125670250</v>
      </c>
      <c r="C3546">
        <v>125670250</v>
      </c>
    </row>
    <row r="3547" spans="1:3">
      <c r="A3547">
        <v>3546</v>
      </c>
      <c r="B3547">
        <v>125741160</v>
      </c>
      <c r="C3547">
        <v>125741160</v>
      </c>
    </row>
    <row r="3548" spans="1:3">
      <c r="A3548">
        <v>3547</v>
      </c>
      <c r="B3548">
        <v>125812090</v>
      </c>
      <c r="C3548">
        <v>125812090</v>
      </c>
    </row>
    <row r="3549" spans="1:3">
      <c r="A3549">
        <v>3548</v>
      </c>
      <c r="B3549">
        <v>125883040</v>
      </c>
      <c r="C3549">
        <v>125883040</v>
      </c>
    </row>
    <row r="3550" spans="1:3">
      <c r="A3550">
        <v>3549</v>
      </c>
      <c r="B3550">
        <v>125954010</v>
      </c>
      <c r="C3550">
        <v>125954010</v>
      </c>
    </row>
    <row r="3551" spans="1:3">
      <c r="A3551">
        <v>3550</v>
      </c>
      <c r="B3551">
        <v>126025000</v>
      </c>
      <c r="C3551">
        <v>126025000</v>
      </c>
    </row>
    <row r="3552" spans="1:3">
      <c r="A3552">
        <v>3551</v>
      </c>
      <c r="B3552">
        <v>126096010</v>
      </c>
      <c r="C3552">
        <v>126096010</v>
      </c>
    </row>
    <row r="3553" spans="1:3">
      <c r="A3553">
        <v>3552</v>
      </c>
      <c r="B3553">
        <v>126167040</v>
      </c>
      <c r="C3553">
        <v>126167040</v>
      </c>
    </row>
    <row r="3554" spans="1:3">
      <c r="A3554">
        <v>3553</v>
      </c>
      <c r="B3554">
        <v>126238090</v>
      </c>
      <c r="C3554">
        <v>126238090</v>
      </c>
    </row>
    <row r="3555" spans="1:3">
      <c r="A3555">
        <v>3554</v>
      </c>
      <c r="B3555">
        <v>126309160</v>
      </c>
      <c r="C3555">
        <v>126309160</v>
      </c>
    </row>
    <row r="3556" spans="1:3">
      <c r="A3556">
        <v>3555</v>
      </c>
      <c r="B3556">
        <v>126380250</v>
      </c>
      <c r="C3556">
        <v>126380250</v>
      </c>
    </row>
    <row r="3557" spans="1:3">
      <c r="A3557">
        <v>3556</v>
      </c>
      <c r="B3557">
        <v>126451360</v>
      </c>
      <c r="C3557">
        <v>126451360</v>
      </c>
    </row>
    <row r="3558" spans="1:3">
      <c r="A3558">
        <v>3557</v>
      </c>
      <c r="B3558">
        <v>126522490</v>
      </c>
      <c r="C3558">
        <v>126522490</v>
      </c>
    </row>
    <row r="3559" spans="1:3">
      <c r="A3559">
        <v>3558</v>
      </c>
      <c r="B3559">
        <v>126593640</v>
      </c>
      <c r="C3559">
        <v>126593640</v>
      </c>
    </row>
    <row r="3560" spans="1:3">
      <c r="A3560">
        <v>3559</v>
      </c>
      <c r="B3560">
        <v>126664810</v>
      </c>
      <c r="C3560">
        <v>126664810</v>
      </c>
    </row>
    <row r="3561" spans="1:3">
      <c r="A3561">
        <v>3560</v>
      </c>
      <c r="B3561">
        <v>126736000</v>
      </c>
      <c r="C3561">
        <v>126736000</v>
      </c>
    </row>
    <row r="3562" spans="1:3">
      <c r="A3562">
        <v>3561</v>
      </c>
      <c r="B3562">
        <v>126807210</v>
      </c>
      <c r="C3562">
        <v>126807210</v>
      </c>
    </row>
    <row r="3563" spans="1:3">
      <c r="A3563">
        <v>3562</v>
      </c>
      <c r="B3563">
        <v>126878440</v>
      </c>
      <c r="C3563">
        <v>126878440</v>
      </c>
    </row>
    <row r="3564" spans="1:3">
      <c r="A3564">
        <v>3563</v>
      </c>
      <c r="B3564">
        <v>126949690</v>
      </c>
      <c r="C3564">
        <v>126949690</v>
      </c>
    </row>
    <row r="3565" spans="1:3">
      <c r="A3565">
        <v>3564</v>
      </c>
      <c r="B3565">
        <v>127020960</v>
      </c>
      <c r="C3565">
        <v>127020960</v>
      </c>
    </row>
    <row r="3566" spans="1:3">
      <c r="A3566">
        <v>3565</v>
      </c>
      <c r="B3566">
        <v>127092250</v>
      </c>
      <c r="C3566">
        <v>127092250</v>
      </c>
    </row>
    <row r="3567" spans="1:3">
      <c r="A3567">
        <v>3566</v>
      </c>
      <c r="B3567">
        <v>127163560</v>
      </c>
      <c r="C3567">
        <v>127163560</v>
      </c>
    </row>
    <row r="3568" spans="1:3">
      <c r="A3568">
        <v>3567</v>
      </c>
      <c r="B3568">
        <v>127234890</v>
      </c>
      <c r="C3568">
        <v>127234890</v>
      </c>
    </row>
    <row r="3569" spans="1:3">
      <c r="A3569">
        <v>3568</v>
      </c>
      <c r="B3569">
        <v>127306240</v>
      </c>
      <c r="C3569">
        <v>127306240</v>
      </c>
    </row>
    <row r="3570" spans="1:3">
      <c r="A3570">
        <v>3569</v>
      </c>
      <c r="B3570">
        <v>127377610</v>
      </c>
      <c r="C3570">
        <v>127377610</v>
      </c>
    </row>
    <row r="3571" spans="1:3">
      <c r="A3571">
        <v>3570</v>
      </c>
      <c r="B3571">
        <v>127449000</v>
      </c>
      <c r="C3571">
        <v>127449000</v>
      </c>
    </row>
    <row r="3572" spans="1:3">
      <c r="A3572">
        <v>3571</v>
      </c>
      <c r="B3572">
        <v>127520410</v>
      </c>
      <c r="C3572">
        <v>127520410</v>
      </c>
    </row>
    <row r="3573" spans="1:3">
      <c r="A3573">
        <v>3572</v>
      </c>
      <c r="B3573">
        <v>127591840</v>
      </c>
      <c r="C3573">
        <v>127591840</v>
      </c>
    </row>
    <row r="3574" spans="1:3">
      <c r="A3574">
        <v>3573</v>
      </c>
      <c r="B3574">
        <v>127663290</v>
      </c>
      <c r="C3574">
        <v>127663290</v>
      </c>
    </row>
    <row r="3575" spans="1:3">
      <c r="A3575">
        <v>3574</v>
      </c>
      <c r="B3575">
        <v>127734760</v>
      </c>
      <c r="C3575">
        <v>127734760</v>
      </c>
    </row>
    <row r="3576" spans="1:3">
      <c r="A3576">
        <v>3575</v>
      </c>
      <c r="B3576">
        <v>127806250</v>
      </c>
      <c r="C3576">
        <v>127806250</v>
      </c>
    </row>
    <row r="3577" spans="1:3">
      <c r="A3577">
        <v>3576</v>
      </c>
      <c r="B3577">
        <v>127877760</v>
      </c>
      <c r="C3577">
        <v>127877760</v>
      </c>
    </row>
    <row r="3578" spans="1:3">
      <c r="A3578">
        <v>3577</v>
      </c>
      <c r="B3578">
        <v>127949290</v>
      </c>
      <c r="C3578">
        <v>127949290</v>
      </c>
    </row>
    <row r="3579" spans="1:3">
      <c r="A3579">
        <v>3578</v>
      </c>
      <c r="B3579">
        <v>128020840</v>
      </c>
      <c r="C3579">
        <v>128020840</v>
      </c>
    </row>
    <row r="3580" spans="1:3">
      <c r="A3580">
        <v>3579</v>
      </c>
      <c r="B3580">
        <v>128092410</v>
      </c>
      <c r="C3580">
        <v>128092410</v>
      </c>
    </row>
    <row r="3581" spans="1:3">
      <c r="A3581">
        <v>3580</v>
      </c>
      <c r="B3581">
        <v>128164000</v>
      </c>
      <c r="C3581">
        <v>128164000</v>
      </c>
    </row>
    <row r="3582" spans="1:3">
      <c r="A3582">
        <v>3581</v>
      </c>
      <c r="B3582">
        <v>128235610</v>
      </c>
      <c r="C3582">
        <v>128235610</v>
      </c>
    </row>
    <row r="3583" spans="1:3">
      <c r="A3583">
        <v>3582</v>
      </c>
      <c r="B3583">
        <v>128307240</v>
      </c>
      <c r="C3583">
        <v>128307240</v>
      </c>
    </row>
    <row r="3584" spans="1:3">
      <c r="A3584">
        <v>3583</v>
      </c>
      <c r="B3584">
        <v>128378890</v>
      </c>
      <c r="C3584">
        <v>128378890</v>
      </c>
    </row>
    <row r="3585" spans="1:3">
      <c r="A3585">
        <v>3584</v>
      </c>
      <c r="B3585">
        <v>128450560</v>
      </c>
      <c r="C3585">
        <v>128450560</v>
      </c>
    </row>
    <row r="3586" spans="1:3">
      <c r="A3586">
        <v>3585</v>
      </c>
      <c r="B3586">
        <v>128522250</v>
      </c>
      <c r="C3586">
        <v>128522250</v>
      </c>
    </row>
    <row r="3587" spans="1:3">
      <c r="A3587">
        <v>3586</v>
      </c>
      <c r="B3587">
        <v>128593960</v>
      </c>
      <c r="C3587">
        <v>128593960</v>
      </c>
    </row>
    <row r="3588" spans="1:3">
      <c r="A3588">
        <v>3587</v>
      </c>
      <c r="B3588">
        <v>128665690</v>
      </c>
      <c r="C3588">
        <v>128665690</v>
      </c>
    </row>
    <row r="3589" spans="1:3">
      <c r="A3589">
        <v>3588</v>
      </c>
      <c r="B3589">
        <v>128737440</v>
      </c>
      <c r="C3589">
        <v>128737440</v>
      </c>
    </row>
    <row r="3590" spans="1:3">
      <c r="A3590">
        <v>3589</v>
      </c>
      <c r="B3590">
        <v>128809210</v>
      </c>
      <c r="C3590">
        <v>128809210</v>
      </c>
    </row>
    <row r="3591" spans="1:3">
      <c r="A3591">
        <v>3590</v>
      </c>
      <c r="B3591">
        <v>128881000</v>
      </c>
      <c r="C3591">
        <v>128881000</v>
      </c>
    </row>
    <row r="3592" spans="1:3">
      <c r="A3592">
        <v>3591</v>
      </c>
      <c r="B3592">
        <v>128952810</v>
      </c>
      <c r="C3592">
        <v>128952810</v>
      </c>
    </row>
    <row r="3593" spans="1:3">
      <c r="A3593">
        <v>3592</v>
      </c>
      <c r="B3593">
        <v>129024640</v>
      </c>
      <c r="C3593">
        <v>129024640</v>
      </c>
    </row>
    <row r="3594" spans="1:3">
      <c r="A3594">
        <v>3593</v>
      </c>
      <c r="B3594">
        <v>129096490</v>
      </c>
      <c r="C3594">
        <v>129096490</v>
      </c>
    </row>
    <row r="3595" spans="1:3">
      <c r="A3595">
        <v>3594</v>
      </c>
      <c r="B3595">
        <v>129168360</v>
      </c>
      <c r="C3595">
        <v>129168360</v>
      </c>
    </row>
    <row r="3596" spans="1:3">
      <c r="A3596">
        <v>3595</v>
      </c>
      <c r="B3596">
        <v>129240250</v>
      </c>
      <c r="C3596">
        <v>129240250</v>
      </c>
    </row>
    <row r="3597" spans="1:3">
      <c r="A3597">
        <v>3596</v>
      </c>
      <c r="B3597">
        <v>129312160</v>
      </c>
      <c r="C3597">
        <v>129312160</v>
      </c>
    </row>
    <row r="3598" spans="1:3">
      <c r="A3598">
        <v>3597</v>
      </c>
      <c r="B3598">
        <v>129384090</v>
      </c>
      <c r="C3598">
        <v>129384090</v>
      </c>
    </row>
    <row r="3599" spans="1:3">
      <c r="A3599">
        <v>3598</v>
      </c>
      <c r="B3599">
        <v>129456040</v>
      </c>
      <c r="C3599">
        <v>129456040</v>
      </c>
    </row>
    <row r="3600" spans="1:3">
      <c r="A3600">
        <v>3599</v>
      </c>
      <c r="B3600">
        <v>129528010</v>
      </c>
      <c r="C3600">
        <v>129528010</v>
      </c>
    </row>
    <row r="3601" spans="1:3">
      <c r="A3601">
        <v>3600</v>
      </c>
      <c r="B3601">
        <v>129600000</v>
      </c>
      <c r="C3601">
        <v>129600000</v>
      </c>
    </row>
    <row r="3602" spans="1:3">
      <c r="A3602">
        <v>3601</v>
      </c>
      <c r="B3602">
        <v>129672010</v>
      </c>
      <c r="C3602">
        <v>129672010</v>
      </c>
    </row>
    <row r="3603" spans="1:3">
      <c r="A3603">
        <v>3602</v>
      </c>
      <c r="B3603">
        <v>129744040</v>
      </c>
      <c r="C3603">
        <v>129744040</v>
      </c>
    </row>
    <row r="3604" spans="1:3">
      <c r="A3604">
        <v>3603</v>
      </c>
      <c r="B3604">
        <v>129816090</v>
      </c>
      <c r="C3604">
        <v>129816090</v>
      </c>
    </row>
    <row r="3605" spans="1:3">
      <c r="A3605">
        <v>3604</v>
      </c>
      <c r="B3605">
        <v>129888160</v>
      </c>
      <c r="C3605">
        <v>129888160</v>
      </c>
    </row>
    <row r="3606" spans="1:3">
      <c r="A3606">
        <v>3605</v>
      </c>
      <c r="B3606">
        <v>129960250</v>
      </c>
      <c r="C3606">
        <v>129960250</v>
      </c>
    </row>
    <row r="3607" spans="1:3">
      <c r="A3607">
        <v>3606</v>
      </c>
      <c r="B3607">
        <v>130032360</v>
      </c>
      <c r="C3607">
        <v>130032360</v>
      </c>
    </row>
    <row r="3608" spans="1:3">
      <c r="A3608">
        <v>3607</v>
      </c>
      <c r="B3608">
        <v>130104490</v>
      </c>
      <c r="C3608">
        <v>130104490</v>
      </c>
    </row>
    <row r="3609" spans="1:3">
      <c r="A3609">
        <v>3608</v>
      </c>
      <c r="B3609">
        <v>130176640</v>
      </c>
      <c r="C3609">
        <v>130176640</v>
      </c>
    </row>
    <row r="3610" spans="1:3">
      <c r="A3610">
        <v>3609</v>
      </c>
      <c r="B3610">
        <v>130248810</v>
      </c>
      <c r="C3610">
        <v>130248810</v>
      </c>
    </row>
    <row r="3611" spans="1:3">
      <c r="A3611">
        <v>3610</v>
      </c>
      <c r="B3611">
        <v>130321000</v>
      </c>
      <c r="C3611">
        <v>130321000</v>
      </c>
    </row>
    <row r="3612" spans="1:3">
      <c r="A3612">
        <v>3611</v>
      </c>
      <c r="B3612">
        <v>130393210</v>
      </c>
      <c r="C3612">
        <v>130393210</v>
      </c>
    </row>
    <row r="3613" spans="1:3">
      <c r="A3613">
        <v>3612</v>
      </c>
      <c r="B3613">
        <v>130465440</v>
      </c>
      <c r="C3613">
        <v>130465440</v>
      </c>
    </row>
    <row r="3614" spans="1:3">
      <c r="A3614">
        <v>3613</v>
      </c>
      <c r="B3614">
        <v>130537690</v>
      </c>
      <c r="C3614">
        <v>130537690</v>
      </c>
    </row>
    <row r="3615" spans="1:3">
      <c r="A3615">
        <v>3614</v>
      </c>
      <c r="B3615">
        <v>130609960</v>
      </c>
      <c r="C3615">
        <v>130609960</v>
      </c>
    </row>
    <row r="3616" spans="1:3">
      <c r="A3616">
        <v>3615</v>
      </c>
      <c r="B3616">
        <v>130682250</v>
      </c>
      <c r="C3616">
        <v>130682250</v>
      </c>
    </row>
    <row r="3617" spans="1:3">
      <c r="A3617">
        <v>3616</v>
      </c>
      <c r="B3617">
        <v>130754560</v>
      </c>
      <c r="C3617">
        <v>130754560</v>
      </c>
    </row>
    <row r="3618" spans="1:3">
      <c r="A3618">
        <v>3617</v>
      </c>
      <c r="B3618">
        <v>130826890</v>
      </c>
      <c r="C3618">
        <v>130826890</v>
      </c>
    </row>
    <row r="3619" spans="1:3">
      <c r="A3619">
        <v>3618</v>
      </c>
      <c r="B3619">
        <v>130899240</v>
      </c>
      <c r="C3619">
        <v>130899240</v>
      </c>
    </row>
    <row r="3620" spans="1:3">
      <c r="A3620">
        <v>3619</v>
      </c>
      <c r="B3620">
        <v>130971610</v>
      </c>
      <c r="C3620">
        <v>130971610</v>
      </c>
    </row>
    <row r="3621" spans="1:3">
      <c r="A3621">
        <v>3620</v>
      </c>
      <c r="B3621">
        <v>131044000</v>
      </c>
      <c r="C3621">
        <v>131044000</v>
      </c>
    </row>
    <row r="3622" spans="1:3">
      <c r="A3622">
        <v>3621</v>
      </c>
      <c r="B3622">
        <v>131116410</v>
      </c>
      <c r="C3622">
        <v>131116410</v>
      </c>
    </row>
    <row r="3623" spans="1:3">
      <c r="A3623">
        <v>3622</v>
      </c>
      <c r="B3623">
        <v>131188840</v>
      </c>
      <c r="C3623">
        <v>131188840</v>
      </c>
    </row>
    <row r="3624" spans="1:3">
      <c r="A3624">
        <v>3623</v>
      </c>
      <c r="B3624">
        <v>131261290</v>
      </c>
      <c r="C3624">
        <v>131261290</v>
      </c>
    </row>
    <row r="3625" spans="1:3">
      <c r="A3625">
        <v>3624</v>
      </c>
      <c r="B3625">
        <v>131333760</v>
      </c>
      <c r="C3625">
        <v>131333760</v>
      </c>
    </row>
    <row r="3626" spans="1:3">
      <c r="A3626">
        <v>3625</v>
      </c>
      <c r="B3626">
        <v>131406250</v>
      </c>
      <c r="C3626">
        <v>131406250</v>
      </c>
    </row>
    <row r="3627" spans="1:3">
      <c r="A3627">
        <v>3626</v>
      </c>
      <c r="B3627">
        <v>131478760</v>
      </c>
      <c r="C3627">
        <v>131478760</v>
      </c>
    </row>
    <row r="3628" spans="1:3">
      <c r="A3628">
        <v>3627</v>
      </c>
      <c r="B3628">
        <v>131551290</v>
      </c>
      <c r="C3628">
        <v>131551290</v>
      </c>
    </row>
    <row r="3629" spans="1:3">
      <c r="A3629">
        <v>3628</v>
      </c>
      <c r="B3629">
        <v>131623840</v>
      </c>
      <c r="C3629">
        <v>131623840</v>
      </c>
    </row>
    <row r="3630" spans="1:3">
      <c r="A3630">
        <v>3629</v>
      </c>
      <c r="B3630">
        <v>131696410</v>
      </c>
      <c r="C3630">
        <v>131696410</v>
      </c>
    </row>
    <row r="3631" spans="1:3">
      <c r="A3631">
        <v>3630</v>
      </c>
      <c r="B3631">
        <v>131769000</v>
      </c>
      <c r="C3631">
        <v>131769000</v>
      </c>
    </row>
    <row r="3632" spans="1:3">
      <c r="A3632">
        <v>3631</v>
      </c>
      <c r="B3632">
        <v>131841610</v>
      </c>
      <c r="C3632">
        <v>131841610</v>
      </c>
    </row>
    <row r="3633" spans="1:3">
      <c r="A3633">
        <v>3632</v>
      </c>
      <c r="B3633">
        <v>131914240</v>
      </c>
      <c r="C3633">
        <v>131914240</v>
      </c>
    </row>
    <row r="3634" spans="1:3">
      <c r="A3634">
        <v>3633</v>
      </c>
      <c r="B3634">
        <v>131986890</v>
      </c>
      <c r="C3634">
        <v>131986890</v>
      </c>
    </row>
    <row r="3635" spans="1:3">
      <c r="A3635">
        <v>3634</v>
      </c>
      <c r="B3635">
        <v>132059560</v>
      </c>
      <c r="C3635">
        <v>132059560</v>
      </c>
    </row>
    <row r="3636" spans="1:3">
      <c r="A3636">
        <v>3635</v>
      </c>
      <c r="B3636">
        <v>132132250</v>
      </c>
      <c r="C3636">
        <v>132132250</v>
      </c>
    </row>
    <row r="3637" spans="1:3">
      <c r="A3637">
        <v>3636</v>
      </c>
      <c r="B3637">
        <v>132204960</v>
      </c>
      <c r="C3637">
        <v>132204960</v>
      </c>
    </row>
    <row r="3638" spans="1:3">
      <c r="A3638">
        <v>3637</v>
      </c>
      <c r="B3638">
        <v>132277690</v>
      </c>
      <c r="C3638">
        <v>132277690</v>
      </c>
    </row>
    <row r="3639" spans="1:3">
      <c r="A3639">
        <v>3638</v>
      </c>
      <c r="B3639">
        <v>132350440</v>
      </c>
      <c r="C3639">
        <v>132350440</v>
      </c>
    </row>
    <row r="3640" spans="1:3">
      <c r="A3640">
        <v>3639</v>
      </c>
      <c r="B3640">
        <v>132423210</v>
      </c>
      <c r="C3640">
        <v>132423210</v>
      </c>
    </row>
    <row r="3641" spans="1:3">
      <c r="A3641">
        <v>3640</v>
      </c>
      <c r="B3641">
        <v>132496000</v>
      </c>
      <c r="C3641">
        <v>132496000</v>
      </c>
    </row>
    <row r="3642" spans="1:3">
      <c r="A3642">
        <v>3641</v>
      </c>
      <c r="B3642">
        <v>132568810</v>
      </c>
      <c r="C3642">
        <v>132568810</v>
      </c>
    </row>
    <row r="3643" spans="1:3">
      <c r="A3643">
        <v>3642</v>
      </c>
      <c r="B3643">
        <v>132641640</v>
      </c>
      <c r="C3643">
        <v>132641640</v>
      </c>
    </row>
    <row r="3644" spans="1:3">
      <c r="A3644">
        <v>3643</v>
      </c>
      <c r="B3644">
        <v>132714490</v>
      </c>
      <c r="C3644">
        <v>132714490</v>
      </c>
    </row>
    <row r="3645" spans="1:3">
      <c r="A3645">
        <v>3644</v>
      </c>
      <c r="B3645">
        <v>132787360</v>
      </c>
      <c r="C3645">
        <v>132787360</v>
      </c>
    </row>
    <row r="3646" spans="1:3">
      <c r="A3646">
        <v>3645</v>
      </c>
      <c r="B3646">
        <v>132860250</v>
      </c>
      <c r="C3646">
        <v>132860250</v>
      </c>
    </row>
    <row r="3647" spans="1:3">
      <c r="A3647">
        <v>3646</v>
      </c>
      <c r="B3647">
        <v>132933160</v>
      </c>
      <c r="C3647">
        <v>132933160</v>
      </c>
    </row>
    <row r="3648" spans="1:3">
      <c r="A3648">
        <v>3647</v>
      </c>
      <c r="B3648">
        <v>133006090</v>
      </c>
      <c r="C3648">
        <v>133006090</v>
      </c>
    </row>
    <row r="3649" spans="1:3">
      <c r="A3649">
        <v>3648</v>
      </c>
      <c r="B3649">
        <v>133079040</v>
      </c>
      <c r="C3649">
        <v>133079040</v>
      </c>
    </row>
    <row r="3650" spans="1:3">
      <c r="A3650">
        <v>3649</v>
      </c>
      <c r="B3650">
        <v>133152010</v>
      </c>
      <c r="C3650">
        <v>133152010</v>
      </c>
    </row>
    <row r="3651" spans="1:3">
      <c r="A3651">
        <v>3650</v>
      </c>
      <c r="B3651">
        <v>133225000</v>
      </c>
      <c r="C3651">
        <v>133225000</v>
      </c>
    </row>
    <row r="3652" spans="1:3">
      <c r="A3652">
        <v>3651</v>
      </c>
      <c r="B3652">
        <v>133298010</v>
      </c>
      <c r="C3652">
        <v>133298010</v>
      </c>
    </row>
    <row r="3653" spans="1:3">
      <c r="A3653">
        <v>3652</v>
      </c>
      <c r="B3653">
        <v>133371040</v>
      </c>
      <c r="C3653">
        <v>133371040</v>
      </c>
    </row>
    <row r="3654" spans="1:3">
      <c r="A3654">
        <v>3653</v>
      </c>
      <c r="B3654">
        <v>133444090</v>
      </c>
      <c r="C3654">
        <v>133444090</v>
      </c>
    </row>
    <row r="3655" spans="1:3">
      <c r="A3655">
        <v>3654</v>
      </c>
      <c r="B3655">
        <v>133517160</v>
      </c>
      <c r="C3655">
        <v>133517160</v>
      </c>
    </row>
    <row r="3656" spans="1:3">
      <c r="A3656">
        <v>3655</v>
      </c>
      <c r="B3656">
        <v>133590250</v>
      </c>
      <c r="C3656">
        <v>133590250</v>
      </c>
    </row>
    <row r="3657" spans="1:3">
      <c r="A3657">
        <v>3656</v>
      </c>
      <c r="B3657">
        <v>133663360</v>
      </c>
      <c r="C3657">
        <v>133663360</v>
      </c>
    </row>
    <row r="3658" spans="1:3">
      <c r="A3658">
        <v>3657</v>
      </c>
      <c r="B3658">
        <v>133736490</v>
      </c>
      <c r="C3658">
        <v>133736490</v>
      </c>
    </row>
    <row r="3659" spans="1:3">
      <c r="A3659">
        <v>3658</v>
      </c>
      <c r="B3659">
        <v>133809640</v>
      </c>
      <c r="C3659">
        <v>133809640</v>
      </c>
    </row>
    <row r="3660" spans="1:3">
      <c r="A3660">
        <v>3659</v>
      </c>
      <c r="B3660">
        <v>133882810</v>
      </c>
      <c r="C3660">
        <v>133882810</v>
      </c>
    </row>
    <row r="3661" spans="1:3">
      <c r="A3661">
        <v>3660</v>
      </c>
      <c r="B3661">
        <v>133956000</v>
      </c>
      <c r="C3661">
        <v>133956000</v>
      </c>
    </row>
    <row r="3662" spans="1:3">
      <c r="A3662">
        <v>3661</v>
      </c>
      <c r="B3662">
        <v>134029210</v>
      </c>
      <c r="C3662">
        <v>134029210</v>
      </c>
    </row>
    <row r="3663" spans="1:3">
      <c r="A3663">
        <v>3662</v>
      </c>
      <c r="B3663">
        <v>134102440</v>
      </c>
      <c r="C3663">
        <v>134102440</v>
      </c>
    </row>
    <row r="3664" spans="1:3">
      <c r="A3664">
        <v>3663</v>
      </c>
      <c r="B3664">
        <v>134175690</v>
      </c>
      <c r="C3664">
        <v>134175690</v>
      </c>
    </row>
    <row r="3665" spans="1:3">
      <c r="A3665">
        <v>3664</v>
      </c>
      <c r="B3665">
        <v>134248960</v>
      </c>
      <c r="C3665">
        <v>134248960</v>
      </c>
    </row>
    <row r="3666" spans="1:3">
      <c r="A3666">
        <v>3665</v>
      </c>
      <c r="B3666">
        <v>134322250</v>
      </c>
      <c r="C3666">
        <v>134322250</v>
      </c>
    </row>
    <row r="3667" spans="1:3">
      <c r="A3667">
        <v>3666</v>
      </c>
      <c r="B3667">
        <v>134395560</v>
      </c>
      <c r="C3667">
        <v>134395560</v>
      </c>
    </row>
    <row r="3668" spans="1:3">
      <c r="A3668">
        <v>3667</v>
      </c>
      <c r="B3668">
        <v>134468890</v>
      </c>
      <c r="C3668">
        <v>134468890</v>
      </c>
    </row>
    <row r="3669" spans="1:3">
      <c r="A3669">
        <v>3668</v>
      </c>
      <c r="B3669">
        <v>134542240</v>
      </c>
      <c r="C3669">
        <v>134542240</v>
      </c>
    </row>
    <row r="3670" spans="1:3">
      <c r="A3670">
        <v>3669</v>
      </c>
      <c r="B3670">
        <v>134615610</v>
      </c>
      <c r="C3670">
        <v>134615610</v>
      </c>
    </row>
    <row r="3671" spans="1:3">
      <c r="A3671">
        <v>3670</v>
      </c>
      <c r="B3671">
        <v>134689000</v>
      </c>
      <c r="C3671">
        <v>134689000</v>
      </c>
    </row>
    <row r="3672" spans="1:3">
      <c r="A3672">
        <v>3671</v>
      </c>
      <c r="B3672">
        <v>134762410</v>
      </c>
      <c r="C3672">
        <v>134762410</v>
      </c>
    </row>
    <row r="3673" spans="1:3">
      <c r="A3673">
        <v>3672</v>
      </c>
      <c r="B3673">
        <v>134835840</v>
      </c>
      <c r="C3673">
        <v>134835840</v>
      </c>
    </row>
    <row r="3674" spans="1:3">
      <c r="A3674">
        <v>3673</v>
      </c>
      <c r="B3674">
        <v>134909290</v>
      </c>
      <c r="C3674">
        <v>134909290</v>
      </c>
    </row>
    <row r="3675" spans="1:3">
      <c r="A3675">
        <v>3674</v>
      </c>
      <c r="B3675">
        <v>134982760</v>
      </c>
      <c r="C3675">
        <v>134982760</v>
      </c>
    </row>
    <row r="3676" spans="1:3">
      <c r="A3676">
        <v>3675</v>
      </c>
      <c r="B3676">
        <v>135056250</v>
      </c>
      <c r="C3676">
        <v>135056250</v>
      </c>
    </row>
    <row r="3677" spans="1:3">
      <c r="A3677">
        <v>3676</v>
      </c>
      <c r="B3677">
        <v>135129760</v>
      </c>
      <c r="C3677">
        <v>135129760</v>
      </c>
    </row>
    <row r="3678" spans="1:3">
      <c r="A3678">
        <v>3677</v>
      </c>
      <c r="B3678">
        <v>135203290</v>
      </c>
      <c r="C3678">
        <v>135203290</v>
      </c>
    </row>
    <row r="3679" spans="1:3">
      <c r="A3679">
        <v>3678</v>
      </c>
      <c r="B3679">
        <v>135276840</v>
      </c>
      <c r="C3679">
        <v>135276840</v>
      </c>
    </row>
    <row r="3680" spans="1:3">
      <c r="A3680">
        <v>3679</v>
      </c>
      <c r="B3680">
        <v>135350410</v>
      </c>
      <c r="C3680">
        <v>135350410</v>
      </c>
    </row>
    <row r="3681" spans="1:3">
      <c r="A3681">
        <v>3680</v>
      </c>
      <c r="B3681">
        <v>135424000</v>
      </c>
      <c r="C3681">
        <v>135424000</v>
      </c>
    </row>
    <row r="3682" spans="1:3">
      <c r="A3682">
        <v>3681</v>
      </c>
      <c r="B3682">
        <v>135497610</v>
      </c>
      <c r="C3682">
        <v>135497610</v>
      </c>
    </row>
    <row r="3683" spans="1:3">
      <c r="A3683">
        <v>3682</v>
      </c>
      <c r="B3683">
        <v>135571240</v>
      </c>
      <c r="C3683">
        <v>135571240</v>
      </c>
    </row>
    <row r="3684" spans="1:3">
      <c r="A3684">
        <v>3683</v>
      </c>
      <c r="B3684">
        <v>135644890</v>
      </c>
      <c r="C3684">
        <v>135644890</v>
      </c>
    </row>
    <row r="3685" spans="1:3">
      <c r="A3685">
        <v>3684</v>
      </c>
      <c r="B3685">
        <v>135718560</v>
      </c>
      <c r="C3685">
        <v>135718560</v>
      </c>
    </row>
    <row r="3686" spans="1:3">
      <c r="A3686">
        <v>3685</v>
      </c>
      <c r="B3686">
        <v>135792250</v>
      </c>
      <c r="C3686">
        <v>135792250</v>
      </c>
    </row>
    <row r="3687" spans="1:3">
      <c r="A3687">
        <v>3686</v>
      </c>
      <c r="B3687">
        <v>135865960</v>
      </c>
      <c r="C3687">
        <v>135865960</v>
      </c>
    </row>
    <row r="3688" spans="1:3">
      <c r="A3688">
        <v>3687</v>
      </c>
      <c r="B3688">
        <v>135939690</v>
      </c>
      <c r="C3688">
        <v>135939690</v>
      </c>
    </row>
    <row r="3689" spans="1:3">
      <c r="A3689">
        <v>3688</v>
      </c>
      <c r="B3689">
        <v>136013440</v>
      </c>
      <c r="C3689">
        <v>136013440</v>
      </c>
    </row>
    <row r="3690" spans="1:3">
      <c r="A3690">
        <v>3689</v>
      </c>
      <c r="B3690">
        <v>136087210</v>
      </c>
      <c r="C3690">
        <v>136087210</v>
      </c>
    </row>
    <row r="3691" spans="1:3">
      <c r="A3691">
        <v>3690</v>
      </c>
      <c r="B3691">
        <v>136161000</v>
      </c>
      <c r="C3691">
        <v>136161000</v>
      </c>
    </row>
    <row r="3692" spans="1:3">
      <c r="A3692">
        <v>3691</v>
      </c>
      <c r="B3692">
        <v>136234810</v>
      </c>
      <c r="C3692">
        <v>136234810</v>
      </c>
    </row>
    <row r="3693" spans="1:3">
      <c r="A3693">
        <v>3692</v>
      </c>
      <c r="B3693">
        <v>136308640</v>
      </c>
      <c r="C3693">
        <v>136308640</v>
      </c>
    </row>
    <row r="3694" spans="1:3">
      <c r="A3694">
        <v>3693</v>
      </c>
      <c r="B3694">
        <v>136382490</v>
      </c>
      <c r="C3694">
        <v>136382490</v>
      </c>
    </row>
    <row r="3695" spans="1:3">
      <c r="A3695">
        <v>3694</v>
      </c>
      <c r="B3695">
        <v>136456360</v>
      </c>
      <c r="C3695">
        <v>136456360</v>
      </c>
    </row>
    <row r="3696" spans="1:3">
      <c r="A3696">
        <v>3695</v>
      </c>
      <c r="B3696">
        <v>136530250</v>
      </c>
      <c r="C3696">
        <v>136530250</v>
      </c>
    </row>
    <row r="3697" spans="1:3">
      <c r="A3697">
        <v>3696</v>
      </c>
      <c r="B3697">
        <v>136604160</v>
      </c>
      <c r="C3697">
        <v>136604160</v>
      </c>
    </row>
    <row r="3698" spans="1:3">
      <c r="A3698">
        <v>3697</v>
      </c>
      <c r="B3698">
        <v>136678090</v>
      </c>
      <c r="C3698">
        <v>136678090</v>
      </c>
    </row>
    <row r="3699" spans="1:3">
      <c r="A3699">
        <v>3698</v>
      </c>
      <c r="B3699">
        <v>136752040</v>
      </c>
      <c r="C3699">
        <v>136752040</v>
      </c>
    </row>
    <row r="3700" spans="1:3">
      <c r="A3700">
        <v>3699</v>
      </c>
      <c r="B3700">
        <v>136826010</v>
      </c>
      <c r="C3700">
        <v>136826010</v>
      </c>
    </row>
    <row r="3701" spans="1:3">
      <c r="A3701">
        <v>3700</v>
      </c>
      <c r="B3701">
        <v>136900000</v>
      </c>
      <c r="C3701">
        <v>136900000</v>
      </c>
    </row>
    <row r="3702" spans="1:3">
      <c r="A3702">
        <v>3701</v>
      </c>
      <c r="B3702">
        <v>136974010</v>
      </c>
      <c r="C3702">
        <v>136974010</v>
      </c>
    </row>
    <row r="3703" spans="1:3">
      <c r="A3703">
        <v>3702</v>
      </c>
      <c r="B3703">
        <v>137048040</v>
      </c>
      <c r="C3703">
        <v>137048040</v>
      </c>
    </row>
    <row r="3704" spans="1:3">
      <c r="A3704">
        <v>3703</v>
      </c>
      <c r="B3704">
        <v>137122090</v>
      </c>
      <c r="C3704">
        <v>137122090</v>
      </c>
    </row>
    <row r="3705" spans="1:3">
      <c r="A3705">
        <v>3704</v>
      </c>
      <c r="B3705">
        <v>137196160</v>
      </c>
      <c r="C3705">
        <v>137196160</v>
      </c>
    </row>
    <row r="3706" spans="1:3">
      <c r="A3706">
        <v>3705</v>
      </c>
      <c r="B3706">
        <v>137270250</v>
      </c>
      <c r="C3706">
        <v>137270250</v>
      </c>
    </row>
    <row r="3707" spans="1:3">
      <c r="A3707">
        <v>3706</v>
      </c>
      <c r="B3707">
        <v>137344360</v>
      </c>
      <c r="C3707">
        <v>137344360</v>
      </c>
    </row>
    <row r="3708" spans="1:3">
      <c r="A3708">
        <v>3707</v>
      </c>
      <c r="B3708">
        <v>137418490</v>
      </c>
      <c r="C3708">
        <v>137418490</v>
      </c>
    </row>
    <row r="3709" spans="1:3">
      <c r="A3709">
        <v>3708</v>
      </c>
      <c r="B3709">
        <v>137492640</v>
      </c>
      <c r="C3709">
        <v>137492640</v>
      </c>
    </row>
    <row r="3710" spans="1:3">
      <c r="A3710">
        <v>3709</v>
      </c>
      <c r="B3710">
        <v>137566810</v>
      </c>
      <c r="C3710">
        <v>137566810</v>
      </c>
    </row>
    <row r="3711" spans="1:3">
      <c r="A3711">
        <v>3710</v>
      </c>
      <c r="B3711">
        <v>137641000</v>
      </c>
      <c r="C3711">
        <v>137641000</v>
      </c>
    </row>
    <row r="3712" spans="1:3">
      <c r="A3712">
        <v>3711</v>
      </c>
      <c r="B3712">
        <v>137715210</v>
      </c>
      <c r="C3712">
        <v>137715210</v>
      </c>
    </row>
    <row r="3713" spans="1:3">
      <c r="A3713">
        <v>3712</v>
      </c>
      <c r="B3713">
        <v>137789440</v>
      </c>
      <c r="C3713">
        <v>137789440</v>
      </c>
    </row>
    <row r="3714" spans="1:3">
      <c r="A3714">
        <v>3713</v>
      </c>
      <c r="B3714">
        <v>137863690</v>
      </c>
      <c r="C3714">
        <v>137863690</v>
      </c>
    </row>
    <row r="3715" spans="1:3">
      <c r="A3715">
        <v>3714</v>
      </c>
      <c r="B3715">
        <v>137937960</v>
      </c>
      <c r="C3715">
        <v>137937960</v>
      </c>
    </row>
    <row r="3716" spans="1:3">
      <c r="A3716">
        <v>3715</v>
      </c>
      <c r="B3716">
        <v>138012250</v>
      </c>
      <c r="C3716">
        <v>138012250</v>
      </c>
    </row>
    <row r="3717" spans="1:3">
      <c r="A3717">
        <v>3716</v>
      </c>
      <c r="B3717">
        <v>138086560</v>
      </c>
      <c r="C3717">
        <v>138086560</v>
      </c>
    </row>
    <row r="3718" spans="1:3">
      <c r="A3718">
        <v>3717</v>
      </c>
      <c r="B3718">
        <v>138160890</v>
      </c>
      <c r="C3718">
        <v>138160890</v>
      </c>
    </row>
    <row r="3719" spans="1:3">
      <c r="A3719">
        <v>3718</v>
      </c>
      <c r="B3719">
        <v>138235240</v>
      </c>
      <c r="C3719">
        <v>138235240</v>
      </c>
    </row>
    <row r="3720" spans="1:3">
      <c r="A3720">
        <v>3719</v>
      </c>
      <c r="B3720">
        <v>138309610</v>
      </c>
      <c r="C3720">
        <v>138309610</v>
      </c>
    </row>
    <row r="3721" spans="1:3">
      <c r="A3721">
        <v>3720</v>
      </c>
      <c r="B3721">
        <v>138384000</v>
      </c>
      <c r="C3721">
        <v>138384000</v>
      </c>
    </row>
    <row r="3722" spans="1:3">
      <c r="A3722">
        <v>3721</v>
      </c>
      <c r="B3722">
        <v>138458410</v>
      </c>
      <c r="C3722">
        <v>138458410</v>
      </c>
    </row>
    <row r="3723" spans="1:3">
      <c r="A3723">
        <v>3722</v>
      </c>
      <c r="B3723">
        <v>138532840</v>
      </c>
      <c r="C3723">
        <v>138532840</v>
      </c>
    </row>
    <row r="3724" spans="1:3">
      <c r="A3724">
        <v>3723</v>
      </c>
      <c r="B3724">
        <v>138607290</v>
      </c>
      <c r="C3724">
        <v>138607290</v>
      </c>
    </row>
    <row r="3725" spans="1:3">
      <c r="A3725">
        <v>3724</v>
      </c>
      <c r="B3725">
        <v>138681760</v>
      </c>
      <c r="C3725">
        <v>138681760</v>
      </c>
    </row>
    <row r="3726" spans="1:3">
      <c r="A3726">
        <v>3725</v>
      </c>
      <c r="B3726">
        <v>138756250</v>
      </c>
      <c r="C3726">
        <v>138756250</v>
      </c>
    </row>
    <row r="3727" spans="1:3">
      <c r="A3727">
        <v>3726</v>
      </c>
      <c r="B3727">
        <v>138830760</v>
      </c>
      <c r="C3727">
        <v>138830760</v>
      </c>
    </row>
    <row r="3728" spans="1:3">
      <c r="A3728">
        <v>3727</v>
      </c>
      <c r="B3728">
        <v>138905290</v>
      </c>
      <c r="C3728">
        <v>138905290</v>
      </c>
    </row>
    <row r="3729" spans="1:3">
      <c r="A3729">
        <v>3728</v>
      </c>
      <c r="B3729">
        <v>138979840</v>
      </c>
      <c r="C3729">
        <v>138979840</v>
      </c>
    </row>
    <row r="3730" spans="1:3">
      <c r="A3730">
        <v>3729</v>
      </c>
      <c r="B3730">
        <v>139054410</v>
      </c>
      <c r="C3730">
        <v>139054410</v>
      </c>
    </row>
    <row r="3731" spans="1:3">
      <c r="A3731">
        <v>3730</v>
      </c>
      <c r="B3731">
        <v>139129000</v>
      </c>
      <c r="C3731">
        <v>139129000</v>
      </c>
    </row>
    <row r="3732" spans="1:3">
      <c r="A3732">
        <v>3731</v>
      </c>
      <c r="B3732">
        <v>139203610</v>
      </c>
      <c r="C3732">
        <v>139203610</v>
      </c>
    </row>
    <row r="3733" spans="1:3">
      <c r="A3733">
        <v>3732</v>
      </c>
      <c r="B3733">
        <v>139278240</v>
      </c>
      <c r="C3733">
        <v>139278240</v>
      </c>
    </row>
    <row r="3734" spans="1:3">
      <c r="A3734">
        <v>3733</v>
      </c>
      <c r="B3734">
        <v>139352890</v>
      </c>
      <c r="C3734">
        <v>139352890</v>
      </c>
    </row>
    <row r="3735" spans="1:3">
      <c r="A3735">
        <v>3734</v>
      </c>
      <c r="B3735">
        <v>139427560</v>
      </c>
      <c r="C3735">
        <v>139427560</v>
      </c>
    </row>
    <row r="3736" spans="1:3">
      <c r="A3736">
        <v>3735</v>
      </c>
      <c r="B3736">
        <v>139502250</v>
      </c>
      <c r="C3736">
        <v>139502250</v>
      </c>
    </row>
    <row r="3737" spans="1:3">
      <c r="A3737">
        <v>3736</v>
      </c>
      <c r="B3737">
        <v>139576960</v>
      </c>
      <c r="C3737">
        <v>139576960</v>
      </c>
    </row>
    <row r="3738" spans="1:3">
      <c r="A3738">
        <v>3737</v>
      </c>
      <c r="B3738">
        <v>139651690</v>
      </c>
      <c r="C3738">
        <v>139651690</v>
      </c>
    </row>
    <row r="3739" spans="1:3">
      <c r="A3739">
        <v>3738</v>
      </c>
      <c r="B3739">
        <v>139726440</v>
      </c>
      <c r="C3739">
        <v>139726440</v>
      </c>
    </row>
    <row r="3740" spans="1:3">
      <c r="A3740">
        <v>3739</v>
      </c>
      <c r="B3740">
        <v>139801210</v>
      </c>
      <c r="C3740">
        <v>139801210</v>
      </c>
    </row>
    <row r="3741" spans="1:3">
      <c r="A3741">
        <v>3740</v>
      </c>
      <c r="B3741">
        <v>139876000</v>
      </c>
      <c r="C3741">
        <v>139876000</v>
      </c>
    </row>
    <row r="3742" spans="1:3">
      <c r="A3742">
        <v>3741</v>
      </c>
      <c r="B3742">
        <v>139950810</v>
      </c>
      <c r="C3742">
        <v>139950810</v>
      </c>
    </row>
    <row r="3743" spans="1:3">
      <c r="A3743">
        <v>3742</v>
      </c>
      <c r="B3743">
        <v>140025640</v>
      </c>
      <c r="C3743">
        <v>140025640</v>
      </c>
    </row>
    <row r="3744" spans="1:3">
      <c r="A3744">
        <v>3743</v>
      </c>
      <c r="B3744">
        <v>140100490</v>
      </c>
      <c r="C3744">
        <v>140100490</v>
      </c>
    </row>
    <row r="3745" spans="1:3">
      <c r="A3745">
        <v>3744</v>
      </c>
      <c r="B3745">
        <v>140175360</v>
      </c>
      <c r="C3745">
        <v>140175360</v>
      </c>
    </row>
    <row r="3746" spans="1:3">
      <c r="A3746">
        <v>3745</v>
      </c>
      <c r="B3746">
        <v>140250250</v>
      </c>
      <c r="C3746">
        <v>140250250</v>
      </c>
    </row>
    <row r="3747" spans="1:3">
      <c r="A3747">
        <v>3746</v>
      </c>
      <c r="B3747">
        <v>140325160</v>
      </c>
      <c r="C3747">
        <v>140325160</v>
      </c>
    </row>
    <row r="3748" spans="1:3">
      <c r="A3748">
        <v>3747</v>
      </c>
      <c r="B3748">
        <v>140400090</v>
      </c>
      <c r="C3748">
        <v>140400090</v>
      </c>
    </row>
    <row r="3749" spans="1:3">
      <c r="A3749">
        <v>3748</v>
      </c>
      <c r="B3749">
        <v>140475040</v>
      </c>
      <c r="C3749">
        <v>140475040</v>
      </c>
    </row>
    <row r="3750" spans="1:3">
      <c r="A3750">
        <v>3749</v>
      </c>
      <c r="B3750">
        <v>140550010</v>
      </c>
      <c r="C3750">
        <v>140550010</v>
      </c>
    </row>
    <row r="3751" spans="1:3">
      <c r="A3751">
        <v>3750</v>
      </c>
      <c r="B3751">
        <v>140625000</v>
      </c>
      <c r="C3751">
        <v>140625000</v>
      </c>
    </row>
    <row r="3752" spans="1:3">
      <c r="A3752">
        <v>3751</v>
      </c>
      <c r="B3752">
        <v>140700010</v>
      </c>
      <c r="C3752">
        <v>140700010</v>
      </c>
    </row>
    <row r="3753" spans="1:3">
      <c r="A3753">
        <v>3752</v>
      </c>
      <c r="B3753">
        <v>140775040</v>
      </c>
      <c r="C3753">
        <v>140775040</v>
      </c>
    </row>
    <row r="3754" spans="1:3">
      <c r="A3754">
        <v>3753</v>
      </c>
      <c r="B3754">
        <v>140850090</v>
      </c>
      <c r="C3754">
        <v>140850090</v>
      </c>
    </row>
    <row r="3755" spans="1:3">
      <c r="A3755">
        <v>3754</v>
      </c>
      <c r="B3755">
        <v>140925160</v>
      </c>
      <c r="C3755">
        <v>140925160</v>
      </c>
    </row>
    <row r="3756" spans="1:3">
      <c r="A3756">
        <v>3755</v>
      </c>
      <c r="B3756">
        <v>141000250</v>
      </c>
      <c r="C3756">
        <v>141000250</v>
      </c>
    </row>
    <row r="3757" spans="1:3">
      <c r="A3757">
        <v>3756</v>
      </c>
      <c r="B3757">
        <v>141075360</v>
      </c>
      <c r="C3757">
        <v>141075360</v>
      </c>
    </row>
    <row r="3758" spans="1:3">
      <c r="A3758">
        <v>3757</v>
      </c>
      <c r="B3758">
        <v>141150490</v>
      </c>
      <c r="C3758">
        <v>141150490</v>
      </c>
    </row>
    <row r="3759" spans="1:3">
      <c r="A3759">
        <v>3758</v>
      </c>
      <c r="B3759">
        <v>141225640</v>
      </c>
      <c r="C3759">
        <v>141225640</v>
      </c>
    </row>
    <row r="3760" spans="1:3">
      <c r="A3760">
        <v>3759</v>
      </c>
      <c r="B3760">
        <v>141300810</v>
      </c>
      <c r="C3760">
        <v>141300810</v>
      </c>
    </row>
    <row r="3761" spans="1:3">
      <c r="A3761">
        <v>3760</v>
      </c>
      <c r="B3761">
        <v>141376000</v>
      </c>
      <c r="C3761">
        <v>141376000</v>
      </c>
    </row>
    <row r="3762" spans="1:3">
      <c r="A3762">
        <v>3761</v>
      </c>
      <c r="B3762">
        <v>141451210</v>
      </c>
      <c r="C3762">
        <v>141451210</v>
      </c>
    </row>
    <row r="3763" spans="1:3">
      <c r="A3763">
        <v>3762</v>
      </c>
      <c r="B3763">
        <v>141526440</v>
      </c>
      <c r="C3763">
        <v>141526440</v>
      </c>
    </row>
    <row r="3764" spans="1:3">
      <c r="A3764">
        <v>3763</v>
      </c>
      <c r="B3764">
        <v>141601690</v>
      </c>
      <c r="C3764">
        <v>141601690</v>
      </c>
    </row>
    <row r="3765" spans="1:3">
      <c r="A3765">
        <v>3764</v>
      </c>
      <c r="B3765">
        <v>141676960</v>
      </c>
      <c r="C3765">
        <v>141676960</v>
      </c>
    </row>
    <row r="3766" spans="1:3">
      <c r="A3766">
        <v>3765</v>
      </c>
      <c r="B3766">
        <v>141752250</v>
      </c>
      <c r="C3766">
        <v>141752250</v>
      </c>
    </row>
    <row r="3767" spans="1:3">
      <c r="A3767">
        <v>3766</v>
      </c>
      <c r="B3767">
        <v>141827560</v>
      </c>
      <c r="C3767">
        <v>141827560</v>
      </c>
    </row>
    <row r="3768" spans="1:3">
      <c r="A3768">
        <v>3767</v>
      </c>
      <c r="B3768">
        <v>141902890</v>
      </c>
      <c r="C3768">
        <v>141902890</v>
      </c>
    </row>
    <row r="3769" spans="1:3">
      <c r="A3769">
        <v>3768</v>
      </c>
      <c r="B3769">
        <v>141978240</v>
      </c>
      <c r="C3769">
        <v>141978240</v>
      </c>
    </row>
    <row r="3770" spans="1:3">
      <c r="A3770">
        <v>3769</v>
      </c>
      <c r="B3770">
        <v>142053610</v>
      </c>
      <c r="C3770">
        <v>142053610</v>
      </c>
    </row>
    <row r="3771" spans="1:3">
      <c r="A3771">
        <v>3770</v>
      </c>
      <c r="B3771">
        <v>142129000</v>
      </c>
      <c r="C3771">
        <v>142129000</v>
      </c>
    </row>
    <row r="3772" spans="1:3">
      <c r="A3772">
        <v>3771</v>
      </c>
      <c r="B3772">
        <v>142204410</v>
      </c>
      <c r="C3772">
        <v>142204410</v>
      </c>
    </row>
    <row r="3773" spans="1:3">
      <c r="A3773">
        <v>3772</v>
      </c>
      <c r="B3773">
        <v>142279840</v>
      </c>
      <c r="C3773">
        <v>142279840</v>
      </c>
    </row>
    <row r="3774" spans="1:3">
      <c r="A3774">
        <v>3773</v>
      </c>
      <c r="B3774">
        <v>142355290</v>
      </c>
      <c r="C3774">
        <v>142355290</v>
      </c>
    </row>
    <row r="3775" spans="1:3">
      <c r="A3775">
        <v>3774</v>
      </c>
      <c r="B3775">
        <v>142430760</v>
      </c>
      <c r="C3775">
        <v>142430760</v>
      </c>
    </row>
    <row r="3776" spans="1:3">
      <c r="A3776">
        <v>3775</v>
      </c>
      <c r="B3776">
        <v>142506250</v>
      </c>
      <c r="C3776">
        <v>142506250</v>
      </c>
    </row>
    <row r="3777" spans="1:3">
      <c r="A3777">
        <v>3776</v>
      </c>
      <c r="B3777">
        <v>142581760</v>
      </c>
      <c r="C3777">
        <v>142581760</v>
      </c>
    </row>
    <row r="3778" spans="1:3">
      <c r="A3778">
        <v>3777</v>
      </c>
      <c r="B3778">
        <v>142657290</v>
      </c>
      <c r="C3778">
        <v>142657290</v>
      </c>
    </row>
    <row r="3779" spans="1:3">
      <c r="A3779">
        <v>3778</v>
      </c>
      <c r="B3779">
        <v>142732840</v>
      </c>
      <c r="C3779">
        <v>142732840</v>
      </c>
    </row>
    <row r="3780" spans="1:3">
      <c r="A3780">
        <v>3779</v>
      </c>
      <c r="B3780">
        <v>142808410</v>
      </c>
      <c r="C3780">
        <v>142808410</v>
      </c>
    </row>
    <row r="3781" spans="1:3">
      <c r="A3781">
        <v>3780</v>
      </c>
      <c r="B3781">
        <v>142884000</v>
      </c>
      <c r="C3781">
        <v>142884000</v>
      </c>
    </row>
    <row r="3782" spans="1:3">
      <c r="A3782">
        <v>3781</v>
      </c>
      <c r="B3782">
        <v>142959610</v>
      </c>
      <c r="C3782">
        <v>142959610</v>
      </c>
    </row>
    <row r="3783" spans="1:3">
      <c r="A3783">
        <v>3782</v>
      </c>
      <c r="B3783">
        <v>143035240</v>
      </c>
      <c r="C3783">
        <v>143035240</v>
      </c>
    </row>
    <row r="3784" spans="1:3">
      <c r="A3784">
        <v>3783</v>
      </c>
      <c r="B3784">
        <v>143110890</v>
      </c>
      <c r="C3784">
        <v>143110890</v>
      </c>
    </row>
    <row r="3785" spans="1:3">
      <c r="A3785">
        <v>3784</v>
      </c>
      <c r="B3785">
        <v>143186560</v>
      </c>
      <c r="C3785">
        <v>143186560</v>
      </c>
    </row>
    <row r="3786" spans="1:3">
      <c r="A3786">
        <v>3785</v>
      </c>
      <c r="B3786">
        <v>143262250</v>
      </c>
      <c r="C3786">
        <v>143262250</v>
      </c>
    </row>
    <row r="3787" spans="1:3">
      <c r="A3787">
        <v>3786</v>
      </c>
      <c r="B3787">
        <v>143337960</v>
      </c>
      <c r="C3787">
        <v>143337960</v>
      </c>
    </row>
    <row r="3788" spans="1:3">
      <c r="A3788">
        <v>3787</v>
      </c>
      <c r="B3788">
        <v>143413690</v>
      </c>
      <c r="C3788">
        <v>143413690</v>
      </c>
    </row>
    <row r="3789" spans="1:3">
      <c r="A3789">
        <v>3788</v>
      </c>
      <c r="B3789">
        <v>143489440</v>
      </c>
      <c r="C3789">
        <v>143489440</v>
      </c>
    </row>
    <row r="3790" spans="1:3">
      <c r="A3790">
        <v>3789</v>
      </c>
      <c r="B3790">
        <v>143565210</v>
      </c>
      <c r="C3790">
        <v>143565210</v>
      </c>
    </row>
    <row r="3791" spans="1:3">
      <c r="A3791">
        <v>3790</v>
      </c>
      <c r="B3791">
        <v>143641000</v>
      </c>
      <c r="C3791">
        <v>143641000</v>
      </c>
    </row>
    <row r="3792" spans="1:3">
      <c r="A3792">
        <v>3791</v>
      </c>
      <c r="B3792">
        <v>143716810</v>
      </c>
      <c r="C3792">
        <v>143716810</v>
      </c>
    </row>
    <row r="3793" spans="1:3">
      <c r="A3793">
        <v>3792</v>
      </c>
      <c r="B3793">
        <v>143792640</v>
      </c>
      <c r="C3793">
        <v>143792640</v>
      </c>
    </row>
    <row r="3794" spans="1:3">
      <c r="A3794">
        <v>3793</v>
      </c>
      <c r="B3794">
        <v>143868490</v>
      </c>
      <c r="C3794">
        <v>143868490</v>
      </c>
    </row>
    <row r="3795" spans="1:3">
      <c r="A3795">
        <v>3794</v>
      </c>
      <c r="B3795">
        <v>143944360</v>
      </c>
      <c r="C3795">
        <v>143944360</v>
      </c>
    </row>
    <row r="3796" spans="1:3">
      <c r="A3796">
        <v>3795</v>
      </c>
      <c r="B3796">
        <v>144020250</v>
      </c>
      <c r="C3796">
        <v>144020250</v>
      </c>
    </row>
    <row r="3797" spans="1:3">
      <c r="A3797">
        <v>3796</v>
      </c>
      <c r="B3797">
        <v>144096160</v>
      </c>
      <c r="C3797">
        <v>144096160</v>
      </c>
    </row>
    <row r="3798" spans="1:3">
      <c r="A3798">
        <v>3797</v>
      </c>
      <c r="B3798">
        <v>144172090</v>
      </c>
      <c r="C3798">
        <v>144172090</v>
      </c>
    </row>
    <row r="3799" spans="1:3">
      <c r="A3799">
        <v>3798</v>
      </c>
      <c r="B3799">
        <v>144248040</v>
      </c>
      <c r="C3799">
        <v>144248040</v>
      </c>
    </row>
    <row r="3800" spans="1:3">
      <c r="A3800">
        <v>3799</v>
      </c>
      <c r="B3800">
        <v>144324010</v>
      </c>
      <c r="C3800">
        <v>144324010</v>
      </c>
    </row>
    <row r="3801" spans="1:3">
      <c r="A3801">
        <v>3800</v>
      </c>
      <c r="B3801">
        <v>144400000</v>
      </c>
      <c r="C3801">
        <v>144400000</v>
      </c>
    </row>
    <row r="3802" spans="1:3">
      <c r="A3802">
        <v>3801</v>
      </c>
      <c r="B3802">
        <v>144476010</v>
      </c>
      <c r="C3802">
        <v>144476010</v>
      </c>
    </row>
    <row r="3803" spans="1:3">
      <c r="A3803">
        <v>3802</v>
      </c>
      <c r="B3803">
        <v>144552040</v>
      </c>
      <c r="C3803">
        <v>144552040</v>
      </c>
    </row>
    <row r="3804" spans="1:3">
      <c r="A3804">
        <v>3803</v>
      </c>
      <c r="B3804">
        <v>144628090</v>
      </c>
      <c r="C3804">
        <v>144628090</v>
      </c>
    </row>
    <row r="3805" spans="1:3">
      <c r="A3805">
        <v>3804</v>
      </c>
      <c r="B3805">
        <v>144704160</v>
      </c>
      <c r="C3805">
        <v>144704160</v>
      </c>
    </row>
    <row r="3806" spans="1:3">
      <c r="A3806">
        <v>3805</v>
      </c>
      <c r="B3806">
        <v>144780250</v>
      </c>
      <c r="C3806">
        <v>144780250</v>
      </c>
    </row>
    <row r="3807" spans="1:3">
      <c r="A3807">
        <v>3806</v>
      </c>
      <c r="B3807">
        <v>144856360</v>
      </c>
      <c r="C3807">
        <v>144856360</v>
      </c>
    </row>
    <row r="3808" spans="1:3">
      <c r="A3808">
        <v>3807</v>
      </c>
      <c r="B3808">
        <v>144932490</v>
      </c>
      <c r="C3808">
        <v>144932490</v>
      </c>
    </row>
    <row r="3809" spans="1:3">
      <c r="A3809">
        <v>3808</v>
      </c>
      <c r="B3809">
        <v>145008640</v>
      </c>
      <c r="C3809">
        <v>145008640</v>
      </c>
    </row>
    <row r="3810" spans="1:3">
      <c r="A3810">
        <v>3809</v>
      </c>
      <c r="B3810">
        <v>145084810</v>
      </c>
      <c r="C3810">
        <v>145084810</v>
      </c>
    </row>
    <row r="3811" spans="1:3">
      <c r="A3811">
        <v>3810</v>
      </c>
      <c r="B3811">
        <v>145161000</v>
      </c>
      <c r="C3811">
        <v>145161000</v>
      </c>
    </row>
    <row r="3812" spans="1:3">
      <c r="A3812">
        <v>3811</v>
      </c>
      <c r="B3812">
        <v>145237210</v>
      </c>
      <c r="C3812">
        <v>145237210</v>
      </c>
    </row>
    <row r="3813" spans="1:3">
      <c r="A3813">
        <v>3812</v>
      </c>
      <c r="B3813">
        <v>145313440</v>
      </c>
      <c r="C3813">
        <v>145313440</v>
      </c>
    </row>
    <row r="3814" spans="1:3">
      <c r="A3814">
        <v>3813</v>
      </c>
      <c r="B3814">
        <v>145389690</v>
      </c>
      <c r="C3814">
        <v>145389690</v>
      </c>
    </row>
    <row r="3815" spans="1:3">
      <c r="A3815">
        <v>3814</v>
      </c>
      <c r="B3815">
        <v>145465960</v>
      </c>
      <c r="C3815">
        <v>145465960</v>
      </c>
    </row>
    <row r="3816" spans="1:3">
      <c r="A3816">
        <v>3815</v>
      </c>
      <c r="B3816">
        <v>145542250</v>
      </c>
      <c r="C3816">
        <v>145542250</v>
      </c>
    </row>
    <row r="3817" spans="1:3">
      <c r="A3817">
        <v>3816</v>
      </c>
      <c r="B3817">
        <v>145618560</v>
      </c>
      <c r="C3817">
        <v>145618560</v>
      </c>
    </row>
    <row r="3818" spans="1:3">
      <c r="A3818">
        <v>3817</v>
      </c>
      <c r="B3818">
        <v>145694890</v>
      </c>
      <c r="C3818">
        <v>145694890</v>
      </c>
    </row>
    <row r="3819" spans="1:3">
      <c r="A3819">
        <v>3818</v>
      </c>
      <c r="B3819">
        <v>145771240</v>
      </c>
      <c r="C3819">
        <v>145771240</v>
      </c>
    </row>
    <row r="3820" spans="1:3">
      <c r="A3820">
        <v>3819</v>
      </c>
      <c r="B3820">
        <v>145847610</v>
      </c>
      <c r="C3820">
        <v>145847610</v>
      </c>
    </row>
    <row r="3821" spans="1:3">
      <c r="A3821">
        <v>3820</v>
      </c>
      <c r="B3821">
        <v>145924000</v>
      </c>
      <c r="C3821">
        <v>145924000</v>
      </c>
    </row>
    <row r="3822" spans="1:3">
      <c r="A3822">
        <v>3821</v>
      </c>
      <c r="B3822">
        <v>146000410</v>
      </c>
      <c r="C3822">
        <v>146000410</v>
      </c>
    </row>
    <row r="3823" spans="1:3">
      <c r="A3823">
        <v>3822</v>
      </c>
      <c r="B3823">
        <v>146076840</v>
      </c>
      <c r="C3823">
        <v>146076840</v>
      </c>
    </row>
    <row r="3824" spans="1:3">
      <c r="A3824">
        <v>3823</v>
      </c>
      <c r="B3824">
        <v>146153290</v>
      </c>
      <c r="C3824">
        <v>146153290</v>
      </c>
    </row>
    <row r="3825" spans="1:3">
      <c r="A3825">
        <v>3824</v>
      </c>
      <c r="B3825">
        <v>146229760</v>
      </c>
      <c r="C3825">
        <v>146229760</v>
      </c>
    </row>
    <row r="3826" spans="1:3">
      <c r="A3826">
        <v>3825</v>
      </c>
      <c r="B3826">
        <v>146306250</v>
      </c>
      <c r="C3826">
        <v>146306250</v>
      </c>
    </row>
    <row r="3827" spans="1:3">
      <c r="A3827">
        <v>3826</v>
      </c>
      <c r="B3827">
        <v>146382760</v>
      </c>
      <c r="C3827">
        <v>146382760</v>
      </c>
    </row>
    <row r="3828" spans="1:3">
      <c r="A3828">
        <v>3827</v>
      </c>
      <c r="B3828">
        <v>146459290</v>
      </c>
      <c r="C3828">
        <v>146459290</v>
      </c>
    </row>
    <row r="3829" spans="1:3">
      <c r="A3829">
        <v>3828</v>
      </c>
      <c r="B3829">
        <v>146535840</v>
      </c>
      <c r="C3829">
        <v>146535840</v>
      </c>
    </row>
    <row r="3830" spans="1:3">
      <c r="A3830">
        <v>3829</v>
      </c>
      <c r="B3830">
        <v>146612410</v>
      </c>
      <c r="C3830">
        <v>146612410</v>
      </c>
    </row>
    <row r="3831" spans="1:3">
      <c r="A3831">
        <v>3830</v>
      </c>
      <c r="B3831">
        <v>146689000</v>
      </c>
      <c r="C3831">
        <v>146689000</v>
      </c>
    </row>
    <row r="3832" spans="1:3">
      <c r="A3832">
        <v>3831</v>
      </c>
      <c r="B3832">
        <v>146765610</v>
      </c>
      <c r="C3832">
        <v>146765610</v>
      </c>
    </row>
    <row r="3833" spans="1:3">
      <c r="A3833">
        <v>3832</v>
      </c>
      <c r="B3833">
        <v>146842240</v>
      </c>
      <c r="C3833">
        <v>146842240</v>
      </c>
    </row>
    <row r="3834" spans="1:3">
      <c r="A3834">
        <v>3833</v>
      </c>
      <c r="B3834">
        <v>146918890</v>
      </c>
      <c r="C3834">
        <v>146918890</v>
      </c>
    </row>
    <row r="3835" spans="1:3">
      <c r="A3835">
        <v>3834</v>
      </c>
      <c r="B3835">
        <v>146995560</v>
      </c>
      <c r="C3835">
        <v>146995560</v>
      </c>
    </row>
    <row r="3836" spans="1:3">
      <c r="A3836">
        <v>3835</v>
      </c>
      <c r="B3836">
        <v>147072250</v>
      </c>
      <c r="C3836">
        <v>147072250</v>
      </c>
    </row>
    <row r="3837" spans="1:3">
      <c r="A3837">
        <v>3836</v>
      </c>
      <c r="B3837">
        <v>147148960</v>
      </c>
      <c r="C3837">
        <v>147148960</v>
      </c>
    </row>
    <row r="3838" spans="1:3">
      <c r="A3838">
        <v>3837</v>
      </c>
      <c r="B3838">
        <v>147225690</v>
      </c>
      <c r="C3838">
        <v>147225690</v>
      </c>
    </row>
    <row r="3839" spans="1:3">
      <c r="A3839">
        <v>3838</v>
      </c>
      <c r="B3839">
        <v>147302440</v>
      </c>
      <c r="C3839">
        <v>147302440</v>
      </c>
    </row>
    <row r="3840" spans="1:3">
      <c r="A3840">
        <v>3839</v>
      </c>
      <c r="B3840">
        <v>147379210</v>
      </c>
      <c r="C3840">
        <v>147379210</v>
      </c>
    </row>
    <row r="3841" spans="1:3">
      <c r="A3841">
        <v>3840</v>
      </c>
      <c r="B3841">
        <v>147456000</v>
      </c>
      <c r="C3841">
        <v>147456000</v>
      </c>
    </row>
    <row r="3842" spans="1:3">
      <c r="A3842">
        <v>3841</v>
      </c>
      <c r="B3842">
        <v>147532810</v>
      </c>
      <c r="C3842">
        <v>147532810</v>
      </c>
    </row>
    <row r="3843" spans="1:3">
      <c r="A3843">
        <v>3842</v>
      </c>
      <c r="B3843">
        <v>147609640</v>
      </c>
      <c r="C3843">
        <v>147609640</v>
      </c>
    </row>
    <row r="3844" spans="1:3">
      <c r="A3844">
        <v>3843</v>
      </c>
      <c r="B3844">
        <v>147686490</v>
      </c>
      <c r="C3844">
        <v>147686490</v>
      </c>
    </row>
    <row r="3845" spans="1:3">
      <c r="A3845">
        <v>3844</v>
      </c>
      <c r="B3845">
        <v>147763360</v>
      </c>
      <c r="C3845">
        <v>147763360</v>
      </c>
    </row>
    <row r="3846" spans="1:3">
      <c r="A3846">
        <v>3845</v>
      </c>
      <c r="B3846">
        <v>147840250</v>
      </c>
      <c r="C3846">
        <v>147840250</v>
      </c>
    </row>
    <row r="3847" spans="1:3">
      <c r="A3847">
        <v>3846</v>
      </c>
      <c r="B3847">
        <v>147917160</v>
      </c>
      <c r="C3847">
        <v>147917160</v>
      </c>
    </row>
    <row r="3848" spans="1:3">
      <c r="A3848">
        <v>3847</v>
      </c>
      <c r="B3848">
        <v>147994090</v>
      </c>
      <c r="C3848">
        <v>147994090</v>
      </c>
    </row>
    <row r="3849" spans="1:3">
      <c r="A3849">
        <v>3848</v>
      </c>
      <c r="B3849">
        <v>148071040</v>
      </c>
      <c r="C3849">
        <v>148071040</v>
      </c>
    </row>
    <row r="3850" spans="1:3">
      <c r="A3850">
        <v>3849</v>
      </c>
      <c r="B3850">
        <v>148148010</v>
      </c>
      <c r="C3850">
        <v>148148010</v>
      </c>
    </row>
    <row r="3851" spans="1:3">
      <c r="A3851">
        <v>3850</v>
      </c>
      <c r="B3851">
        <v>148225000</v>
      </c>
      <c r="C3851">
        <v>148225000</v>
      </c>
    </row>
    <row r="3852" spans="1:3">
      <c r="A3852">
        <v>3851</v>
      </c>
      <c r="B3852">
        <v>148302010</v>
      </c>
      <c r="C3852">
        <v>148302010</v>
      </c>
    </row>
    <row r="3853" spans="1:3">
      <c r="A3853">
        <v>3852</v>
      </c>
      <c r="B3853">
        <v>148379040</v>
      </c>
      <c r="C3853">
        <v>148379040</v>
      </c>
    </row>
    <row r="3854" spans="1:3">
      <c r="A3854">
        <v>3853</v>
      </c>
      <c r="B3854">
        <v>148456090</v>
      </c>
      <c r="C3854">
        <v>148456090</v>
      </c>
    </row>
    <row r="3855" spans="1:3">
      <c r="A3855">
        <v>3854</v>
      </c>
      <c r="B3855">
        <v>148533160</v>
      </c>
      <c r="C3855">
        <v>148533160</v>
      </c>
    </row>
    <row r="3856" spans="1:3">
      <c r="A3856">
        <v>3855</v>
      </c>
      <c r="B3856">
        <v>148610250</v>
      </c>
      <c r="C3856">
        <v>148610250</v>
      </c>
    </row>
    <row r="3857" spans="1:3">
      <c r="A3857">
        <v>3856</v>
      </c>
      <c r="B3857">
        <v>148687360</v>
      </c>
      <c r="C3857">
        <v>148687360</v>
      </c>
    </row>
    <row r="3858" spans="1:3">
      <c r="A3858">
        <v>3857</v>
      </c>
      <c r="B3858">
        <v>148764490</v>
      </c>
      <c r="C3858">
        <v>148764490</v>
      </c>
    </row>
    <row r="3859" spans="1:3">
      <c r="A3859">
        <v>3858</v>
      </c>
      <c r="B3859">
        <v>148841640</v>
      </c>
      <c r="C3859">
        <v>148841640</v>
      </c>
    </row>
    <row r="3860" spans="1:3">
      <c r="A3860">
        <v>3859</v>
      </c>
      <c r="B3860">
        <v>148918810</v>
      </c>
      <c r="C3860">
        <v>148918810</v>
      </c>
    </row>
    <row r="3861" spans="1:3">
      <c r="A3861">
        <v>3860</v>
      </c>
      <c r="B3861">
        <v>148996000</v>
      </c>
      <c r="C3861">
        <v>148996000</v>
      </c>
    </row>
    <row r="3862" spans="1:3">
      <c r="A3862">
        <v>3861</v>
      </c>
      <c r="B3862">
        <v>149073210</v>
      </c>
      <c r="C3862">
        <v>149073210</v>
      </c>
    </row>
    <row r="3863" spans="1:3">
      <c r="A3863">
        <v>3862</v>
      </c>
      <c r="B3863">
        <v>149150440</v>
      </c>
      <c r="C3863">
        <v>149150440</v>
      </c>
    </row>
    <row r="3864" spans="1:3">
      <c r="A3864">
        <v>3863</v>
      </c>
      <c r="B3864">
        <v>149227690</v>
      </c>
      <c r="C3864">
        <v>149227690</v>
      </c>
    </row>
    <row r="3865" spans="1:3">
      <c r="A3865">
        <v>3864</v>
      </c>
      <c r="B3865">
        <v>149304960</v>
      </c>
      <c r="C3865">
        <v>149304960</v>
      </c>
    </row>
    <row r="3866" spans="1:3">
      <c r="A3866">
        <v>3865</v>
      </c>
      <c r="B3866">
        <v>149382250</v>
      </c>
      <c r="C3866">
        <v>149382250</v>
      </c>
    </row>
    <row r="3867" spans="1:3">
      <c r="A3867">
        <v>3866</v>
      </c>
      <c r="B3867">
        <v>149459560</v>
      </c>
      <c r="C3867">
        <v>149459560</v>
      </c>
    </row>
    <row r="3868" spans="1:3">
      <c r="A3868">
        <v>3867</v>
      </c>
      <c r="B3868">
        <v>149536890</v>
      </c>
      <c r="C3868">
        <v>149536890</v>
      </c>
    </row>
    <row r="3869" spans="1:3">
      <c r="A3869">
        <v>3868</v>
      </c>
      <c r="B3869">
        <v>149614240</v>
      </c>
      <c r="C3869">
        <v>149614240</v>
      </c>
    </row>
    <row r="3870" spans="1:3">
      <c r="A3870">
        <v>3869</v>
      </c>
      <c r="B3870">
        <v>149691610</v>
      </c>
      <c r="C3870">
        <v>149691610</v>
      </c>
    </row>
    <row r="3871" spans="1:3">
      <c r="A3871">
        <v>3870</v>
      </c>
      <c r="B3871">
        <v>149769000</v>
      </c>
      <c r="C3871">
        <v>149769000</v>
      </c>
    </row>
    <row r="3872" spans="1:3">
      <c r="A3872">
        <v>3871</v>
      </c>
      <c r="B3872">
        <v>149846410</v>
      </c>
      <c r="C3872">
        <v>149846410</v>
      </c>
    </row>
    <row r="3873" spans="1:3">
      <c r="A3873">
        <v>3872</v>
      </c>
      <c r="B3873">
        <v>149923840</v>
      </c>
      <c r="C3873">
        <v>149923840</v>
      </c>
    </row>
    <row r="3874" spans="1:3">
      <c r="A3874">
        <v>3873</v>
      </c>
      <c r="B3874">
        <v>150001290</v>
      </c>
      <c r="C3874">
        <v>150001290</v>
      </c>
    </row>
    <row r="3875" spans="1:3">
      <c r="A3875">
        <v>3874</v>
      </c>
      <c r="B3875">
        <v>150078760</v>
      </c>
      <c r="C3875">
        <v>150078760</v>
      </c>
    </row>
    <row r="3876" spans="1:3">
      <c r="A3876">
        <v>3875</v>
      </c>
      <c r="B3876">
        <v>150156250</v>
      </c>
      <c r="C3876">
        <v>150156250</v>
      </c>
    </row>
    <row r="3877" spans="1:3">
      <c r="A3877">
        <v>3876</v>
      </c>
      <c r="B3877">
        <v>150233760</v>
      </c>
      <c r="C3877">
        <v>150233760</v>
      </c>
    </row>
    <row r="3878" spans="1:3">
      <c r="A3878">
        <v>3877</v>
      </c>
      <c r="B3878">
        <v>150311290</v>
      </c>
      <c r="C3878">
        <v>150311290</v>
      </c>
    </row>
    <row r="3879" spans="1:3">
      <c r="A3879">
        <v>3878</v>
      </c>
      <c r="B3879">
        <v>150388840</v>
      </c>
      <c r="C3879">
        <v>150388840</v>
      </c>
    </row>
    <row r="3880" spans="1:3">
      <c r="A3880">
        <v>3879</v>
      </c>
      <c r="B3880">
        <v>150466410</v>
      </c>
      <c r="C3880">
        <v>150466410</v>
      </c>
    </row>
    <row r="3881" spans="1:3">
      <c r="A3881">
        <v>3880</v>
      </c>
      <c r="B3881">
        <v>150544000</v>
      </c>
      <c r="C3881">
        <v>150544000</v>
      </c>
    </row>
    <row r="3882" spans="1:3">
      <c r="A3882">
        <v>3881</v>
      </c>
      <c r="B3882">
        <v>150621610</v>
      </c>
      <c r="C3882">
        <v>150621610</v>
      </c>
    </row>
    <row r="3883" spans="1:3">
      <c r="A3883">
        <v>3882</v>
      </c>
      <c r="B3883">
        <v>150699240</v>
      </c>
      <c r="C3883">
        <v>150699240</v>
      </c>
    </row>
    <row r="3884" spans="1:3">
      <c r="A3884">
        <v>3883</v>
      </c>
      <c r="B3884">
        <v>150776890</v>
      </c>
      <c r="C3884">
        <v>150776890</v>
      </c>
    </row>
    <row r="3885" spans="1:3">
      <c r="A3885">
        <v>3884</v>
      </c>
      <c r="B3885">
        <v>150854560</v>
      </c>
      <c r="C3885">
        <v>150854560</v>
      </c>
    </row>
    <row r="3886" spans="1:3">
      <c r="A3886">
        <v>3885</v>
      </c>
      <c r="B3886">
        <v>150932250</v>
      </c>
      <c r="C3886">
        <v>150932250</v>
      </c>
    </row>
    <row r="3887" spans="1:3">
      <c r="A3887">
        <v>3886</v>
      </c>
      <c r="B3887">
        <v>151009960</v>
      </c>
      <c r="C3887">
        <v>151009960</v>
      </c>
    </row>
    <row r="3888" spans="1:3">
      <c r="A3888">
        <v>3887</v>
      </c>
      <c r="B3888">
        <v>151087690</v>
      </c>
      <c r="C3888">
        <v>151087690</v>
      </c>
    </row>
    <row r="3889" spans="1:3">
      <c r="A3889">
        <v>3888</v>
      </c>
      <c r="B3889">
        <v>151165440</v>
      </c>
      <c r="C3889">
        <v>151165440</v>
      </c>
    </row>
    <row r="3890" spans="1:3">
      <c r="A3890">
        <v>3889</v>
      </c>
      <c r="B3890">
        <v>151243210</v>
      </c>
      <c r="C3890">
        <v>151243210</v>
      </c>
    </row>
    <row r="3891" spans="1:3">
      <c r="A3891">
        <v>3890</v>
      </c>
      <c r="B3891">
        <v>151321000</v>
      </c>
      <c r="C3891">
        <v>151321000</v>
      </c>
    </row>
    <row r="3892" spans="1:3">
      <c r="A3892">
        <v>3891</v>
      </c>
      <c r="B3892">
        <v>151398810</v>
      </c>
      <c r="C3892">
        <v>151398810</v>
      </c>
    </row>
    <row r="3893" spans="1:3">
      <c r="A3893">
        <v>3892</v>
      </c>
      <c r="B3893">
        <v>151476640</v>
      </c>
      <c r="C3893">
        <v>151476640</v>
      </c>
    </row>
    <row r="3894" spans="1:3">
      <c r="A3894">
        <v>3893</v>
      </c>
      <c r="B3894">
        <v>151554490</v>
      </c>
      <c r="C3894">
        <v>151554490</v>
      </c>
    </row>
    <row r="3895" spans="1:3">
      <c r="A3895">
        <v>3894</v>
      </c>
      <c r="B3895">
        <v>151632360</v>
      </c>
      <c r="C3895">
        <v>151632360</v>
      </c>
    </row>
    <row r="3896" spans="1:3">
      <c r="A3896">
        <v>3895</v>
      </c>
      <c r="B3896">
        <v>151710250</v>
      </c>
      <c r="C3896">
        <v>151710250</v>
      </c>
    </row>
    <row r="3897" spans="1:3">
      <c r="A3897">
        <v>3896</v>
      </c>
      <c r="B3897">
        <v>151788160</v>
      </c>
      <c r="C3897">
        <v>151788160</v>
      </c>
    </row>
    <row r="3898" spans="1:3">
      <c r="A3898">
        <v>3897</v>
      </c>
      <c r="B3898">
        <v>151866090</v>
      </c>
      <c r="C3898">
        <v>151866090</v>
      </c>
    </row>
    <row r="3899" spans="1:3">
      <c r="A3899">
        <v>3898</v>
      </c>
      <c r="B3899">
        <v>151944040</v>
      </c>
      <c r="C3899">
        <v>151944040</v>
      </c>
    </row>
    <row r="3900" spans="1:3">
      <c r="A3900">
        <v>3899</v>
      </c>
      <c r="B3900">
        <v>152022010</v>
      </c>
      <c r="C3900">
        <v>152022010</v>
      </c>
    </row>
    <row r="3901" spans="1:3">
      <c r="A3901">
        <v>3900</v>
      </c>
      <c r="B3901">
        <v>152100000</v>
      </c>
      <c r="C3901">
        <v>152100000</v>
      </c>
    </row>
    <row r="3902" spans="1:3">
      <c r="A3902">
        <v>3901</v>
      </c>
      <c r="B3902">
        <v>152178010</v>
      </c>
      <c r="C3902">
        <v>152178010</v>
      </c>
    </row>
    <row r="3903" spans="1:3">
      <c r="A3903">
        <v>3902</v>
      </c>
      <c r="B3903">
        <v>152256040</v>
      </c>
      <c r="C3903">
        <v>152256040</v>
      </c>
    </row>
    <row r="3904" spans="1:3">
      <c r="A3904">
        <v>3903</v>
      </c>
      <c r="B3904">
        <v>152334090</v>
      </c>
      <c r="C3904">
        <v>152334090</v>
      </c>
    </row>
    <row r="3905" spans="1:3">
      <c r="A3905">
        <v>3904</v>
      </c>
      <c r="B3905">
        <v>152412160</v>
      </c>
      <c r="C3905">
        <v>152412160</v>
      </c>
    </row>
    <row r="3906" spans="1:3">
      <c r="A3906">
        <v>3905</v>
      </c>
      <c r="B3906">
        <v>152490250</v>
      </c>
      <c r="C3906">
        <v>152490250</v>
      </c>
    </row>
    <row r="3907" spans="1:3">
      <c r="A3907">
        <v>3906</v>
      </c>
      <c r="B3907">
        <v>152568360</v>
      </c>
      <c r="C3907">
        <v>152568360</v>
      </c>
    </row>
    <row r="3908" spans="1:3">
      <c r="A3908">
        <v>3907</v>
      </c>
      <c r="B3908">
        <v>152646490</v>
      </c>
      <c r="C3908">
        <v>152646490</v>
      </c>
    </row>
    <row r="3909" spans="1:3">
      <c r="A3909">
        <v>3908</v>
      </c>
      <c r="B3909">
        <v>152724640</v>
      </c>
      <c r="C3909">
        <v>152724640</v>
      </c>
    </row>
    <row r="3910" spans="1:3">
      <c r="A3910">
        <v>3909</v>
      </c>
      <c r="B3910">
        <v>152802810</v>
      </c>
      <c r="C3910">
        <v>152802810</v>
      </c>
    </row>
    <row r="3911" spans="1:3">
      <c r="A3911">
        <v>3910</v>
      </c>
      <c r="B3911">
        <v>152881000</v>
      </c>
      <c r="C3911">
        <v>152881000</v>
      </c>
    </row>
    <row r="3912" spans="1:3">
      <c r="A3912">
        <v>3911</v>
      </c>
      <c r="B3912">
        <v>152959210</v>
      </c>
      <c r="C3912">
        <v>152959210</v>
      </c>
    </row>
    <row r="3913" spans="1:3">
      <c r="A3913">
        <v>3912</v>
      </c>
      <c r="B3913">
        <v>153037440</v>
      </c>
      <c r="C3913">
        <v>153037440</v>
      </c>
    </row>
    <row r="3914" spans="1:3">
      <c r="A3914">
        <v>3913</v>
      </c>
      <c r="B3914">
        <v>153115690</v>
      </c>
      <c r="C3914">
        <v>153115690</v>
      </c>
    </row>
    <row r="3915" spans="1:3">
      <c r="A3915">
        <v>3914</v>
      </c>
      <c r="B3915">
        <v>153193960</v>
      </c>
      <c r="C3915">
        <v>153193960</v>
      </c>
    </row>
    <row r="3916" spans="1:3">
      <c r="A3916">
        <v>3915</v>
      </c>
      <c r="B3916">
        <v>153272250</v>
      </c>
      <c r="C3916">
        <v>153272250</v>
      </c>
    </row>
    <row r="3917" spans="1:3">
      <c r="A3917">
        <v>3916</v>
      </c>
      <c r="B3917">
        <v>153350560</v>
      </c>
      <c r="C3917">
        <v>153350560</v>
      </c>
    </row>
    <row r="3918" spans="1:3">
      <c r="A3918">
        <v>3917</v>
      </c>
      <c r="B3918">
        <v>153428890</v>
      </c>
      <c r="C3918">
        <v>153428890</v>
      </c>
    </row>
    <row r="3919" spans="1:3">
      <c r="A3919">
        <v>3918</v>
      </c>
      <c r="B3919">
        <v>153507240</v>
      </c>
      <c r="C3919">
        <v>153507240</v>
      </c>
    </row>
    <row r="3920" spans="1:3">
      <c r="A3920">
        <v>3919</v>
      </c>
      <c r="B3920">
        <v>153585610</v>
      </c>
      <c r="C3920">
        <v>153585610</v>
      </c>
    </row>
    <row r="3921" spans="1:3">
      <c r="A3921">
        <v>3920</v>
      </c>
      <c r="B3921">
        <v>153664000</v>
      </c>
      <c r="C3921">
        <v>153664000</v>
      </c>
    </row>
    <row r="3922" spans="1:3">
      <c r="A3922">
        <v>3921</v>
      </c>
      <c r="B3922">
        <v>153742410</v>
      </c>
      <c r="C3922">
        <v>153742410</v>
      </c>
    </row>
    <row r="3923" spans="1:3">
      <c r="A3923">
        <v>3922</v>
      </c>
      <c r="B3923">
        <v>153820840</v>
      </c>
      <c r="C3923">
        <v>153820840</v>
      </c>
    </row>
    <row r="3924" spans="1:3">
      <c r="A3924">
        <v>3923</v>
      </c>
      <c r="B3924">
        <v>153899290</v>
      </c>
      <c r="C3924">
        <v>153899290</v>
      </c>
    </row>
    <row r="3925" spans="1:3">
      <c r="A3925">
        <v>3924</v>
      </c>
      <c r="B3925">
        <v>153977760</v>
      </c>
      <c r="C3925">
        <v>153977760</v>
      </c>
    </row>
    <row r="3926" spans="1:3">
      <c r="A3926">
        <v>3925</v>
      </c>
      <c r="B3926">
        <v>154056250</v>
      </c>
      <c r="C3926">
        <v>154056250</v>
      </c>
    </row>
    <row r="3927" spans="1:3">
      <c r="A3927">
        <v>3926</v>
      </c>
      <c r="B3927">
        <v>154134760</v>
      </c>
      <c r="C3927">
        <v>154134760</v>
      </c>
    </row>
    <row r="3928" spans="1:3">
      <c r="A3928">
        <v>3927</v>
      </c>
      <c r="B3928">
        <v>154213290</v>
      </c>
      <c r="C3928">
        <v>154213290</v>
      </c>
    </row>
    <row r="3929" spans="1:3">
      <c r="A3929">
        <v>3928</v>
      </c>
      <c r="B3929">
        <v>154291840</v>
      </c>
      <c r="C3929">
        <v>154291840</v>
      </c>
    </row>
    <row r="3930" spans="1:3">
      <c r="A3930">
        <v>3929</v>
      </c>
      <c r="B3930">
        <v>154370410</v>
      </c>
      <c r="C3930">
        <v>154370410</v>
      </c>
    </row>
    <row r="3931" spans="1:3">
      <c r="A3931">
        <v>3930</v>
      </c>
      <c r="B3931">
        <v>154449000</v>
      </c>
      <c r="C3931">
        <v>154449000</v>
      </c>
    </row>
    <row r="3932" spans="1:3">
      <c r="A3932">
        <v>3931</v>
      </c>
      <c r="B3932">
        <v>154527610</v>
      </c>
      <c r="C3932">
        <v>154527610</v>
      </c>
    </row>
    <row r="3933" spans="1:3">
      <c r="A3933">
        <v>3932</v>
      </c>
      <c r="B3933">
        <v>154606240</v>
      </c>
      <c r="C3933">
        <v>154606240</v>
      </c>
    </row>
    <row r="3934" spans="1:3">
      <c r="A3934">
        <v>3933</v>
      </c>
      <c r="B3934">
        <v>154684890</v>
      </c>
      <c r="C3934">
        <v>154684890</v>
      </c>
    </row>
    <row r="3935" spans="1:3">
      <c r="A3935">
        <v>3934</v>
      </c>
      <c r="B3935">
        <v>154763560</v>
      </c>
      <c r="C3935">
        <v>154763560</v>
      </c>
    </row>
    <row r="3936" spans="1:3">
      <c r="A3936">
        <v>3935</v>
      </c>
      <c r="B3936">
        <v>154842250</v>
      </c>
      <c r="C3936">
        <v>154842250</v>
      </c>
    </row>
    <row r="3937" spans="1:3">
      <c r="A3937">
        <v>3936</v>
      </c>
      <c r="B3937">
        <v>154920960</v>
      </c>
      <c r="C3937">
        <v>154920960</v>
      </c>
    </row>
    <row r="3938" spans="1:3">
      <c r="A3938">
        <v>3937</v>
      </c>
      <c r="B3938">
        <v>154999690</v>
      </c>
      <c r="C3938">
        <v>154999690</v>
      </c>
    </row>
    <row r="3939" spans="1:3">
      <c r="A3939">
        <v>3938</v>
      </c>
      <c r="B3939">
        <v>155078440</v>
      </c>
      <c r="C3939">
        <v>155078440</v>
      </c>
    </row>
    <row r="3940" spans="1:3">
      <c r="A3940">
        <v>3939</v>
      </c>
      <c r="B3940">
        <v>155157210</v>
      </c>
      <c r="C3940">
        <v>155157210</v>
      </c>
    </row>
    <row r="3941" spans="1:3">
      <c r="A3941">
        <v>3940</v>
      </c>
      <c r="B3941">
        <v>155236000</v>
      </c>
      <c r="C3941">
        <v>155236000</v>
      </c>
    </row>
    <row r="3942" spans="1:3">
      <c r="A3942">
        <v>3941</v>
      </c>
      <c r="B3942">
        <v>155314810</v>
      </c>
      <c r="C3942">
        <v>155314810</v>
      </c>
    </row>
    <row r="3943" spans="1:3">
      <c r="A3943">
        <v>3942</v>
      </c>
      <c r="B3943">
        <v>155393640</v>
      </c>
      <c r="C3943">
        <v>155393640</v>
      </c>
    </row>
    <row r="3944" spans="1:3">
      <c r="A3944">
        <v>3943</v>
      </c>
      <c r="B3944">
        <v>155472490</v>
      </c>
      <c r="C3944">
        <v>155472490</v>
      </c>
    </row>
    <row r="3945" spans="1:3">
      <c r="A3945">
        <v>3944</v>
      </c>
      <c r="B3945">
        <v>155551360</v>
      </c>
      <c r="C3945">
        <v>155551360</v>
      </c>
    </row>
    <row r="3946" spans="1:3">
      <c r="A3946">
        <v>3945</v>
      </c>
      <c r="B3946">
        <v>155630250</v>
      </c>
      <c r="C3946">
        <v>155630250</v>
      </c>
    </row>
    <row r="3947" spans="1:3">
      <c r="A3947">
        <v>3946</v>
      </c>
      <c r="B3947">
        <v>155709160</v>
      </c>
      <c r="C3947">
        <v>155709160</v>
      </c>
    </row>
    <row r="3948" spans="1:3">
      <c r="A3948">
        <v>3947</v>
      </c>
      <c r="B3948">
        <v>155788090</v>
      </c>
      <c r="C3948">
        <v>155788090</v>
      </c>
    </row>
    <row r="3949" spans="1:3">
      <c r="A3949">
        <v>3948</v>
      </c>
      <c r="B3949">
        <v>155867040</v>
      </c>
      <c r="C3949">
        <v>155867040</v>
      </c>
    </row>
    <row r="3950" spans="1:3">
      <c r="A3950">
        <v>3949</v>
      </c>
      <c r="B3950">
        <v>155946010</v>
      </c>
      <c r="C3950">
        <v>155946010</v>
      </c>
    </row>
    <row r="3951" spans="1:3">
      <c r="A3951">
        <v>3950</v>
      </c>
      <c r="B3951">
        <v>156025000</v>
      </c>
      <c r="C3951">
        <v>156025000</v>
      </c>
    </row>
    <row r="3952" spans="1:3">
      <c r="A3952">
        <v>3951</v>
      </c>
      <c r="B3952">
        <v>156104010</v>
      </c>
      <c r="C3952">
        <v>156104010</v>
      </c>
    </row>
    <row r="3953" spans="1:3">
      <c r="A3953">
        <v>3952</v>
      </c>
      <c r="B3953">
        <v>156183040</v>
      </c>
      <c r="C3953">
        <v>156183040</v>
      </c>
    </row>
    <row r="3954" spans="1:3">
      <c r="A3954">
        <v>3953</v>
      </c>
      <c r="B3954">
        <v>156262090</v>
      </c>
      <c r="C3954">
        <v>156262090</v>
      </c>
    </row>
    <row r="3955" spans="1:3">
      <c r="A3955">
        <v>3954</v>
      </c>
      <c r="B3955">
        <v>156341160</v>
      </c>
      <c r="C3955">
        <v>156341160</v>
      </c>
    </row>
    <row r="3956" spans="1:3">
      <c r="A3956">
        <v>3955</v>
      </c>
      <c r="B3956">
        <v>156420250</v>
      </c>
      <c r="C3956">
        <v>156420250</v>
      </c>
    </row>
    <row r="3957" spans="1:3">
      <c r="A3957">
        <v>3956</v>
      </c>
      <c r="B3957">
        <v>156499360</v>
      </c>
      <c r="C3957">
        <v>156499360</v>
      </c>
    </row>
    <row r="3958" spans="1:3">
      <c r="A3958">
        <v>3957</v>
      </c>
      <c r="B3958">
        <v>156578490</v>
      </c>
      <c r="C3958">
        <v>156578490</v>
      </c>
    </row>
    <row r="3959" spans="1:3">
      <c r="A3959">
        <v>3958</v>
      </c>
      <c r="B3959">
        <v>156657640</v>
      </c>
      <c r="C3959">
        <v>156657640</v>
      </c>
    </row>
    <row r="3960" spans="1:3">
      <c r="A3960">
        <v>3959</v>
      </c>
      <c r="B3960">
        <v>156736810</v>
      </c>
      <c r="C3960">
        <v>156736810</v>
      </c>
    </row>
    <row r="3961" spans="1:3">
      <c r="A3961">
        <v>3960</v>
      </c>
      <c r="B3961">
        <v>156816000</v>
      </c>
      <c r="C3961">
        <v>156816000</v>
      </c>
    </row>
    <row r="3962" spans="1:3">
      <c r="A3962">
        <v>3961</v>
      </c>
      <c r="B3962">
        <v>156895210</v>
      </c>
      <c r="C3962">
        <v>156895210</v>
      </c>
    </row>
    <row r="3963" spans="1:3">
      <c r="A3963">
        <v>3962</v>
      </c>
      <c r="B3963">
        <v>156974440</v>
      </c>
      <c r="C3963">
        <v>156974440</v>
      </c>
    </row>
    <row r="3964" spans="1:3">
      <c r="A3964">
        <v>3963</v>
      </c>
      <c r="B3964">
        <v>157053690</v>
      </c>
      <c r="C3964">
        <v>157053690</v>
      </c>
    </row>
    <row r="3965" spans="1:3">
      <c r="A3965">
        <v>3964</v>
      </c>
      <c r="B3965">
        <v>157132960</v>
      </c>
      <c r="C3965">
        <v>157132960</v>
      </c>
    </row>
    <row r="3966" spans="1:3">
      <c r="A3966">
        <v>3965</v>
      </c>
      <c r="B3966">
        <v>157212250</v>
      </c>
      <c r="C3966">
        <v>157212250</v>
      </c>
    </row>
    <row r="3967" spans="1:3">
      <c r="A3967">
        <v>3966</v>
      </c>
      <c r="B3967">
        <v>157291560</v>
      </c>
      <c r="C3967">
        <v>157291560</v>
      </c>
    </row>
    <row r="3968" spans="1:3">
      <c r="A3968">
        <v>3967</v>
      </c>
      <c r="B3968">
        <v>157370890</v>
      </c>
      <c r="C3968">
        <v>157370890</v>
      </c>
    </row>
    <row r="3969" spans="1:3">
      <c r="A3969">
        <v>3968</v>
      </c>
      <c r="B3969">
        <v>157450240</v>
      </c>
      <c r="C3969">
        <v>157450240</v>
      </c>
    </row>
    <row r="3970" spans="1:3">
      <c r="A3970">
        <v>3969</v>
      </c>
      <c r="B3970">
        <v>157529610</v>
      </c>
      <c r="C3970">
        <v>157529610</v>
      </c>
    </row>
    <row r="3971" spans="1:3">
      <c r="A3971">
        <v>3970</v>
      </c>
      <c r="B3971">
        <v>157609000</v>
      </c>
      <c r="C3971">
        <v>157609000</v>
      </c>
    </row>
    <row r="3972" spans="1:3">
      <c r="A3972">
        <v>3971</v>
      </c>
      <c r="B3972">
        <v>157688410</v>
      </c>
      <c r="C3972">
        <v>157688410</v>
      </c>
    </row>
    <row r="3973" spans="1:3">
      <c r="A3973">
        <v>3972</v>
      </c>
      <c r="B3973">
        <v>157767840</v>
      </c>
      <c r="C3973">
        <v>157767840</v>
      </c>
    </row>
    <row r="3974" spans="1:3">
      <c r="A3974">
        <v>3973</v>
      </c>
      <c r="B3974">
        <v>157847290</v>
      </c>
      <c r="C3974">
        <v>157847290</v>
      </c>
    </row>
    <row r="3975" spans="1:3">
      <c r="A3975">
        <v>3974</v>
      </c>
      <c r="B3975">
        <v>157926760</v>
      </c>
      <c r="C3975">
        <v>157926760</v>
      </c>
    </row>
    <row r="3976" spans="1:3">
      <c r="A3976">
        <v>3975</v>
      </c>
      <c r="B3976">
        <v>158006250</v>
      </c>
      <c r="C3976">
        <v>158006250</v>
      </c>
    </row>
    <row r="3977" spans="1:3">
      <c r="A3977">
        <v>3976</v>
      </c>
      <c r="B3977">
        <v>158085760</v>
      </c>
      <c r="C3977">
        <v>158085760</v>
      </c>
    </row>
    <row r="3978" spans="1:3">
      <c r="A3978">
        <v>3977</v>
      </c>
      <c r="B3978">
        <v>158165290</v>
      </c>
      <c r="C3978">
        <v>158165290</v>
      </c>
    </row>
    <row r="3979" spans="1:3">
      <c r="A3979">
        <v>3978</v>
      </c>
      <c r="B3979">
        <v>158244840</v>
      </c>
      <c r="C3979">
        <v>158244840</v>
      </c>
    </row>
    <row r="3980" spans="1:3">
      <c r="A3980">
        <v>3979</v>
      </c>
      <c r="B3980">
        <v>158324410</v>
      </c>
      <c r="C3980">
        <v>158324410</v>
      </c>
    </row>
    <row r="3981" spans="1:3">
      <c r="A3981">
        <v>3980</v>
      </c>
      <c r="B3981">
        <v>158404000</v>
      </c>
      <c r="C3981">
        <v>158404000</v>
      </c>
    </row>
    <row r="3982" spans="1:3">
      <c r="A3982">
        <v>3981</v>
      </c>
      <c r="B3982">
        <v>158483610</v>
      </c>
      <c r="C3982">
        <v>158483610</v>
      </c>
    </row>
    <row r="3983" spans="1:3">
      <c r="A3983">
        <v>3982</v>
      </c>
      <c r="B3983">
        <v>158563240</v>
      </c>
      <c r="C3983">
        <v>158563240</v>
      </c>
    </row>
    <row r="3984" spans="1:3">
      <c r="A3984">
        <v>3983</v>
      </c>
      <c r="B3984">
        <v>158642890</v>
      </c>
      <c r="C3984">
        <v>158642890</v>
      </c>
    </row>
    <row r="3985" spans="1:3">
      <c r="A3985">
        <v>3984</v>
      </c>
      <c r="B3985">
        <v>158722560</v>
      </c>
      <c r="C3985">
        <v>158722560</v>
      </c>
    </row>
    <row r="3986" spans="1:3">
      <c r="A3986">
        <v>3985</v>
      </c>
      <c r="B3986">
        <v>158802250</v>
      </c>
      <c r="C3986">
        <v>158802250</v>
      </c>
    </row>
    <row r="3987" spans="1:3">
      <c r="A3987">
        <v>3986</v>
      </c>
      <c r="B3987">
        <v>158881960</v>
      </c>
      <c r="C3987">
        <v>158881960</v>
      </c>
    </row>
    <row r="3988" spans="1:3">
      <c r="A3988">
        <v>3987</v>
      </c>
      <c r="B3988">
        <v>158961690</v>
      </c>
      <c r="C3988">
        <v>158961690</v>
      </c>
    </row>
    <row r="3989" spans="1:3">
      <c r="A3989">
        <v>3988</v>
      </c>
      <c r="B3989">
        <v>159041440</v>
      </c>
      <c r="C3989">
        <v>159041440</v>
      </c>
    </row>
    <row r="3990" spans="1:3">
      <c r="A3990">
        <v>3989</v>
      </c>
      <c r="B3990">
        <v>159121210</v>
      </c>
      <c r="C3990">
        <v>159121210</v>
      </c>
    </row>
    <row r="3991" spans="1:3">
      <c r="A3991">
        <v>3990</v>
      </c>
      <c r="B3991">
        <v>159201000</v>
      </c>
      <c r="C3991">
        <v>159201000</v>
      </c>
    </row>
    <row r="3992" spans="1:3">
      <c r="A3992">
        <v>3991</v>
      </c>
      <c r="B3992">
        <v>159280810</v>
      </c>
      <c r="C3992">
        <v>159280810</v>
      </c>
    </row>
    <row r="3993" spans="1:3">
      <c r="A3993">
        <v>3992</v>
      </c>
      <c r="B3993">
        <v>159360640</v>
      </c>
      <c r="C3993">
        <v>159360640</v>
      </c>
    </row>
    <row r="3994" spans="1:3">
      <c r="A3994">
        <v>3993</v>
      </c>
      <c r="B3994">
        <v>159440490</v>
      </c>
      <c r="C3994">
        <v>159440490</v>
      </c>
    </row>
    <row r="3995" spans="1:3">
      <c r="A3995">
        <v>3994</v>
      </c>
      <c r="B3995">
        <v>159520360</v>
      </c>
      <c r="C3995">
        <v>159520360</v>
      </c>
    </row>
    <row r="3996" spans="1:3">
      <c r="A3996">
        <v>3995</v>
      </c>
      <c r="B3996">
        <v>159600250</v>
      </c>
      <c r="C3996">
        <v>159600250</v>
      </c>
    </row>
    <row r="3997" spans="1:3">
      <c r="A3997">
        <v>3996</v>
      </c>
      <c r="B3997">
        <v>159680160</v>
      </c>
      <c r="C3997">
        <v>159680160</v>
      </c>
    </row>
    <row r="3998" spans="1:3">
      <c r="A3998">
        <v>3997</v>
      </c>
      <c r="B3998">
        <v>159760090</v>
      </c>
      <c r="C3998">
        <v>159760090</v>
      </c>
    </row>
    <row r="3999" spans="1:3">
      <c r="A3999">
        <v>3998</v>
      </c>
      <c r="B3999">
        <v>159840040</v>
      </c>
      <c r="C3999">
        <v>159840040</v>
      </c>
    </row>
    <row r="4000" spans="1:3">
      <c r="A4000">
        <v>3999</v>
      </c>
      <c r="B4000">
        <v>159920010</v>
      </c>
      <c r="C4000">
        <v>159920010</v>
      </c>
    </row>
    <row r="4001" spans="1:3">
      <c r="A4001">
        <v>4000</v>
      </c>
      <c r="B4001">
        <v>160000000</v>
      </c>
      <c r="C4001">
        <v>160000000</v>
      </c>
    </row>
    <row r="4002" spans="1:3">
      <c r="A4002">
        <v>4001</v>
      </c>
      <c r="B4002">
        <v>160080010</v>
      </c>
      <c r="C4002">
        <v>160080010</v>
      </c>
    </row>
    <row r="4003" spans="1:3">
      <c r="A4003">
        <v>4002</v>
      </c>
      <c r="B4003">
        <v>160160040</v>
      </c>
      <c r="C4003">
        <v>160160040</v>
      </c>
    </row>
    <row r="4004" spans="1:3">
      <c r="A4004">
        <v>4003</v>
      </c>
      <c r="B4004">
        <v>160240090</v>
      </c>
      <c r="C4004">
        <v>160240090</v>
      </c>
    </row>
    <row r="4005" spans="1:3">
      <c r="A4005">
        <v>4004</v>
      </c>
      <c r="B4005">
        <v>160320160</v>
      </c>
      <c r="C4005">
        <v>160320160</v>
      </c>
    </row>
    <row r="4006" spans="1:3">
      <c r="A4006">
        <v>4005</v>
      </c>
      <c r="B4006">
        <v>160400250</v>
      </c>
      <c r="C4006">
        <v>160400250</v>
      </c>
    </row>
    <row r="4007" spans="1:3">
      <c r="A4007">
        <v>4006</v>
      </c>
      <c r="B4007">
        <v>160480360</v>
      </c>
      <c r="C4007">
        <v>160480360</v>
      </c>
    </row>
    <row r="4008" spans="1:3">
      <c r="A4008">
        <v>4007</v>
      </c>
      <c r="B4008">
        <v>160560490</v>
      </c>
      <c r="C4008">
        <v>160560490</v>
      </c>
    </row>
    <row r="4009" spans="1:3">
      <c r="A4009">
        <v>4008</v>
      </c>
      <c r="B4009">
        <v>160640640</v>
      </c>
      <c r="C4009">
        <v>160640640</v>
      </c>
    </row>
    <row r="4010" spans="1:3">
      <c r="A4010">
        <v>4009</v>
      </c>
      <c r="B4010">
        <v>160720810</v>
      </c>
      <c r="C4010">
        <v>160720810</v>
      </c>
    </row>
    <row r="4011" spans="1:3">
      <c r="A4011">
        <v>4010</v>
      </c>
      <c r="B4011">
        <v>160801000</v>
      </c>
      <c r="C4011">
        <v>160801000</v>
      </c>
    </row>
    <row r="4012" spans="1:3">
      <c r="A4012">
        <v>4011</v>
      </c>
      <c r="B4012">
        <v>160881210</v>
      </c>
      <c r="C4012">
        <v>160881210</v>
      </c>
    </row>
    <row r="4013" spans="1:3">
      <c r="A4013">
        <v>4012</v>
      </c>
      <c r="B4013">
        <v>160961440</v>
      </c>
      <c r="C4013">
        <v>160961440</v>
      </c>
    </row>
    <row r="4014" spans="1:3">
      <c r="A4014">
        <v>4013</v>
      </c>
      <c r="B4014">
        <v>161041690</v>
      </c>
      <c r="C4014">
        <v>161041690</v>
      </c>
    </row>
    <row r="4015" spans="1:3">
      <c r="A4015">
        <v>4014</v>
      </c>
      <c r="B4015">
        <v>161121960</v>
      </c>
      <c r="C4015">
        <v>161121960</v>
      </c>
    </row>
    <row r="4016" spans="1:3">
      <c r="A4016">
        <v>4015</v>
      </c>
      <c r="B4016">
        <v>161202250</v>
      </c>
      <c r="C4016">
        <v>161202250</v>
      </c>
    </row>
    <row r="4017" spans="1:3">
      <c r="A4017">
        <v>4016</v>
      </c>
      <c r="B4017">
        <v>161282560</v>
      </c>
      <c r="C4017">
        <v>161282560</v>
      </c>
    </row>
    <row r="4018" spans="1:3">
      <c r="A4018">
        <v>4017</v>
      </c>
      <c r="B4018">
        <v>161362890</v>
      </c>
      <c r="C4018">
        <v>161362890</v>
      </c>
    </row>
    <row r="4019" spans="1:3">
      <c r="A4019">
        <v>4018</v>
      </c>
      <c r="B4019">
        <v>161443240</v>
      </c>
      <c r="C4019">
        <v>161443240</v>
      </c>
    </row>
    <row r="4020" spans="1:3">
      <c r="A4020">
        <v>4019</v>
      </c>
      <c r="B4020">
        <v>161523610</v>
      </c>
      <c r="C4020">
        <v>161523610</v>
      </c>
    </row>
    <row r="4021" spans="1:3">
      <c r="A4021">
        <v>4020</v>
      </c>
      <c r="B4021">
        <v>161604000</v>
      </c>
      <c r="C4021">
        <v>161604000</v>
      </c>
    </row>
    <row r="4022" spans="1:3">
      <c r="A4022">
        <v>4021</v>
      </c>
      <c r="B4022">
        <v>161684410</v>
      </c>
      <c r="C4022">
        <v>161684410</v>
      </c>
    </row>
    <row r="4023" spans="1:3">
      <c r="A4023">
        <v>4022</v>
      </c>
      <c r="B4023">
        <v>161764840</v>
      </c>
      <c r="C4023">
        <v>161764840</v>
      </c>
    </row>
    <row r="4024" spans="1:3">
      <c r="A4024">
        <v>4023</v>
      </c>
      <c r="B4024">
        <v>161845290</v>
      </c>
      <c r="C4024">
        <v>161845290</v>
      </c>
    </row>
    <row r="4025" spans="1:3">
      <c r="A4025">
        <v>4024</v>
      </c>
      <c r="B4025">
        <v>161925760</v>
      </c>
      <c r="C4025">
        <v>161925760</v>
      </c>
    </row>
    <row r="4026" spans="1:3">
      <c r="A4026">
        <v>4025</v>
      </c>
      <c r="B4026">
        <v>162006250</v>
      </c>
      <c r="C4026">
        <v>162006250</v>
      </c>
    </row>
    <row r="4027" spans="1:3">
      <c r="A4027">
        <v>4026</v>
      </c>
      <c r="B4027">
        <v>162086760</v>
      </c>
      <c r="C4027">
        <v>162086760</v>
      </c>
    </row>
    <row r="4028" spans="1:3">
      <c r="A4028">
        <v>4027</v>
      </c>
      <c r="B4028">
        <v>162167290</v>
      </c>
      <c r="C4028">
        <v>162167290</v>
      </c>
    </row>
    <row r="4029" spans="1:3">
      <c r="A4029">
        <v>4028</v>
      </c>
      <c r="B4029">
        <v>162247840</v>
      </c>
      <c r="C4029">
        <v>162247840</v>
      </c>
    </row>
    <row r="4030" spans="1:3">
      <c r="A4030">
        <v>4029</v>
      </c>
      <c r="B4030">
        <v>162328410</v>
      </c>
      <c r="C4030">
        <v>162328410</v>
      </c>
    </row>
    <row r="4031" spans="1:3">
      <c r="A4031">
        <v>4030</v>
      </c>
      <c r="B4031">
        <v>162409000</v>
      </c>
      <c r="C4031">
        <v>162409000</v>
      </c>
    </row>
    <row r="4032" spans="1:3">
      <c r="A4032">
        <v>4031</v>
      </c>
      <c r="B4032">
        <v>162489610</v>
      </c>
      <c r="C4032">
        <v>162489610</v>
      </c>
    </row>
    <row r="4033" spans="1:3">
      <c r="A4033">
        <v>4032</v>
      </c>
      <c r="B4033">
        <v>162570240</v>
      </c>
      <c r="C4033">
        <v>162570240</v>
      </c>
    </row>
    <row r="4034" spans="1:3">
      <c r="A4034">
        <v>4033</v>
      </c>
      <c r="B4034">
        <v>162650890</v>
      </c>
      <c r="C4034">
        <v>162650890</v>
      </c>
    </row>
    <row r="4035" spans="1:3">
      <c r="A4035">
        <v>4034</v>
      </c>
      <c r="B4035">
        <v>162731560</v>
      </c>
      <c r="C4035">
        <v>162731560</v>
      </c>
    </row>
    <row r="4036" spans="1:3">
      <c r="A4036">
        <v>4035</v>
      </c>
      <c r="B4036">
        <v>162812250</v>
      </c>
      <c r="C4036">
        <v>162812250</v>
      </c>
    </row>
    <row r="4037" spans="1:3">
      <c r="A4037">
        <v>4036</v>
      </c>
      <c r="B4037">
        <v>162892960</v>
      </c>
      <c r="C4037">
        <v>162892960</v>
      </c>
    </row>
    <row r="4038" spans="1:3">
      <c r="A4038">
        <v>4037</v>
      </c>
      <c r="B4038">
        <v>162973690</v>
      </c>
      <c r="C4038">
        <v>162973690</v>
      </c>
    </row>
    <row r="4039" spans="1:3">
      <c r="A4039">
        <v>4038</v>
      </c>
      <c r="B4039">
        <v>163054440</v>
      </c>
      <c r="C4039">
        <v>163054440</v>
      </c>
    </row>
    <row r="4040" spans="1:3">
      <c r="A4040">
        <v>4039</v>
      </c>
      <c r="B4040">
        <v>163135210</v>
      </c>
      <c r="C4040">
        <v>163135210</v>
      </c>
    </row>
    <row r="4041" spans="1:3">
      <c r="A4041">
        <v>4040</v>
      </c>
      <c r="B4041">
        <v>163216000</v>
      </c>
      <c r="C4041">
        <v>163216000</v>
      </c>
    </row>
    <row r="4042" spans="1:3">
      <c r="A4042">
        <v>4041</v>
      </c>
      <c r="B4042">
        <v>163296810</v>
      </c>
      <c r="C4042">
        <v>163296810</v>
      </c>
    </row>
    <row r="4043" spans="1:3">
      <c r="A4043">
        <v>4042</v>
      </c>
      <c r="B4043">
        <v>163377640</v>
      </c>
      <c r="C4043">
        <v>163377640</v>
      </c>
    </row>
    <row r="4044" spans="1:3">
      <c r="A4044">
        <v>4043</v>
      </c>
      <c r="B4044">
        <v>163458490</v>
      </c>
      <c r="C4044">
        <v>163458490</v>
      </c>
    </row>
    <row r="4045" spans="1:3">
      <c r="A4045">
        <v>4044</v>
      </c>
      <c r="B4045">
        <v>163539360</v>
      </c>
      <c r="C4045">
        <v>163539360</v>
      </c>
    </row>
    <row r="4046" spans="1:3">
      <c r="A4046">
        <v>4045</v>
      </c>
      <c r="B4046">
        <v>163620250</v>
      </c>
      <c r="C4046">
        <v>163620250</v>
      </c>
    </row>
    <row r="4047" spans="1:3">
      <c r="A4047">
        <v>4046</v>
      </c>
      <c r="B4047">
        <v>163701160</v>
      </c>
      <c r="C4047">
        <v>163701160</v>
      </c>
    </row>
    <row r="4048" spans="1:3">
      <c r="A4048">
        <v>4047</v>
      </c>
      <c r="B4048">
        <v>163782090</v>
      </c>
      <c r="C4048">
        <v>163782090</v>
      </c>
    </row>
    <row r="4049" spans="1:3">
      <c r="A4049">
        <v>4048</v>
      </c>
      <c r="B4049">
        <v>163863040</v>
      </c>
      <c r="C4049">
        <v>163863040</v>
      </c>
    </row>
    <row r="4050" spans="1:3">
      <c r="A4050">
        <v>4049</v>
      </c>
      <c r="B4050">
        <v>163944010</v>
      </c>
      <c r="C4050">
        <v>163944010</v>
      </c>
    </row>
    <row r="4051" spans="1:3">
      <c r="A4051">
        <v>4050</v>
      </c>
      <c r="B4051">
        <v>164025000</v>
      </c>
      <c r="C4051">
        <v>164025000</v>
      </c>
    </row>
    <row r="4052" spans="1:3">
      <c r="A4052">
        <v>4051</v>
      </c>
      <c r="B4052">
        <v>164106010</v>
      </c>
      <c r="C4052">
        <v>164106010</v>
      </c>
    </row>
    <row r="4053" spans="1:3">
      <c r="A4053">
        <v>4052</v>
      </c>
      <c r="B4053">
        <v>164187040</v>
      </c>
      <c r="C4053">
        <v>164187040</v>
      </c>
    </row>
    <row r="4054" spans="1:3">
      <c r="A4054">
        <v>4053</v>
      </c>
      <c r="B4054">
        <v>164268090</v>
      </c>
      <c r="C4054">
        <v>164268090</v>
      </c>
    </row>
    <row r="4055" spans="1:3">
      <c r="A4055">
        <v>4054</v>
      </c>
      <c r="B4055">
        <v>164349160</v>
      </c>
      <c r="C4055">
        <v>164349160</v>
      </c>
    </row>
    <row r="4056" spans="1:3">
      <c r="A4056">
        <v>4055</v>
      </c>
      <c r="B4056">
        <v>164430250</v>
      </c>
      <c r="C4056">
        <v>164430250</v>
      </c>
    </row>
    <row r="4057" spans="1:3">
      <c r="A4057">
        <v>4056</v>
      </c>
      <c r="B4057">
        <v>164511360</v>
      </c>
      <c r="C4057">
        <v>164511360</v>
      </c>
    </row>
    <row r="4058" spans="1:3">
      <c r="A4058">
        <v>4057</v>
      </c>
      <c r="B4058">
        <v>164592490</v>
      </c>
      <c r="C4058">
        <v>164592490</v>
      </c>
    </row>
    <row r="4059" spans="1:3">
      <c r="A4059">
        <v>4058</v>
      </c>
      <c r="B4059">
        <v>164673640</v>
      </c>
      <c r="C4059">
        <v>164673640</v>
      </c>
    </row>
    <row r="4060" spans="1:3">
      <c r="A4060">
        <v>4059</v>
      </c>
      <c r="B4060">
        <v>164754810</v>
      </c>
      <c r="C4060">
        <v>164754810</v>
      </c>
    </row>
    <row r="4061" spans="1:3">
      <c r="A4061">
        <v>4060</v>
      </c>
      <c r="B4061">
        <v>164836000</v>
      </c>
      <c r="C4061">
        <v>164836000</v>
      </c>
    </row>
    <row r="4062" spans="1:3">
      <c r="A4062">
        <v>4061</v>
      </c>
      <c r="B4062">
        <v>164917210</v>
      </c>
      <c r="C4062">
        <v>164917210</v>
      </c>
    </row>
    <row r="4063" spans="1:3">
      <c r="A4063">
        <v>4062</v>
      </c>
      <c r="B4063">
        <v>164998440</v>
      </c>
      <c r="C4063">
        <v>164998440</v>
      </c>
    </row>
    <row r="4064" spans="1:3">
      <c r="A4064">
        <v>4063</v>
      </c>
      <c r="B4064">
        <v>165079690</v>
      </c>
      <c r="C4064">
        <v>165079690</v>
      </c>
    </row>
    <row r="4065" spans="1:3">
      <c r="A4065">
        <v>4064</v>
      </c>
      <c r="B4065">
        <v>165160960</v>
      </c>
      <c r="C4065">
        <v>165160960</v>
      </c>
    </row>
    <row r="4066" spans="1:3">
      <c r="A4066">
        <v>4065</v>
      </c>
      <c r="B4066">
        <v>165242250</v>
      </c>
      <c r="C4066">
        <v>165242250</v>
      </c>
    </row>
    <row r="4067" spans="1:3">
      <c r="A4067">
        <v>4066</v>
      </c>
      <c r="B4067">
        <v>165323560</v>
      </c>
      <c r="C4067">
        <v>165323560</v>
      </c>
    </row>
    <row r="4068" spans="1:3">
      <c r="A4068">
        <v>4067</v>
      </c>
      <c r="B4068">
        <v>165404890</v>
      </c>
      <c r="C4068">
        <v>165404890</v>
      </c>
    </row>
    <row r="4069" spans="1:3">
      <c r="A4069">
        <v>4068</v>
      </c>
      <c r="B4069">
        <v>165486240</v>
      </c>
      <c r="C4069">
        <v>165486240</v>
      </c>
    </row>
    <row r="4070" spans="1:3">
      <c r="A4070">
        <v>4069</v>
      </c>
      <c r="B4070">
        <v>165567610</v>
      </c>
      <c r="C4070">
        <v>165567610</v>
      </c>
    </row>
    <row r="4071" spans="1:3">
      <c r="A4071">
        <v>4070</v>
      </c>
      <c r="B4071">
        <v>165649000</v>
      </c>
      <c r="C4071">
        <v>165649000</v>
      </c>
    </row>
    <row r="4072" spans="1:3">
      <c r="A4072">
        <v>4071</v>
      </c>
      <c r="B4072">
        <v>165730410</v>
      </c>
      <c r="C4072">
        <v>165730410</v>
      </c>
    </row>
    <row r="4073" spans="1:3">
      <c r="A4073">
        <v>4072</v>
      </c>
      <c r="B4073">
        <v>165811840</v>
      </c>
      <c r="C4073">
        <v>165811840</v>
      </c>
    </row>
    <row r="4074" spans="1:3">
      <c r="A4074">
        <v>4073</v>
      </c>
      <c r="B4074">
        <v>165893290</v>
      </c>
      <c r="C4074">
        <v>165893290</v>
      </c>
    </row>
    <row r="4075" spans="1:3">
      <c r="A4075">
        <v>4074</v>
      </c>
      <c r="B4075">
        <v>165974760</v>
      </c>
      <c r="C4075">
        <v>165974760</v>
      </c>
    </row>
    <row r="4076" spans="1:3">
      <c r="A4076">
        <v>4075</v>
      </c>
      <c r="B4076">
        <v>166056250</v>
      </c>
      <c r="C4076">
        <v>166056250</v>
      </c>
    </row>
    <row r="4077" spans="1:3">
      <c r="A4077">
        <v>4076</v>
      </c>
      <c r="B4077">
        <v>166137760</v>
      </c>
      <c r="C4077">
        <v>166137760</v>
      </c>
    </row>
    <row r="4078" spans="1:3">
      <c r="A4078">
        <v>4077</v>
      </c>
      <c r="B4078">
        <v>166219290</v>
      </c>
      <c r="C4078">
        <v>166219290</v>
      </c>
    </row>
    <row r="4079" spans="1:3">
      <c r="A4079">
        <v>4078</v>
      </c>
      <c r="B4079">
        <v>166300840</v>
      </c>
      <c r="C4079">
        <v>166300840</v>
      </c>
    </row>
    <row r="4080" spans="1:3">
      <c r="A4080">
        <v>4079</v>
      </c>
      <c r="B4080">
        <v>166382410</v>
      </c>
      <c r="C4080">
        <v>166382410</v>
      </c>
    </row>
    <row r="4081" spans="1:3">
      <c r="A4081">
        <v>4080</v>
      </c>
      <c r="B4081">
        <v>166464000</v>
      </c>
      <c r="C4081">
        <v>166464000</v>
      </c>
    </row>
    <row r="4082" spans="1:3">
      <c r="A4082">
        <v>4081</v>
      </c>
      <c r="B4082">
        <v>166545610</v>
      </c>
      <c r="C4082">
        <v>166545610</v>
      </c>
    </row>
    <row r="4083" spans="1:3">
      <c r="A4083">
        <v>4082</v>
      </c>
      <c r="B4083">
        <v>166627240</v>
      </c>
      <c r="C4083">
        <v>166627240</v>
      </c>
    </row>
    <row r="4084" spans="1:3">
      <c r="A4084">
        <v>4083</v>
      </c>
      <c r="B4084">
        <v>166708890</v>
      </c>
      <c r="C4084">
        <v>166708890</v>
      </c>
    </row>
    <row r="4085" spans="1:3">
      <c r="A4085">
        <v>4084</v>
      </c>
      <c r="B4085">
        <v>166790560</v>
      </c>
      <c r="C4085">
        <v>166790560</v>
      </c>
    </row>
    <row r="4086" spans="1:3">
      <c r="A4086">
        <v>4085</v>
      </c>
      <c r="B4086">
        <v>166872250</v>
      </c>
      <c r="C4086">
        <v>166872250</v>
      </c>
    </row>
    <row r="4087" spans="1:3">
      <c r="A4087">
        <v>4086</v>
      </c>
      <c r="B4087">
        <v>166953960</v>
      </c>
      <c r="C4087">
        <v>166953960</v>
      </c>
    </row>
    <row r="4088" spans="1:3">
      <c r="A4088">
        <v>4087</v>
      </c>
      <c r="B4088">
        <v>167035690</v>
      </c>
      <c r="C4088">
        <v>167035690</v>
      </c>
    </row>
    <row r="4089" spans="1:3">
      <c r="A4089">
        <v>4088</v>
      </c>
      <c r="B4089">
        <v>167117440</v>
      </c>
      <c r="C4089">
        <v>167117440</v>
      </c>
    </row>
    <row r="4090" spans="1:3">
      <c r="A4090">
        <v>4089</v>
      </c>
      <c r="B4090">
        <v>167199210</v>
      </c>
      <c r="C4090">
        <v>167199210</v>
      </c>
    </row>
    <row r="4091" spans="1:3">
      <c r="A4091">
        <v>4090</v>
      </c>
      <c r="B4091">
        <v>167281000</v>
      </c>
      <c r="C4091">
        <v>167281000</v>
      </c>
    </row>
    <row r="4092" spans="1:3">
      <c r="A4092">
        <v>4091</v>
      </c>
      <c r="B4092">
        <v>167362810</v>
      </c>
      <c r="C4092">
        <v>167362810</v>
      </c>
    </row>
    <row r="4093" spans="1:3">
      <c r="A4093">
        <v>4092</v>
      </c>
      <c r="B4093">
        <v>167444640</v>
      </c>
      <c r="C4093">
        <v>167444640</v>
      </c>
    </row>
    <row r="4094" spans="1:3">
      <c r="A4094">
        <v>4093</v>
      </c>
      <c r="B4094">
        <v>167526490</v>
      </c>
      <c r="C4094">
        <v>167526490</v>
      </c>
    </row>
    <row r="4095" spans="1:3">
      <c r="A4095">
        <v>4094</v>
      </c>
      <c r="B4095">
        <v>167608360</v>
      </c>
      <c r="C4095">
        <v>167608360</v>
      </c>
    </row>
    <row r="4096" spans="1:3">
      <c r="A4096">
        <v>4095</v>
      </c>
      <c r="B4096">
        <v>167690250</v>
      </c>
      <c r="C4096">
        <v>167690250</v>
      </c>
    </row>
    <row r="4097" spans="1:3">
      <c r="A4097">
        <v>4096</v>
      </c>
      <c r="B4097">
        <v>167772160</v>
      </c>
      <c r="C4097">
        <v>167772160</v>
      </c>
    </row>
    <row r="4098" spans="1:3">
      <c r="A4098">
        <v>4097</v>
      </c>
      <c r="B4098">
        <v>167854090</v>
      </c>
      <c r="C4098">
        <v>167854090</v>
      </c>
    </row>
    <row r="4099" spans="1:3">
      <c r="A4099">
        <v>4098</v>
      </c>
      <c r="B4099">
        <v>167936040</v>
      </c>
      <c r="C4099">
        <v>167936040</v>
      </c>
    </row>
    <row r="4100" spans="1:3">
      <c r="A4100">
        <v>4099</v>
      </c>
      <c r="B4100">
        <v>168018010</v>
      </c>
      <c r="C4100">
        <v>168018010</v>
      </c>
    </row>
    <row r="4101" spans="1:3">
      <c r="A4101">
        <v>4100</v>
      </c>
      <c r="B4101">
        <v>168100000</v>
      </c>
      <c r="C4101">
        <v>168100000</v>
      </c>
    </row>
    <row r="4102" spans="1:3">
      <c r="A4102">
        <v>4101</v>
      </c>
      <c r="B4102">
        <v>168182010</v>
      </c>
      <c r="C4102">
        <v>168182010</v>
      </c>
    </row>
    <row r="4103" spans="1:3">
      <c r="A4103">
        <v>4102</v>
      </c>
      <c r="B4103">
        <v>168264040</v>
      </c>
      <c r="C4103">
        <v>168264040</v>
      </c>
    </row>
    <row r="4104" spans="1:3">
      <c r="A4104">
        <v>4103</v>
      </c>
      <c r="B4104">
        <v>168346090</v>
      </c>
      <c r="C4104">
        <v>168346090</v>
      </c>
    </row>
    <row r="4105" spans="1:3">
      <c r="A4105">
        <v>4104</v>
      </c>
      <c r="B4105">
        <v>168428160</v>
      </c>
      <c r="C4105">
        <v>168428160</v>
      </c>
    </row>
    <row r="4106" spans="1:3">
      <c r="A4106">
        <v>4105</v>
      </c>
      <c r="B4106">
        <v>168510250</v>
      </c>
      <c r="C4106">
        <v>168510250</v>
      </c>
    </row>
    <row r="4107" spans="1:3">
      <c r="A4107">
        <v>4106</v>
      </c>
      <c r="B4107">
        <v>168592360</v>
      </c>
      <c r="C4107">
        <v>168592360</v>
      </c>
    </row>
    <row r="4108" spans="1:3">
      <c r="A4108">
        <v>4107</v>
      </c>
      <c r="B4108">
        <v>168674490</v>
      </c>
      <c r="C4108">
        <v>168674490</v>
      </c>
    </row>
    <row r="4109" spans="1:3">
      <c r="A4109">
        <v>4108</v>
      </c>
      <c r="B4109">
        <v>168756640</v>
      </c>
      <c r="C4109">
        <v>168756640</v>
      </c>
    </row>
    <row r="4110" spans="1:3">
      <c r="A4110">
        <v>4109</v>
      </c>
      <c r="B4110">
        <v>168838810</v>
      </c>
      <c r="C4110">
        <v>168838810</v>
      </c>
    </row>
    <row r="4111" spans="1:3">
      <c r="A4111">
        <v>4110</v>
      </c>
      <c r="B4111">
        <v>168921000</v>
      </c>
      <c r="C4111">
        <v>168921000</v>
      </c>
    </row>
    <row r="4112" spans="1:3">
      <c r="A4112">
        <v>4111</v>
      </c>
      <c r="B4112">
        <v>169003210</v>
      </c>
      <c r="C4112">
        <v>169003210</v>
      </c>
    </row>
    <row r="4113" spans="1:3">
      <c r="A4113">
        <v>4112</v>
      </c>
      <c r="B4113">
        <v>169085440</v>
      </c>
      <c r="C4113">
        <v>169085440</v>
      </c>
    </row>
    <row r="4114" spans="1:3">
      <c r="A4114">
        <v>4113</v>
      </c>
      <c r="B4114">
        <v>169167690</v>
      </c>
      <c r="C4114">
        <v>169167690</v>
      </c>
    </row>
    <row r="4115" spans="1:3">
      <c r="A4115">
        <v>4114</v>
      </c>
      <c r="B4115">
        <v>169249960</v>
      </c>
      <c r="C4115">
        <v>169249960</v>
      </c>
    </row>
    <row r="4116" spans="1:3">
      <c r="A4116">
        <v>4115</v>
      </c>
      <c r="B4116">
        <v>169332250</v>
      </c>
      <c r="C4116">
        <v>169332250</v>
      </c>
    </row>
    <row r="4117" spans="1:3">
      <c r="A4117">
        <v>4116</v>
      </c>
      <c r="B4117">
        <v>169414560</v>
      </c>
      <c r="C4117">
        <v>169414560</v>
      </c>
    </row>
    <row r="4118" spans="1:3">
      <c r="A4118">
        <v>4117</v>
      </c>
      <c r="B4118">
        <v>169496890</v>
      </c>
      <c r="C4118">
        <v>169496890</v>
      </c>
    </row>
    <row r="4119" spans="1:3">
      <c r="A4119">
        <v>4118</v>
      </c>
      <c r="B4119">
        <v>169579240</v>
      </c>
      <c r="C4119">
        <v>169579240</v>
      </c>
    </row>
    <row r="4120" spans="1:3">
      <c r="A4120">
        <v>4119</v>
      </c>
      <c r="B4120">
        <v>169661610</v>
      </c>
      <c r="C4120">
        <v>169661610</v>
      </c>
    </row>
    <row r="4121" spans="1:3">
      <c r="A4121">
        <v>4120</v>
      </c>
      <c r="B4121">
        <v>169744000</v>
      </c>
      <c r="C4121">
        <v>169744000</v>
      </c>
    </row>
    <row r="4122" spans="1:3">
      <c r="A4122">
        <v>4121</v>
      </c>
      <c r="B4122">
        <v>169826410</v>
      </c>
      <c r="C4122">
        <v>169826410</v>
      </c>
    </row>
    <row r="4123" spans="1:3">
      <c r="A4123">
        <v>4122</v>
      </c>
      <c r="B4123">
        <v>169908840</v>
      </c>
      <c r="C4123">
        <v>169908840</v>
      </c>
    </row>
    <row r="4124" spans="1:3">
      <c r="A4124">
        <v>4123</v>
      </c>
      <c r="B4124">
        <v>169991290</v>
      </c>
      <c r="C4124">
        <v>169991290</v>
      </c>
    </row>
    <row r="4125" spans="1:3">
      <c r="A4125">
        <v>4124</v>
      </c>
      <c r="B4125">
        <v>170073760</v>
      </c>
      <c r="C4125">
        <v>170073760</v>
      </c>
    </row>
    <row r="4126" spans="1:3">
      <c r="A4126">
        <v>4125</v>
      </c>
      <c r="B4126">
        <v>170156250</v>
      </c>
      <c r="C4126">
        <v>170156250</v>
      </c>
    </row>
    <row r="4127" spans="1:3">
      <c r="A4127">
        <v>4126</v>
      </c>
      <c r="B4127">
        <v>170238760</v>
      </c>
      <c r="C4127">
        <v>170238760</v>
      </c>
    </row>
    <row r="4128" spans="1:3">
      <c r="A4128">
        <v>4127</v>
      </c>
      <c r="B4128">
        <v>170321290</v>
      </c>
      <c r="C4128">
        <v>170321290</v>
      </c>
    </row>
    <row r="4129" spans="1:3">
      <c r="A4129">
        <v>4128</v>
      </c>
      <c r="B4129">
        <v>170403840</v>
      </c>
      <c r="C4129">
        <v>170403840</v>
      </c>
    </row>
    <row r="4130" spans="1:3">
      <c r="A4130">
        <v>4129</v>
      </c>
      <c r="B4130">
        <v>170486410</v>
      </c>
      <c r="C4130">
        <v>170486410</v>
      </c>
    </row>
    <row r="4131" spans="1:3">
      <c r="A4131">
        <v>4130</v>
      </c>
      <c r="B4131">
        <v>170569000</v>
      </c>
      <c r="C4131">
        <v>170569000</v>
      </c>
    </row>
    <row r="4132" spans="1:3">
      <c r="A4132">
        <v>4131</v>
      </c>
      <c r="B4132">
        <v>170651610</v>
      </c>
      <c r="C4132">
        <v>170651610</v>
      </c>
    </row>
    <row r="4133" spans="1:3">
      <c r="A4133">
        <v>4132</v>
      </c>
      <c r="B4133">
        <v>170734240</v>
      </c>
      <c r="C4133">
        <v>170734240</v>
      </c>
    </row>
    <row r="4134" spans="1:3">
      <c r="A4134">
        <v>4133</v>
      </c>
      <c r="B4134">
        <v>170816890</v>
      </c>
      <c r="C4134">
        <v>170816890</v>
      </c>
    </row>
    <row r="4135" spans="1:3">
      <c r="A4135">
        <v>4134</v>
      </c>
      <c r="B4135">
        <v>170899560</v>
      </c>
      <c r="C4135">
        <v>170899560</v>
      </c>
    </row>
    <row r="4136" spans="1:3">
      <c r="A4136">
        <v>4135</v>
      </c>
      <c r="B4136">
        <v>170982250</v>
      </c>
      <c r="C4136">
        <v>170982250</v>
      </c>
    </row>
    <row r="4137" spans="1:3">
      <c r="A4137">
        <v>4136</v>
      </c>
      <c r="B4137">
        <v>171064960</v>
      </c>
      <c r="C4137">
        <v>171064960</v>
      </c>
    </row>
    <row r="4138" spans="1:3">
      <c r="A4138">
        <v>4137</v>
      </c>
      <c r="B4138">
        <v>171147690</v>
      </c>
      <c r="C4138">
        <v>171147690</v>
      </c>
    </row>
    <row r="4139" spans="1:3">
      <c r="A4139">
        <v>4138</v>
      </c>
      <c r="B4139">
        <v>171230440</v>
      </c>
      <c r="C4139">
        <v>171230440</v>
      </c>
    </row>
    <row r="4140" spans="1:3">
      <c r="A4140">
        <v>4139</v>
      </c>
      <c r="B4140">
        <v>171313210</v>
      </c>
      <c r="C4140">
        <v>171313210</v>
      </c>
    </row>
    <row r="4141" spans="1:3">
      <c r="A4141">
        <v>4140</v>
      </c>
      <c r="B4141">
        <v>171396000</v>
      </c>
      <c r="C4141">
        <v>171396000</v>
      </c>
    </row>
    <row r="4142" spans="1:3">
      <c r="A4142">
        <v>4141</v>
      </c>
      <c r="B4142">
        <v>171478810</v>
      </c>
      <c r="C4142">
        <v>171478810</v>
      </c>
    </row>
    <row r="4143" spans="1:3">
      <c r="A4143">
        <v>4142</v>
      </c>
      <c r="B4143">
        <v>171561640</v>
      </c>
      <c r="C4143">
        <v>171561640</v>
      </c>
    </row>
    <row r="4144" spans="1:3">
      <c r="A4144">
        <v>4143</v>
      </c>
      <c r="B4144">
        <v>171644490</v>
      </c>
      <c r="C4144">
        <v>171644490</v>
      </c>
    </row>
    <row r="4145" spans="1:3">
      <c r="A4145">
        <v>4144</v>
      </c>
      <c r="B4145">
        <v>171727360</v>
      </c>
      <c r="C4145">
        <v>171727360</v>
      </c>
    </row>
    <row r="4146" spans="1:3">
      <c r="A4146">
        <v>4145</v>
      </c>
      <c r="B4146">
        <v>171810250</v>
      </c>
      <c r="C4146">
        <v>171810250</v>
      </c>
    </row>
    <row r="4147" spans="1:3">
      <c r="A4147">
        <v>4146</v>
      </c>
      <c r="B4147">
        <v>171893160</v>
      </c>
      <c r="C4147">
        <v>171893160</v>
      </c>
    </row>
    <row r="4148" spans="1:3">
      <c r="A4148">
        <v>4147</v>
      </c>
      <c r="B4148">
        <v>171976090</v>
      </c>
      <c r="C4148">
        <v>171976090</v>
      </c>
    </row>
    <row r="4149" spans="1:3">
      <c r="A4149">
        <v>4148</v>
      </c>
      <c r="B4149">
        <v>172059040</v>
      </c>
      <c r="C4149">
        <v>172059040</v>
      </c>
    </row>
    <row r="4150" spans="1:3">
      <c r="A4150">
        <v>4149</v>
      </c>
      <c r="B4150">
        <v>172142010</v>
      </c>
      <c r="C4150">
        <v>172142010</v>
      </c>
    </row>
    <row r="4151" spans="1:3">
      <c r="A4151">
        <v>4150</v>
      </c>
      <c r="B4151">
        <v>172225000</v>
      </c>
      <c r="C4151">
        <v>172225000</v>
      </c>
    </row>
    <row r="4152" spans="1:3">
      <c r="A4152">
        <v>4151</v>
      </c>
      <c r="B4152">
        <v>172308010</v>
      </c>
      <c r="C4152">
        <v>172308010</v>
      </c>
    </row>
    <row r="4153" spans="1:3">
      <c r="A4153">
        <v>4152</v>
      </c>
      <c r="B4153">
        <v>172391040</v>
      </c>
      <c r="C4153">
        <v>172391040</v>
      </c>
    </row>
    <row r="4154" spans="1:3">
      <c r="A4154">
        <v>4153</v>
      </c>
      <c r="B4154">
        <v>172474090</v>
      </c>
      <c r="C4154">
        <v>172474090</v>
      </c>
    </row>
    <row r="4155" spans="1:3">
      <c r="A4155">
        <v>4154</v>
      </c>
      <c r="B4155">
        <v>172557160</v>
      </c>
      <c r="C4155">
        <v>172557160</v>
      </c>
    </row>
    <row r="4156" spans="1:3">
      <c r="A4156">
        <v>4155</v>
      </c>
      <c r="B4156">
        <v>172640250</v>
      </c>
      <c r="C4156">
        <v>172640250</v>
      </c>
    </row>
    <row r="4157" spans="1:3">
      <c r="A4157">
        <v>4156</v>
      </c>
      <c r="B4157">
        <v>172723360</v>
      </c>
      <c r="C4157">
        <v>172723360</v>
      </c>
    </row>
    <row r="4158" spans="1:3">
      <c r="A4158">
        <v>4157</v>
      </c>
      <c r="B4158">
        <v>172806490</v>
      </c>
      <c r="C4158">
        <v>172806490</v>
      </c>
    </row>
    <row r="4159" spans="1:3">
      <c r="A4159">
        <v>4158</v>
      </c>
      <c r="B4159">
        <v>172889640</v>
      </c>
      <c r="C4159">
        <v>172889640</v>
      </c>
    </row>
    <row r="4160" spans="1:3">
      <c r="A4160">
        <v>4159</v>
      </c>
      <c r="B4160">
        <v>172972810</v>
      </c>
      <c r="C4160">
        <v>172972810</v>
      </c>
    </row>
    <row r="4161" spans="1:3">
      <c r="A4161">
        <v>4160</v>
      </c>
      <c r="B4161">
        <v>173056000</v>
      </c>
      <c r="C4161">
        <v>173056000</v>
      </c>
    </row>
    <row r="4162" spans="1:3">
      <c r="A4162">
        <v>4161</v>
      </c>
      <c r="B4162">
        <v>173139210</v>
      </c>
      <c r="C4162">
        <v>173139210</v>
      </c>
    </row>
    <row r="4163" spans="1:3">
      <c r="A4163">
        <v>4162</v>
      </c>
      <c r="B4163">
        <v>173222440</v>
      </c>
      <c r="C4163">
        <v>173222440</v>
      </c>
    </row>
    <row r="4164" spans="1:3">
      <c r="A4164">
        <v>4163</v>
      </c>
      <c r="B4164">
        <v>173305690</v>
      </c>
      <c r="C4164">
        <v>173305690</v>
      </c>
    </row>
    <row r="4165" spans="1:3">
      <c r="A4165">
        <v>4164</v>
      </c>
      <c r="B4165">
        <v>173388960</v>
      </c>
      <c r="C4165">
        <v>173388960</v>
      </c>
    </row>
    <row r="4166" spans="1:3">
      <c r="A4166">
        <v>4165</v>
      </c>
      <c r="B4166">
        <v>173472250</v>
      </c>
      <c r="C4166">
        <v>173472250</v>
      </c>
    </row>
    <row r="4167" spans="1:3">
      <c r="A4167">
        <v>4166</v>
      </c>
      <c r="B4167">
        <v>173555560</v>
      </c>
      <c r="C4167">
        <v>173555560</v>
      </c>
    </row>
    <row r="4168" spans="1:3">
      <c r="A4168">
        <v>4167</v>
      </c>
      <c r="B4168">
        <v>173638890</v>
      </c>
      <c r="C4168">
        <v>173638890</v>
      </c>
    </row>
    <row r="4169" spans="1:3">
      <c r="A4169">
        <v>4168</v>
      </c>
      <c r="B4169">
        <v>173722240</v>
      </c>
      <c r="C4169">
        <v>173722240</v>
      </c>
    </row>
    <row r="4170" spans="1:3">
      <c r="A4170">
        <v>4169</v>
      </c>
      <c r="B4170">
        <v>173805610</v>
      </c>
      <c r="C4170">
        <v>173805610</v>
      </c>
    </row>
    <row r="4171" spans="1:3">
      <c r="A4171">
        <v>4170</v>
      </c>
      <c r="B4171">
        <v>173889000</v>
      </c>
      <c r="C4171">
        <v>173889000</v>
      </c>
    </row>
    <row r="4172" spans="1:3">
      <c r="A4172">
        <v>4171</v>
      </c>
      <c r="B4172">
        <v>173972410</v>
      </c>
      <c r="C4172">
        <v>173972410</v>
      </c>
    </row>
    <row r="4173" spans="1:3">
      <c r="A4173">
        <v>4172</v>
      </c>
      <c r="B4173">
        <v>174055840</v>
      </c>
      <c r="C4173">
        <v>174055840</v>
      </c>
    </row>
    <row r="4174" spans="1:3">
      <c r="A4174">
        <v>4173</v>
      </c>
      <c r="B4174">
        <v>174139290</v>
      </c>
      <c r="C4174">
        <v>174139290</v>
      </c>
    </row>
    <row r="4175" spans="1:3">
      <c r="A4175">
        <v>4174</v>
      </c>
      <c r="B4175">
        <v>174222760</v>
      </c>
      <c r="C4175">
        <v>174222760</v>
      </c>
    </row>
    <row r="4176" spans="1:3">
      <c r="A4176">
        <v>4175</v>
      </c>
      <c r="B4176">
        <v>174306250</v>
      </c>
      <c r="C4176">
        <v>174306250</v>
      </c>
    </row>
    <row r="4177" spans="1:3">
      <c r="A4177">
        <v>4176</v>
      </c>
      <c r="B4177">
        <v>174389760</v>
      </c>
      <c r="C4177">
        <v>174389760</v>
      </c>
    </row>
    <row r="4178" spans="1:3">
      <c r="A4178">
        <v>4177</v>
      </c>
      <c r="B4178">
        <v>174473290</v>
      </c>
      <c r="C4178">
        <v>174473290</v>
      </c>
    </row>
    <row r="4179" spans="1:3">
      <c r="A4179">
        <v>4178</v>
      </c>
      <c r="B4179">
        <v>174556840</v>
      </c>
      <c r="C4179">
        <v>174556840</v>
      </c>
    </row>
    <row r="4180" spans="1:3">
      <c r="A4180">
        <v>4179</v>
      </c>
      <c r="B4180">
        <v>174640410</v>
      </c>
      <c r="C4180">
        <v>174640410</v>
      </c>
    </row>
    <row r="4181" spans="1:3">
      <c r="A4181">
        <v>4180</v>
      </c>
      <c r="B4181">
        <v>174724000</v>
      </c>
      <c r="C4181">
        <v>174724000</v>
      </c>
    </row>
    <row r="4182" spans="1:3">
      <c r="A4182">
        <v>4181</v>
      </c>
      <c r="B4182">
        <v>174807610</v>
      </c>
      <c r="C4182">
        <v>174807610</v>
      </c>
    </row>
    <row r="4183" spans="1:3">
      <c r="A4183">
        <v>4182</v>
      </c>
      <c r="B4183">
        <v>174891240</v>
      </c>
      <c r="C4183">
        <v>174891240</v>
      </c>
    </row>
    <row r="4184" spans="1:3">
      <c r="A4184">
        <v>4183</v>
      </c>
      <c r="B4184">
        <v>174974890</v>
      </c>
      <c r="C4184">
        <v>174974890</v>
      </c>
    </row>
    <row r="4185" spans="1:3">
      <c r="A4185">
        <v>4184</v>
      </c>
      <c r="B4185">
        <v>175058560</v>
      </c>
      <c r="C4185">
        <v>175058560</v>
      </c>
    </row>
    <row r="4186" spans="1:3">
      <c r="A4186">
        <v>4185</v>
      </c>
      <c r="B4186">
        <v>175142250</v>
      </c>
      <c r="C4186">
        <v>175142250</v>
      </c>
    </row>
    <row r="4187" spans="1:3">
      <c r="A4187">
        <v>4186</v>
      </c>
      <c r="B4187">
        <v>175225960</v>
      </c>
      <c r="C4187">
        <v>175225960</v>
      </c>
    </row>
    <row r="4188" spans="1:3">
      <c r="A4188">
        <v>4187</v>
      </c>
      <c r="B4188">
        <v>175309690</v>
      </c>
      <c r="C4188">
        <v>175309690</v>
      </c>
    </row>
    <row r="4189" spans="1:3">
      <c r="A4189">
        <v>4188</v>
      </c>
      <c r="B4189">
        <v>175393440</v>
      </c>
      <c r="C4189">
        <v>175393440</v>
      </c>
    </row>
    <row r="4190" spans="1:3">
      <c r="A4190">
        <v>4189</v>
      </c>
      <c r="B4190">
        <v>175477210</v>
      </c>
      <c r="C4190">
        <v>175477210</v>
      </c>
    </row>
    <row r="4191" spans="1:3">
      <c r="A4191">
        <v>4190</v>
      </c>
      <c r="B4191">
        <v>175561000</v>
      </c>
      <c r="C4191">
        <v>175561000</v>
      </c>
    </row>
    <row r="4192" spans="1:3">
      <c r="A4192">
        <v>4191</v>
      </c>
      <c r="B4192">
        <v>175644810</v>
      </c>
      <c r="C4192">
        <v>175644810</v>
      </c>
    </row>
    <row r="4193" spans="1:3">
      <c r="A4193">
        <v>4192</v>
      </c>
      <c r="B4193">
        <v>175728640</v>
      </c>
      <c r="C4193">
        <v>175728640</v>
      </c>
    </row>
    <row r="4194" spans="1:3">
      <c r="A4194">
        <v>4193</v>
      </c>
      <c r="B4194">
        <v>175812490</v>
      </c>
      <c r="C4194">
        <v>175812490</v>
      </c>
    </row>
    <row r="4195" spans="1:3">
      <c r="A4195">
        <v>4194</v>
      </c>
      <c r="B4195">
        <v>175896360</v>
      </c>
      <c r="C4195">
        <v>175896360</v>
      </c>
    </row>
    <row r="4196" spans="1:3">
      <c r="A4196">
        <v>4195</v>
      </c>
      <c r="B4196">
        <v>175980250</v>
      </c>
      <c r="C4196">
        <v>175980250</v>
      </c>
    </row>
    <row r="4197" spans="1:3">
      <c r="A4197">
        <v>4196</v>
      </c>
      <c r="B4197">
        <v>176064160</v>
      </c>
      <c r="C4197">
        <v>176064160</v>
      </c>
    </row>
    <row r="4198" spans="1:3">
      <c r="A4198">
        <v>4197</v>
      </c>
      <c r="B4198">
        <v>176148090</v>
      </c>
      <c r="C4198">
        <v>176148090</v>
      </c>
    </row>
    <row r="4199" spans="1:3">
      <c r="A4199">
        <v>4198</v>
      </c>
      <c r="B4199">
        <v>176232040</v>
      </c>
      <c r="C4199">
        <v>176232040</v>
      </c>
    </row>
    <row r="4200" spans="1:3">
      <c r="A4200">
        <v>4199</v>
      </c>
      <c r="B4200">
        <v>176316010</v>
      </c>
      <c r="C4200">
        <v>176316010</v>
      </c>
    </row>
    <row r="4201" spans="1:3">
      <c r="A4201">
        <v>4200</v>
      </c>
      <c r="B4201">
        <v>176400000</v>
      </c>
      <c r="C4201">
        <v>176400000</v>
      </c>
    </row>
    <row r="4202" spans="1:3">
      <c r="A4202">
        <v>4201</v>
      </c>
      <c r="B4202">
        <v>176484010</v>
      </c>
      <c r="C4202">
        <v>176484010</v>
      </c>
    </row>
    <row r="4203" spans="1:3">
      <c r="A4203">
        <v>4202</v>
      </c>
      <c r="B4203">
        <v>176568040</v>
      </c>
      <c r="C4203">
        <v>176568040</v>
      </c>
    </row>
    <row r="4204" spans="1:3">
      <c r="A4204">
        <v>4203</v>
      </c>
      <c r="B4204">
        <v>176652090</v>
      </c>
      <c r="C4204">
        <v>176652090</v>
      </c>
    </row>
    <row r="4205" spans="1:3">
      <c r="A4205">
        <v>4204</v>
      </c>
      <c r="B4205">
        <v>176736160</v>
      </c>
      <c r="C4205">
        <v>176736160</v>
      </c>
    </row>
    <row r="4206" spans="1:3">
      <c r="A4206">
        <v>4205</v>
      </c>
      <c r="B4206">
        <v>176820250</v>
      </c>
      <c r="C4206">
        <v>176820250</v>
      </c>
    </row>
    <row r="4207" spans="1:3">
      <c r="A4207">
        <v>4206</v>
      </c>
      <c r="B4207">
        <v>176904360</v>
      </c>
      <c r="C4207">
        <v>176904360</v>
      </c>
    </row>
    <row r="4208" spans="1:3">
      <c r="A4208">
        <v>4207</v>
      </c>
      <c r="B4208">
        <v>176988490</v>
      </c>
      <c r="C4208">
        <v>176988490</v>
      </c>
    </row>
    <row r="4209" spans="1:3">
      <c r="A4209">
        <v>4208</v>
      </c>
      <c r="B4209">
        <v>177072640</v>
      </c>
      <c r="C4209">
        <v>177072640</v>
      </c>
    </row>
    <row r="4210" spans="1:3">
      <c r="A4210">
        <v>4209</v>
      </c>
      <c r="B4210">
        <v>177156810</v>
      </c>
      <c r="C4210">
        <v>177156810</v>
      </c>
    </row>
    <row r="4211" spans="1:3">
      <c r="A4211">
        <v>4210</v>
      </c>
      <c r="B4211">
        <v>177241000</v>
      </c>
      <c r="C4211">
        <v>177241000</v>
      </c>
    </row>
    <row r="4212" spans="1:3">
      <c r="A4212">
        <v>4211</v>
      </c>
      <c r="B4212">
        <v>177325210</v>
      </c>
      <c r="C4212">
        <v>177325210</v>
      </c>
    </row>
    <row r="4213" spans="1:3">
      <c r="A4213">
        <v>4212</v>
      </c>
      <c r="B4213">
        <v>177409440</v>
      </c>
      <c r="C4213">
        <v>177409440</v>
      </c>
    </row>
    <row r="4214" spans="1:3">
      <c r="A4214">
        <v>4213</v>
      </c>
      <c r="B4214">
        <v>177493690</v>
      </c>
      <c r="C4214">
        <v>177493690</v>
      </c>
    </row>
    <row r="4215" spans="1:3">
      <c r="A4215">
        <v>4214</v>
      </c>
      <c r="B4215">
        <v>177577960</v>
      </c>
      <c r="C4215">
        <v>177577960</v>
      </c>
    </row>
    <row r="4216" spans="1:3">
      <c r="A4216">
        <v>4215</v>
      </c>
      <c r="B4216">
        <v>177662250</v>
      </c>
      <c r="C4216">
        <v>177662250</v>
      </c>
    </row>
    <row r="4217" spans="1:3">
      <c r="A4217">
        <v>4216</v>
      </c>
      <c r="B4217">
        <v>177746560</v>
      </c>
      <c r="C4217">
        <v>177746560</v>
      </c>
    </row>
    <row r="4218" spans="1:3">
      <c r="A4218">
        <v>4217</v>
      </c>
      <c r="B4218">
        <v>177830890</v>
      </c>
      <c r="C4218">
        <v>177830890</v>
      </c>
    </row>
    <row r="4219" spans="1:3">
      <c r="A4219">
        <v>4218</v>
      </c>
      <c r="B4219">
        <v>177915240</v>
      </c>
      <c r="C4219">
        <v>177915240</v>
      </c>
    </row>
    <row r="4220" spans="1:3">
      <c r="A4220">
        <v>4219</v>
      </c>
      <c r="B4220">
        <v>177999610</v>
      </c>
      <c r="C4220">
        <v>177999610</v>
      </c>
    </row>
    <row r="4221" spans="1:3">
      <c r="A4221">
        <v>4220</v>
      </c>
      <c r="B4221">
        <v>178084000</v>
      </c>
      <c r="C4221">
        <v>178084000</v>
      </c>
    </row>
    <row r="4222" spans="1:3">
      <c r="A4222">
        <v>4221</v>
      </c>
      <c r="B4222">
        <v>178168410</v>
      </c>
      <c r="C4222">
        <v>178168410</v>
      </c>
    </row>
    <row r="4223" spans="1:3">
      <c r="A4223">
        <v>4222</v>
      </c>
      <c r="B4223">
        <v>178252840</v>
      </c>
      <c r="C4223">
        <v>178252840</v>
      </c>
    </row>
    <row r="4224" spans="1:3">
      <c r="A4224">
        <v>4223</v>
      </c>
      <c r="B4224">
        <v>178337290</v>
      </c>
      <c r="C4224">
        <v>178337290</v>
      </c>
    </row>
    <row r="4225" spans="1:3">
      <c r="A4225">
        <v>4224</v>
      </c>
      <c r="B4225">
        <v>178421760</v>
      </c>
      <c r="C4225">
        <v>178421760</v>
      </c>
    </row>
    <row r="4226" spans="1:3">
      <c r="A4226">
        <v>4225</v>
      </c>
      <c r="B4226">
        <v>178506250</v>
      </c>
      <c r="C4226">
        <v>178506250</v>
      </c>
    </row>
    <row r="4227" spans="1:3">
      <c r="A4227">
        <v>4226</v>
      </c>
      <c r="B4227">
        <v>178590760</v>
      </c>
      <c r="C4227">
        <v>178590760</v>
      </c>
    </row>
    <row r="4228" spans="1:3">
      <c r="A4228">
        <v>4227</v>
      </c>
      <c r="B4228">
        <v>178675290</v>
      </c>
      <c r="C4228">
        <v>178675290</v>
      </c>
    </row>
    <row r="4229" spans="1:3">
      <c r="A4229">
        <v>4228</v>
      </c>
      <c r="B4229">
        <v>178759840</v>
      </c>
      <c r="C4229">
        <v>178759840</v>
      </c>
    </row>
    <row r="4230" spans="1:3">
      <c r="A4230">
        <v>4229</v>
      </c>
      <c r="B4230">
        <v>178844410</v>
      </c>
      <c r="C4230">
        <v>178844410</v>
      </c>
    </row>
    <row r="4231" spans="1:3">
      <c r="A4231">
        <v>4230</v>
      </c>
      <c r="B4231">
        <v>178929000</v>
      </c>
      <c r="C4231">
        <v>178929000</v>
      </c>
    </row>
    <row r="4232" spans="1:3">
      <c r="A4232">
        <v>4231</v>
      </c>
      <c r="B4232">
        <v>179013610</v>
      </c>
      <c r="C4232">
        <v>179013610</v>
      </c>
    </row>
    <row r="4233" spans="1:3">
      <c r="A4233">
        <v>4232</v>
      </c>
      <c r="B4233">
        <v>179098240</v>
      </c>
      <c r="C4233">
        <v>179098240</v>
      </c>
    </row>
    <row r="4234" spans="1:3">
      <c r="A4234">
        <v>4233</v>
      </c>
      <c r="B4234">
        <v>179182890</v>
      </c>
      <c r="C4234">
        <v>179182890</v>
      </c>
    </row>
    <row r="4235" spans="1:3">
      <c r="A4235">
        <v>4234</v>
      </c>
      <c r="B4235">
        <v>179267560</v>
      </c>
      <c r="C4235">
        <v>179267560</v>
      </c>
    </row>
    <row r="4236" spans="1:3">
      <c r="A4236">
        <v>4235</v>
      </c>
      <c r="B4236">
        <v>179352250</v>
      </c>
      <c r="C4236">
        <v>179352250</v>
      </c>
    </row>
    <row r="4237" spans="1:3">
      <c r="A4237">
        <v>4236</v>
      </c>
      <c r="B4237">
        <v>179436960</v>
      </c>
      <c r="C4237">
        <v>179436960</v>
      </c>
    </row>
    <row r="4238" spans="1:3">
      <c r="A4238">
        <v>4237</v>
      </c>
      <c r="B4238">
        <v>179521690</v>
      </c>
      <c r="C4238">
        <v>179521690</v>
      </c>
    </row>
    <row r="4239" spans="1:3">
      <c r="A4239">
        <v>4238</v>
      </c>
      <c r="B4239">
        <v>179606440</v>
      </c>
      <c r="C4239">
        <v>179606440</v>
      </c>
    </row>
    <row r="4240" spans="1:3">
      <c r="A4240">
        <v>4239</v>
      </c>
      <c r="B4240">
        <v>179691210</v>
      </c>
      <c r="C4240">
        <v>179691210</v>
      </c>
    </row>
    <row r="4241" spans="1:3">
      <c r="A4241">
        <v>4240</v>
      </c>
      <c r="B4241">
        <v>179776000</v>
      </c>
      <c r="C4241">
        <v>179776000</v>
      </c>
    </row>
    <row r="4242" spans="1:3">
      <c r="A4242">
        <v>4241</v>
      </c>
      <c r="B4242">
        <v>179860810</v>
      </c>
      <c r="C4242">
        <v>179860810</v>
      </c>
    </row>
    <row r="4243" spans="1:3">
      <c r="A4243">
        <v>4242</v>
      </c>
      <c r="B4243">
        <v>179945640</v>
      </c>
      <c r="C4243">
        <v>179945640</v>
      </c>
    </row>
    <row r="4244" spans="1:3">
      <c r="A4244">
        <v>4243</v>
      </c>
      <c r="B4244">
        <v>180030490</v>
      </c>
      <c r="C4244">
        <v>180030490</v>
      </c>
    </row>
    <row r="4245" spans="1:3">
      <c r="A4245">
        <v>4244</v>
      </c>
      <c r="B4245">
        <v>180115360</v>
      </c>
      <c r="C4245">
        <v>180115360</v>
      </c>
    </row>
    <row r="4246" spans="1:3">
      <c r="A4246">
        <v>4245</v>
      </c>
      <c r="B4246">
        <v>180200250</v>
      </c>
      <c r="C4246">
        <v>180200250</v>
      </c>
    </row>
    <row r="4247" spans="1:3">
      <c r="A4247">
        <v>4246</v>
      </c>
      <c r="B4247">
        <v>180285160</v>
      </c>
      <c r="C4247">
        <v>180285160</v>
      </c>
    </row>
    <row r="4248" spans="1:3">
      <c r="A4248">
        <v>4247</v>
      </c>
      <c r="B4248">
        <v>180370090</v>
      </c>
      <c r="C4248">
        <v>180370090</v>
      </c>
    </row>
    <row r="4249" spans="1:3">
      <c r="A4249">
        <v>4248</v>
      </c>
      <c r="B4249">
        <v>180455040</v>
      </c>
      <c r="C4249">
        <v>180455040</v>
      </c>
    </row>
    <row r="4250" spans="1:3">
      <c r="A4250">
        <v>4249</v>
      </c>
      <c r="B4250">
        <v>180540010</v>
      </c>
      <c r="C4250">
        <v>180540010</v>
      </c>
    </row>
    <row r="4251" spans="1:3">
      <c r="A4251">
        <v>4250</v>
      </c>
      <c r="B4251">
        <v>180625000</v>
      </c>
      <c r="C4251">
        <v>180625000</v>
      </c>
    </row>
    <row r="4252" spans="1:3">
      <c r="A4252">
        <v>4251</v>
      </c>
      <c r="B4252">
        <v>180710010</v>
      </c>
      <c r="C4252">
        <v>180710010</v>
      </c>
    </row>
    <row r="4253" spans="1:3">
      <c r="A4253">
        <v>4252</v>
      </c>
      <c r="B4253">
        <v>180795040</v>
      </c>
      <c r="C4253">
        <v>180795040</v>
      </c>
    </row>
    <row r="4254" spans="1:3">
      <c r="A4254">
        <v>4253</v>
      </c>
      <c r="B4254">
        <v>180880090</v>
      </c>
      <c r="C4254">
        <v>180880090</v>
      </c>
    </row>
    <row r="4255" spans="1:3">
      <c r="A4255">
        <v>4254</v>
      </c>
      <c r="B4255">
        <v>180965160</v>
      </c>
      <c r="C4255">
        <v>180965160</v>
      </c>
    </row>
    <row r="4256" spans="1:3">
      <c r="A4256">
        <v>4255</v>
      </c>
      <c r="B4256">
        <v>181050250</v>
      </c>
      <c r="C4256">
        <v>181050250</v>
      </c>
    </row>
    <row r="4257" spans="1:3">
      <c r="A4257">
        <v>4256</v>
      </c>
      <c r="B4257">
        <v>181135360</v>
      </c>
      <c r="C4257">
        <v>181135360</v>
      </c>
    </row>
    <row r="4258" spans="1:3">
      <c r="A4258">
        <v>4257</v>
      </c>
      <c r="B4258">
        <v>181220490</v>
      </c>
      <c r="C4258">
        <v>181220490</v>
      </c>
    </row>
    <row r="4259" spans="1:3">
      <c r="A4259">
        <v>4258</v>
      </c>
      <c r="B4259">
        <v>181305640</v>
      </c>
      <c r="C4259">
        <v>181305640</v>
      </c>
    </row>
    <row r="4260" spans="1:3">
      <c r="A4260">
        <v>4259</v>
      </c>
      <c r="B4260">
        <v>181390810</v>
      </c>
      <c r="C4260">
        <v>181390810</v>
      </c>
    </row>
    <row r="4261" spans="1:3">
      <c r="A4261">
        <v>4260</v>
      </c>
      <c r="B4261">
        <v>181476000</v>
      </c>
      <c r="C4261">
        <v>181476000</v>
      </c>
    </row>
    <row r="4262" spans="1:3">
      <c r="A4262">
        <v>4261</v>
      </c>
      <c r="B4262">
        <v>181561210</v>
      </c>
      <c r="C4262">
        <v>181561210</v>
      </c>
    </row>
    <row r="4263" spans="1:3">
      <c r="A4263">
        <v>4262</v>
      </c>
      <c r="B4263">
        <v>181646440</v>
      </c>
      <c r="C4263">
        <v>181646440</v>
      </c>
    </row>
    <row r="4264" spans="1:3">
      <c r="A4264">
        <v>4263</v>
      </c>
      <c r="B4264">
        <v>181731690</v>
      </c>
      <c r="C4264">
        <v>181731690</v>
      </c>
    </row>
    <row r="4265" spans="1:3">
      <c r="A4265">
        <v>4264</v>
      </c>
      <c r="B4265">
        <v>181816960</v>
      </c>
      <c r="C4265">
        <v>181816960</v>
      </c>
    </row>
    <row r="4266" spans="1:3">
      <c r="A4266">
        <v>4265</v>
      </c>
      <c r="B4266">
        <v>181902250</v>
      </c>
      <c r="C4266">
        <v>181902250</v>
      </c>
    </row>
    <row r="4267" spans="1:3">
      <c r="A4267">
        <v>4266</v>
      </c>
      <c r="B4267">
        <v>181987560</v>
      </c>
      <c r="C4267">
        <v>181987560</v>
      </c>
    </row>
    <row r="4268" spans="1:3">
      <c r="A4268">
        <v>4267</v>
      </c>
      <c r="B4268">
        <v>182072890</v>
      </c>
      <c r="C4268">
        <v>182072890</v>
      </c>
    </row>
    <row r="4269" spans="1:3">
      <c r="A4269">
        <v>4268</v>
      </c>
      <c r="B4269">
        <v>182158240</v>
      </c>
      <c r="C4269">
        <v>182158240</v>
      </c>
    </row>
    <row r="4270" spans="1:3">
      <c r="A4270">
        <v>4269</v>
      </c>
      <c r="B4270">
        <v>182243610</v>
      </c>
      <c r="C4270">
        <v>182243610</v>
      </c>
    </row>
    <row r="4271" spans="1:3">
      <c r="A4271">
        <v>4270</v>
      </c>
      <c r="B4271">
        <v>182329000</v>
      </c>
      <c r="C4271">
        <v>182329000</v>
      </c>
    </row>
    <row r="4272" spans="1:3">
      <c r="A4272">
        <v>4271</v>
      </c>
      <c r="B4272">
        <v>182414410</v>
      </c>
      <c r="C4272">
        <v>182414410</v>
      </c>
    </row>
    <row r="4273" spans="1:3">
      <c r="A4273">
        <v>4272</v>
      </c>
      <c r="B4273">
        <v>182499840</v>
      </c>
      <c r="C4273">
        <v>182499840</v>
      </c>
    </row>
    <row r="4274" spans="1:3">
      <c r="A4274">
        <v>4273</v>
      </c>
      <c r="B4274">
        <v>182585290</v>
      </c>
      <c r="C4274">
        <v>182585290</v>
      </c>
    </row>
    <row r="4275" spans="1:3">
      <c r="A4275">
        <v>4274</v>
      </c>
      <c r="B4275">
        <v>182670760</v>
      </c>
      <c r="C4275">
        <v>182670760</v>
      </c>
    </row>
    <row r="4276" spans="1:3">
      <c r="A4276">
        <v>4275</v>
      </c>
      <c r="B4276">
        <v>182756250</v>
      </c>
      <c r="C4276">
        <v>182756250</v>
      </c>
    </row>
    <row r="4277" spans="1:3">
      <c r="A4277">
        <v>4276</v>
      </c>
      <c r="B4277">
        <v>182841760</v>
      </c>
      <c r="C4277">
        <v>182841760</v>
      </c>
    </row>
    <row r="4278" spans="1:3">
      <c r="A4278">
        <v>4277</v>
      </c>
      <c r="B4278">
        <v>182927290</v>
      </c>
      <c r="C4278">
        <v>182927290</v>
      </c>
    </row>
    <row r="4279" spans="1:3">
      <c r="A4279">
        <v>4278</v>
      </c>
      <c r="B4279">
        <v>183012840</v>
      </c>
      <c r="C4279">
        <v>183012840</v>
      </c>
    </row>
    <row r="4280" spans="1:3">
      <c r="A4280">
        <v>4279</v>
      </c>
      <c r="B4280">
        <v>183098410</v>
      </c>
      <c r="C4280">
        <v>183098410</v>
      </c>
    </row>
    <row r="4281" spans="1:3">
      <c r="A4281">
        <v>4280</v>
      </c>
      <c r="B4281">
        <v>183184000</v>
      </c>
      <c r="C4281">
        <v>183184000</v>
      </c>
    </row>
    <row r="4282" spans="1:3">
      <c r="A4282">
        <v>4281</v>
      </c>
      <c r="B4282">
        <v>183269610</v>
      </c>
      <c r="C4282">
        <v>183269610</v>
      </c>
    </row>
    <row r="4283" spans="1:3">
      <c r="A4283">
        <v>4282</v>
      </c>
      <c r="B4283">
        <v>183355240</v>
      </c>
      <c r="C4283">
        <v>183355240</v>
      </c>
    </row>
    <row r="4284" spans="1:3">
      <c r="A4284">
        <v>4283</v>
      </c>
      <c r="B4284">
        <v>183440890</v>
      </c>
      <c r="C4284">
        <v>183440890</v>
      </c>
    </row>
    <row r="4285" spans="1:3">
      <c r="A4285">
        <v>4284</v>
      </c>
      <c r="B4285">
        <v>183526560</v>
      </c>
      <c r="C4285">
        <v>183526560</v>
      </c>
    </row>
    <row r="4286" spans="1:3">
      <c r="A4286">
        <v>4285</v>
      </c>
      <c r="B4286">
        <v>183612250</v>
      </c>
      <c r="C4286">
        <v>183612250</v>
      </c>
    </row>
    <row r="4287" spans="1:3">
      <c r="A4287">
        <v>4286</v>
      </c>
      <c r="B4287">
        <v>183697960</v>
      </c>
      <c r="C4287">
        <v>183697960</v>
      </c>
    </row>
    <row r="4288" spans="1:3">
      <c r="A4288">
        <v>4287</v>
      </c>
      <c r="B4288">
        <v>183783690</v>
      </c>
      <c r="C4288">
        <v>183783690</v>
      </c>
    </row>
    <row r="4289" spans="1:3">
      <c r="A4289">
        <v>4288</v>
      </c>
      <c r="B4289">
        <v>183869440</v>
      </c>
      <c r="C4289">
        <v>183869440</v>
      </c>
    </row>
    <row r="4290" spans="1:3">
      <c r="A4290">
        <v>4289</v>
      </c>
      <c r="B4290">
        <v>183955210</v>
      </c>
      <c r="C4290">
        <v>183955210</v>
      </c>
    </row>
    <row r="4291" spans="1:3">
      <c r="A4291">
        <v>4290</v>
      </c>
      <c r="B4291">
        <v>184041000</v>
      </c>
      <c r="C4291">
        <v>184041000</v>
      </c>
    </row>
    <row r="4292" spans="1:3">
      <c r="A4292">
        <v>4291</v>
      </c>
      <c r="B4292">
        <v>184126810</v>
      </c>
      <c r="C4292">
        <v>184126810</v>
      </c>
    </row>
    <row r="4293" spans="1:3">
      <c r="A4293">
        <v>4292</v>
      </c>
      <c r="B4293">
        <v>184212640</v>
      </c>
      <c r="C4293">
        <v>184212640</v>
      </c>
    </row>
    <row r="4294" spans="1:3">
      <c r="A4294">
        <v>4293</v>
      </c>
      <c r="B4294">
        <v>184298490</v>
      </c>
      <c r="C4294">
        <v>184298490</v>
      </c>
    </row>
    <row r="4295" spans="1:3">
      <c r="A4295">
        <v>4294</v>
      </c>
      <c r="B4295">
        <v>184384360</v>
      </c>
      <c r="C4295">
        <v>184384360</v>
      </c>
    </row>
    <row r="4296" spans="1:3">
      <c r="A4296">
        <v>4295</v>
      </c>
      <c r="B4296">
        <v>184470250</v>
      </c>
      <c r="C4296">
        <v>184470250</v>
      </c>
    </row>
    <row r="4297" spans="1:3">
      <c r="A4297">
        <v>4296</v>
      </c>
      <c r="B4297">
        <v>184556160</v>
      </c>
      <c r="C4297">
        <v>184556160</v>
      </c>
    </row>
    <row r="4298" spans="1:3">
      <c r="A4298">
        <v>4297</v>
      </c>
      <c r="B4298">
        <v>184642090</v>
      </c>
      <c r="C4298">
        <v>184642090</v>
      </c>
    </row>
    <row r="4299" spans="1:3">
      <c r="A4299">
        <v>4298</v>
      </c>
      <c r="B4299">
        <v>184728040</v>
      </c>
      <c r="C4299">
        <v>184728040</v>
      </c>
    </row>
    <row r="4300" spans="1:3">
      <c r="A4300">
        <v>4299</v>
      </c>
      <c r="B4300">
        <v>184814010</v>
      </c>
      <c r="C4300">
        <v>184814010</v>
      </c>
    </row>
    <row r="4301" spans="1:3">
      <c r="A4301">
        <v>4300</v>
      </c>
      <c r="B4301">
        <v>184900000</v>
      </c>
      <c r="C4301">
        <v>184900000</v>
      </c>
    </row>
    <row r="4302" spans="1:3">
      <c r="A4302">
        <v>4301</v>
      </c>
      <c r="B4302">
        <v>184986010</v>
      </c>
      <c r="C4302">
        <v>184986010</v>
      </c>
    </row>
    <row r="4303" spans="1:3">
      <c r="A4303">
        <v>4302</v>
      </c>
      <c r="B4303">
        <v>185072040</v>
      </c>
      <c r="C4303">
        <v>185072040</v>
      </c>
    </row>
    <row r="4304" spans="1:3">
      <c r="A4304">
        <v>4303</v>
      </c>
      <c r="B4304">
        <v>185158090</v>
      </c>
      <c r="C4304">
        <v>185158090</v>
      </c>
    </row>
    <row r="4305" spans="1:3">
      <c r="A4305">
        <v>4304</v>
      </c>
      <c r="B4305">
        <v>185244160</v>
      </c>
      <c r="C4305">
        <v>185244160</v>
      </c>
    </row>
    <row r="4306" spans="1:3">
      <c r="A4306">
        <v>4305</v>
      </c>
      <c r="B4306">
        <v>185330250</v>
      </c>
      <c r="C4306">
        <v>185330250</v>
      </c>
    </row>
    <row r="4307" spans="1:3">
      <c r="A4307">
        <v>4306</v>
      </c>
      <c r="B4307">
        <v>185416360</v>
      </c>
      <c r="C4307">
        <v>185416360</v>
      </c>
    </row>
    <row r="4308" spans="1:3">
      <c r="A4308">
        <v>4307</v>
      </c>
      <c r="B4308">
        <v>185502490</v>
      </c>
      <c r="C4308">
        <v>185502490</v>
      </c>
    </row>
    <row r="4309" spans="1:3">
      <c r="A4309">
        <v>4308</v>
      </c>
      <c r="B4309">
        <v>185588640</v>
      </c>
      <c r="C4309">
        <v>185588640</v>
      </c>
    </row>
    <row r="4310" spans="1:3">
      <c r="A4310">
        <v>4309</v>
      </c>
      <c r="B4310">
        <v>185674810</v>
      </c>
      <c r="C4310">
        <v>185674810</v>
      </c>
    </row>
    <row r="4311" spans="1:3">
      <c r="A4311">
        <v>4310</v>
      </c>
      <c r="B4311">
        <v>185761000</v>
      </c>
      <c r="C4311">
        <v>185761000</v>
      </c>
    </row>
    <row r="4312" spans="1:3">
      <c r="A4312">
        <v>4311</v>
      </c>
      <c r="B4312">
        <v>185847210</v>
      </c>
      <c r="C4312">
        <v>185847210</v>
      </c>
    </row>
    <row r="4313" spans="1:3">
      <c r="A4313">
        <v>4312</v>
      </c>
      <c r="B4313">
        <v>185933440</v>
      </c>
      <c r="C4313">
        <v>185933440</v>
      </c>
    </row>
    <row r="4314" spans="1:3">
      <c r="A4314">
        <v>4313</v>
      </c>
      <c r="B4314">
        <v>186019690</v>
      </c>
      <c r="C4314">
        <v>186019690</v>
      </c>
    </row>
    <row r="4315" spans="1:3">
      <c r="A4315">
        <v>4314</v>
      </c>
      <c r="B4315">
        <v>186105960</v>
      </c>
      <c r="C4315">
        <v>186105960</v>
      </c>
    </row>
    <row r="4316" spans="1:3">
      <c r="A4316">
        <v>4315</v>
      </c>
      <c r="B4316">
        <v>186192250</v>
      </c>
      <c r="C4316">
        <v>186192250</v>
      </c>
    </row>
    <row r="4317" spans="1:3">
      <c r="A4317">
        <v>4316</v>
      </c>
      <c r="B4317">
        <v>186278560</v>
      </c>
      <c r="C4317">
        <v>186278560</v>
      </c>
    </row>
    <row r="4318" spans="1:3">
      <c r="A4318">
        <v>4317</v>
      </c>
      <c r="B4318">
        <v>186364890</v>
      </c>
      <c r="C4318">
        <v>186364890</v>
      </c>
    </row>
    <row r="4319" spans="1:3">
      <c r="A4319">
        <v>4318</v>
      </c>
      <c r="B4319">
        <v>186451240</v>
      </c>
      <c r="C4319">
        <v>186451240</v>
      </c>
    </row>
    <row r="4320" spans="1:3">
      <c r="A4320">
        <v>4319</v>
      </c>
      <c r="B4320">
        <v>186537610</v>
      </c>
      <c r="C4320">
        <v>186537610</v>
      </c>
    </row>
    <row r="4321" spans="1:3">
      <c r="A4321">
        <v>4320</v>
      </c>
      <c r="B4321">
        <v>186624000</v>
      </c>
      <c r="C4321">
        <v>186624000</v>
      </c>
    </row>
    <row r="4322" spans="1:3">
      <c r="A4322">
        <v>4321</v>
      </c>
      <c r="B4322">
        <v>186710410</v>
      </c>
      <c r="C4322">
        <v>186710410</v>
      </c>
    </row>
    <row r="4323" spans="1:3">
      <c r="A4323">
        <v>4322</v>
      </c>
      <c r="B4323">
        <v>186796840</v>
      </c>
      <c r="C4323">
        <v>186796840</v>
      </c>
    </row>
    <row r="4324" spans="1:3">
      <c r="A4324">
        <v>4323</v>
      </c>
      <c r="B4324">
        <v>186883290</v>
      </c>
      <c r="C4324">
        <v>186883290</v>
      </c>
    </row>
    <row r="4325" spans="1:3">
      <c r="A4325">
        <v>4324</v>
      </c>
      <c r="B4325">
        <v>186969760</v>
      </c>
      <c r="C4325">
        <v>186969760</v>
      </c>
    </row>
    <row r="4326" spans="1:3">
      <c r="A4326">
        <v>4325</v>
      </c>
      <c r="B4326">
        <v>187056250</v>
      </c>
      <c r="C4326">
        <v>187056250</v>
      </c>
    </row>
    <row r="4327" spans="1:3">
      <c r="A4327">
        <v>4326</v>
      </c>
      <c r="B4327">
        <v>187142760</v>
      </c>
      <c r="C4327">
        <v>187142760</v>
      </c>
    </row>
    <row r="4328" spans="1:3">
      <c r="A4328">
        <v>4327</v>
      </c>
      <c r="B4328">
        <v>187229290</v>
      </c>
      <c r="C4328">
        <v>187229290</v>
      </c>
    </row>
    <row r="4329" spans="1:3">
      <c r="A4329">
        <v>4328</v>
      </c>
      <c r="B4329">
        <v>187315840</v>
      </c>
      <c r="C4329">
        <v>187315840</v>
      </c>
    </row>
    <row r="4330" spans="1:3">
      <c r="A4330">
        <v>4329</v>
      </c>
      <c r="B4330">
        <v>187402410</v>
      </c>
      <c r="C4330">
        <v>187402410</v>
      </c>
    </row>
    <row r="4331" spans="1:3">
      <c r="A4331">
        <v>4330</v>
      </c>
      <c r="B4331">
        <v>187489000</v>
      </c>
      <c r="C4331">
        <v>187489000</v>
      </c>
    </row>
    <row r="4332" spans="1:3">
      <c r="A4332">
        <v>4331</v>
      </c>
      <c r="B4332">
        <v>187575610</v>
      </c>
      <c r="C4332">
        <v>187575610</v>
      </c>
    </row>
    <row r="4333" spans="1:3">
      <c r="A4333">
        <v>4332</v>
      </c>
      <c r="B4333">
        <v>187662240</v>
      </c>
      <c r="C4333">
        <v>187662240</v>
      </c>
    </row>
    <row r="4334" spans="1:3">
      <c r="A4334">
        <v>4333</v>
      </c>
      <c r="B4334">
        <v>187748890</v>
      </c>
      <c r="C4334">
        <v>187748890</v>
      </c>
    </row>
    <row r="4335" spans="1:3">
      <c r="A4335">
        <v>4334</v>
      </c>
      <c r="B4335">
        <v>187835560</v>
      </c>
      <c r="C4335">
        <v>187835560</v>
      </c>
    </row>
    <row r="4336" spans="1:3">
      <c r="A4336">
        <v>4335</v>
      </c>
      <c r="B4336">
        <v>187922250</v>
      </c>
      <c r="C4336">
        <v>187922250</v>
      </c>
    </row>
    <row r="4337" spans="1:3">
      <c r="A4337">
        <v>4336</v>
      </c>
      <c r="B4337">
        <v>188008960</v>
      </c>
      <c r="C4337">
        <v>188008960</v>
      </c>
    </row>
    <row r="4338" spans="1:3">
      <c r="A4338">
        <v>4337</v>
      </c>
      <c r="B4338">
        <v>188095690</v>
      </c>
      <c r="C4338">
        <v>188095690</v>
      </c>
    </row>
    <row r="4339" spans="1:3">
      <c r="A4339">
        <v>4338</v>
      </c>
      <c r="B4339">
        <v>188182440</v>
      </c>
      <c r="C4339">
        <v>188182440</v>
      </c>
    </row>
    <row r="4340" spans="1:3">
      <c r="A4340">
        <v>4339</v>
      </c>
      <c r="B4340">
        <v>188269210</v>
      </c>
      <c r="C4340">
        <v>188269210</v>
      </c>
    </row>
    <row r="4341" spans="1:3">
      <c r="A4341">
        <v>4340</v>
      </c>
      <c r="B4341">
        <v>188356000</v>
      </c>
      <c r="C4341">
        <v>188356000</v>
      </c>
    </row>
    <row r="4342" spans="1:3">
      <c r="A4342">
        <v>4341</v>
      </c>
      <c r="B4342">
        <v>188442810</v>
      </c>
      <c r="C4342">
        <v>188442810</v>
      </c>
    </row>
    <row r="4343" spans="1:3">
      <c r="A4343">
        <v>4342</v>
      </c>
      <c r="B4343">
        <v>188529640</v>
      </c>
      <c r="C4343">
        <v>188529640</v>
      </c>
    </row>
    <row r="4344" spans="1:3">
      <c r="A4344">
        <v>4343</v>
      </c>
      <c r="B4344">
        <v>188616490</v>
      </c>
      <c r="C4344">
        <v>188616490</v>
      </c>
    </row>
    <row r="4345" spans="1:3">
      <c r="A4345">
        <v>4344</v>
      </c>
      <c r="B4345">
        <v>188703360</v>
      </c>
      <c r="C4345">
        <v>188703360</v>
      </c>
    </row>
    <row r="4346" spans="1:3">
      <c r="A4346">
        <v>4345</v>
      </c>
      <c r="B4346">
        <v>188790250</v>
      </c>
      <c r="C4346">
        <v>188790250</v>
      </c>
    </row>
    <row r="4347" spans="1:3">
      <c r="A4347">
        <v>4346</v>
      </c>
      <c r="B4347">
        <v>188877160</v>
      </c>
      <c r="C4347">
        <v>188877160</v>
      </c>
    </row>
    <row r="4348" spans="1:3">
      <c r="A4348">
        <v>4347</v>
      </c>
      <c r="B4348">
        <v>188964090</v>
      </c>
      <c r="C4348">
        <v>188964090</v>
      </c>
    </row>
    <row r="4349" spans="1:3">
      <c r="A4349">
        <v>4348</v>
      </c>
      <c r="B4349">
        <v>189051040</v>
      </c>
      <c r="C4349">
        <v>189051040</v>
      </c>
    </row>
    <row r="4350" spans="1:3">
      <c r="A4350">
        <v>4349</v>
      </c>
      <c r="B4350">
        <v>189138010</v>
      </c>
      <c r="C4350">
        <v>189138010</v>
      </c>
    </row>
    <row r="4351" spans="1:3">
      <c r="A4351">
        <v>4350</v>
      </c>
      <c r="B4351">
        <v>189225000</v>
      </c>
      <c r="C4351">
        <v>189225000</v>
      </c>
    </row>
    <row r="4352" spans="1:3">
      <c r="A4352">
        <v>4351</v>
      </c>
      <c r="B4352">
        <v>189312010</v>
      </c>
      <c r="C4352">
        <v>189312010</v>
      </c>
    </row>
    <row r="4353" spans="1:3">
      <c r="A4353">
        <v>4352</v>
      </c>
      <c r="B4353">
        <v>189399040</v>
      </c>
      <c r="C4353">
        <v>189399040</v>
      </c>
    </row>
    <row r="4354" spans="1:3">
      <c r="A4354">
        <v>4353</v>
      </c>
      <c r="B4354">
        <v>189486090</v>
      </c>
      <c r="C4354">
        <v>189486090</v>
      </c>
    </row>
    <row r="4355" spans="1:3">
      <c r="A4355">
        <v>4354</v>
      </c>
      <c r="B4355">
        <v>189573160</v>
      </c>
      <c r="C4355">
        <v>189573160</v>
      </c>
    </row>
    <row r="4356" spans="1:3">
      <c r="A4356">
        <v>4355</v>
      </c>
      <c r="B4356">
        <v>189660250</v>
      </c>
      <c r="C4356">
        <v>189660250</v>
      </c>
    </row>
    <row r="4357" spans="1:3">
      <c r="A4357">
        <v>4356</v>
      </c>
      <c r="B4357">
        <v>189747360</v>
      </c>
      <c r="C4357">
        <v>189747360</v>
      </c>
    </row>
    <row r="4358" spans="1:3">
      <c r="A4358">
        <v>4357</v>
      </c>
      <c r="B4358">
        <v>189834490</v>
      </c>
      <c r="C4358">
        <v>189834490</v>
      </c>
    </row>
    <row r="4359" spans="1:3">
      <c r="A4359">
        <v>4358</v>
      </c>
      <c r="B4359">
        <v>189921640</v>
      </c>
      <c r="C4359">
        <v>189921640</v>
      </c>
    </row>
    <row r="4360" spans="1:3">
      <c r="A4360">
        <v>4359</v>
      </c>
      <c r="B4360">
        <v>190008810</v>
      </c>
      <c r="C4360">
        <v>190008810</v>
      </c>
    </row>
    <row r="4361" spans="1:3">
      <c r="A4361">
        <v>4360</v>
      </c>
      <c r="B4361">
        <v>190096000</v>
      </c>
      <c r="C4361">
        <v>190096000</v>
      </c>
    </row>
    <row r="4362" spans="1:3">
      <c r="A4362">
        <v>4361</v>
      </c>
      <c r="B4362">
        <v>190183210</v>
      </c>
      <c r="C4362">
        <v>190183210</v>
      </c>
    </row>
    <row r="4363" spans="1:3">
      <c r="A4363">
        <v>4362</v>
      </c>
      <c r="B4363">
        <v>190270440</v>
      </c>
      <c r="C4363">
        <v>190270440</v>
      </c>
    </row>
    <row r="4364" spans="1:3">
      <c r="A4364">
        <v>4363</v>
      </c>
      <c r="B4364">
        <v>190357690</v>
      </c>
      <c r="C4364">
        <v>190357690</v>
      </c>
    </row>
    <row r="4365" spans="1:3">
      <c r="A4365">
        <v>4364</v>
      </c>
      <c r="B4365">
        <v>190444960</v>
      </c>
      <c r="C4365">
        <v>190444960</v>
      </c>
    </row>
    <row r="4366" spans="1:3">
      <c r="A4366">
        <v>4365</v>
      </c>
      <c r="B4366">
        <v>190532250</v>
      </c>
      <c r="C4366">
        <v>190532250</v>
      </c>
    </row>
    <row r="4367" spans="1:3">
      <c r="A4367">
        <v>4366</v>
      </c>
      <c r="B4367">
        <v>190619560</v>
      </c>
      <c r="C4367">
        <v>190619560</v>
      </c>
    </row>
    <row r="4368" spans="1:3">
      <c r="A4368">
        <v>4367</v>
      </c>
      <c r="B4368">
        <v>190706890</v>
      </c>
      <c r="C4368">
        <v>190706890</v>
      </c>
    </row>
    <row r="4369" spans="1:3">
      <c r="A4369">
        <v>4368</v>
      </c>
      <c r="B4369">
        <v>190794240</v>
      </c>
      <c r="C4369">
        <v>190794240</v>
      </c>
    </row>
    <row r="4370" spans="1:3">
      <c r="A4370">
        <v>4369</v>
      </c>
      <c r="B4370">
        <v>190881610</v>
      </c>
      <c r="C4370">
        <v>190881610</v>
      </c>
    </row>
    <row r="4371" spans="1:3">
      <c r="A4371">
        <v>4370</v>
      </c>
      <c r="B4371">
        <v>190969000</v>
      </c>
      <c r="C4371">
        <v>190969000</v>
      </c>
    </row>
    <row r="4372" spans="1:3">
      <c r="A4372">
        <v>4371</v>
      </c>
      <c r="B4372">
        <v>191056410</v>
      </c>
      <c r="C4372">
        <v>191056410</v>
      </c>
    </row>
    <row r="4373" spans="1:3">
      <c r="A4373">
        <v>4372</v>
      </c>
      <c r="B4373">
        <v>191143840</v>
      </c>
      <c r="C4373">
        <v>191143840</v>
      </c>
    </row>
    <row r="4374" spans="1:3">
      <c r="A4374">
        <v>4373</v>
      </c>
      <c r="B4374">
        <v>191231290</v>
      </c>
      <c r="C4374">
        <v>191231290</v>
      </c>
    </row>
    <row r="4375" spans="1:3">
      <c r="A4375">
        <v>4374</v>
      </c>
      <c r="B4375">
        <v>191318760</v>
      </c>
      <c r="C4375">
        <v>191318760</v>
      </c>
    </row>
    <row r="4376" spans="1:3">
      <c r="A4376">
        <v>4375</v>
      </c>
      <c r="B4376">
        <v>191406250</v>
      </c>
      <c r="C4376">
        <v>191406250</v>
      </c>
    </row>
    <row r="4377" spans="1:3">
      <c r="A4377">
        <v>4376</v>
      </c>
      <c r="B4377">
        <v>191493760</v>
      </c>
      <c r="C4377">
        <v>191493760</v>
      </c>
    </row>
    <row r="4378" spans="1:3">
      <c r="A4378">
        <v>4377</v>
      </c>
      <c r="B4378">
        <v>191581290</v>
      </c>
      <c r="C4378">
        <v>191581290</v>
      </c>
    </row>
    <row r="4379" spans="1:3">
      <c r="A4379">
        <v>4378</v>
      </c>
      <c r="B4379">
        <v>191668840</v>
      </c>
      <c r="C4379">
        <v>191668840</v>
      </c>
    </row>
    <row r="4380" spans="1:3">
      <c r="A4380">
        <v>4379</v>
      </c>
      <c r="B4380">
        <v>191756410</v>
      </c>
      <c r="C4380">
        <v>191756410</v>
      </c>
    </row>
    <row r="4381" spans="1:3">
      <c r="A4381">
        <v>4380</v>
      </c>
      <c r="B4381">
        <v>191844000</v>
      </c>
      <c r="C4381">
        <v>191844000</v>
      </c>
    </row>
    <row r="4382" spans="1:3">
      <c r="A4382">
        <v>4381</v>
      </c>
      <c r="B4382">
        <v>191931610</v>
      </c>
      <c r="C4382">
        <v>191931610</v>
      </c>
    </row>
    <row r="4383" spans="1:3">
      <c r="A4383">
        <v>4382</v>
      </c>
      <c r="B4383">
        <v>192019240</v>
      </c>
      <c r="C4383">
        <v>192019240</v>
      </c>
    </row>
    <row r="4384" spans="1:3">
      <c r="A4384">
        <v>4383</v>
      </c>
      <c r="B4384">
        <v>192106890</v>
      </c>
      <c r="C4384">
        <v>192106890</v>
      </c>
    </row>
    <row r="4385" spans="1:3">
      <c r="A4385">
        <v>4384</v>
      </c>
      <c r="B4385">
        <v>192194560</v>
      </c>
      <c r="C4385">
        <v>192194560</v>
      </c>
    </row>
    <row r="4386" spans="1:3">
      <c r="A4386">
        <v>4385</v>
      </c>
      <c r="B4386">
        <v>192282250</v>
      </c>
      <c r="C4386">
        <v>192282250</v>
      </c>
    </row>
    <row r="4387" spans="1:3">
      <c r="A4387">
        <v>4386</v>
      </c>
      <c r="B4387">
        <v>192369960</v>
      </c>
      <c r="C4387">
        <v>192369960</v>
      </c>
    </row>
    <row r="4388" spans="1:3">
      <c r="A4388">
        <v>4387</v>
      </c>
      <c r="B4388">
        <v>192457690</v>
      </c>
      <c r="C4388">
        <v>192457690</v>
      </c>
    </row>
    <row r="4389" spans="1:3">
      <c r="A4389">
        <v>4388</v>
      </c>
      <c r="B4389">
        <v>192545440</v>
      </c>
      <c r="C4389">
        <v>192545440</v>
      </c>
    </row>
    <row r="4390" spans="1:3">
      <c r="A4390">
        <v>4389</v>
      </c>
      <c r="B4390">
        <v>192633210</v>
      </c>
      <c r="C4390">
        <v>192633210</v>
      </c>
    </row>
    <row r="4391" spans="1:3">
      <c r="A4391">
        <v>4390</v>
      </c>
      <c r="B4391">
        <v>192721000</v>
      </c>
      <c r="C4391">
        <v>192721000</v>
      </c>
    </row>
    <row r="4392" spans="1:3">
      <c r="A4392">
        <v>4391</v>
      </c>
      <c r="B4392">
        <v>192808810</v>
      </c>
      <c r="C4392">
        <v>192808810</v>
      </c>
    </row>
    <row r="4393" spans="1:3">
      <c r="A4393">
        <v>4392</v>
      </c>
      <c r="B4393">
        <v>192896640</v>
      </c>
      <c r="C4393">
        <v>192896640</v>
      </c>
    </row>
    <row r="4394" spans="1:3">
      <c r="A4394">
        <v>4393</v>
      </c>
      <c r="B4394">
        <v>192984490</v>
      </c>
      <c r="C4394">
        <v>192984490</v>
      </c>
    </row>
    <row r="4395" spans="1:3">
      <c r="A4395">
        <v>4394</v>
      </c>
      <c r="B4395">
        <v>193072360</v>
      </c>
      <c r="C4395">
        <v>193072360</v>
      </c>
    </row>
    <row r="4396" spans="1:3">
      <c r="A4396">
        <v>4395</v>
      </c>
      <c r="B4396">
        <v>193160250</v>
      </c>
      <c r="C4396">
        <v>193160250</v>
      </c>
    </row>
    <row r="4397" spans="1:3">
      <c r="A4397">
        <v>4396</v>
      </c>
      <c r="B4397">
        <v>193248160</v>
      </c>
      <c r="C4397">
        <v>193248160</v>
      </c>
    </row>
    <row r="4398" spans="1:3">
      <c r="A4398">
        <v>4397</v>
      </c>
      <c r="B4398">
        <v>193336090</v>
      </c>
      <c r="C4398">
        <v>193336090</v>
      </c>
    </row>
    <row r="4399" spans="1:3">
      <c r="A4399">
        <v>4398</v>
      </c>
      <c r="B4399">
        <v>193424040</v>
      </c>
      <c r="C4399">
        <v>193424040</v>
      </c>
    </row>
    <row r="4400" spans="1:3">
      <c r="A4400">
        <v>4399</v>
      </c>
      <c r="B4400">
        <v>193512010</v>
      </c>
      <c r="C4400">
        <v>193512010</v>
      </c>
    </row>
    <row r="4401" spans="1:3">
      <c r="A4401">
        <v>4400</v>
      </c>
      <c r="B4401">
        <v>193600000</v>
      </c>
      <c r="C4401">
        <v>193600000</v>
      </c>
    </row>
    <row r="4402" spans="1:3">
      <c r="A4402">
        <v>4401</v>
      </c>
      <c r="B4402">
        <v>193688010</v>
      </c>
      <c r="C4402">
        <v>193688010</v>
      </c>
    </row>
    <row r="4403" spans="1:3">
      <c r="A4403">
        <v>4402</v>
      </c>
      <c r="B4403">
        <v>193776040</v>
      </c>
      <c r="C4403">
        <v>193776040</v>
      </c>
    </row>
    <row r="4404" spans="1:3">
      <c r="A4404">
        <v>4403</v>
      </c>
      <c r="B4404">
        <v>193864090</v>
      </c>
      <c r="C4404">
        <v>193864090</v>
      </c>
    </row>
    <row r="4405" spans="1:3">
      <c r="A4405">
        <v>4404</v>
      </c>
      <c r="B4405">
        <v>193952160</v>
      </c>
      <c r="C4405">
        <v>193952160</v>
      </c>
    </row>
    <row r="4406" spans="1:3">
      <c r="A4406">
        <v>4405</v>
      </c>
      <c r="B4406">
        <v>194040250</v>
      </c>
      <c r="C4406">
        <v>194040250</v>
      </c>
    </row>
    <row r="4407" spans="1:3">
      <c r="A4407">
        <v>4406</v>
      </c>
      <c r="B4407">
        <v>194128360</v>
      </c>
      <c r="C4407">
        <v>194128360</v>
      </c>
    </row>
    <row r="4408" spans="1:3">
      <c r="A4408">
        <v>4407</v>
      </c>
      <c r="B4408">
        <v>194216490</v>
      </c>
      <c r="C4408">
        <v>194216490</v>
      </c>
    </row>
    <row r="4409" spans="1:3">
      <c r="A4409">
        <v>4408</v>
      </c>
      <c r="B4409">
        <v>194304640</v>
      </c>
      <c r="C4409">
        <v>194304640</v>
      </c>
    </row>
    <row r="4410" spans="1:3">
      <c r="A4410">
        <v>4409</v>
      </c>
      <c r="B4410">
        <v>194392810</v>
      </c>
      <c r="C4410">
        <v>194392810</v>
      </c>
    </row>
    <row r="4411" spans="1:3">
      <c r="A4411">
        <v>4410</v>
      </c>
      <c r="B4411">
        <v>194481000</v>
      </c>
      <c r="C4411">
        <v>194481000</v>
      </c>
    </row>
    <row r="4412" spans="1:3">
      <c r="A4412">
        <v>4411</v>
      </c>
      <c r="B4412">
        <v>194569210</v>
      </c>
      <c r="C4412">
        <v>194569210</v>
      </c>
    </row>
    <row r="4413" spans="1:3">
      <c r="A4413">
        <v>4412</v>
      </c>
      <c r="B4413">
        <v>194657440</v>
      </c>
      <c r="C4413">
        <v>194657440</v>
      </c>
    </row>
    <row r="4414" spans="1:3">
      <c r="A4414">
        <v>4413</v>
      </c>
      <c r="B4414">
        <v>194745690</v>
      </c>
      <c r="C4414">
        <v>194745690</v>
      </c>
    </row>
    <row r="4415" spans="1:3">
      <c r="A4415">
        <v>4414</v>
      </c>
      <c r="B4415">
        <v>194833960</v>
      </c>
      <c r="C4415">
        <v>194833960</v>
      </c>
    </row>
    <row r="4416" spans="1:3">
      <c r="A4416">
        <v>4415</v>
      </c>
      <c r="B4416">
        <v>194922250</v>
      </c>
      <c r="C4416">
        <v>194922250</v>
      </c>
    </row>
    <row r="4417" spans="1:3">
      <c r="A4417">
        <v>4416</v>
      </c>
      <c r="B4417">
        <v>195010560</v>
      </c>
      <c r="C4417">
        <v>195010560</v>
      </c>
    </row>
    <row r="4418" spans="1:3">
      <c r="A4418">
        <v>4417</v>
      </c>
      <c r="B4418">
        <v>195098890</v>
      </c>
      <c r="C4418">
        <v>195098890</v>
      </c>
    </row>
    <row r="4419" spans="1:3">
      <c r="A4419">
        <v>4418</v>
      </c>
      <c r="B4419">
        <v>195187240</v>
      </c>
      <c r="C4419">
        <v>195187240</v>
      </c>
    </row>
    <row r="4420" spans="1:3">
      <c r="A4420">
        <v>4419</v>
      </c>
      <c r="B4420">
        <v>195275610</v>
      </c>
      <c r="C4420">
        <v>195275610</v>
      </c>
    </row>
    <row r="4421" spans="1:3">
      <c r="A4421">
        <v>4420</v>
      </c>
      <c r="B4421">
        <v>195364000</v>
      </c>
      <c r="C4421">
        <v>195364000</v>
      </c>
    </row>
    <row r="4422" spans="1:3">
      <c r="A4422">
        <v>4421</v>
      </c>
      <c r="B4422">
        <v>195452410</v>
      </c>
      <c r="C4422">
        <v>195452410</v>
      </c>
    </row>
    <row r="4423" spans="1:3">
      <c r="A4423">
        <v>4422</v>
      </c>
      <c r="B4423">
        <v>195540840</v>
      </c>
      <c r="C4423">
        <v>195540840</v>
      </c>
    </row>
    <row r="4424" spans="1:3">
      <c r="A4424">
        <v>4423</v>
      </c>
      <c r="B4424">
        <v>195629290</v>
      </c>
      <c r="C4424">
        <v>195629290</v>
      </c>
    </row>
    <row r="4425" spans="1:3">
      <c r="A4425">
        <v>4424</v>
      </c>
      <c r="B4425">
        <v>195717760</v>
      </c>
      <c r="C4425">
        <v>195717760</v>
      </c>
    </row>
    <row r="4426" spans="1:3">
      <c r="A4426">
        <v>4425</v>
      </c>
      <c r="B4426">
        <v>195806250</v>
      </c>
      <c r="C4426">
        <v>195806250</v>
      </c>
    </row>
    <row r="4427" spans="1:3">
      <c r="A4427">
        <v>4426</v>
      </c>
      <c r="B4427">
        <v>195894760</v>
      </c>
      <c r="C4427">
        <v>195894760</v>
      </c>
    </row>
    <row r="4428" spans="1:3">
      <c r="A4428">
        <v>4427</v>
      </c>
      <c r="B4428">
        <v>195983290</v>
      </c>
      <c r="C4428">
        <v>195983290</v>
      </c>
    </row>
    <row r="4429" spans="1:3">
      <c r="A4429">
        <v>4428</v>
      </c>
      <c r="B4429">
        <v>196071840</v>
      </c>
      <c r="C4429">
        <v>196071840</v>
      </c>
    </row>
    <row r="4430" spans="1:3">
      <c r="A4430">
        <v>4429</v>
      </c>
      <c r="B4430">
        <v>196160410</v>
      </c>
      <c r="C4430">
        <v>196160410</v>
      </c>
    </row>
    <row r="4431" spans="1:3">
      <c r="A4431">
        <v>4430</v>
      </c>
      <c r="B4431">
        <v>196249000</v>
      </c>
      <c r="C4431">
        <v>196249000</v>
      </c>
    </row>
    <row r="4432" spans="1:3">
      <c r="A4432">
        <v>4431</v>
      </c>
      <c r="B4432">
        <v>196337610</v>
      </c>
      <c r="C4432">
        <v>196337610</v>
      </c>
    </row>
    <row r="4433" spans="1:3">
      <c r="A4433">
        <v>4432</v>
      </c>
      <c r="B4433">
        <v>196426240</v>
      </c>
      <c r="C4433">
        <v>196426240</v>
      </c>
    </row>
    <row r="4434" spans="1:3">
      <c r="A4434">
        <v>4433</v>
      </c>
      <c r="B4434">
        <v>196514890</v>
      </c>
      <c r="C4434">
        <v>196514890</v>
      </c>
    </row>
    <row r="4435" spans="1:3">
      <c r="A4435">
        <v>4434</v>
      </c>
      <c r="B4435">
        <v>196603560</v>
      </c>
      <c r="C4435">
        <v>196603560</v>
      </c>
    </row>
    <row r="4436" spans="1:3">
      <c r="A4436">
        <v>4435</v>
      </c>
      <c r="B4436">
        <v>196692250</v>
      </c>
      <c r="C4436">
        <v>196692250</v>
      </c>
    </row>
    <row r="4437" spans="1:3">
      <c r="A4437">
        <v>4436</v>
      </c>
      <c r="B4437">
        <v>196780960</v>
      </c>
      <c r="C4437">
        <v>196780960</v>
      </c>
    </row>
    <row r="4438" spans="1:3">
      <c r="A4438">
        <v>4437</v>
      </c>
      <c r="B4438">
        <v>196869690</v>
      </c>
      <c r="C4438">
        <v>196869690</v>
      </c>
    </row>
    <row r="4439" spans="1:3">
      <c r="A4439">
        <v>4438</v>
      </c>
      <c r="B4439">
        <v>196958440</v>
      </c>
      <c r="C4439">
        <v>196958440</v>
      </c>
    </row>
    <row r="4440" spans="1:3">
      <c r="A4440">
        <v>4439</v>
      </c>
      <c r="B4440">
        <v>197047210</v>
      </c>
      <c r="C4440">
        <v>197047210</v>
      </c>
    </row>
    <row r="4441" spans="1:3">
      <c r="A4441">
        <v>4440</v>
      </c>
      <c r="B4441">
        <v>197136000</v>
      </c>
      <c r="C4441">
        <v>197136000</v>
      </c>
    </row>
    <row r="4442" spans="1:3">
      <c r="A4442">
        <v>4441</v>
      </c>
      <c r="B4442">
        <v>197224810</v>
      </c>
      <c r="C4442">
        <v>197224810</v>
      </c>
    </row>
    <row r="4443" spans="1:3">
      <c r="A4443">
        <v>4442</v>
      </c>
      <c r="B4443">
        <v>197313640</v>
      </c>
      <c r="C4443">
        <v>197313640</v>
      </c>
    </row>
    <row r="4444" spans="1:3">
      <c r="A4444">
        <v>4443</v>
      </c>
      <c r="B4444">
        <v>197402490</v>
      </c>
      <c r="C4444">
        <v>197402490</v>
      </c>
    </row>
    <row r="4445" spans="1:3">
      <c r="A4445">
        <v>4444</v>
      </c>
      <c r="B4445">
        <v>197491360</v>
      </c>
      <c r="C4445">
        <v>197491360</v>
      </c>
    </row>
    <row r="4446" spans="1:3">
      <c r="A4446">
        <v>4445</v>
      </c>
      <c r="B4446">
        <v>197580250</v>
      </c>
      <c r="C4446">
        <v>197580250</v>
      </c>
    </row>
    <row r="4447" spans="1:3">
      <c r="A4447">
        <v>4446</v>
      </c>
      <c r="B4447">
        <v>197669160</v>
      </c>
      <c r="C4447">
        <v>197669160</v>
      </c>
    </row>
    <row r="4448" spans="1:3">
      <c r="A4448">
        <v>4447</v>
      </c>
      <c r="B4448">
        <v>197758090</v>
      </c>
      <c r="C4448">
        <v>197758090</v>
      </c>
    </row>
    <row r="4449" spans="1:3">
      <c r="A4449">
        <v>4448</v>
      </c>
      <c r="B4449">
        <v>197847040</v>
      </c>
      <c r="C4449">
        <v>197847040</v>
      </c>
    </row>
    <row r="4450" spans="1:3">
      <c r="A4450">
        <v>4449</v>
      </c>
      <c r="B4450">
        <v>197936010</v>
      </c>
      <c r="C4450">
        <v>197936010</v>
      </c>
    </row>
    <row r="4451" spans="1:3">
      <c r="A4451">
        <v>4450</v>
      </c>
      <c r="B4451">
        <v>198025000</v>
      </c>
      <c r="C4451">
        <v>198025000</v>
      </c>
    </row>
    <row r="4452" spans="1:3">
      <c r="A4452">
        <v>4451</v>
      </c>
      <c r="B4452">
        <v>198114010</v>
      </c>
      <c r="C4452">
        <v>198114010</v>
      </c>
    </row>
    <row r="4453" spans="1:3">
      <c r="A4453">
        <v>4452</v>
      </c>
      <c r="B4453">
        <v>198203040</v>
      </c>
      <c r="C4453">
        <v>198203040</v>
      </c>
    </row>
    <row r="4454" spans="1:3">
      <c r="A4454">
        <v>4453</v>
      </c>
      <c r="B4454">
        <v>198292090</v>
      </c>
      <c r="C4454">
        <v>198292090</v>
      </c>
    </row>
    <row r="4455" spans="1:3">
      <c r="A4455">
        <v>4454</v>
      </c>
      <c r="B4455">
        <v>198381160</v>
      </c>
      <c r="C4455">
        <v>198381160</v>
      </c>
    </row>
    <row r="4456" spans="1:3">
      <c r="A4456">
        <v>4455</v>
      </c>
      <c r="B4456">
        <v>198470250</v>
      </c>
      <c r="C4456">
        <v>198470250</v>
      </c>
    </row>
    <row r="4457" spans="1:3">
      <c r="A4457">
        <v>4456</v>
      </c>
      <c r="B4457">
        <v>198559360</v>
      </c>
      <c r="C4457">
        <v>198559360</v>
      </c>
    </row>
    <row r="4458" spans="1:3">
      <c r="A4458">
        <v>4457</v>
      </c>
      <c r="B4458">
        <v>198648490</v>
      </c>
      <c r="C4458">
        <v>198648490</v>
      </c>
    </row>
    <row r="4459" spans="1:3">
      <c r="A4459">
        <v>4458</v>
      </c>
      <c r="B4459">
        <v>198737640</v>
      </c>
      <c r="C4459">
        <v>198737640</v>
      </c>
    </row>
    <row r="4460" spans="1:3">
      <c r="A4460">
        <v>4459</v>
      </c>
      <c r="B4460">
        <v>198826810</v>
      </c>
      <c r="C4460">
        <v>198826810</v>
      </c>
    </row>
    <row r="4461" spans="1:3">
      <c r="A4461">
        <v>4460</v>
      </c>
      <c r="B4461">
        <v>198916000</v>
      </c>
      <c r="C4461">
        <v>198916000</v>
      </c>
    </row>
    <row r="4462" spans="1:3">
      <c r="A4462">
        <v>4461</v>
      </c>
      <c r="B4462">
        <v>199005210</v>
      </c>
      <c r="C4462">
        <v>199005210</v>
      </c>
    </row>
    <row r="4463" spans="1:3">
      <c r="A4463">
        <v>4462</v>
      </c>
      <c r="B4463">
        <v>199094440</v>
      </c>
      <c r="C4463">
        <v>199094440</v>
      </c>
    </row>
    <row r="4464" spans="1:3">
      <c r="A4464">
        <v>4463</v>
      </c>
      <c r="B4464">
        <v>199183690</v>
      </c>
      <c r="C4464">
        <v>199183690</v>
      </c>
    </row>
    <row r="4465" spans="1:3">
      <c r="A4465">
        <v>4464</v>
      </c>
      <c r="B4465">
        <v>199272960</v>
      </c>
      <c r="C4465">
        <v>199272960</v>
      </c>
    </row>
    <row r="4466" spans="1:3">
      <c r="A4466">
        <v>4465</v>
      </c>
      <c r="B4466">
        <v>199362250</v>
      </c>
      <c r="C4466">
        <v>199362250</v>
      </c>
    </row>
    <row r="4467" spans="1:3">
      <c r="A4467">
        <v>4466</v>
      </c>
      <c r="B4467">
        <v>199451560</v>
      </c>
      <c r="C4467">
        <v>199451560</v>
      </c>
    </row>
    <row r="4468" spans="1:3">
      <c r="A4468">
        <v>4467</v>
      </c>
      <c r="B4468">
        <v>199540890</v>
      </c>
      <c r="C4468">
        <v>199540890</v>
      </c>
    </row>
    <row r="4469" spans="1:3">
      <c r="A4469">
        <v>4468</v>
      </c>
      <c r="B4469">
        <v>199630240</v>
      </c>
      <c r="C4469">
        <v>199630240</v>
      </c>
    </row>
    <row r="4470" spans="1:3">
      <c r="A4470">
        <v>4469</v>
      </c>
      <c r="B4470">
        <v>199719610</v>
      </c>
      <c r="C4470">
        <v>199719610</v>
      </c>
    </row>
    <row r="4471" spans="1:3">
      <c r="A4471">
        <v>4470</v>
      </c>
      <c r="B4471">
        <v>199809000</v>
      </c>
      <c r="C4471">
        <v>199809000</v>
      </c>
    </row>
    <row r="4472" spans="1:3">
      <c r="A4472">
        <v>4471</v>
      </c>
      <c r="B4472">
        <v>199898410</v>
      </c>
      <c r="C4472">
        <v>199898410</v>
      </c>
    </row>
    <row r="4473" spans="1:3">
      <c r="A4473">
        <v>4472</v>
      </c>
      <c r="B4473">
        <v>199987840</v>
      </c>
      <c r="C4473">
        <v>199987840</v>
      </c>
    </row>
    <row r="4474" spans="1:3">
      <c r="A4474">
        <v>4473</v>
      </c>
      <c r="B4474">
        <v>200077290</v>
      </c>
      <c r="C4474">
        <v>200077290</v>
      </c>
    </row>
    <row r="4475" spans="1:3">
      <c r="A4475">
        <v>4474</v>
      </c>
      <c r="B4475">
        <v>200166760</v>
      </c>
      <c r="C4475">
        <v>200166760</v>
      </c>
    </row>
    <row r="4476" spans="1:3">
      <c r="A4476">
        <v>4475</v>
      </c>
      <c r="B4476">
        <v>200256250</v>
      </c>
      <c r="C4476">
        <v>200256250</v>
      </c>
    </row>
    <row r="4477" spans="1:3">
      <c r="A4477">
        <v>4476</v>
      </c>
      <c r="B4477">
        <v>200345760</v>
      </c>
      <c r="C4477">
        <v>200345760</v>
      </c>
    </row>
    <row r="4478" spans="1:3">
      <c r="A4478">
        <v>4477</v>
      </c>
      <c r="B4478">
        <v>200435290</v>
      </c>
      <c r="C4478">
        <v>200435290</v>
      </c>
    </row>
    <row r="4479" spans="1:3">
      <c r="A4479">
        <v>4478</v>
      </c>
      <c r="B4479">
        <v>200524840</v>
      </c>
      <c r="C4479">
        <v>200524840</v>
      </c>
    </row>
    <row r="4480" spans="1:3">
      <c r="A4480">
        <v>4479</v>
      </c>
      <c r="B4480">
        <v>200614410</v>
      </c>
      <c r="C4480">
        <v>200614410</v>
      </c>
    </row>
    <row r="4481" spans="1:3">
      <c r="A4481">
        <v>4480</v>
      </c>
      <c r="B4481">
        <v>200704000</v>
      </c>
      <c r="C4481">
        <v>200704000</v>
      </c>
    </row>
    <row r="4482" spans="1:3">
      <c r="A4482">
        <v>4481</v>
      </c>
      <c r="B4482">
        <v>200793610</v>
      </c>
      <c r="C4482">
        <v>200793610</v>
      </c>
    </row>
    <row r="4483" spans="1:3">
      <c r="A4483">
        <v>4482</v>
      </c>
      <c r="B4483">
        <v>200883240</v>
      </c>
      <c r="C4483">
        <v>200883240</v>
      </c>
    </row>
    <row r="4484" spans="1:3">
      <c r="A4484">
        <v>4483</v>
      </c>
      <c r="B4484">
        <v>200972890</v>
      </c>
      <c r="C4484">
        <v>200972890</v>
      </c>
    </row>
    <row r="4485" spans="1:3">
      <c r="A4485">
        <v>4484</v>
      </c>
      <c r="B4485">
        <v>201062560</v>
      </c>
      <c r="C4485">
        <v>201062560</v>
      </c>
    </row>
    <row r="4486" spans="1:3">
      <c r="A4486">
        <v>4485</v>
      </c>
      <c r="B4486">
        <v>201152250</v>
      </c>
      <c r="C4486">
        <v>201152250</v>
      </c>
    </row>
    <row r="4487" spans="1:3">
      <c r="A4487">
        <v>4486</v>
      </c>
      <c r="B4487">
        <v>201241960</v>
      </c>
      <c r="C4487">
        <v>201241960</v>
      </c>
    </row>
    <row r="4488" spans="1:3">
      <c r="A4488">
        <v>4487</v>
      </c>
      <c r="B4488">
        <v>201331690</v>
      </c>
      <c r="C4488">
        <v>201331690</v>
      </c>
    </row>
    <row r="4489" spans="1:3">
      <c r="A4489">
        <v>4488</v>
      </c>
      <c r="B4489">
        <v>201421440</v>
      </c>
      <c r="C4489">
        <v>201421440</v>
      </c>
    </row>
    <row r="4490" spans="1:3">
      <c r="A4490">
        <v>4489</v>
      </c>
      <c r="B4490">
        <v>201511210</v>
      </c>
      <c r="C4490">
        <v>201511210</v>
      </c>
    </row>
    <row r="4491" spans="1:3">
      <c r="A4491">
        <v>4490</v>
      </c>
      <c r="B4491">
        <v>201601000</v>
      </c>
      <c r="C4491">
        <v>201601000</v>
      </c>
    </row>
    <row r="4492" spans="1:3">
      <c r="A4492">
        <v>4491</v>
      </c>
      <c r="B4492">
        <v>201690810</v>
      </c>
      <c r="C4492">
        <v>201690810</v>
      </c>
    </row>
    <row r="4493" spans="1:3">
      <c r="A4493">
        <v>4492</v>
      </c>
      <c r="B4493">
        <v>201780640</v>
      </c>
      <c r="C4493">
        <v>201780640</v>
      </c>
    </row>
    <row r="4494" spans="1:3">
      <c r="A4494">
        <v>4493</v>
      </c>
      <c r="B4494">
        <v>201870490</v>
      </c>
      <c r="C4494">
        <v>201870490</v>
      </c>
    </row>
    <row r="4495" spans="1:3">
      <c r="A4495">
        <v>4494</v>
      </c>
      <c r="B4495">
        <v>201960360</v>
      </c>
      <c r="C4495">
        <v>201960360</v>
      </c>
    </row>
    <row r="4496" spans="1:3">
      <c r="A4496">
        <v>4495</v>
      </c>
      <c r="B4496">
        <v>202050250</v>
      </c>
      <c r="C4496">
        <v>202050250</v>
      </c>
    </row>
    <row r="4497" spans="1:3">
      <c r="A4497">
        <v>4496</v>
      </c>
      <c r="B4497">
        <v>202140160</v>
      </c>
      <c r="C4497">
        <v>202140160</v>
      </c>
    </row>
    <row r="4498" spans="1:3">
      <c r="A4498">
        <v>4497</v>
      </c>
      <c r="B4498">
        <v>202230090</v>
      </c>
      <c r="C4498">
        <v>202230090</v>
      </c>
    </row>
    <row r="4499" spans="1:3">
      <c r="A4499">
        <v>4498</v>
      </c>
      <c r="B4499">
        <v>202320040</v>
      </c>
      <c r="C4499">
        <v>202320040</v>
      </c>
    </row>
    <row r="4500" spans="1:3">
      <c r="A4500">
        <v>4499</v>
      </c>
      <c r="B4500">
        <v>202410010</v>
      </c>
      <c r="C4500">
        <v>202410010</v>
      </c>
    </row>
    <row r="4501" spans="1:3">
      <c r="A4501">
        <v>4500</v>
      </c>
      <c r="B4501">
        <v>202500000</v>
      </c>
      <c r="C4501">
        <v>202500000</v>
      </c>
    </row>
    <row r="4502" spans="1:3">
      <c r="A4502">
        <v>4501</v>
      </c>
      <c r="B4502">
        <v>202590010</v>
      </c>
      <c r="C4502">
        <v>202590010</v>
      </c>
    </row>
    <row r="4503" spans="1:3">
      <c r="A4503">
        <v>4502</v>
      </c>
      <c r="B4503">
        <v>202680040</v>
      </c>
      <c r="C4503">
        <v>202680040</v>
      </c>
    </row>
    <row r="4504" spans="1:3">
      <c r="A4504">
        <v>4503</v>
      </c>
      <c r="B4504">
        <v>202770090</v>
      </c>
      <c r="C4504">
        <v>202770090</v>
      </c>
    </row>
    <row r="4505" spans="1:3">
      <c r="A4505">
        <v>4504</v>
      </c>
      <c r="B4505">
        <v>202860160</v>
      </c>
      <c r="C4505">
        <v>202860160</v>
      </c>
    </row>
    <row r="4506" spans="1:3">
      <c r="A4506">
        <v>4505</v>
      </c>
      <c r="B4506">
        <v>202950250</v>
      </c>
      <c r="C4506">
        <v>202950250</v>
      </c>
    </row>
    <row r="4507" spans="1:3">
      <c r="A4507">
        <v>4506</v>
      </c>
      <c r="B4507">
        <v>203040360</v>
      </c>
      <c r="C4507">
        <v>203040360</v>
      </c>
    </row>
    <row r="4508" spans="1:3">
      <c r="A4508">
        <v>4507</v>
      </c>
      <c r="B4508">
        <v>203130490</v>
      </c>
      <c r="C4508">
        <v>203130490</v>
      </c>
    </row>
    <row r="4509" spans="1:3">
      <c r="A4509">
        <v>4508</v>
      </c>
      <c r="B4509">
        <v>203220640</v>
      </c>
      <c r="C4509">
        <v>203220640</v>
      </c>
    </row>
    <row r="4510" spans="1:3">
      <c r="A4510">
        <v>4509</v>
      </c>
      <c r="B4510">
        <v>203310810</v>
      </c>
      <c r="C4510">
        <v>203310810</v>
      </c>
    </row>
    <row r="4511" spans="1:3">
      <c r="A4511">
        <v>4510</v>
      </c>
      <c r="B4511">
        <v>203401000</v>
      </c>
      <c r="C4511">
        <v>203401000</v>
      </c>
    </row>
    <row r="4512" spans="1:3">
      <c r="A4512">
        <v>4511</v>
      </c>
      <c r="B4512">
        <v>203491210</v>
      </c>
      <c r="C4512">
        <v>203491210</v>
      </c>
    </row>
    <row r="4513" spans="1:3">
      <c r="A4513">
        <v>4512</v>
      </c>
      <c r="B4513">
        <v>203581440</v>
      </c>
      <c r="C4513">
        <v>203581440</v>
      </c>
    </row>
    <row r="4514" spans="1:3">
      <c r="A4514">
        <v>4513</v>
      </c>
      <c r="B4514">
        <v>203671690</v>
      </c>
      <c r="C4514">
        <v>203671690</v>
      </c>
    </row>
    <row r="4515" spans="1:3">
      <c r="A4515">
        <v>4514</v>
      </c>
      <c r="B4515">
        <v>203761960</v>
      </c>
      <c r="C4515">
        <v>203761960</v>
      </c>
    </row>
    <row r="4516" spans="1:3">
      <c r="A4516">
        <v>4515</v>
      </c>
      <c r="B4516">
        <v>203852250</v>
      </c>
      <c r="C4516">
        <v>203852250</v>
      </c>
    </row>
    <row r="4517" spans="1:3">
      <c r="A4517">
        <v>4516</v>
      </c>
      <c r="B4517">
        <v>203942560</v>
      </c>
      <c r="C4517">
        <v>203942560</v>
      </c>
    </row>
    <row r="4518" spans="1:3">
      <c r="A4518">
        <v>4517</v>
      </c>
      <c r="B4518">
        <v>204032890</v>
      </c>
      <c r="C4518">
        <v>204032890</v>
      </c>
    </row>
    <row r="4519" spans="1:3">
      <c r="A4519">
        <v>4518</v>
      </c>
      <c r="B4519">
        <v>204123240</v>
      </c>
      <c r="C4519">
        <v>204123240</v>
      </c>
    </row>
    <row r="4520" spans="1:3">
      <c r="A4520">
        <v>4519</v>
      </c>
      <c r="B4520">
        <v>204213610</v>
      </c>
      <c r="C4520">
        <v>204213610</v>
      </c>
    </row>
    <row r="4521" spans="1:3">
      <c r="A4521">
        <v>4520</v>
      </c>
      <c r="B4521">
        <v>204304000</v>
      </c>
      <c r="C4521">
        <v>204304000</v>
      </c>
    </row>
    <row r="4522" spans="1:3">
      <c r="A4522">
        <v>4521</v>
      </c>
      <c r="B4522">
        <v>204394410</v>
      </c>
      <c r="C4522">
        <v>204394410</v>
      </c>
    </row>
    <row r="4523" spans="1:3">
      <c r="A4523">
        <v>4522</v>
      </c>
      <c r="B4523">
        <v>204484840</v>
      </c>
      <c r="C4523">
        <v>204484840</v>
      </c>
    </row>
    <row r="4524" spans="1:3">
      <c r="A4524">
        <v>4523</v>
      </c>
      <c r="B4524">
        <v>204575290</v>
      </c>
      <c r="C4524">
        <v>204575290</v>
      </c>
    </row>
    <row r="4525" spans="1:3">
      <c r="A4525">
        <v>4524</v>
      </c>
      <c r="B4525">
        <v>204665760</v>
      </c>
      <c r="C4525">
        <v>204665760</v>
      </c>
    </row>
    <row r="4526" spans="1:3">
      <c r="A4526">
        <v>4525</v>
      </c>
      <c r="B4526">
        <v>204756250</v>
      </c>
      <c r="C4526">
        <v>204756250</v>
      </c>
    </row>
    <row r="4527" spans="1:3">
      <c r="A4527">
        <v>4526</v>
      </c>
      <c r="B4527">
        <v>204846760</v>
      </c>
      <c r="C4527">
        <v>204846760</v>
      </c>
    </row>
    <row r="4528" spans="1:3">
      <c r="A4528">
        <v>4527</v>
      </c>
      <c r="B4528">
        <v>204937290</v>
      </c>
      <c r="C4528">
        <v>204937290</v>
      </c>
    </row>
    <row r="4529" spans="1:3">
      <c r="A4529">
        <v>4528</v>
      </c>
      <c r="B4529">
        <v>205027840</v>
      </c>
      <c r="C4529">
        <v>205027840</v>
      </c>
    </row>
    <row r="4530" spans="1:3">
      <c r="A4530">
        <v>4529</v>
      </c>
      <c r="B4530">
        <v>205118410</v>
      </c>
      <c r="C4530">
        <v>205118410</v>
      </c>
    </row>
    <row r="4531" spans="1:3">
      <c r="A4531">
        <v>4530</v>
      </c>
      <c r="B4531">
        <v>205209000</v>
      </c>
      <c r="C4531">
        <v>205209000</v>
      </c>
    </row>
    <row r="4532" spans="1:3">
      <c r="A4532">
        <v>4531</v>
      </c>
      <c r="B4532">
        <v>205299610</v>
      </c>
      <c r="C4532">
        <v>205299610</v>
      </c>
    </row>
    <row r="4533" spans="1:3">
      <c r="A4533">
        <v>4532</v>
      </c>
      <c r="B4533">
        <v>205390240</v>
      </c>
      <c r="C4533">
        <v>205390240</v>
      </c>
    </row>
    <row r="4534" spans="1:3">
      <c r="A4534">
        <v>4533</v>
      </c>
      <c r="B4534">
        <v>205480890</v>
      </c>
      <c r="C4534">
        <v>205480890</v>
      </c>
    </row>
    <row r="4535" spans="1:3">
      <c r="A4535">
        <v>4534</v>
      </c>
      <c r="B4535">
        <v>205571560</v>
      </c>
      <c r="C4535">
        <v>205571560</v>
      </c>
    </row>
    <row r="4536" spans="1:3">
      <c r="A4536">
        <v>4535</v>
      </c>
      <c r="B4536">
        <v>205662250</v>
      </c>
      <c r="C4536">
        <v>205662250</v>
      </c>
    </row>
    <row r="4537" spans="1:3">
      <c r="A4537">
        <v>4536</v>
      </c>
      <c r="B4537">
        <v>205752960</v>
      </c>
      <c r="C4537">
        <v>205752960</v>
      </c>
    </row>
    <row r="4538" spans="1:3">
      <c r="A4538">
        <v>4537</v>
      </c>
      <c r="B4538">
        <v>205843690</v>
      </c>
      <c r="C4538">
        <v>205843690</v>
      </c>
    </row>
    <row r="4539" spans="1:3">
      <c r="A4539">
        <v>4538</v>
      </c>
      <c r="B4539">
        <v>205934440</v>
      </c>
      <c r="C4539">
        <v>205934440</v>
      </c>
    </row>
    <row r="4540" spans="1:3">
      <c r="A4540">
        <v>4539</v>
      </c>
      <c r="B4540">
        <v>206025210</v>
      </c>
      <c r="C4540">
        <v>206025210</v>
      </c>
    </row>
    <row r="4541" spans="1:3">
      <c r="A4541">
        <v>4540</v>
      </c>
      <c r="B4541">
        <v>206116000</v>
      </c>
      <c r="C4541">
        <v>206116000</v>
      </c>
    </row>
    <row r="4542" spans="1:3">
      <c r="A4542">
        <v>4541</v>
      </c>
      <c r="B4542">
        <v>206206810</v>
      </c>
      <c r="C4542">
        <v>206206810</v>
      </c>
    </row>
    <row r="4543" spans="1:3">
      <c r="A4543">
        <v>4542</v>
      </c>
      <c r="B4543">
        <v>206297640</v>
      </c>
      <c r="C4543">
        <v>206297640</v>
      </c>
    </row>
    <row r="4544" spans="1:3">
      <c r="A4544">
        <v>4543</v>
      </c>
      <c r="B4544">
        <v>206388490</v>
      </c>
      <c r="C4544">
        <v>206388490</v>
      </c>
    </row>
    <row r="4545" spans="1:3">
      <c r="A4545">
        <v>4544</v>
      </c>
      <c r="B4545">
        <v>206479360</v>
      </c>
      <c r="C4545">
        <v>206479360</v>
      </c>
    </row>
    <row r="4546" spans="1:3">
      <c r="A4546">
        <v>4545</v>
      </c>
      <c r="B4546">
        <v>206570250</v>
      </c>
      <c r="C4546">
        <v>206570250</v>
      </c>
    </row>
    <row r="4547" spans="1:3">
      <c r="A4547">
        <v>4546</v>
      </c>
      <c r="B4547">
        <v>206661160</v>
      </c>
      <c r="C4547">
        <v>206661160</v>
      </c>
    </row>
    <row r="4548" spans="1:3">
      <c r="A4548">
        <v>4547</v>
      </c>
      <c r="B4548">
        <v>206752090</v>
      </c>
      <c r="C4548">
        <v>206752090</v>
      </c>
    </row>
    <row r="4549" spans="1:3">
      <c r="A4549">
        <v>4548</v>
      </c>
      <c r="B4549">
        <v>206843040</v>
      </c>
      <c r="C4549">
        <v>206843040</v>
      </c>
    </row>
    <row r="4550" spans="1:3">
      <c r="A4550">
        <v>4549</v>
      </c>
      <c r="B4550">
        <v>206934010</v>
      </c>
      <c r="C4550">
        <v>206934010</v>
      </c>
    </row>
    <row r="4551" spans="1:3">
      <c r="A4551">
        <v>4550</v>
      </c>
      <c r="B4551">
        <v>207025000</v>
      </c>
      <c r="C4551">
        <v>207025000</v>
      </c>
    </row>
    <row r="4552" spans="1:3">
      <c r="A4552">
        <v>4551</v>
      </c>
      <c r="B4552">
        <v>207116010</v>
      </c>
      <c r="C4552">
        <v>207116010</v>
      </c>
    </row>
    <row r="4553" spans="1:3">
      <c r="A4553">
        <v>4552</v>
      </c>
      <c r="B4553">
        <v>207207040</v>
      </c>
      <c r="C4553">
        <v>207207040</v>
      </c>
    </row>
    <row r="4554" spans="1:3">
      <c r="A4554">
        <v>4553</v>
      </c>
      <c r="B4554">
        <v>207298090</v>
      </c>
      <c r="C4554">
        <v>207298090</v>
      </c>
    </row>
    <row r="4555" spans="1:3">
      <c r="A4555">
        <v>4554</v>
      </c>
      <c r="B4555">
        <v>207389160</v>
      </c>
      <c r="C4555">
        <v>207389160</v>
      </c>
    </row>
    <row r="4556" spans="1:3">
      <c r="A4556">
        <v>4555</v>
      </c>
      <c r="B4556">
        <v>207480250</v>
      </c>
      <c r="C4556">
        <v>207480250</v>
      </c>
    </row>
    <row r="4557" spans="1:3">
      <c r="A4557">
        <v>4556</v>
      </c>
      <c r="B4557">
        <v>207571360</v>
      </c>
      <c r="C4557">
        <v>207571360</v>
      </c>
    </row>
    <row r="4558" spans="1:3">
      <c r="A4558">
        <v>4557</v>
      </c>
      <c r="B4558">
        <v>207662490</v>
      </c>
      <c r="C4558">
        <v>207662490</v>
      </c>
    </row>
    <row r="4559" spans="1:3">
      <c r="A4559">
        <v>4558</v>
      </c>
      <c r="B4559">
        <v>207753640</v>
      </c>
      <c r="C4559">
        <v>207753640</v>
      </c>
    </row>
    <row r="4560" spans="1:3">
      <c r="A4560">
        <v>4559</v>
      </c>
      <c r="B4560">
        <v>207844810</v>
      </c>
      <c r="C4560">
        <v>207844810</v>
      </c>
    </row>
    <row r="4561" spans="1:3">
      <c r="A4561">
        <v>4560</v>
      </c>
      <c r="B4561">
        <v>207936000</v>
      </c>
      <c r="C4561">
        <v>207936000</v>
      </c>
    </row>
    <row r="4562" spans="1:3">
      <c r="A4562">
        <v>4561</v>
      </c>
      <c r="B4562">
        <v>208027210</v>
      </c>
      <c r="C4562">
        <v>208027210</v>
      </c>
    </row>
    <row r="4563" spans="1:3">
      <c r="A4563">
        <v>4562</v>
      </c>
      <c r="B4563">
        <v>208118440</v>
      </c>
      <c r="C4563">
        <v>208118440</v>
      </c>
    </row>
    <row r="4564" spans="1:3">
      <c r="A4564">
        <v>4563</v>
      </c>
      <c r="B4564">
        <v>208209690</v>
      </c>
      <c r="C4564">
        <v>208209690</v>
      </c>
    </row>
    <row r="4565" spans="1:3">
      <c r="A4565">
        <v>4564</v>
      </c>
      <c r="B4565">
        <v>208300960</v>
      </c>
      <c r="C4565">
        <v>208300960</v>
      </c>
    </row>
    <row r="4566" spans="1:3">
      <c r="A4566">
        <v>4565</v>
      </c>
      <c r="B4566">
        <v>208392250</v>
      </c>
      <c r="C4566">
        <v>208392250</v>
      </c>
    </row>
    <row r="4567" spans="1:3">
      <c r="A4567">
        <v>4566</v>
      </c>
      <c r="B4567">
        <v>208483560</v>
      </c>
      <c r="C4567">
        <v>208483560</v>
      </c>
    </row>
    <row r="4568" spans="1:3">
      <c r="A4568">
        <v>4567</v>
      </c>
      <c r="B4568">
        <v>208574890</v>
      </c>
      <c r="C4568">
        <v>208574890</v>
      </c>
    </row>
    <row r="4569" spans="1:3">
      <c r="A4569">
        <v>4568</v>
      </c>
      <c r="B4569">
        <v>208666240</v>
      </c>
      <c r="C4569">
        <v>208666240</v>
      </c>
    </row>
    <row r="4570" spans="1:3">
      <c r="A4570">
        <v>4569</v>
      </c>
      <c r="B4570">
        <v>208757610</v>
      </c>
      <c r="C4570">
        <v>208757610</v>
      </c>
    </row>
    <row r="4571" spans="1:3">
      <c r="A4571">
        <v>4570</v>
      </c>
      <c r="B4571">
        <v>208849000</v>
      </c>
      <c r="C4571">
        <v>208849000</v>
      </c>
    </row>
    <row r="4572" spans="1:3">
      <c r="A4572">
        <v>4571</v>
      </c>
      <c r="B4572">
        <v>208940410</v>
      </c>
      <c r="C4572">
        <v>208940410</v>
      </c>
    </row>
    <row r="4573" spans="1:3">
      <c r="A4573">
        <v>4572</v>
      </c>
      <c r="B4573">
        <v>209031840</v>
      </c>
      <c r="C4573">
        <v>209031840</v>
      </c>
    </row>
    <row r="4574" spans="1:3">
      <c r="A4574">
        <v>4573</v>
      </c>
      <c r="B4574">
        <v>209123290</v>
      </c>
      <c r="C4574">
        <v>209123290</v>
      </c>
    </row>
    <row r="4575" spans="1:3">
      <c r="A4575">
        <v>4574</v>
      </c>
      <c r="B4575">
        <v>209214760</v>
      </c>
      <c r="C4575">
        <v>209214760</v>
      </c>
    </row>
    <row r="4576" spans="1:3">
      <c r="A4576">
        <v>4575</v>
      </c>
      <c r="B4576">
        <v>209306250</v>
      </c>
      <c r="C4576">
        <v>209306250</v>
      </c>
    </row>
    <row r="4577" spans="1:3">
      <c r="A4577">
        <v>4576</v>
      </c>
      <c r="B4577">
        <v>209397760</v>
      </c>
      <c r="C4577">
        <v>209397760</v>
      </c>
    </row>
    <row r="4578" spans="1:3">
      <c r="A4578">
        <v>4577</v>
      </c>
      <c r="B4578">
        <v>209489290</v>
      </c>
      <c r="C4578">
        <v>209489290</v>
      </c>
    </row>
    <row r="4579" spans="1:3">
      <c r="A4579">
        <v>4578</v>
      </c>
      <c r="B4579">
        <v>209580840</v>
      </c>
      <c r="C4579">
        <v>209580840</v>
      </c>
    </row>
    <row r="4580" spans="1:3">
      <c r="A4580">
        <v>4579</v>
      </c>
      <c r="B4580">
        <v>209672410</v>
      </c>
      <c r="C4580">
        <v>209672410</v>
      </c>
    </row>
    <row r="4581" spans="1:3">
      <c r="A4581">
        <v>4580</v>
      </c>
      <c r="B4581">
        <v>209764000</v>
      </c>
      <c r="C4581">
        <v>209764000</v>
      </c>
    </row>
    <row r="4582" spans="1:3">
      <c r="A4582">
        <v>4581</v>
      </c>
      <c r="B4582">
        <v>209855610</v>
      </c>
      <c r="C4582">
        <v>209855610</v>
      </c>
    </row>
    <row r="4583" spans="1:3">
      <c r="A4583">
        <v>4582</v>
      </c>
      <c r="B4583">
        <v>209947240</v>
      </c>
      <c r="C4583">
        <v>209947240</v>
      </c>
    </row>
    <row r="4584" spans="1:3">
      <c r="A4584">
        <v>4583</v>
      </c>
      <c r="B4584">
        <v>210038890</v>
      </c>
      <c r="C4584">
        <v>210038890</v>
      </c>
    </row>
    <row r="4585" spans="1:3">
      <c r="A4585">
        <v>4584</v>
      </c>
      <c r="B4585">
        <v>210130560</v>
      </c>
      <c r="C4585">
        <v>210130560</v>
      </c>
    </row>
    <row r="4586" spans="1:3">
      <c r="A4586">
        <v>4585</v>
      </c>
      <c r="B4586">
        <v>210222250</v>
      </c>
      <c r="C4586">
        <v>210222250</v>
      </c>
    </row>
    <row r="4587" spans="1:3">
      <c r="A4587">
        <v>4586</v>
      </c>
      <c r="B4587">
        <v>210313960</v>
      </c>
      <c r="C4587">
        <v>210313960</v>
      </c>
    </row>
    <row r="4588" spans="1:3">
      <c r="A4588">
        <v>4587</v>
      </c>
      <c r="B4588">
        <v>210405690</v>
      </c>
      <c r="C4588">
        <v>210405690</v>
      </c>
    </row>
    <row r="4589" spans="1:3">
      <c r="A4589">
        <v>4588</v>
      </c>
      <c r="B4589">
        <v>210497440</v>
      </c>
      <c r="C4589">
        <v>210497440</v>
      </c>
    </row>
    <row r="4590" spans="1:3">
      <c r="A4590">
        <v>4589</v>
      </c>
      <c r="B4590">
        <v>210589210</v>
      </c>
      <c r="C4590">
        <v>210589210</v>
      </c>
    </row>
    <row r="4591" spans="1:3">
      <c r="A4591">
        <v>4590</v>
      </c>
      <c r="B4591">
        <v>210681000</v>
      </c>
      <c r="C4591">
        <v>210681000</v>
      </c>
    </row>
    <row r="4592" spans="1:3">
      <c r="A4592">
        <v>4591</v>
      </c>
      <c r="B4592">
        <v>210772810</v>
      </c>
      <c r="C4592">
        <v>210772810</v>
      </c>
    </row>
    <row r="4593" spans="1:3">
      <c r="A4593">
        <v>4592</v>
      </c>
      <c r="B4593">
        <v>210864640</v>
      </c>
      <c r="C4593">
        <v>210864640</v>
      </c>
    </row>
    <row r="4594" spans="1:3">
      <c r="A4594">
        <v>4593</v>
      </c>
      <c r="B4594">
        <v>210956490</v>
      </c>
      <c r="C4594">
        <v>210956490</v>
      </c>
    </row>
    <row r="4595" spans="1:3">
      <c r="A4595">
        <v>4594</v>
      </c>
      <c r="B4595">
        <v>211048360</v>
      </c>
      <c r="C4595">
        <v>211048360</v>
      </c>
    </row>
    <row r="4596" spans="1:3">
      <c r="A4596">
        <v>4595</v>
      </c>
      <c r="B4596">
        <v>211140250</v>
      </c>
      <c r="C4596">
        <v>211140250</v>
      </c>
    </row>
    <row r="4597" spans="1:3">
      <c r="A4597">
        <v>4596</v>
      </c>
      <c r="B4597">
        <v>211232160</v>
      </c>
      <c r="C4597">
        <v>211232160</v>
      </c>
    </row>
    <row r="4598" spans="1:3">
      <c r="A4598">
        <v>4597</v>
      </c>
      <c r="B4598">
        <v>211324090</v>
      </c>
      <c r="C4598">
        <v>211324090</v>
      </c>
    </row>
    <row r="4599" spans="1:3">
      <c r="A4599">
        <v>4598</v>
      </c>
      <c r="B4599">
        <v>211416040</v>
      </c>
      <c r="C4599">
        <v>211416040</v>
      </c>
    </row>
    <row r="4600" spans="1:3">
      <c r="A4600">
        <v>4599</v>
      </c>
      <c r="B4600">
        <v>211508010</v>
      </c>
      <c r="C4600">
        <v>211508010</v>
      </c>
    </row>
    <row r="4601" spans="1:3">
      <c r="A4601">
        <v>4600</v>
      </c>
      <c r="B4601">
        <v>211600000</v>
      </c>
      <c r="C4601">
        <v>211600000</v>
      </c>
    </row>
    <row r="4602" spans="1:3">
      <c r="A4602">
        <v>4601</v>
      </c>
      <c r="B4602">
        <v>211692010</v>
      </c>
      <c r="C4602">
        <v>211692010</v>
      </c>
    </row>
    <row r="4603" spans="1:3">
      <c r="A4603">
        <v>4602</v>
      </c>
      <c r="B4603">
        <v>211784040</v>
      </c>
      <c r="C4603">
        <v>211784040</v>
      </c>
    </row>
    <row r="4604" spans="1:3">
      <c r="A4604">
        <v>4603</v>
      </c>
      <c r="B4604">
        <v>211876090</v>
      </c>
      <c r="C4604">
        <v>211876090</v>
      </c>
    </row>
    <row r="4605" spans="1:3">
      <c r="A4605">
        <v>4604</v>
      </c>
      <c r="B4605">
        <v>211968160</v>
      </c>
      <c r="C4605">
        <v>211968160</v>
      </c>
    </row>
    <row r="4606" spans="1:3">
      <c r="A4606">
        <v>4605</v>
      </c>
      <c r="B4606">
        <v>212060250</v>
      </c>
      <c r="C4606">
        <v>212060250</v>
      </c>
    </row>
    <row r="4607" spans="1:3">
      <c r="A4607">
        <v>4606</v>
      </c>
      <c r="B4607">
        <v>212152360</v>
      </c>
      <c r="C4607">
        <v>212152360</v>
      </c>
    </row>
    <row r="4608" spans="1:3">
      <c r="A4608">
        <v>4607</v>
      </c>
      <c r="B4608">
        <v>212244490</v>
      </c>
      <c r="C4608">
        <v>212244490</v>
      </c>
    </row>
    <row r="4609" spans="1:3">
      <c r="A4609">
        <v>4608</v>
      </c>
      <c r="B4609">
        <v>212336640</v>
      </c>
      <c r="C4609">
        <v>212336640</v>
      </c>
    </row>
    <row r="4610" spans="1:3">
      <c r="A4610">
        <v>4609</v>
      </c>
      <c r="B4610">
        <v>212428810</v>
      </c>
      <c r="C4610">
        <v>212428810</v>
      </c>
    </row>
    <row r="4611" spans="1:3">
      <c r="A4611">
        <v>4610</v>
      </c>
      <c r="B4611">
        <v>212521000</v>
      </c>
      <c r="C4611">
        <v>212521000</v>
      </c>
    </row>
    <row r="4612" spans="1:3">
      <c r="A4612">
        <v>4611</v>
      </c>
      <c r="B4612">
        <v>212613210</v>
      </c>
      <c r="C4612">
        <v>212613210</v>
      </c>
    </row>
    <row r="4613" spans="1:3">
      <c r="A4613">
        <v>4612</v>
      </c>
      <c r="B4613">
        <v>212705440</v>
      </c>
      <c r="C4613">
        <v>212705440</v>
      </c>
    </row>
    <row r="4614" spans="1:3">
      <c r="A4614">
        <v>4613</v>
      </c>
      <c r="B4614">
        <v>212797690</v>
      </c>
      <c r="C4614">
        <v>212797690</v>
      </c>
    </row>
    <row r="4615" spans="1:3">
      <c r="A4615">
        <v>4614</v>
      </c>
      <c r="B4615">
        <v>212889960</v>
      </c>
      <c r="C4615">
        <v>212889960</v>
      </c>
    </row>
    <row r="4616" spans="1:3">
      <c r="A4616">
        <v>4615</v>
      </c>
      <c r="B4616">
        <v>212982250</v>
      </c>
      <c r="C4616">
        <v>212982250</v>
      </c>
    </row>
    <row r="4617" spans="1:3">
      <c r="A4617">
        <v>4616</v>
      </c>
      <c r="B4617">
        <v>213074560</v>
      </c>
      <c r="C4617">
        <v>213074560</v>
      </c>
    </row>
    <row r="4618" spans="1:3">
      <c r="A4618">
        <v>4617</v>
      </c>
      <c r="B4618">
        <v>213166890</v>
      </c>
      <c r="C4618">
        <v>213166890</v>
      </c>
    </row>
    <row r="4619" spans="1:3">
      <c r="A4619">
        <v>4618</v>
      </c>
      <c r="B4619">
        <v>213259240</v>
      </c>
      <c r="C4619">
        <v>213259240</v>
      </c>
    </row>
    <row r="4620" spans="1:3">
      <c r="A4620">
        <v>4619</v>
      </c>
      <c r="B4620">
        <v>213351610</v>
      </c>
      <c r="C4620">
        <v>213351610</v>
      </c>
    </row>
    <row r="4621" spans="1:3">
      <c r="A4621">
        <v>4620</v>
      </c>
      <c r="B4621">
        <v>213444000</v>
      </c>
      <c r="C4621">
        <v>213444000</v>
      </c>
    </row>
    <row r="4622" spans="1:3">
      <c r="A4622">
        <v>4621</v>
      </c>
      <c r="B4622">
        <v>213536410</v>
      </c>
      <c r="C4622">
        <v>213536410</v>
      </c>
    </row>
    <row r="4623" spans="1:3">
      <c r="A4623">
        <v>4622</v>
      </c>
      <c r="B4623">
        <v>213628840</v>
      </c>
      <c r="C4623">
        <v>213628840</v>
      </c>
    </row>
    <row r="4624" spans="1:3">
      <c r="A4624">
        <v>4623</v>
      </c>
      <c r="B4624">
        <v>213721290</v>
      </c>
      <c r="C4624">
        <v>213721290</v>
      </c>
    </row>
    <row r="4625" spans="1:3">
      <c r="A4625">
        <v>4624</v>
      </c>
      <c r="B4625">
        <v>213813760</v>
      </c>
      <c r="C4625">
        <v>213813760</v>
      </c>
    </row>
    <row r="4626" spans="1:3">
      <c r="A4626">
        <v>4625</v>
      </c>
      <c r="B4626">
        <v>213906250</v>
      </c>
      <c r="C4626">
        <v>213906250</v>
      </c>
    </row>
    <row r="4627" spans="1:3">
      <c r="A4627">
        <v>4626</v>
      </c>
      <c r="B4627">
        <v>213998760</v>
      </c>
      <c r="C4627">
        <v>213998760</v>
      </c>
    </row>
    <row r="4628" spans="1:3">
      <c r="A4628">
        <v>4627</v>
      </c>
      <c r="B4628">
        <v>214091290</v>
      </c>
      <c r="C4628">
        <v>214091290</v>
      </c>
    </row>
    <row r="4629" spans="1:3">
      <c r="A4629">
        <v>4628</v>
      </c>
      <c r="B4629">
        <v>214183840</v>
      </c>
      <c r="C4629">
        <v>214183840</v>
      </c>
    </row>
    <row r="4630" spans="1:3">
      <c r="A4630">
        <v>4629</v>
      </c>
      <c r="B4630">
        <v>214276410</v>
      </c>
      <c r="C4630">
        <v>214276410</v>
      </c>
    </row>
    <row r="4631" spans="1:3">
      <c r="A4631">
        <v>4630</v>
      </c>
      <c r="B4631">
        <v>214369000</v>
      </c>
      <c r="C4631">
        <v>214369000</v>
      </c>
    </row>
    <row r="4632" spans="1:3">
      <c r="A4632">
        <v>4631</v>
      </c>
      <c r="B4632">
        <v>214461610</v>
      </c>
      <c r="C4632">
        <v>214461610</v>
      </c>
    </row>
    <row r="4633" spans="1:3">
      <c r="A4633">
        <v>4632</v>
      </c>
      <c r="B4633">
        <v>214554240</v>
      </c>
      <c r="C4633">
        <v>214554240</v>
      </c>
    </row>
    <row r="4634" spans="1:3">
      <c r="A4634">
        <v>4633</v>
      </c>
      <c r="B4634">
        <v>214646890</v>
      </c>
      <c r="C4634">
        <v>214646890</v>
      </c>
    </row>
    <row r="4635" spans="1:3">
      <c r="A4635">
        <v>4634</v>
      </c>
      <c r="B4635">
        <v>214739560</v>
      </c>
      <c r="C4635">
        <v>214739560</v>
      </c>
    </row>
    <row r="4636" spans="1:3">
      <c r="A4636">
        <v>4635</v>
      </c>
      <c r="B4636">
        <v>214832250</v>
      </c>
      <c r="C4636">
        <v>214832250</v>
      </c>
    </row>
    <row r="4637" spans="1:3">
      <c r="A4637">
        <v>4636</v>
      </c>
      <c r="B4637">
        <v>214924960</v>
      </c>
      <c r="C4637">
        <v>214924960</v>
      </c>
    </row>
    <row r="4638" spans="1:3">
      <c r="A4638">
        <v>4637</v>
      </c>
      <c r="B4638">
        <v>215017690</v>
      </c>
      <c r="C4638">
        <v>215017690</v>
      </c>
    </row>
    <row r="4639" spans="1:3">
      <c r="A4639">
        <v>4638</v>
      </c>
      <c r="B4639">
        <v>215110440</v>
      </c>
      <c r="C4639">
        <v>215110440</v>
      </c>
    </row>
    <row r="4640" spans="1:3">
      <c r="A4640">
        <v>4639</v>
      </c>
      <c r="B4640">
        <v>215203210</v>
      </c>
      <c r="C4640">
        <v>215203210</v>
      </c>
    </row>
    <row r="4641" spans="1:3">
      <c r="A4641">
        <v>4640</v>
      </c>
      <c r="B4641">
        <v>215296000</v>
      </c>
      <c r="C4641">
        <v>215296000</v>
      </c>
    </row>
    <row r="4642" spans="1:3">
      <c r="A4642">
        <v>4641</v>
      </c>
      <c r="B4642">
        <v>215388810</v>
      </c>
      <c r="C4642">
        <v>215388810</v>
      </c>
    </row>
    <row r="4643" spans="1:3">
      <c r="A4643">
        <v>4642</v>
      </c>
      <c r="B4643">
        <v>215481640</v>
      </c>
      <c r="C4643">
        <v>215481640</v>
      </c>
    </row>
    <row r="4644" spans="1:3">
      <c r="A4644">
        <v>4643</v>
      </c>
      <c r="B4644">
        <v>215574490</v>
      </c>
      <c r="C4644">
        <v>215574490</v>
      </c>
    </row>
    <row r="4645" spans="1:3">
      <c r="A4645">
        <v>4644</v>
      </c>
      <c r="B4645">
        <v>215667360</v>
      </c>
      <c r="C4645">
        <v>215667360</v>
      </c>
    </row>
    <row r="4646" spans="1:3">
      <c r="A4646">
        <v>4645</v>
      </c>
      <c r="B4646">
        <v>215760250</v>
      </c>
      <c r="C4646">
        <v>215760250</v>
      </c>
    </row>
    <row r="4647" spans="1:3">
      <c r="A4647">
        <v>4646</v>
      </c>
      <c r="B4647">
        <v>215853160</v>
      </c>
      <c r="C4647">
        <v>215853160</v>
      </c>
    </row>
    <row r="4648" spans="1:3">
      <c r="A4648">
        <v>4647</v>
      </c>
      <c r="B4648">
        <v>215946090</v>
      </c>
      <c r="C4648">
        <v>215946090</v>
      </c>
    </row>
    <row r="4649" spans="1:3">
      <c r="A4649">
        <v>4648</v>
      </c>
      <c r="B4649">
        <v>216039040</v>
      </c>
      <c r="C4649">
        <v>216039040</v>
      </c>
    </row>
    <row r="4650" spans="1:3">
      <c r="A4650">
        <v>4649</v>
      </c>
      <c r="B4650">
        <v>216132010</v>
      </c>
      <c r="C4650">
        <v>216132010</v>
      </c>
    </row>
    <row r="4651" spans="1:3">
      <c r="A4651">
        <v>4650</v>
      </c>
      <c r="B4651">
        <v>216225000</v>
      </c>
      <c r="C4651">
        <v>216225000</v>
      </c>
    </row>
    <row r="4652" spans="1:3">
      <c r="A4652">
        <v>4651</v>
      </c>
      <c r="B4652">
        <v>216318010</v>
      </c>
      <c r="C4652">
        <v>216318010</v>
      </c>
    </row>
    <row r="4653" spans="1:3">
      <c r="A4653">
        <v>4652</v>
      </c>
      <c r="B4653">
        <v>216411040</v>
      </c>
      <c r="C4653">
        <v>216411040</v>
      </c>
    </row>
    <row r="4654" spans="1:3">
      <c r="A4654">
        <v>4653</v>
      </c>
      <c r="B4654">
        <v>216504090</v>
      </c>
      <c r="C4654">
        <v>216504090</v>
      </c>
    </row>
    <row r="4655" spans="1:3">
      <c r="A4655">
        <v>4654</v>
      </c>
      <c r="B4655">
        <v>216597160</v>
      </c>
      <c r="C4655">
        <v>216597160</v>
      </c>
    </row>
    <row r="4656" spans="1:3">
      <c r="A4656">
        <v>4655</v>
      </c>
      <c r="B4656">
        <v>216690250</v>
      </c>
      <c r="C4656">
        <v>216690250</v>
      </c>
    </row>
    <row r="4657" spans="1:3">
      <c r="A4657">
        <v>4656</v>
      </c>
      <c r="B4657">
        <v>216783360</v>
      </c>
      <c r="C4657">
        <v>216783360</v>
      </c>
    </row>
    <row r="4658" spans="1:3">
      <c r="A4658">
        <v>4657</v>
      </c>
      <c r="B4658">
        <v>216876490</v>
      </c>
      <c r="C4658">
        <v>216876490</v>
      </c>
    </row>
    <row r="4659" spans="1:3">
      <c r="A4659">
        <v>4658</v>
      </c>
      <c r="B4659">
        <v>216969640</v>
      </c>
      <c r="C4659">
        <v>216969640</v>
      </c>
    </row>
    <row r="4660" spans="1:3">
      <c r="A4660">
        <v>4659</v>
      </c>
      <c r="B4660">
        <v>217062810</v>
      </c>
      <c r="C4660">
        <v>217062810</v>
      </c>
    </row>
    <row r="4661" spans="1:3">
      <c r="A4661">
        <v>4660</v>
      </c>
      <c r="B4661">
        <v>217156000</v>
      </c>
      <c r="C4661">
        <v>217156000</v>
      </c>
    </row>
    <row r="4662" spans="1:3">
      <c r="A4662">
        <v>4661</v>
      </c>
      <c r="B4662">
        <v>217249210</v>
      </c>
      <c r="C4662">
        <v>217249210</v>
      </c>
    </row>
    <row r="4663" spans="1:3">
      <c r="A4663">
        <v>4662</v>
      </c>
      <c r="B4663">
        <v>217342440</v>
      </c>
      <c r="C4663">
        <v>217342440</v>
      </c>
    </row>
    <row r="4664" spans="1:3">
      <c r="A4664">
        <v>4663</v>
      </c>
      <c r="B4664">
        <v>217435690</v>
      </c>
      <c r="C4664">
        <v>217435690</v>
      </c>
    </row>
    <row r="4665" spans="1:3">
      <c r="A4665">
        <v>4664</v>
      </c>
      <c r="B4665">
        <v>217528960</v>
      </c>
      <c r="C4665">
        <v>217528960</v>
      </c>
    </row>
    <row r="4666" spans="1:3">
      <c r="A4666">
        <v>4665</v>
      </c>
      <c r="B4666">
        <v>217622250</v>
      </c>
      <c r="C4666">
        <v>217622250</v>
      </c>
    </row>
    <row r="4667" spans="1:3">
      <c r="A4667">
        <v>4666</v>
      </c>
      <c r="B4667">
        <v>217715560</v>
      </c>
      <c r="C4667">
        <v>217715560</v>
      </c>
    </row>
    <row r="4668" spans="1:3">
      <c r="A4668">
        <v>4667</v>
      </c>
      <c r="B4668">
        <v>217808890</v>
      </c>
      <c r="C4668">
        <v>217808890</v>
      </c>
    </row>
    <row r="4669" spans="1:3">
      <c r="A4669">
        <v>4668</v>
      </c>
      <c r="B4669">
        <v>217902240</v>
      </c>
      <c r="C4669">
        <v>217902240</v>
      </c>
    </row>
    <row r="4670" spans="1:3">
      <c r="A4670">
        <v>4669</v>
      </c>
      <c r="B4670">
        <v>217995610</v>
      </c>
      <c r="C4670">
        <v>217995610</v>
      </c>
    </row>
    <row r="4671" spans="1:3">
      <c r="A4671">
        <v>4670</v>
      </c>
      <c r="B4671">
        <v>218089000</v>
      </c>
      <c r="C4671">
        <v>218089000</v>
      </c>
    </row>
    <row r="4672" spans="1:3">
      <c r="A4672">
        <v>4671</v>
      </c>
      <c r="B4672">
        <v>218182410</v>
      </c>
      <c r="C4672">
        <v>218182410</v>
      </c>
    </row>
    <row r="4673" spans="1:3">
      <c r="A4673">
        <v>4672</v>
      </c>
      <c r="B4673">
        <v>218275840</v>
      </c>
      <c r="C4673">
        <v>218275840</v>
      </c>
    </row>
    <row r="4674" spans="1:3">
      <c r="A4674">
        <v>4673</v>
      </c>
      <c r="B4674">
        <v>218369290</v>
      </c>
      <c r="C4674">
        <v>218369290</v>
      </c>
    </row>
    <row r="4675" spans="1:3">
      <c r="A4675">
        <v>4674</v>
      </c>
      <c r="B4675">
        <v>218462760</v>
      </c>
      <c r="C4675">
        <v>218462760</v>
      </c>
    </row>
    <row r="4676" spans="1:3">
      <c r="A4676">
        <v>4675</v>
      </c>
      <c r="B4676">
        <v>218556250</v>
      </c>
      <c r="C4676">
        <v>218556250</v>
      </c>
    </row>
    <row r="4677" spans="1:3">
      <c r="A4677">
        <v>4676</v>
      </c>
      <c r="B4677">
        <v>218649760</v>
      </c>
      <c r="C4677">
        <v>218649760</v>
      </c>
    </row>
    <row r="4678" spans="1:3">
      <c r="A4678">
        <v>4677</v>
      </c>
      <c r="B4678">
        <v>218743290</v>
      </c>
      <c r="C4678">
        <v>218743290</v>
      </c>
    </row>
    <row r="4679" spans="1:3">
      <c r="A4679">
        <v>4678</v>
      </c>
      <c r="B4679">
        <v>218836840</v>
      </c>
      <c r="C4679">
        <v>218836840</v>
      </c>
    </row>
    <row r="4680" spans="1:3">
      <c r="A4680">
        <v>4679</v>
      </c>
      <c r="B4680">
        <v>218930410</v>
      </c>
      <c r="C4680">
        <v>218930410</v>
      </c>
    </row>
    <row r="4681" spans="1:3">
      <c r="A4681">
        <v>4680</v>
      </c>
      <c r="B4681">
        <v>219024000</v>
      </c>
      <c r="C4681">
        <v>219024000</v>
      </c>
    </row>
    <row r="4682" spans="1:3">
      <c r="A4682">
        <v>4681</v>
      </c>
      <c r="B4682">
        <v>219117610</v>
      </c>
      <c r="C4682">
        <v>219117610</v>
      </c>
    </row>
    <row r="4683" spans="1:3">
      <c r="A4683">
        <v>4682</v>
      </c>
      <c r="B4683">
        <v>219211240</v>
      </c>
      <c r="C4683">
        <v>219211240</v>
      </c>
    </row>
    <row r="4684" spans="1:3">
      <c r="A4684">
        <v>4683</v>
      </c>
      <c r="B4684">
        <v>219304890</v>
      </c>
      <c r="C4684">
        <v>219304890</v>
      </c>
    </row>
    <row r="4685" spans="1:3">
      <c r="A4685">
        <v>4684</v>
      </c>
      <c r="B4685">
        <v>219398560</v>
      </c>
      <c r="C4685">
        <v>219398560</v>
      </c>
    </row>
    <row r="4686" spans="1:3">
      <c r="A4686">
        <v>4685</v>
      </c>
      <c r="B4686">
        <v>219492250</v>
      </c>
      <c r="C4686">
        <v>219492250</v>
      </c>
    </row>
    <row r="4687" spans="1:3">
      <c r="A4687">
        <v>4686</v>
      </c>
      <c r="B4687">
        <v>219585960</v>
      </c>
      <c r="C4687">
        <v>219585960</v>
      </c>
    </row>
    <row r="4688" spans="1:3">
      <c r="A4688">
        <v>4687</v>
      </c>
      <c r="B4688">
        <v>219679690</v>
      </c>
      <c r="C4688">
        <v>219679690</v>
      </c>
    </row>
    <row r="4689" spans="1:3">
      <c r="A4689">
        <v>4688</v>
      </c>
      <c r="B4689">
        <v>219773440</v>
      </c>
      <c r="C4689">
        <v>219773440</v>
      </c>
    </row>
    <row r="4690" spans="1:3">
      <c r="A4690">
        <v>4689</v>
      </c>
      <c r="B4690">
        <v>219867210</v>
      </c>
      <c r="C4690">
        <v>219867210</v>
      </c>
    </row>
    <row r="4691" spans="1:3">
      <c r="A4691">
        <v>4690</v>
      </c>
      <c r="B4691">
        <v>219961000</v>
      </c>
      <c r="C4691">
        <v>219961000</v>
      </c>
    </row>
    <row r="4692" spans="1:3">
      <c r="A4692">
        <v>4691</v>
      </c>
      <c r="B4692">
        <v>220054810</v>
      </c>
      <c r="C4692">
        <v>220054810</v>
      </c>
    </row>
    <row r="4693" spans="1:3">
      <c r="A4693">
        <v>4692</v>
      </c>
      <c r="B4693">
        <v>220148640</v>
      </c>
      <c r="C4693">
        <v>220148640</v>
      </c>
    </row>
    <row r="4694" spans="1:3">
      <c r="A4694">
        <v>4693</v>
      </c>
      <c r="B4694">
        <v>220242490</v>
      </c>
      <c r="C4694">
        <v>220242490</v>
      </c>
    </row>
    <row r="4695" spans="1:3">
      <c r="A4695">
        <v>4694</v>
      </c>
      <c r="B4695">
        <v>220336360</v>
      </c>
      <c r="C4695">
        <v>220336360</v>
      </c>
    </row>
    <row r="4696" spans="1:3">
      <c r="A4696">
        <v>4695</v>
      </c>
      <c r="B4696">
        <v>220430250</v>
      </c>
      <c r="C4696">
        <v>220430250</v>
      </c>
    </row>
    <row r="4697" spans="1:3">
      <c r="A4697">
        <v>4696</v>
      </c>
      <c r="B4697">
        <v>220524160</v>
      </c>
      <c r="C4697">
        <v>220524160</v>
      </c>
    </row>
    <row r="4698" spans="1:3">
      <c r="A4698">
        <v>4697</v>
      </c>
      <c r="B4698">
        <v>220618090</v>
      </c>
      <c r="C4698">
        <v>220618090</v>
      </c>
    </row>
    <row r="4699" spans="1:3">
      <c r="A4699">
        <v>4698</v>
      </c>
      <c r="B4699">
        <v>220712040</v>
      </c>
      <c r="C4699">
        <v>220712040</v>
      </c>
    </row>
    <row r="4700" spans="1:3">
      <c r="A4700">
        <v>4699</v>
      </c>
      <c r="B4700">
        <v>220806010</v>
      </c>
      <c r="C4700">
        <v>220806010</v>
      </c>
    </row>
    <row r="4701" spans="1:3">
      <c r="A4701">
        <v>4700</v>
      </c>
      <c r="B4701">
        <v>220900000</v>
      </c>
      <c r="C4701">
        <v>220900000</v>
      </c>
    </row>
    <row r="4702" spans="1:3">
      <c r="A4702">
        <v>4701</v>
      </c>
      <c r="B4702">
        <v>220994010</v>
      </c>
      <c r="C4702">
        <v>220994010</v>
      </c>
    </row>
    <row r="4703" spans="1:3">
      <c r="A4703">
        <v>4702</v>
      </c>
      <c r="B4703">
        <v>221088040</v>
      </c>
      <c r="C4703">
        <v>221088040</v>
      </c>
    </row>
    <row r="4704" spans="1:3">
      <c r="A4704">
        <v>4703</v>
      </c>
      <c r="B4704">
        <v>221182090</v>
      </c>
      <c r="C4704">
        <v>221182090</v>
      </c>
    </row>
    <row r="4705" spans="1:3">
      <c r="A4705">
        <v>4704</v>
      </c>
      <c r="B4705">
        <v>221276160</v>
      </c>
      <c r="C4705">
        <v>221276160</v>
      </c>
    </row>
    <row r="4706" spans="1:3">
      <c r="A4706">
        <v>4705</v>
      </c>
      <c r="B4706">
        <v>221370250</v>
      </c>
      <c r="C4706">
        <v>221370250</v>
      </c>
    </row>
    <row r="4707" spans="1:3">
      <c r="A4707">
        <v>4706</v>
      </c>
      <c r="B4707">
        <v>221464360</v>
      </c>
      <c r="C4707">
        <v>221464360</v>
      </c>
    </row>
    <row r="4708" spans="1:3">
      <c r="A4708">
        <v>4707</v>
      </c>
      <c r="B4708">
        <v>221558490</v>
      </c>
      <c r="C4708">
        <v>221558490</v>
      </c>
    </row>
    <row r="4709" spans="1:3">
      <c r="A4709">
        <v>4708</v>
      </c>
      <c r="B4709">
        <v>221652640</v>
      </c>
      <c r="C4709">
        <v>221652640</v>
      </c>
    </row>
    <row r="4710" spans="1:3">
      <c r="A4710">
        <v>4709</v>
      </c>
      <c r="B4710">
        <v>221746810</v>
      </c>
      <c r="C4710">
        <v>221746810</v>
      </c>
    </row>
    <row r="4711" spans="1:3">
      <c r="A4711">
        <v>4710</v>
      </c>
      <c r="B4711">
        <v>221841000</v>
      </c>
      <c r="C4711">
        <v>221841000</v>
      </c>
    </row>
    <row r="4712" spans="1:3">
      <c r="A4712">
        <v>4711</v>
      </c>
      <c r="B4712">
        <v>221935210</v>
      </c>
      <c r="C4712">
        <v>221935210</v>
      </c>
    </row>
    <row r="4713" spans="1:3">
      <c r="A4713">
        <v>4712</v>
      </c>
      <c r="B4713">
        <v>222029440</v>
      </c>
      <c r="C4713">
        <v>222029440</v>
      </c>
    </row>
    <row r="4714" spans="1:3">
      <c r="A4714">
        <v>4713</v>
      </c>
      <c r="B4714">
        <v>222123690</v>
      </c>
      <c r="C4714">
        <v>222123690</v>
      </c>
    </row>
    <row r="4715" spans="1:3">
      <c r="A4715">
        <v>4714</v>
      </c>
      <c r="B4715">
        <v>222217960</v>
      </c>
      <c r="C4715">
        <v>222217960</v>
      </c>
    </row>
    <row r="4716" spans="1:3">
      <c r="A4716">
        <v>4715</v>
      </c>
      <c r="B4716">
        <v>222312250</v>
      </c>
      <c r="C4716">
        <v>222312250</v>
      </c>
    </row>
    <row r="4717" spans="1:3">
      <c r="A4717">
        <v>4716</v>
      </c>
      <c r="B4717">
        <v>222406560</v>
      </c>
      <c r="C4717">
        <v>222406560</v>
      </c>
    </row>
    <row r="4718" spans="1:3">
      <c r="A4718">
        <v>4717</v>
      </c>
      <c r="B4718">
        <v>222500890</v>
      </c>
      <c r="C4718">
        <v>222500890</v>
      </c>
    </row>
    <row r="4719" spans="1:3">
      <c r="A4719">
        <v>4718</v>
      </c>
      <c r="B4719">
        <v>222595240</v>
      </c>
      <c r="C4719">
        <v>222595240</v>
      </c>
    </row>
    <row r="4720" spans="1:3">
      <c r="A4720">
        <v>4719</v>
      </c>
      <c r="B4720">
        <v>222689610</v>
      </c>
      <c r="C4720">
        <v>222689610</v>
      </c>
    </row>
    <row r="4721" spans="1:3">
      <c r="A4721">
        <v>4720</v>
      </c>
      <c r="B4721">
        <v>222784000</v>
      </c>
      <c r="C4721">
        <v>222784000</v>
      </c>
    </row>
    <row r="4722" spans="1:3">
      <c r="A4722">
        <v>4721</v>
      </c>
      <c r="B4722">
        <v>222878410</v>
      </c>
      <c r="C4722">
        <v>222878410</v>
      </c>
    </row>
    <row r="4723" spans="1:3">
      <c r="A4723">
        <v>4722</v>
      </c>
      <c r="B4723">
        <v>222972840</v>
      </c>
      <c r="C4723">
        <v>222972840</v>
      </c>
    </row>
    <row r="4724" spans="1:3">
      <c r="A4724">
        <v>4723</v>
      </c>
      <c r="B4724">
        <v>223067290</v>
      </c>
      <c r="C4724">
        <v>223067290</v>
      </c>
    </row>
    <row r="4725" spans="1:3">
      <c r="A4725">
        <v>4724</v>
      </c>
      <c r="B4725">
        <v>223161760</v>
      </c>
      <c r="C4725">
        <v>223161760</v>
      </c>
    </row>
    <row r="4726" spans="1:3">
      <c r="A4726">
        <v>4725</v>
      </c>
      <c r="B4726">
        <v>223256250</v>
      </c>
      <c r="C4726">
        <v>223256250</v>
      </c>
    </row>
    <row r="4727" spans="1:3">
      <c r="A4727">
        <v>4726</v>
      </c>
      <c r="B4727">
        <v>223350760</v>
      </c>
      <c r="C4727">
        <v>223350760</v>
      </c>
    </row>
    <row r="4728" spans="1:3">
      <c r="A4728">
        <v>4727</v>
      </c>
      <c r="B4728">
        <v>223445290</v>
      </c>
      <c r="C4728">
        <v>223445290</v>
      </c>
    </row>
    <row r="4729" spans="1:3">
      <c r="A4729">
        <v>4728</v>
      </c>
      <c r="B4729">
        <v>223539840</v>
      </c>
      <c r="C4729">
        <v>223539840</v>
      </c>
    </row>
    <row r="4730" spans="1:3">
      <c r="A4730">
        <v>4729</v>
      </c>
      <c r="B4730">
        <v>223634410</v>
      </c>
      <c r="C4730">
        <v>223634410</v>
      </c>
    </row>
    <row r="4731" spans="1:3">
      <c r="A4731">
        <v>4730</v>
      </c>
      <c r="B4731">
        <v>223729000</v>
      </c>
      <c r="C4731">
        <v>223729000</v>
      </c>
    </row>
    <row r="4732" spans="1:3">
      <c r="A4732">
        <v>4731</v>
      </c>
      <c r="B4732">
        <v>223823610</v>
      </c>
      <c r="C4732">
        <v>223823610</v>
      </c>
    </row>
    <row r="4733" spans="1:3">
      <c r="A4733">
        <v>4732</v>
      </c>
      <c r="B4733">
        <v>223918240</v>
      </c>
      <c r="C4733">
        <v>223918240</v>
      </c>
    </row>
    <row r="4734" spans="1:3">
      <c r="A4734">
        <v>4733</v>
      </c>
      <c r="B4734">
        <v>224012890</v>
      </c>
      <c r="C4734">
        <v>224012890</v>
      </c>
    </row>
    <row r="4735" spans="1:3">
      <c r="A4735">
        <v>4734</v>
      </c>
      <c r="B4735">
        <v>224107560</v>
      </c>
      <c r="C4735">
        <v>224107560</v>
      </c>
    </row>
    <row r="4736" spans="1:3">
      <c r="A4736">
        <v>4735</v>
      </c>
      <c r="B4736">
        <v>224202250</v>
      </c>
      <c r="C4736">
        <v>224202250</v>
      </c>
    </row>
    <row r="4737" spans="1:3">
      <c r="A4737">
        <v>4736</v>
      </c>
      <c r="B4737">
        <v>224296960</v>
      </c>
      <c r="C4737">
        <v>224296960</v>
      </c>
    </row>
    <row r="4738" spans="1:3">
      <c r="A4738">
        <v>4737</v>
      </c>
      <c r="B4738">
        <v>224391690</v>
      </c>
      <c r="C4738">
        <v>224391690</v>
      </c>
    </row>
    <row r="4739" spans="1:3">
      <c r="A4739">
        <v>4738</v>
      </c>
      <c r="B4739">
        <v>224486440</v>
      </c>
      <c r="C4739">
        <v>224486440</v>
      </c>
    </row>
    <row r="4740" spans="1:3">
      <c r="A4740">
        <v>4739</v>
      </c>
      <c r="B4740">
        <v>224581210</v>
      </c>
      <c r="C4740">
        <v>224581210</v>
      </c>
    </row>
    <row r="4741" spans="1:3">
      <c r="A4741">
        <v>4740</v>
      </c>
      <c r="B4741">
        <v>224676000</v>
      </c>
      <c r="C4741">
        <v>224676000</v>
      </c>
    </row>
    <row r="4742" spans="1:3">
      <c r="A4742">
        <v>4741</v>
      </c>
      <c r="B4742">
        <v>224770810</v>
      </c>
      <c r="C4742">
        <v>224770810</v>
      </c>
    </row>
    <row r="4743" spans="1:3">
      <c r="A4743">
        <v>4742</v>
      </c>
      <c r="B4743">
        <v>224865640</v>
      </c>
      <c r="C4743">
        <v>224865640</v>
      </c>
    </row>
    <row r="4744" spans="1:3">
      <c r="A4744">
        <v>4743</v>
      </c>
      <c r="B4744">
        <v>224960490</v>
      </c>
      <c r="C4744">
        <v>224960490</v>
      </c>
    </row>
    <row r="4745" spans="1:3">
      <c r="A4745">
        <v>4744</v>
      </c>
      <c r="B4745">
        <v>225055360</v>
      </c>
      <c r="C4745">
        <v>225055360</v>
      </c>
    </row>
    <row r="4746" spans="1:3">
      <c r="A4746">
        <v>4745</v>
      </c>
      <c r="B4746">
        <v>225150250</v>
      </c>
      <c r="C4746">
        <v>225150250</v>
      </c>
    </row>
    <row r="4747" spans="1:3">
      <c r="A4747">
        <v>4746</v>
      </c>
      <c r="B4747">
        <v>225245160</v>
      </c>
      <c r="C4747">
        <v>225245160</v>
      </c>
    </row>
    <row r="4748" spans="1:3">
      <c r="A4748">
        <v>4747</v>
      </c>
      <c r="B4748">
        <v>225340090</v>
      </c>
      <c r="C4748">
        <v>225340090</v>
      </c>
    </row>
    <row r="4749" spans="1:3">
      <c r="A4749">
        <v>4748</v>
      </c>
      <c r="B4749">
        <v>225435040</v>
      </c>
      <c r="C4749">
        <v>225435040</v>
      </c>
    </row>
    <row r="4750" spans="1:3">
      <c r="A4750">
        <v>4749</v>
      </c>
      <c r="B4750">
        <v>225530010</v>
      </c>
      <c r="C4750">
        <v>225530010</v>
      </c>
    </row>
    <row r="4751" spans="1:3">
      <c r="A4751">
        <v>4750</v>
      </c>
      <c r="B4751">
        <v>225625000</v>
      </c>
      <c r="C4751">
        <v>225625000</v>
      </c>
    </row>
    <row r="4752" spans="1:3">
      <c r="A4752">
        <v>4751</v>
      </c>
      <c r="B4752">
        <v>225720010</v>
      </c>
      <c r="C4752">
        <v>225720010</v>
      </c>
    </row>
    <row r="4753" spans="1:3">
      <c r="A4753">
        <v>4752</v>
      </c>
      <c r="B4753">
        <v>225815040</v>
      </c>
      <c r="C4753">
        <v>225815040</v>
      </c>
    </row>
    <row r="4754" spans="1:3">
      <c r="A4754">
        <v>4753</v>
      </c>
      <c r="B4754">
        <v>225910090</v>
      </c>
      <c r="C4754">
        <v>225910090</v>
      </c>
    </row>
    <row r="4755" spans="1:3">
      <c r="A4755">
        <v>4754</v>
      </c>
      <c r="B4755">
        <v>226005160</v>
      </c>
      <c r="C4755">
        <v>226005160</v>
      </c>
    </row>
    <row r="4756" spans="1:3">
      <c r="A4756">
        <v>4755</v>
      </c>
      <c r="B4756">
        <v>226100250</v>
      </c>
      <c r="C4756">
        <v>226100250</v>
      </c>
    </row>
    <row r="4757" spans="1:3">
      <c r="A4757">
        <v>4756</v>
      </c>
      <c r="B4757">
        <v>226195360</v>
      </c>
      <c r="C4757">
        <v>226195360</v>
      </c>
    </row>
    <row r="4758" spans="1:3">
      <c r="A4758">
        <v>4757</v>
      </c>
      <c r="B4758">
        <v>226290490</v>
      </c>
      <c r="C4758">
        <v>226290490</v>
      </c>
    </row>
    <row r="4759" spans="1:3">
      <c r="A4759">
        <v>4758</v>
      </c>
      <c r="B4759">
        <v>226385640</v>
      </c>
      <c r="C4759">
        <v>226385640</v>
      </c>
    </row>
    <row r="4760" spans="1:3">
      <c r="A4760">
        <v>4759</v>
      </c>
      <c r="B4760">
        <v>226480810</v>
      </c>
      <c r="C4760">
        <v>226480810</v>
      </c>
    </row>
    <row r="4761" spans="1:3">
      <c r="A4761">
        <v>4760</v>
      </c>
      <c r="B4761">
        <v>226576000</v>
      </c>
      <c r="C4761">
        <v>226576000</v>
      </c>
    </row>
    <row r="4762" spans="1:3">
      <c r="A4762">
        <v>4761</v>
      </c>
      <c r="B4762">
        <v>226671210</v>
      </c>
      <c r="C4762">
        <v>226671210</v>
      </c>
    </row>
    <row r="4763" spans="1:3">
      <c r="A4763">
        <v>4762</v>
      </c>
      <c r="B4763">
        <v>226766440</v>
      </c>
      <c r="C4763">
        <v>226766440</v>
      </c>
    </row>
    <row r="4764" spans="1:3">
      <c r="A4764">
        <v>4763</v>
      </c>
      <c r="B4764">
        <v>226861690</v>
      </c>
      <c r="C4764">
        <v>226861690</v>
      </c>
    </row>
    <row r="4765" spans="1:3">
      <c r="A4765">
        <v>4764</v>
      </c>
      <c r="B4765">
        <v>226956960</v>
      </c>
      <c r="C4765">
        <v>226956960</v>
      </c>
    </row>
    <row r="4766" spans="1:3">
      <c r="A4766">
        <v>4765</v>
      </c>
      <c r="B4766">
        <v>227052250</v>
      </c>
      <c r="C4766">
        <v>227052250</v>
      </c>
    </row>
    <row r="4767" spans="1:3">
      <c r="A4767">
        <v>4766</v>
      </c>
      <c r="B4767">
        <v>227147560</v>
      </c>
      <c r="C4767">
        <v>227147560</v>
      </c>
    </row>
    <row r="4768" spans="1:3">
      <c r="A4768">
        <v>4767</v>
      </c>
      <c r="B4768">
        <v>227242890</v>
      </c>
      <c r="C4768">
        <v>227242890</v>
      </c>
    </row>
    <row r="4769" spans="1:3">
      <c r="A4769">
        <v>4768</v>
      </c>
      <c r="B4769">
        <v>227338240</v>
      </c>
      <c r="C4769">
        <v>227338240</v>
      </c>
    </row>
    <row r="4770" spans="1:3">
      <c r="A4770">
        <v>4769</v>
      </c>
      <c r="B4770">
        <v>227433610</v>
      </c>
      <c r="C4770">
        <v>227433610</v>
      </c>
    </row>
    <row r="4771" spans="1:3">
      <c r="A4771">
        <v>4770</v>
      </c>
      <c r="B4771">
        <v>227529000</v>
      </c>
      <c r="C4771">
        <v>227529000</v>
      </c>
    </row>
    <row r="4772" spans="1:3">
      <c r="A4772">
        <v>4771</v>
      </c>
      <c r="B4772">
        <v>227624410</v>
      </c>
      <c r="C4772">
        <v>227624410</v>
      </c>
    </row>
    <row r="4773" spans="1:3">
      <c r="A4773">
        <v>4772</v>
      </c>
      <c r="B4773">
        <v>227719840</v>
      </c>
      <c r="C4773">
        <v>227719840</v>
      </c>
    </row>
    <row r="4774" spans="1:3">
      <c r="A4774">
        <v>4773</v>
      </c>
      <c r="B4774">
        <v>227815290</v>
      </c>
      <c r="C4774">
        <v>227815290</v>
      </c>
    </row>
    <row r="4775" spans="1:3">
      <c r="A4775">
        <v>4774</v>
      </c>
      <c r="B4775">
        <v>227910760</v>
      </c>
      <c r="C4775">
        <v>227910760</v>
      </c>
    </row>
    <row r="4776" spans="1:3">
      <c r="A4776">
        <v>4775</v>
      </c>
      <c r="B4776">
        <v>228006250</v>
      </c>
      <c r="C4776">
        <v>228006250</v>
      </c>
    </row>
    <row r="4777" spans="1:3">
      <c r="A4777">
        <v>4776</v>
      </c>
      <c r="B4777">
        <v>228101760</v>
      </c>
      <c r="C4777">
        <v>228101760</v>
      </c>
    </row>
    <row r="4778" spans="1:3">
      <c r="A4778">
        <v>4777</v>
      </c>
      <c r="B4778">
        <v>228197290</v>
      </c>
      <c r="C4778">
        <v>228197290</v>
      </c>
    </row>
    <row r="4779" spans="1:3">
      <c r="A4779">
        <v>4778</v>
      </c>
      <c r="B4779">
        <v>228292840</v>
      </c>
      <c r="C4779">
        <v>228292840</v>
      </c>
    </row>
    <row r="4780" spans="1:3">
      <c r="A4780">
        <v>4779</v>
      </c>
      <c r="B4780">
        <v>228388410</v>
      </c>
      <c r="C4780">
        <v>228388410</v>
      </c>
    </row>
    <row r="4781" spans="1:3">
      <c r="A4781">
        <v>4780</v>
      </c>
      <c r="B4781">
        <v>228484000</v>
      </c>
      <c r="C4781">
        <v>228484000</v>
      </c>
    </row>
    <row r="4782" spans="1:3">
      <c r="A4782">
        <v>4781</v>
      </c>
      <c r="B4782">
        <v>228579610</v>
      </c>
      <c r="C4782">
        <v>228579610</v>
      </c>
    </row>
    <row r="4783" spans="1:3">
      <c r="A4783">
        <v>4782</v>
      </c>
      <c r="B4783">
        <v>228675240</v>
      </c>
      <c r="C4783">
        <v>228675240</v>
      </c>
    </row>
    <row r="4784" spans="1:3">
      <c r="A4784">
        <v>4783</v>
      </c>
      <c r="B4784">
        <v>228770890</v>
      </c>
      <c r="C4784">
        <v>228770890</v>
      </c>
    </row>
    <row r="4785" spans="1:3">
      <c r="A4785">
        <v>4784</v>
      </c>
      <c r="B4785">
        <v>228866560</v>
      </c>
      <c r="C4785">
        <v>228866560</v>
      </c>
    </row>
    <row r="4786" spans="1:3">
      <c r="A4786">
        <v>4785</v>
      </c>
      <c r="B4786">
        <v>228962250</v>
      </c>
      <c r="C4786">
        <v>228962250</v>
      </c>
    </row>
    <row r="4787" spans="1:3">
      <c r="A4787">
        <v>4786</v>
      </c>
      <c r="B4787">
        <v>229057960</v>
      </c>
      <c r="C4787">
        <v>229057960</v>
      </c>
    </row>
    <row r="4788" spans="1:3">
      <c r="A4788">
        <v>4787</v>
      </c>
      <c r="B4788">
        <v>229153690</v>
      </c>
      <c r="C4788">
        <v>229153690</v>
      </c>
    </row>
    <row r="4789" spans="1:3">
      <c r="A4789">
        <v>4788</v>
      </c>
      <c r="B4789">
        <v>229249440</v>
      </c>
      <c r="C4789">
        <v>229249440</v>
      </c>
    </row>
    <row r="4790" spans="1:3">
      <c r="A4790">
        <v>4789</v>
      </c>
      <c r="B4790">
        <v>229345210</v>
      </c>
      <c r="C4790">
        <v>229345210</v>
      </c>
    </row>
    <row r="4791" spans="1:3">
      <c r="A4791">
        <v>4790</v>
      </c>
      <c r="B4791">
        <v>229441000</v>
      </c>
      <c r="C4791">
        <v>229441000</v>
      </c>
    </row>
    <row r="4792" spans="1:3">
      <c r="A4792">
        <v>4791</v>
      </c>
      <c r="B4792">
        <v>229536810</v>
      </c>
      <c r="C4792">
        <v>229536810</v>
      </c>
    </row>
    <row r="4793" spans="1:3">
      <c r="A4793">
        <v>4792</v>
      </c>
      <c r="B4793">
        <v>229632640</v>
      </c>
      <c r="C4793">
        <v>229632640</v>
      </c>
    </row>
    <row r="4794" spans="1:3">
      <c r="A4794">
        <v>4793</v>
      </c>
      <c r="B4794">
        <v>229728490</v>
      </c>
      <c r="C4794">
        <v>229728490</v>
      </c>
    </row>
    <row r="4795" spans="1:3">
      <c r="A4795">
        <v>4794</v>
      </c>
      <c r="B4795">
        <v>229824360</v>
      </c>
      <c r="C4795">
        <v>229824360</v>
      </c>
    </row>
    <row r="4796" spans="1:3">
      <c r="A4796">
        <v>4795</v>
      </c>
      <c r="B4796">
        <v>229920250</v>
      </c>
      <c r="C4796">
        <v>229920250</v>
      </c>
    </row>
    <row r="4797" spans="1:3">
      <c r="A4797">
        <v>4796</v>
      </c>
      <c r="B4797">
        <v>230016160</v>
      </c>
      <c r="C4797">
        <v>230016160</v>
      </c>
    </row>
    <row r="4798" spans="1:3">
      <c r="A4798">
        <v>4797</v>
      </c>
      <c r="B4798">
        <v>230112090</v>
      </c>
      <c r="C4798">
        <v>230112090</v>
      </c>
    </row>
    <row r="4799" spans="1:3">
      <c r="A4799">
        <v>4798</v>
      </c>
      <c r="B4799">
        <v>230208040</v>
      </c>
      <c r="C4799">
        <v>230208040</v>
      </c>
    </row>
    <row r="4800" spans="1:3">
      <c r="A4800">
        <v>4799</v>
      </c>
      <c r="B4800">
        <v>230304010</v>
      </c>
      <c r="C4800">
        <v>230304010</v>
      </c>
    </row>
    <row r="4801" spans="1:3">
      <c r="A4801">
        <v>4800</v>
      </c>
      <c r="B4801">
        <v>230400000</v>
      </c>
      <c r="C4801">
        <v>230400000</v>
      </c>
    </row>
    <row r="4802" spans="1:3">
      <c r="A4802">
        <v>4801</v>
      </c>
      <c r="B4802">
        <v>230496010</v>
      </c>
      <c r="C4802">
        <v>230496010</v>
      </c>
    </row>
    <row r="4803" spans="1:3">
      <c r="A4803">
        <v>4802</v>
      </c>
      <c r="B4803">
        <v>230592040</v>
      </c>
      <c r="C4803">
        <v>230592040</v>
      </c>
    </row>
    <row r="4804" spans="1:3">
      <c r="A4804">
        <v>4803</v>
      </c>
      <c r="B4804">
        <v>230688090</v>
      </c>
      <c r="C4804">
        <v>230688090</v>
      </c>
    </row>
    <row r="4805" spans="1:3">
      <c r="A4805">
        <v>4804</v>
      </c>
      <c r="B4805">
        <v>230784160</v>
      </c>
      <c r="C4805">
        <v>230784160</v>
      </c>
    </row>
    <row r="4806" spans="1:3">
      <c r="A4806">
        <v>4805</v>
      </c>
      <c r="B4806">
        <v>230880250</v>
      </c>
      <c r="C4806">
        <v>230880250</v>
      </c>
    </row>
    <row r="4807" spans="1:3">
      <c r="A4807">
        <v>4806</v>
      </c>
      <c r="B4807">
        <v>230976360</v>
      </c>
      <c r="C4807">
        <v>230976360</v>
      </c>
    </row>
    <row r="4808" spans="1:3">
      <c r="A4808">
        <v>4807</v>
      </c>
      <c r="B4808">
        <v>231072490</v>
      </c>
      <c r="C4808">
        <v>231072490</v>
      </c>
    </row>
    <row r="4809" spans="1:3">
      <c r="A4809">
        <v>4808</v>
      </c>
      <c r="B4809">
        <v>231168640</v>
      </c>
      <c r="C4809">
        <v>231168640</v>
      </c>
    </row>
    <row r="4810" spans="1:3">
      <c r="A4810">
        <v>4809</v>
      </c>
      <c r="B4810">
        <v>231264810</v>
      </c>
      <c r="C4810">
        <v>231264810</v>
      </c>
    </row>
    <row r="4811" spans="1:3">
      <c r="A4811">
        <v>4810</v>
      </c>
      <c r="B4811">
        <v>231361000</v>
      </c>
      <c r="C4811">
        <v>231361000</v>
      </c>
    </row>
    <row r="4812" spans="1:3">
      <c r="A4812">
        <v>4811</v>
      </c>
      <c r="B4812">
        <v>231457210</v>
      </c>
      <c r="C4812">
        <v>231457210</v>
      </c>
    </row>
    <row r="4813" spans="1:3">
      <c r="A4813">
        <v>4812</v>
      </c>
      <c r="B4813">
        <v>231553440</v>
      </c>
      <c r="C4813">
        <v>231553440</v>
      </c>
    </row>
    <row r="4814" spans="1:3">
      <c r="A4814">
        <v>4813</v>
      </c>
      <c r="B4814">
        <v>231649690</v>
      </c>
      <c r="C4814">
        <v>231649690</v>
      </c>
    </row>
    <row r="4815" spans="1:3">
      <c r="A4815">
        <v>4814</v>
      </c>
      <c r="B4815">
        <v>231745960</v>
      </c>
      <c r="C4815">
        <v>231745960</v>
      </c>
    </row>
    <row r="4816" spans="1:3">
      <c r="A4816">
        <v>4815</v>
      </c>
      <c r="B4816">
        <v>231842250</v>
      </c>
      <c r="C4816">
        <v>231842250</v>
      </c>
    </row>
    <row r="4817" spans="1:3">
      <c r="A4817">
        <v>4816</v>
      </c>
      <c r="B4817">
        <v>231938560</v>
      </c>
      <c r="C4817">
        <v>231938560</v>
      </c>
    </row>
    <row r="4818" spans="1:3">
      <c r="A4818">
        <v>4817</v>
      </c>
      <c r="B4818">
        <v>232034890</v>
      </c>
      <c r="C4818">
        <v>232034890</v>
      </c>
    </row>
    <row r="4819" spans="1:3">
      <c r="A4819">
        <v>4818</v>
      </c>
      <c r="B4819">
        <v>232131240</v>
      </c>
      <c r="C4819">
        <v>232131240</v>
      </c>
    </row>
    <row r="4820" spans="1:3">
      <c r="A4820">
        <v>4819</v>
      </c>
      <c r="B4820">
        <v>232227610</v>
      </c>
      <c r="C4820">
        <v>232227610</v>
      </c>
    </row>
    <row r="4821" spans="1:3">
      <c r="A4821">
        <v>4820</v>
      </c>
      <c r="B4821">
        <v>232324000</v>
      </c>
      <c r="C4821">
        <v>232324000</v>
      </c>
    </row>
    <row r="4822" spans="1:3">
      <c r="A4822">
        <v>4821</v>
      </c>
      <c r="B4822">
        <v>232420410</v>
      </c>
      <c r="C4822">
        <v>232420410</v>
      </c>
    </row>
    <row r="4823" spans="1:3">
      <c r="A4823">
        <v>4822</v>
      </c>
      <c r="B4823">
        <v>232516840</v>
      </c>
      <c r="C4823">
        <v>232516840</v>
      </c>
    </row>
    <row r="4824" spans="1:3">
      <c r="A4824">
        <v>4823</v>
      </c>
      <c r="B4824">
        <v>232613290</v>
      </c>
      <c r="C4824">
        <v>232613290</v>
      </c>
    </row>
    <row r="4825" spans="1:3">
      <c r="A4825">
        <v>4824</v>
      </c>
      <c r="B4825">
        <v>232709760</v>
      </c>
      <c r="C4825">
        <v>232709760</v>
      </c>
    </row>
    <row r="4826" spans="1:3">
      <c r="A4826">
        <v>4825</v>
      </c>
      <c r="B4826">
        <v>232806250</v>
      </c>
      <c r="C4826">
        <v>232806250</v>
      </c>
    </row>
    <row r="4827" spans="1:3">
      <c r="A4827">
        <v>4826</v>
      </c>
      <c r="B4827">
        <v>232902760</v>
      </c>
      <c r="C4827">
        <v>232902760</v>
      </c>
    </row>
    <row r="4828" spans="1:3">
      <c r="A4828">
        <v>4827</v>
      </c>
      <c r="B4828">
        <v>232999290</v>
      </c>
      <c r="C4828">
        <v>232999290</v>
      </c>
    </row>
    <row r="4829" spans="1:3">
      <c r="A4829">
        <v>4828</v>
      </c>
      <c r="B4829">
        <v>233095840</v>
      </c>
      <c r="C4829">
        <v>233095840</v>
      </c>
    </row>
    <row r="4830" spans="1:3">
      <c r="A4830">
        <v>4829</v>
      </c>
      <c r="B4830">
        <v>233192410</v>
      </c>
      <c r="C4830">
        <v>233192410</v>
      </c>
    </row>
    <row r="4831" spans="1:3">
      <c r="A4831">
        <v>4830</v>
      </c>
      <c r="B4831">
        <v>233289000</v>
      </c>
      <c r="C4831">
        <v>233289000</v>
      </c>
    </row>
    <row r="4832" spans="1:3">
      <c r="A4832">
        <v>4831</v>
      </c>
      <c r="B4832">
        <v>233385610</v>
      </c>
      <c r="C4832">
        <v>233385610</v>
      </c>
    </row>
    <row r="4833" spans="1:3">
      <c r="A4833">
        <v>4832</v>
      </c>
      <c r="B4833">
        <v>233482240</v>
      </c>
      <c r="C4833">
        <v>233482240</v>
      </c>
    </row>
    <row r="4834" spans="1:3">
      <c r="A4834">
        <v>4833</v>
      </c>
      <c r="B4834">
        <v>233578890</v>
      </c>
      <c r="C4834">
        <v>233578890</v>
      </c>
    </row>
    <row r="4835" spans="1:3">
      <c r="A4835">
        <v>4834</v>
      </c>
      <c r="B4835">
        <v>233675560</v>
      </c>
      <c r="C4835">
        <v>233675560</v>
      </c>
    </row>
    <row r="4836" spans="1:3">
      <c r="A4836">
        <v>4835</v>
      </c>
      <c r="B4836">
        <v>233772250</v>
      </c>
      <c r="C4836">
        <v>233772250</v>
      </c>
    </row>
    <row r="4837" spans="1:3">
      <c r="A4837">
        <v>4836</v>
      </c>
      <c r="B4837">
        <v>233868960</v>
      </c>
      <c r="C4837">
        <v>233868960</v>
      </c>
    </row>
    <row r="4838" spans="1:3">
      <c r="A4838">
        <v>4837</v>
      </c>
      <c r="B4838">
        <v>233965690</v>
      </c>
      <c r="C4838">
        <v>233965690</v>
      </c>
    </row>
    <row r="4839" spans="1:3">
      <c r="A4839">
        <v>4838</v>
      </c>
      <c r="B4839">
        <v>234062440</v>
      </c>
      <c r="C4839">
        <v>234062440</v>
      </c>
    </row>
    <row r="4840" spans="1:3">
      <c r="A4840">
        <v>4839</v>
      </c>
      <c r="B4840">
        <v>234159210</v>
      </c>
      <c r="C4840">
        <v>234159210</v>
      </c>
    </row>
    <row r="4841" spans="1:3">
      <c r="A4841">
        <v>4840</v>
      </c>
      <c r="B4841">
        <v>234256000</v>
      </c>
      <c r="C4841">
        <v>234256000</v>
      </c>
    </row>
    <row r="4842" spans="1:3">
      <c r="A4842">
        <v>4841</v>
      </c>
      <c r="B4842">
        <v>234352810</v>
      </c>
      <c r="C4842">
        <v>234352810</v>
      </c>
    </row>
    <row r="4843" spans="1:3">
      <c r="A4843">
        <v>4842</v>
      </c>
      <c r="B4843">
        <v>234449640</v>
      </c>
      <c r="C4843">
        <v>234449640</v>
      </c>
    </row>
    <row r="4844" spans="1:3">
      <c r="A4844">
        <v>4843</v>
      </c>
      <c r="B4844">
        <v>234546490</v>
      </c>
      <c r="C4844">
        <v>234546490</v>
      </c>
    </row>
    <row r="4845" spans="1:3">
      <c r="A4845">
        <v>4844</v>
      </c>
      <c r="B4845">
        <v>234643360</v>
      </c>
      <c r="C4845">
        <v>234643360</v>
      </c>
    </row>
    <row r="4846" spans="1:3">
      <c r="A4846">
        <v>4845</v>
      </c>
      <c r="B4846">
        <v>234740250</v>
      </c>
      <c r="C4846">
        <v>234740250</v>
      </c>
    </row>
    <row r="4847" spans="1:3">
      <c r="A4847">
        <v>4846</v>
      </c>
      <c r="B4847">
        <v>234837160</v>
      </c>
      <c r="C4847">
        <v>234837160</v>
      </c>
    </row>
    <row r="4848" spans="1:3">
      <c r="A4848">
        <v>4847</v>
      </c>
      <c r="B4848">
        <v>234934090</v>
      </c>
      <c r="C4848">
        <v>234934090</v>
      </c>
    </row>
    <row r="4849" spans="1:3">
      <c r="A4849">
        <v>4848</v>
      </c>
      <c r="B4849">
        <v>235031040</v>
      </c>
      <c r="C4849">
        <v>235031040</v>
      </c>
    </row>
    <row r="4850" spans="1:3">
      <c r="A4850">
        <v>4849</v>
      </c>
      <c r="B4850">
        <v>235128010</v>
      </c>
      <c r="C4850">
        <v>235128010</v>
      </c>
    </row>
    <row r="4851" spans="1:3">
      <c r="A4851">
        <v>4850</v>
      </c>
      <c r="B4851">
        <v>235225000</v>
      </c>
      <c r="C4851">
        <v>235225000</v>
      </c>
    </row>
    <row r="4852" spans="1:3">
      <c r="A4852">
        <v>4851</v>
      </c>
      <c r="B4852">
        <v>235322010</v>
      </c>
      <c r="C4852">
        <v>235322010</v>
      </c>
    </row>
    <row r="4853" spans="1:3">
      <c r="A4853">
        <v>4852</v>
      </c>
      <c r="B4853">
        <v>235419040</v>
      </c>
      <c r="C4853">
        <v>235419040</v>
      </c>
    </row>
    <row r="4854" spans="1:3">
      <c r="A4854">
        <v>4853</v>
      </c>
      <c r="B4854">
        <v>235516090</v>
      </c>
      <c r="C4854">
        <v>235516090</v>
      </c>
    </row>
    <row r="4855" spans="1:3">
      <c r="A4855">
        <v>4854</v>
      </c>
      <c r="B4855">
        <v>235613160</v>
      </c>
      <c r="C4855">
        <v>235613160</v>
      </c>
    </row>
    <row r="4856" spans="1:3">
      <c r="A4856">
        <v>4855</v>
      </c>
      <c r="B4856">
        <v>235710250</v>
      </c>
      <c r="C4856">
        <v>235710250</v>
      </c>
    </row>
    <row r="4857" spans="1:3">
      <c r="A4857">
        <v>4856</v>
      </c>
      <c r="B4857">
        <v>235807360</v>
      </c>
      <c r="C4857">
        <v>235807360</v>
      </c>
    </row>
    <row r="4858" spans="1:3">
      <c r="A4858">
        <v>4857</v>
      </c>
      <c r="B4858">
        <v>235904490</v>
      </c>
      <c r="C4858">
        <v>235904490</v>
      </c>
    </row>
    <row r="4859" spans="1:3">
      <c r="A4859">
        <v>4858</v>
      </c>
      <c r="B4859">
        <v>236001640</v>
      </c>
      <c r="C4859">
        <v>236001640</v>
      </c>
    </row>
    <row r="4860" spans="1:3">
      <c r="A4860">
        <v>4859</v>
      </c>
      <c r="B4860">
        <v>236098810</v>
      </c>
      <c r="C4860">
        <v>236098810</v>
      </c>
    </row>
    <row r="4861" spans="1:3">
      <c r="A4861">
        <v>4860</v>
      </c>
      <c r="B4861">
        <v>236196000</v>
      </c>
      <c r="C4861">
        <v>236196000</v>
      </c>
    </row>
    <row r="4862" spans="1:3">
      <c r="A4862">
        <v>4861</v>
      </c>
      <c r="B4862">
        <v>236293210</v>
      </c>
      <c r="C4862">
        <v>236293210</v>
      </c>
    </row>
    <row r="4863" spans="1:3">
      <c r="A4863">
        <v>4862</v>
      </c>
      <c r="B4863">
        <v>236390440</v>
      </c>
      <c r="C4863">
        <v>236390440</v>
      </c>
    </row>
    <row r="4864" spans="1:3">
      <c r="A4864">
        <v>4863</v>
      </c>
      <c r="B4864">
        <v>236487690</v>
      </c>
      <c r="C4864">
        <v>236487690</v>
      </c>
    </row>
    <row r="4865" spans="1:3">
      <c r="A4865">
        <v>4864</v>
      </c>
      <c r="B4865">
        <v>236584960</v>
      </c>
      <c r="C4865">
        <v>236584960</v>
      </c>
    </row>
    <row r="4866" spans="1:3">
      <c r="A4866">
        <v>4865</v>
      </c>
      <c r="B4866">
        <v>236682250</v>
      </c>
      <c r="C4866">
        <v>236682250</v>
      </c>
    </row>
    <row r="4867" spans="1:3">
      <c r="A4867">
        <v>4866</v>
      </c>
      <c r="B4867">
        <v>236779560</v>
      </c>
      <c r="C4867">
        <v>236779560</v>
      </c>
    </row>
    <row r="4868" spans="1:3">
      <c r="A4868">
        <v>4867</v>
      </c>
      <c r="B4868">
        <v>236876890</v>
      </c>
      <c r="C4868">
        <v>236876890</v>
      </c>
    </row>
    <row r="4869" spans="1:3">
      <c r="A4869">
        <v>4868</v>
      </c>
      <c r="B4869">
        <v>236974240</v>
      </c>
      <c r="C4869">
        <v>236974240</v>
      </c>
    </row>
    <row r="4870" spans="1:3">
      <c r="A4870">
        <v>4869</v>
      </c>
      <c r="B4870">
        <v>237071610</v>
      </c>
      <c r="C4870">
        <v>237071610</v>
      </c>
    </row>
    <row r="4871" spans="1:3">
      <c r="A4871">
        <v>4870</v>
      </c>
      <c r="B4871">
        <v>237169000</v>
      </c>
      <c r="C4871">
        <v>237169000</v>
      </c>
    </row>
    <row r="4872" spans="1:3">
      <c r="A4872">
        <v>4871</v>
      </c>
      <c r="B4872">
        <v>237266410</v>
      </c>
      <c r="C4872">
        <v>237266410</v>
      </c>
    </row>
    <row r="4873" spans="1:3">
      <c r="A4873">
        <v>4872</v>
      </c>
      <c r="B4873">
        <v>237363840</v>
      </c>
      <c r="C4873">
        <v>237363840</v>
      </c>
    </row>
    <row r="4874" spans="1:3">
      <c r="A4874">
        <v>4873</v>
      </c>
      <c r="B4874">
        <v>237461290</v>
      </c>
      <c r="C4874">
        <v>237461290</v>
      </c>
    </row>
    <row r="4875" spans="1:3">
      <c r="A4875">
        <v>4874</v>
      </c>
      <c r="B4875">
        <v>237558760</v>
      </c>
      <c r="C4875">
        <v>237558760</v>
      </c>
    </row>
    <row r="4876" spans="1:3">
      <c r="A4876">
        <v>4875</v>
      </c>
      <c r="B4876">
        <v>237656250</v>
      </c>
      <c r="C4876">
        <v>237656250</v>
      </c>
    </row>
    <row r="4877" spans="1:3">
      <c r="A4877">
        <v>4876</v>
      </c>
      <c r="B4877">
        <v>237753760</v>
      </c>
      <c r="C4877">
        <v>237753760</v>
      </c>
    </row>
    <row r="4878" spans="1:3">
      <c r="A4878">
        <v>4877</v>
      </c>
      <c r="B4878">
        <v>237851290</v>
      </c>
      <c r="C4878">
        <v>237851290</v>
      </c>
    </row>
    <row r="4879" spans="1:3">
      <c r="A4879">
        <v>4878</v>
      </c>
      <c r="B4879">
        <v>237948840</v>
      </c>
      <c r="C4879">
        <v>237948840</v>
      </c>
    </row>
    <row r="4880" spans="1:3">
      <c r="A4880">
        <v>4879</v>
      </c>
      <c r="B4880">
        <v>238046410</v>
      </c>
      <c r="C4880">
        <v>238046410</v>
      </c>
    </row>
    <row r="4881" spans="1:3">
      <c r="A4881">
        <v>4880</v>
      </c>
      <c r="B4881">
        <v>238144000</v>
      </c>
      <c r="C4881">
        <v>238144000</v>
      </c>
    </row>
    <row r="4882" spans="1:3">
      <c r="A4882">
        <v>4881</v>
      </c>
      <c r="B4882">
        <v>238241610</v>
      </c>
      <c r="C4882">
        <v>238241610</v>
      </c>
    </row>
    <row r="4883" spans="1:3">
      <c r="A4883">
        <v>4882</v>
      </c>
      <c r="B4883">
        <v>238339240</v>
      </c>
      <c r="C4883">
        <v>238339240</v>
      </c>
    </row>
    <row r="4884" spans="1:3">
      <c r="A4884">
        <v>4883</v>
      </c>
      <c r="B4884">
        <v>238436890</v>
      </c>
      <c r="C4884">
        <v>238436890</v>
      </c>
    </row>
    <row r="4885" spans="1:3">
      <c r="A4885">
        <v>4884</v>
      </c>
      <c r="B4885">
        <v>238534560</v>
      </c>
      <c r="C4885">
        <v>238534560</v>
      </c>
    </row>
    <row r="4886" spans="1:3">
      <c r="A4886">
        <v>4885</v>
      </c>
      <c r="B4886">
        <v>238632250</v>
      </c>
      <c r="C4886">
        <v>238632250</v>
      </c>
    </row>
    <row r="4887" spans="1:3">
      <c r="A4887">
        <v>4886</v>
      </c>
      <c r="B4887">
        <v>238729960</v>
      </c>
      <c r="C4887">
        <v>238729960</v>
      </c>
    </row>
    <row r="4888" spans="1:3">
      <c r="A4888">
        <v>4887</v>
      </c>
      <c r="B4888">
        <v>238827690</v>
      </c>
      <c r="C4888">
        <v>238827690</v>
      </c>
    </row>
    <row r="4889" spans="1:3">
      <c r="A4889">
        <v>4888</v>
      </c>
      <c r="B4889">
        <v>238925440</v>
      </c>
      <c r="C4889">
        <v>238925440</v>
      </c>
    </row>
    <row r="4890" spans="1:3">
      <c r="A4890">
        <v>4889</v>
      </c>
      <c r="B4890">
        <v>239023210</v>
      </c>
      <c r="C4890">
        <v>239023210</v>
      </c>
    </row>
    <row r="4891" spans="1:3">
      <c r="A4891">
        <v>4890</v>
      </c>
      <c r="B4891">
        <v>239121000</v>
      </c>
      <c r="C4891">
        <v>239121000</v>
      </c>
    </row>
    <row r="4892" spans="1:3">
      <c r="A4892">
        <v>4891</v>
      </c>
      <c r="B4892">
        <v>239218810</v>
      </c>
      <c r="C4892">
        <v>239218810</v>
      </c>
    </row>
    <row r="4893" spans="1:3">
      <c r="A4893">
        <v>4892</v>
      </c>
      <c r="B4893">
        <v>239316640</v>
      </c>
      <c r="C4893">
        <v>239316640</v>
      </c>
    </row>
    <row r="4894" spans="1:3">
      <c r="A4894">
        <v>4893</v>
      </c>
      <c r="B4894">
        <v>239414490</v>
      </c>
      <c r="C4894">
        <v>239414490</v>
      </c>
    </row>
    <row r="4895" spans="1:3">
      <c r="A4895">
        <v>4894</v>
      </c>
      <c r="B4895">
        <v>239512360</v>
      </c>
      <c r="C4895">
        <v>239512360</v>
      </c>
    </row>
    <row r="4896" spans="1:3">
      <c r="A4896">
        <v>4895</v>
      </c>
      <c r="B4896">
        <v>239610250</v>
      </c>
      <c r="C4896">
        <v>239610250</v>
      </c>
    </row>
    <row r="4897" spans="1:3">
      <c r="A4897">
        <v>4896</v>
      </c>
      <c r="B4897">
        <v>239708160</v>
      </c>
      <c r="C4897">
        <v>239708160</v>
      </c>
    </row>
    <row r="4898" spans="1:3">
      <c r="A4898">
        <v>4897</v>
      </c>
      <c r="B4898">
        <v>239806090</v>
      </c>
      <c r="C4898">
        <v>239806090</v>
      </c>
    </row>
    <row r="4899" spans="1:3">
      <c r="A4899">
        <v>4898</v>
      </c>
      <c r="B4899">
        <v>239904040</v>
      </c>
      <c r="C4899">
        <v>239904040</v>
      </c>
    </row>
    <row r="4900" spans="1:3">
      <c r="A4900">
        <v>4899</v>
      </c>
      <c r="B4900">
        <v>240002010</v>
      </c>
      <c r="C4900">
        <v>240002010</v>
      </c>
    </row>
    <row r="4901" spans="1:3">
      <c r="A4901">
        <v>4900</v>
      </c>
      <c r="B4901">
        <v>240100000</v>
      </c>
      <c r="C4901">
        <v>240100000</v>
      </c>
    </row>
    <row r="4902" spans="1:3">
      <c r="A4902">
        <v>4901</v>
      </c>
      <c r="B4902">
        <v>240198010</v>
      </c>
      <c r="C4902">
        <v>240198010</v>
      </c>
    </row>
    <row r="4903" spans="1:3">
      <c r="A4903">
        <v>4902</v>
      </c>
      <c r="B4903">
        <v>240296040</v>
      </c>
      <c r="C4903">
        <v>240296040</v>
      </c>
    </row>
    <row r="4904" spans="1:3">
      <c r="A4904">
        <v>4903</v>
      </c>
      <c r="B4904">
        <v>240394090</v>
      </c>
      <c r="C4904">
        <v>240394090</v>
      </c>
    </row>
    <row r="4905" spans="1:3">
      <c r="A4905">
        <v>4904</v>
      </c>
      <c r="B4905">
        <v>240492160</v>
      </c>
      <c r="C4905">
        <v>240492160</v>
      </c>
    </row>
    <row r="4906" spans="1:3">
      <c r="A4906">
        <v>4905</v>
      </c>
      <c r="B4906">
        <v>240590250</v>
      </c>
      <c r="C4906">
        <v>240590250</v>
      </c>
    </row>
    <row r="4907" spans="1:3">
      <c r="A4907">
        <v>4906</v>
      </c>
      <c r="B4907">
        <v>240688360</v>
      </c>
      <c r="C4907">
        <v>240688360</v>
      </c>
    </row>
    <row r="4908" spans="1:3">
      <c r="A4908">
        <v>4907</v>
      </c>
      <c r="B4908">
        <v>240786490</v>
      </c>
      <c r="C4908">
        <v>240786490</v>
      </c>
    </row>
    <row r="4909" spans="1:3">
      <c r="A4909">
        <v>4908</v>
      </c>
      <c r="B4909">
        <v>240884640</v>
      </c>
      <c r="C4909">
        <v>240884640</v>
      </c>
    </row>
    <row r="4910" spans="1:3">
      <c r="A4910">
        <v>4909</v>
      </c>
      <c r="B4910">
        <v>240982810</v>
      </c>
      <c r="C4910">
        <v>240982810</v>
      </c>
    </row>
    <row r="4911" spans="1:3">
      <c r="A4911">
        <v>4910</v>
      </c>
      <c r="B4911">
        <v>241081000</v>
      </c>
      <c r="C4911">
        <v>241081000</v>
      </c>
    </row>
    <row r="4912" spans="1:3">
      <c r="A4912">
        <v>4911</v>
      </c>
      <c r="B4912">
        <v>241179210</v>
      </c>
      <c r="C4912">
        <v>241179210</v>
      </c>
    </row>
    <row r="4913" spans="1:3">
      <c r="A4913">
        <v>4912</v>
      </c>
      <c r="B4913">
        <v>241277440</v>
      </c>
      <c r="C4913">
        <v>241277440</v>
      </c>
    </row>
    <row r="4914" spans="1:3">
      <c r="A4914">
        <v>4913</v>
      </c>
      <c r="B4914">
        <v>241375690</v>
      </c>
      <c r="C4914">
        <v>241375690</v>
      </c>
    </row>
    <row r="4915" spans="1:3">
      <c r="A4915">
        <v>4914</v>
      </c>
      <c r="B4915">
        <v>241473960</v>
      </c>
      <c r="C4915">
        <v>241473960</v>
      </c>
    </row>
    <row r="4916" spans="1:3">
      <c r="A4916">
        <v>4915</v>
      </c>
      <c r="B4916">
        <v>241572250</v>
      </c>
      <c r="C4916">
        <v>241572250</v>
      </c>
    </row>
    <row r="4917" spans="1:3">
      <c r="A4917">
        <v>4916</v>
      </c>
      <c r="B4917">
        <v>241670560</v>
      </c>
      <c r="C4917">
        <v>241670560</v>
      </c>
    </row>
    <row r="4918" spans="1:3">
      <c r="A4918">
        <v>4917</v>
      </c>
      <c r="B4918">
        <v>241768890</v>
      </c>
      <c r="C4918">
        <v>241768890</v>
      </c>
    </row>
    <row r="4919" spans="1:3">
      <c r="A4919">
        <v>4918</v>
      </c>
      <c r="B4919">
        <v>241867240</v>
      </c>
      <c r="C4919">
        <v>241867240</v>
      </c>
    </row>
    <row r="4920" spans="1:3">
      <c r="A4920">
        <v>4919</v>
      </c>
      <c r="B4920">
        <v>241965610</v>
      </c>
      <c r="C4920">
        <v>241965610</v>
      </c>
    </row>
    <row r="4921" spans="1:3">
      <c r="A4921">
        <v>4920</v>
      </c>
      <c r="B4921">
        <v>242064000</v>
      </c>
      <c r="C4921">
        <v>242064000</v>
      </c>
    </row>
    <row r="4922" spans="1:3">
      <c r="A4922">
        <v>4921</v>
      </c>
      <c r="B4922">
        <v>242162410</v>
      </c>
      <c r="C4922">
        <v>242162410</v>
      </c>
    </row>
    <row r="4923" spans="1:3">
      <c r="A4923">
        <v>4922</v>
      </c>
      <c r="B4923">
        <v>242260840</v>
      </c>
      <c r="C4923">
        <v>242260840</v>
      </c>
    </row>
    <row r="4924" spans="1:3">
      <c r="A4924">
        <v>4923</v>
      </c>
      <c r="B4924">
        <v>242359290</v>
      </c>
      <c r="C4924">
        <v>242359290</v>
      </c>
    </row>
    <row r="4925" spans="1:3">
      <c r="A4925">
        <v>4924</v>
      </c>
      <c r="B4925">
        <v>242457760</v>
      </c>
      <c r="C4925">
        <v>242457760</v>
      </c>
    </row>
    <row r="4926" spans="1:3">
      <c r="A4926">
        <v>4925</v>
      </c>
      <c r="B4926">
        <v>242556250</v>
      </c>
      <c r="C4926">
        <v>242556250</v>
      </c>
    </row>
    <row r="4927" spans="1:3">
      <c r="A4927">
        <v>4926</v>
      </c>
      <c r="B4927">
        <v>242654760</v>
      </c>
      <c r="C4927">
        <v>242654760</v>
      </c>
    </row>
    <row r="4928" spans="1:3">
      <c r="A4928">
        <v>4927</v>
      </c>
      <c r="B4928">
        <v>242753290</v>
      </c>
      <c r="C4928">
        <v>242753290</v>
      </c>
    </row>
    <row r="4929" spans="1:3">
      <c r="A4929">
        <v>4928</v>
      </c>
      <c r="B4929">
        <v>242851840</v>
      </c>
      <c r="C4929">
        <v>242851840</v>
      </c>
    </row>
    <row r="4930" spans="1:3">
      <c r="A4930">
        <v>4929</v>
      </c>
      <c r="B4930">
        <v>242950410</v>
      </c>
      <c r="C4930">
        <v>242950410</v>
      </c>
    </row>
    <row r="4931" spans="1:3">
      <c r="A4931">
        <v>4930</v>
      </c>
      <c r="B4931">
        <v>243049000</v>
      </c>
      <c r="C4931">
        <v>243049000</v>
      </c>
    </row>
    <row r="4932" spans="1:3">
      <c r="A4932">
        <v>4931</v>
      </c>
      <c r="B4932">
        <v>243147610</v>
      </c>
      <c r="C4932">
        <v>243147610</v>
      </c>
    </row>
    <row r="4933" spans="1:3">
      <c r="A4933">
        <v>4932</v>
      </c>
      <c r="B4933">
        <v>243246240</v>
      </c>
      <c r="C4933">
        <v>243246240</v>
      </c>
    </row>
    <row r="4934" spans="1:3">
      <c r="A4934">
        <v>4933</v>
      </c>
      <c r="B4934">
        <v>243344890</v>
      </c>
      <c r="C4934">
        <v>243344890</v>
      </c>
    </row>
    <row r="4935" spans="1:3">
      <c r="A4935">
        <v>4934</v>
      </c>
      <c r="B4935">
        <v>243443560</v>
      </c>
      <c r="C4935">
        <v>243443560</v>
      </c>
    </row>
    <row r="4936" spans="1:3">
      <c r="A4936">
        <v>4935</v>
      </c>
      <c r="B4936">
        <v>243542250</v>
      </c>
      <c r="C4936">
        <v>243542250</v>
      </c>
    </row>
    <row r="4937" spans="1:3">
      <c r="A4937">
        <v>4936</v>
      </c>
      <c r="B4937">
        <v>243640960</v>
      </c>
      <c r="C4937">
        <v>243640960</v>
      </c>
    </row>
    <row r="4938" spans="1:3">
      <c r="A4938">
        <v>4937</v>
      </c>
      <c r="B4938">
        <v>243739690</v>
      </c>
      <c r="C4938">
        <v>243739690</v>
      </c>
    </row>
    <row r="4939" spans="1:3">
      <c r="A4939">
        <v>4938</v>
      </c>
      <c r="B4939">
        <v>243838440</v>
      </c>
      <c r="C4939">
        <v>243838440</v>
      </c>
    </row>
    <row r="4940" spans="1:3">
      <c r="A4940">
        <v>4939</v>
      </c>
      <c r="B4940">
        <v>243937210</v>
      </c>
      <c r="C4940">
        <v>243937210</v>
      </c>
    </row>
    <row r="4941" spans="1:3">
      <c r="A4941">
        <v>4940</v>
      </c>
      <c r="B4941">
        <v>244036000</v>
      </c>
      <c r="C4941">
        <v>244036000</v>
      </c>
    </row>
    <row r="4942" spans="1:3">
      <c r="A4942">
        <v>4941</v>
      </c>
      <c r="B4942">
        <v>244134810</v>
      </c>
      <c r="C4942">
        <v>244134810</v>
      </c>
    </row>
    <row r="4943" spans="1:3">
      <c r="A4943">
        <v>4942</v>
      </c>
      <c r="B4943">
        <v>244233640</v>
      </c>
      <c r="C4943">
        <v>244233640</v>
      </c>
    </row>
    <row r="4944" spans="1:3">
      <c r="A4944">
        <v>4943</v>
      </c>
      <c r="B4944">
        <v>244332490</v>
      </c>
      <c r="C4944">
        <v>244332490</v>
      </c>
    </row>
    <row r="4945" spans="1:3">
      <c r="A4945">
        <v>4944</v>
      </c>
      <c r="B4945">
        <v>244431360</v>
      </c>
      <c r="C4945">
        <v>244431360</v>
      </c>
    </row>
    <row r="4946" spans="1:3">
      <c r="A4946">
        <v>4945</v>
      </c>
      <c r="B4946">
        <v>244530250</v>
      </c>
      <c r="C4946">
        <v>244530250</v>
      </c>
    </row>
    <row r="4947" spans="1:3">
      <c r="A4947">
        <v>4946</v>
      </c>
      <c r="B4947">
        <v>244629160</v>
      </c>
      <c r="C4947">
        <v>244629160</v>
      </c>
    </row>
    <row r="4948" spans="1:3">
      <c r="A4948">
        <v>4947</v>
      </c>
      <c r="B4948">
        <v>244728090</v>
      </c>
      <c r="C4948">
        <v>244728090</v>
      </c>
    </row>
    <row r="4949" spans="1:3">
      <c r="A4949">
        <v>4948</v>
      </c>
      <c r="B4949">
        <v>244827040</v>
      </c>
      <c r="C4949">
        <v>244827040</v>
      </c>
    </row>
    <row r="4950" spans="1:3">
      <c r="A4950">
        <v>4949</v>
      </c>
      <c r="B4950">
        <v>244926010</v>
      </c>
      <c r="C4950">
        <v>244926010</v>
      </c>
    </row>
    <row r="4951" spans="1:3">
      <c r="A4951">
        <v>4950</v>
      </c>
      <c r="B4951">
        <v>245025000</v>
      </c>
      <c r="C4951">
        <v>245025000</v>
      </c>
    </row>
    <row r="4952" spans="1:3">
      <c r="A4952">
        <v>4951</v>
      </c>
      <c r="B4952">
        <v>245124010</v>
      </c>
      <c r="C4952">
        <v>245124010</v>
      </c>
    </row>
    <row r="4953" spans="1:3">
      <c r="A4953">
        <v>4952</v>
      </c>
      <c r="B4953">
        <v>245223040</v>
      </c>
      <c r="C4953">
        <v>245223040</v>
      </c>
    </row>
    <row r="4954" spans="1:3">
      <c r="A4954">
        <v>4953</v>
      </c>
      <c r="B4954">
        <v>245322090</v>
      </c>
      <c r="C4954">
        <v>245322090</v>
      </c>
    </row>
    <row r="4955" spans="1:3">
      <c r="A4955">
        <v>4954</v>
      </c>
      <c r="B4955">
        <v>245421160</v>
      </c>
      <c r="C4955">
        <v>245421160</v>
      </c>
    </row>
    <row r="4956" spans="1:3">
      <c r="A4956">
        <v>4955</v>
      </c>
      <c r="B4956">
        <v>245520250</v>
      </c>
      <c r="C4956">
        <v>245520250</v>
      </c>
    </row>
    <row r="4957" spans="1:3">
      <c r="A4957">
        <v>4956</v>
      </c>
      <c r="B4957">
        <v>245619360</v>
      </c>
      <c r="C4957">
        <v>245619360</v>
      </c>
    </row>
    <row r="4958" spans="1:3">
      <c r="A4958">
        <v>4957</v>
      </c>
      <c r="B4958">
        <v>245718490</v>
      </c>
      <c r="C4958">
        <v>245718490</v>
      </c>
    </row>
    <row r="4959" spans="1:3">
      <c r="A4959">
        <v>4958</v>
      </c>
      <c r="B4959">
        <v>245817640</v>
      </c>
      <c r="C4959">
        <v>245817640</v>
      </c>
    </row>
    <row r="4960" spans="1:3">
      <c r="A4960">
        <v>4959</v>
      </c>
      <c r="B4960">
        <v>245916810</v>
      </c>
      <c r="C4960">
        <v>245916810</v>
      </c>
    </row>
    <row r="4961" spans="1:3">
      <c r="A4961">
        <v>4960</v>
      </c>
      <c r="B4961">
        <v>246016000</v>
      </c>
      <c r="C4961">
        <v>246016000</v>
      </c>
    </row>
    <row r="4962" spans="1:3">
      <c r="A4962">
        <v>4961</v>
      </c>
      <c r="B4962">
        <v>246115210</v>
      </c>
      <c r="C4962">
        <v>246115210</v>
      </c>
    </row>
    <row r="4963" spans="1:3">
      <c r="A4963">
        <v>4962</v>
      </c>
      <c r="B4963">
        <v>246214440</v>
      </c>
      <c r="C4963">
        <v>246214440</v>
      </c>
    </row>
    <row r="4964" spans="1:3">
      <c r="A4964">
        <v>4963</v>
      </c>
      <c r="B4964">
        <v>246313690</v>
      </c>
      <c r="C4964">
        <v>246313690</v>
      </c>
    </row>
    <row r="4965" spans="1:3">
      <c r="A4965">
        <v>4964</v>
      </c>
      <c r="B4965">
        <v>246412960</v>
      </c>
      <c r="C4965">
        <v>246412960</v>
      </c>
    </row>
    <row r="4966" spans="1:3">
      <c r="A4966">
        <v>4965</v>
      </c>
      <c r="B4966">
        <v>246512250</v>
      </c>
      <c r="C4966">
        <v>246512250</v>
      </c>
    </row>
    <row r="4967" spans="1:3">
      <c r="A4967">
        <v>4966</v>
      </c>
      <c r="B4967">
        <v>246611560</v>
      </c>
      <c r="C4967">
        <v>246611560</v>
      </c>
    </row>
    <row r="4968" spans="1:3">
      <c r="A4968">
        <v>4967</v>
      </c>
      <c r="B4968">
        <v>246710890</v>
      </c>
      <c r="C4968">
        <v>246710890</v>
      </c>
    </row>
    <row r="4969" spans="1:3">
      <c r="A4969">
        <v>4968</v>
      </c>
      <c r="B4969">
        <v>246810240</v>
      </c>
      <c r="C4969">
        <v>246810240</v>
      </c>
    </row>
    <row r="4970" spans="1:3">
      <c r="A4970">
        <v>4969</v>
      </c>
      <c r="B4970">
        <v>246909610</v>
      </c>
      <c r="C4970">
        <v>246909610</v>
      </c>
    </row>
    <row r="4971" spans="1:3">
      <c r="A4971">
        <v>4970</v>
      </c>
      <c r="B4971">
        <v>247009000</v>
      </c>
      <c r="C4971">
        <v>247009000</v>
      </c>
    </row>
    <row r="4972" spans="1:3">
      <c r="A4972">
        <v>4971</v>
      </c>
      <c r="B4972">
        <v>247108410</v>
      </c>
      <c r="C4972">
        <v>247108410</v>
      </c>
    </row>
    <row r="4973" spans="1:3">
      <c r="A4973">
        <v>4972</v>
      </c>
      <c r="B4973">
        <v>247207840</v>
      </c>
      <c r="C4973">
        <v>247207840</v>
      </c>
    </row>
    <row r="4974" spans="1:3">
      <c r="A4974">
        <v>4973</v>
      </c>
      <c r="B4974">
        <v>247307290</v>
      </c>
      <c r="C4974">
        <v>247307290</v>
      </c>
    </row>
    <row r="4975" spans="1:3">
      <c r="A4975">
        <v>4974</v>
      </c>
      <c r="B4975">
        <v>247406760</v>
      </c>
      <c r="C4975">
        <v>247406760</v>
      </c>
    </row>
    <row r="4976" spans="1:3">
      <c r="A4976">
        <v>4975</v>
      </c>
      <c r="B4976">
        <v>247506250</v>
      </c>
      <c r="C4976">
        <v>247506250</v>
      </c>
    </row>
    <row r="4977" spans="1:3">
      <c r="A4977">
        <v>4976</v>
      </c>
      <c r="B4977">
        <v>247605760</v>
      </c>
      <c r="C4977">
        <v>247605760</v>
      </c>
    </row>
    <row r="4978" spans="1:3">
      <c r="A4978">
        <v>4977</v>
      </c>
      <c r="B4978">
        <v>247705290</v>
      </c>
      <c r="C4978">
        <v>247705290</v>
      </c>
    </row>
    <row r="4979" spans="1:3">
      <c r="A4979">
        <v>4978</v>
      </c>
      <c r="B4979">
        <v>247804840</v>
      </c>
      <c r="C4979">
        <v>247804840</v>
      </c>
    </row>
    <row r="4980" spans="1:3">
      <c r="A4980">
        <v>4979</v>
      </c>
      <c r="B4980">
        <v>247904410</v>
      </c>
      <c r="C4980">
        <v>247904410</v>
      </c>
    </row>
    <row r="4981" spans="1:3">
      <c r="A4981">
        <v>4980</v>
      </c>
      <c r="B4981">
        <v>248004000</v>
      </c>
      <c r="C4981">
        <v>248004000</v>
      </c>
    </row>
    <row r="4982" spans="1:3">
      <c r="A4982">
        <v>4981</v>
      </c>
      <c r="B4982">
        <v>248103610</v>
      </c>
      <c r="C4982">
        <v>248103610</v>
      </c>
    </row>
    <row r="4983" spans="1:3">
      <c r="A4983">
        <v>4982</v>
      </c>
      <c r="B4983">
        <v>248203240</v>
      </c>
      <c r="C4983">
        <v>248203240</v>
      </c>
    </row>
    <row r="4984" spans="1:3">
      <c r="A4984">
        <v>4983</v>
      </c>
      <c r="B4984">
        <v>248302890</v>
      </c>
      <c r="C4984">
        <v>248302890</v>
      </c>
    </row>
    <row r="4985" spans="1:3">
      <c r="A4985">
        <v>4984</v>
      </c>
      <c r="B4985">
        <v>248402560</v>
      </c>
      <c r="C4985">
        <v>248402560</v>
      </c>
    </row>
    <row r="4986" spans="1:3">
      <c r="A4986">
        <v>4985</v>
      </c>
      <c r="B4986">
        <v>248502250</v>
      </c>
      <c r="C4986">
        <v>248502250</v>
      </c>
    </row>
    <row r="4987" spans="1:3">
      <c r="A4987">
        <v>4986</v>
      </c>
      <c r="B4987">
        <v>248601960</v>
      </c>
      <c r="C4987">
        <v>248601960</v>
      </c>
    </row>
    <row r="4988" spans="1:3">
      <c r="A4988">
        <v>4987</v>
      </c>
      <c r="B4988">
        <v>248701690</v>
      </c>
      <c r="C4988">
        <v>248701690</v>
      </c>
    </row>
    <row r="4989" spans="1:3">
      <c r="A4989">
        <v>4988</v>
      </c>
      <c r="B4989">
        <v>248801440</v>
      </c>
      <c r="C4989">
        <v>248801440</v>
      </c>
    </row>
    <row r="4990" spans="1:3">
      <c r="A4990">
        <v>4989</v>
      </c>
      <c r="B4990">
        <v>248901210</v>
      </c>
      <c r="C4990">
        <v>248901210</v>
      </c>
    </row>
    <row r="4991" spans="1:3">
      <c r="A4991">
        <v>4990</v>
      </c>
      <c r="B4991">
        <v>249001000</v>
      </c>
      <c r="C4991">
        <v>249001000</v>
      </c>
    </row>
    <row r="4992" spans="1:3">
      <c r="A4992">
        <v>4991</v>
      </c>
      <c r="B4992">
        <v>249100810</v>
      </c>
      <c r="C4992">
        <v>249100810</v>
      </c>
    </row>
    <row r="4993" spans="1:3">
      <c r="A4993">
        <v>4992</v>
      </c>
      <c r="B4993">
        <v>249200640</v>
      </c>
      <c r="C4993">
        <v>249200640</v>
      </c>
    </row>
    <row r="4994" spans="1:3">
      <c r="A4994">
        <v>4993</v>
      </c>
      <c r="B4994">
        <v>249300490</v>
      </c>
      <c r="C4994">
        <v>249300490</v>
      </c>
    </row>
    <row r="4995" spans="1:3">
      <c r="A4995">
        <v>4994</v>
      </c>
      <c r="B4995">
        <v>249400360</v>
      </c>
      <c r="C4995">
        <v>249400360</v>
      </c>
    </row>
    <row r="4996" spans="1:3">
      <c r="A4996">
        <v>4995</v>
      </c>
      <c r="B4996">
        <v>249500250</v>
      </c>
      <c r="C4996">
        <v>249500250</v>
      </c>
    </row>
    <row r="4997" spans="1:3">
      <c r="A4997">
        <v>4996</v>
      </c>
      <c r="B4997">
        <v>249600160</v>
      </c>
      <c r="C4997">
        <v>249600160</v>
      </c>
    </row>
    <row r="4998" spans="1:3">
      <c r="A4998">
        <v>4997</v>
      </c>
      <c r="B4998">
        <v>249700090</v>
      </c>
      <c r="C4998">
        <v>249700090</v>
      </c>
    </row>
    <row r="4999" spans="1:3">
      <c r="A4999">
        <v>4998</v>
      </c>
      <c r="B4999">
        <v>249800040</v>
      </c>
      <c r="C4999">
        <v>249800040</v>
      </c>
    </row>
    <row r="5000" spans="1:3">
      <c r="A5000">
        <v>4999</v>
      </c>
      <c r="B5000">
        <v>249900010</v>
      </c>
      <c r="C5000">
        <v>249900010</v>
      </c>
    </row>
    <row r="5001" spans="1:3">
      <c r="A5001">
        <v>5000</v>
      </c>
      <c r="B5001">
        <v>250000000</v>
      </c>
      <c r="C5001">
        <v>250000000</v>
      </c>
    </row>
    <row r="5002" spans="1:3">
      <c r="A5002">
        <v>5001</v>
      </c>
      <c r="B5002">
        <v>250100010</v>
      </c>
      <c r="C5002">
        <v>250100010</v>
      </c>
    </row>
    <row r="5003" spans="1:3">
      <c r="A5003">
        <v>5002</v>
      </c>
      <c r="B5003">
        <v>250200040</v>
      </c>
      <c r="C5003">
        <v>250200040</v>
      </c>
    </row>
    <row r="5004" spans="1:3">
      <c r="A5004">
        <v>5003</v>
      </c>
      <c r="B5004">
        <v>250300090</v>
      </c>
      <c r="C5004">
        <v>250300090</v>
      </c>
    </row>
    <row r="5005" spans="1:3">
      <c r="A5005">
        <v>5004</v>
      </c>
      <c r="B5005">
        <v>250400160</v>
      </c>
      <c r="C5005">
        <v>250400160</v>
      </c>
    </row>
    <row r="5006" spans="1:3">
      <c r="A5006">
        <v>5005</v>
      </c>
      <c r="B5006">
        <v>250500250</v>
      </c>
      <c r="C5006">
        <v>250500250</v>
      </c>
    </row>
    <row r="5007" spans="1:3">
      <c r="A5007">
        <v>5006</v>
      </c>
      <c r="B5007">
        <v>250600360</v>
      </c>
      <c r="C5007">
        <v>250600360</v>
      </c>
    </row>
    <row r="5008" spans="1:3">
      <c r="A5008">
        <v>5007</v>
      </c>
      <c r="B5008">
        <v>250700490</v>
      </c>
      <c r="C5008">
        <v>250700490</v>
      </c>
    </row>
    <row r="5009" spans="1:3">
      <c r="A5009">
        <v>5008</v>
      </c>
      <c r="B5009">
        <v>250800640</v>
      </c>
      <c r="C5009">
        <v>250800640</v>
      </c>
    </row>
    <row r="5010" spans="1:3">
      <c r="A5010">
        <v>5009</v>
      </c>
      <c r="B5010">
        <v>250900810</v>
      </c>
      <c r="C5010">
        <v>250900810</v>
      </c>
    </row>
    <row r="5011" spans="1:3">
      <c r="A5011">
        <v>5010</v>
      </c>
      <c r="B5011">
        <v>251001000</v>
      </c>
      <c r="C5011">
        <v>251001000</v>
      </c>
    </row>
    <row r="5012" spans="1:3">
      <c r="A5012">
        <v>5011</v>
      </c>
      <c r="B5012">
        <v>251101210</v>
      </c>
      <c r="C5012">
        <v>251101210</v>
      </c>
    </row>
    <row r="5013" spans="1:3">
      <c r="A5013">
        <v>5012</v>
      </c>
      <c r="B5013">
        <v>251201440</v>
      </c>
      <c r="C5013">
        <v>251201440</v>
      </c>
    </row>
    <row r="5014" spans="1:3">
      <c r="A5014">
        <v>5013</v>
      </c>
      <c r="B5014">
        <v>251301690</v>
      </c>
      <c r="C5014">
        <v>251301690</v>
      </c>
    </row>
    <row r="5015" spans="1:3">
      <c r="A5015">
        <v>5014</v>
      </c>
      <c r="B5015">
        <v>251401960</v>
      </c>
      <c r="C5015">
        <v>251401960</v>
      </c>
    </row>
    <row r="5016" spans="1:3">
      <c r="A5016">
        <v>5015</v>
      </c>
      <c r="B5016">
        <v>251502250</v>
      </c>
      <c r="C5016">
        <v>251502250</v>
      </c>
    </row>
    <row r="5017" spans="1:3">
      <c r="A5017">
        <v>5016</v>
      </c>
      <c r="B5017">
        <v>251602560</v>
      </c>
      <c r="C5017">
        <v>251602560</v>
      </c>
    </row>
    <row r="5018" spans="1:3">
      <c r="A5018">
        <v>5017</v>
      </c>
      <c r="B5018">
        <v>251702890</v>
      </c>
      <c r="C5018">
        <v>251702890</v>
      </c>
    </row>
    <row r="5019" spans="1:3">
      <c r="A5019">
        <v>5018</v>
      </c>
      <c r="B5019">
        <v>251803240</v>
      </c>
      <c r="C5019">
        <v>251803240</v>
      </c>
    </row>
    <row r="5020" spans="1:3">
      <c r="A5020">
        <v>5019</v>
      </c>
      <c r="B5020">
        <v>251903610</v>
      </c>
      <c r="C5020">
        <v>251903610</v>
      </c>
    </row>
    <row r="5021" spans="1:3">
      <c r="A5021">
        <v>5020</v>
      </c>
      <c r="B5021">
        <v>252004000</v>
      </c>
      <c r="C5021">
        <v>252004000</v>
      </c>
    </row>
    <row r="5022" spans="1:3">
      <c r="A5022">
        <v>5021</v>
      </c>
      <c r="B5022">
        <v>252104410</v>
      </c>
      <c r="C5022">
        <v>252104410</v>
      </c>
    </row>
    <row r="5023" spans="1:3">
      <c r="A5023">
        <v>5022</v>
      </c>
      <c r="B5023">
        <v>252204840</v>
      </c>
      <c r="C5023">
        <v>252204840</v>
      </c>
    </row>
    <row r="5024" spans="1:3">
      <c r="A5024">
        <v>5023</v>
      </c>
      <c r="B5024">
        <v>252305290</v>
      </c>
      <c r="C5024">
        <v>252305290</v>
      </c>
    </row>
    <row r="5025" spans="1:3">
      <c r="A5025">
        <v>5024</v>
      </c>
      <c r="B5025">
        <v>252405760</v>
      </c>
      <c r="C5025">
        <v>252405760</v>
      </c>
    </row>
    <row r="5026" spans="1:3">
      <c r="A5026">
        <v>5025</v>
      </c>
      <c r="B5026">
        <v>252506250</v>
      </c>
      <c r="C5026">
        <v>252506250</v>
      </c>
    </row>
    <row r="5027" spans="1:3">
      <c r="A5027">
        <v>5026</v>
      </c>
      <c r="B5027">
        <v>252606760</v>
      </c>
      <c r="C5027">
        <v>252606760</v>
      </c>
    </row>
    <row r="5028" spans="1:3">
      <c r="A5028">
        <v>5027</v>
      </c>
      <c r="B5028">
        <v>252707290</v>
      </c>
      <c r="C5028">
        <v>252707290</v>
      </c>
    </row>
    <row r="5029" spans="1:3">
      <c r="A5029">
        <v>5028</v>
      </c>
      <c r="B5029">
        <v>252807840</v>
      </c>
      <c r="C5029">
        <v>252807840</v>
      </c>
    </row>
    <row r="5030" spans="1:3">
      <c r="A5030">
        <v>5029</v>
      </c>
      <c r="B5030">
        <v>252908410</v>
      </c>
      <c r="C5030">
        <v>252908410</v>
      </c>
    </row>
    <row r="5031" spans="1:3">
      <c r="A5031">
        <v>5030</v>
      </c>
      <c r="B5031">
        <v>253009000</v>
      </c>
      <c r="C5031">
        <v>253009000</v>
      </c>
    </row>
    <row r="5032" spans="1:3">
      <c r="A5032">
        <v>5031</v>
      </c>
      <c r="B5032">
        <v>253109610</v>
      </c>
      <c r="C5032">
        <v>253109610</v>
      </c>
    </row>
    <row r="5033" spans="1:3">
      <c r="A5033">
        <v>5032</v>
      </c>
      <c r="B5033">
        <v>253210240</v>
      </c>
      <c r="C5033">
        <v>253210240</v>
      </c>
    </row>
    <row r="5034" spans="1:3">
      <c r="A5034">
        <v>5033</v>
      </c>
      <c r="B5034">
        <v>253310890</v>
      </c>
      <c r="C5034">
        <v>253310890</v>
      </c>
    </row>
    <row r="5035" spans="1:3">
      <c r="A5035">
        <v>5034</v>
      </c>
      <c r="B5035">
        <v>253411560</v>
      </c>
      <c r="C5035">
        <v>253411560</v>
      </c>
    </row>
    <row r="5036" spans="1:3">
      <c r="A5036">
        <v>5035</v>
      </c>
      <c r="B5036">
        <v>253512250</v>
      </c>
      <c r="C5036">
        <v>253512250</v>
      </c>
    </row>
    <row r="5037" spans="1:3">
      <c r="A5037">
        <v>5036</v>
      </c>
      <c r="B5037">
        <v>253612960</v>
      </c>
      <c r="C5037">
        <v>253612960</v>
      </c>
    </row>
    <row r="5038" spans="1:3">
      <c r="A5038">
        <v>5037</v>
      </c>
      <c r="B5038">
        <v>253713690</v>
      </c>
      <c r="C5038">
        <v>253713690</v>
      </c>
    </row>
    <row r="5039" spans="1:3">
      <c r="A5039">
        <v>5038</v>
      </c>
      <c r="B5039">
        <v>253814440</v>
      </c>
      <c r="C5039">
        <v>253814440</v>
      </c>
    </row>
    <row r="5040" spans="1:3">
      <c r="A5040">
        <v>5039</v>
      </c>
      <c r="B5040">
        <v>253915210</v>
      </c>
      <c r="C5040">
        <v>253915210</v>
      </c>
    </row>
    <row r="5041" spans="1:3">
      <c r="A5041">
        <v>5040</v>
      </c>
      <c r="B5041">
        <v>254016000</v>
      </c>
      <c r="C5041">
        <v>254016000</v>
      </c>
    </row>
    <row r="5042" spans="1:3">
      <c r="A5042">
        <v>5041</v>
      </c>
      <c r="B5042">
        <v>254116810</v>
      </c>
      <c r="C5042">
        <v>254116810</v>
      </c>
    </row>
    <row r="5043" spans="1:3">
      <c r="A5043">
        <v>5042</v>
      </c>
      <c r="B5043">
        <v>254217640</v>
      </c>
      <c r="C5043">
        <v>254217640</v>
      </c>
    </row>
    <row r="5044" spans="1:3">
      <c r="A5044">
        <v>5043</v>
      </c>
      <c r="B5044">
        <v>254318490</v>
      </c>
      <c r="C5044">
        <v>254318490</v>
      </c>
    </row>
    <row r="5045" spans="1:3">
      <c r="A5045">
        <v>5044</v>
      </c>
      <c r="B5045">
        <v>254419360</v>
      </c>
      <c r="C5045">
        <v>254419360</v>
      </c>
    </row>
    <row r="5046" spans="1:3">
      <c r="A5046">
        <v>5045</v>
      </c>
      <c r="B5046">
        <v>254520250</v>
      </c>
      <c r="C5046">
        <v>254520250</v>
      </c>
    </row>
    <row r="5047" spans="1:3">
      <c r="A5047">
        <v>5046</v>
      </c>
      <c r="B5047">
        <v>254621160</v>
      </c>
      <c r="C5047">
        <v>254621160</v>
      </c>
    </row>
    <row r="5048" spans="1:3">
      <c r="A5048">
        <v>5047</v>
      </c>
      <c r="B5048">
        <v>254722090</v>
      </c>
      <c r="C5048">
        <v>254722090</v>
      </c>
    </row>
    <row r="5049" spans="1:3">
      <c r="A5049">
        <v>5048</v>
      </c>
      <c r="B5049">
        <v>254823040</v>
      </c>
      <c r="C5049">
        <v>254823040</v>
      </c>
    </row>
    <row r="5050" spans="1:3">
      <c r="A5050">
        <v>5049</v>
      </c>
      <c r="B5050">
        <v>254924010</v>
      </c>
      <c r="C5050">
        <v>254924010</v>
      </c>
    </row>
    <row r="5051" spans="1:3">
      <c r="A5051">
        <v>5050</v>
      </c>
      <c r="B5051">
        <v>255025000</v>
      </c>
      <c r="C5051">
        <v>255025000</v>
      </c>
    </row>
    <row r="5052" spans="1:3">
      <c r="A5052">
        <v>5051</v>
      </c>
      <c r="B5052">
        <v>255126010</v>
      </c>
      <c r="C5052">
        <v>255126010</v>
      </c>
    </row>
    <row r="5053" spans="1:3">
      <c r="A5053">
        <v>5052</v>
      </c>
      <c r="B5053">
        <v>255227040</v>
      </c>
      <c r="C5053">
        <v>255227040</v>
      </c>
    </row>
    <row r="5054" spans="1:3">
      <c r="A5054">
        <v>5053</v>
      </c>
      <c r="B5054">
        <v>255328090</v>
      </c>
      <c r="C5054">
        <v>255328090</v>
      </c>
    </row>
    <row r="5055" spans="1:3">
      <c r="A5055">
        <v>5054</v>
      </c>
      <c r="B5055">
        <v>255429160</v>
      </c>
      <c r="C5055">
        <v>255429160</v>
      </c>
    </row>
    <row r="5056" spans="1:3">
      <c r="A5056">
        <v>5055</v>
      </c>
      <c r="B5056">
        <v>255530250</v>
      </c>
      <c r="C5056">
        <v>255530250</v>
      </c>
    </row>
    <row r="5057" spans="1:3">
      <c r="A5057">
        <v>5056</v>
      </c>
      <c r="B5057">
        <v>255631360</v>
      </c>
      <c r="C5057">
        <v>255631360</v>
      </c>
    </row>
    <row r="5058" spans="1:3">
      <c r="A5058">
        <v>5057</v>
      </c>
      <c r="B5058">
        <v>255732490</v>
      </c>
      <c r="C5058">
        <v>255732490</v>
      </c>
    </row>
    <row r="5059" spans="1:3">
      <c r="A5059">
        <v>5058</v>
      </c>
      <c r="B5059">
        <v>255833640</v>
      </c>
      <c r="C5059">
        <v>255833640</v>
      </c>
    </row>
    <row r="5060" spans="1:3">
      <c r="A5060">
        <v>5059</v>
      </c>
      <c r="B5060">
        <v>255934810</v>
      </c>
      <c r="C5060">
        <v>255934810</v>
      </c>
    </row>
    <row r="5061" spans="1:3">
      <c r="A5061">
        <v>5060</v>
      </c>
      <c r="B5061">
        <v>256036000</v>
      </c>
      <c r="C5061">
        <v>256036000</v>
      </c>
    </row>
    <row r="5062" spans="1:3">
      <c r="A5062">
        <v>5061</v>
      </c>
      <c r="B5062">
        <v>256137210</v>
      </c>
      <c r="C5062">
        <v>256137210</v>
      </c>
    </row>
    <row r="5063" spans="1:3">
      <c r="A5063">
        <v>5062</v>
      </c>
      <c r="B5063">
        <v>256238440</v>
      </c>
      <c r="C5063">
        <v>256238440</v>
      </c>
    </row>
    <row r="5064" spans="1:3">
      <c r="A5064">
        <v>5063</v>
      </c>
      <c r="B5064">
        <v>256339690</v>
      </c>
      <c r="C5064">
        <v>256339690</v>
      </c>
    </row>
    <row r="5065" spans="1:3">
      <c r="A5065">
        <v>5064</v>
      </c>
      <c r="B5065">
        <v>256440960</v>
      </c>
      <c r="C5065">
        <v>256440960</v>
      </c>
    </row>
    <row r="5066" spans="1:3">
      <c r="A5066">
        <v>5065</v>
      </c>
      <c r="B5066">
        <v>256542250</v>
      </c>
      <c r="C5066">
        <v>256542250</v>
      </c>
    </row>
    <row r="5067" spans="1:3">
      <c r="A5067">
        <v>5066</v>
      </c>
      <c r="B5067">
        <v>256643560</v>
      </c>
      <c r="C5067">
        <v>256643560</v>
      </c>
    </row>
    <row r="5068" spans="1:3">
      <c r="A5068">
        <v>5067</v>
      </c>
      <c r="B5068">
        <v>256744890</v>
      </c>
      <c r="C5068">
        <v>256744890</v>
      </c>
    </row>
    <row r="5069" spans="1:3">
      <c r="A5069">
        <v>5068</v>
      </c>
      <c r="B5069">
        <v>256846240</v>
      </c>
      <c r="C5069">
        <v>256846240</v>
      </c>
    </row>
    <row r="5070" spans="1:3">
      <c r="A5070">
        <v>5069</v>
      </c>
      <c r="B5070">
        <v>256947610</v>
      </c>
      <c r="C5070">
        <v>256947610</v>
      </c>
    </row>
    <row r="5071" spans="1:3">
      <c r="A5071">
        <v>5070</v>
      </c>
      <c r="B5071">
        <v>257049000</v>
      </c>
      <c r="C5071">
        <v>257049000</v>
      </c>
    </row>
    <row r="5072" spans="1:3">
      <c r="A5072">
        <v>5071</v>
      </c>
      <c r="B5072">
        <v>257150410</v>
      </c>
      <c r="C5072">
        <v>257150410</v>
      </c>
    </row>
    <row r="5073" spans="1:3">
      <c r="A5073">
        <v>5072</v>
      </c>
      <c r="B5073">
        <v>257251840</v>
      </c>
      <c r="C5073">
        <v>257251840</v>
      </c>
    </row>
    <row r="5074" spans="1:3">
      <c r="A5074">
        <v>5073</v>
      </c>
      <c r="B5074">
        <v>257353290</v>
      </c>
      <c r="C5074">
        <v>257353290</v>
      </c>
    </row>
    <row r="5075" spans="1:3">
      <c r="A5075">
        <v>5074</v>
      </c>
      <c r="B5075">
        <v>257454760</v>
      </c>
      <c r="C5075">
        <v>257454760</v>
      </c>
    </row>
    <row r="5076" spans="1:3">
      <c r="A5076">
        <v>5075</v>
      </c>
      <c r="B5076">
        <v>257556250</v>
      </c>
      <c r="C5076">
        <v>257556250</v>
      </c>
    </row>
    <row r="5077" spans="1:3">
      <c r="A5077">
        <v>5076</v>
      </c>
      <c r="B5077">
        <v>257657760</v>
      </c>
      <c r="C5077">
        <v>257657760</v>
      </c>
    </row>
    <row r="5078" spans="1:3">
      <c r="A5078">
        <v>5077</v>
      </c>
      <c r="B5078">
        <v>257759290</v>
      </c>
      <c r="C5078">
        <v>257759290</v>
      </c>
    </row>
    <row r="5079" spans="1:3">
      <c r="A5079">
        <v>5078</v>
      </c>
      <c r="B5079">
        <v>257860840</v>
      </c>
      <c r="C5079">
        <v>257860840</v>
      </c>
    </row>
    <row r="5080" spans="1:3">
      <c r="A5080">
        <v>5079</v>
      </c>
      <c r="B5080">
        <v>257962410</v>
      </c>
      <c r="C5080">
        <v>257962410</v>
      </c>
    </row>
    <row r="5081" spans="1:3">
      <c r="A5081">
        <v>5080</v>
      </c>
      <c r="B5081">
        <v>258064000</v>
      </c>
      <c r="C5081">
        <v>258064000</v>
      </c>
    </row>
    <row r="5082" spans="1:3">
      <c r="A5082">
        <v>5081</v>
      </c>
      <c r="B5082">
        <v>258165610</v>
      </c>
      <c r="C5082">
        <v>258165610</v>
      </c>
    </row>
    <row r="5083" spans="1:3">
      <c r="A5083">
        <v>5082</v>
      </c>
      <c r="B5083">
        <v>258267240</v>
      </c>
      <c r="C5083">
        <v>258267240</v>
      </c>
    </row>
    <row r="5084" spans="1:3">
      <c r="A5084">
        <v>5083</v>
      </c>
      <c r="B5084">
        <v>258368890</v>
      </c>
      <c r="C5084">
        <v>258368890</v>
      </c>
    </row>
    <row r="5085" spans="1:3">
      <c r="A5085">
        <v>5084</v>
      </c>
      <c r="B5085">
        <v>258470560</v>
      </c>
      <c r="C5085">
        <v>258470560</v>
      </c>
    </row>
    <row r="5086" spans="1:3">
      <c r="A5086">
        <v>5085</v>
      </c>
      <c r="B5086">
        <v>258572250</v>
      </c>
      <c r="C5086">
        <v>258572250</v>
      </c>
    </row>
    <row r="5087" spans="1:3">
      <c r="A5087">
        <v>5086</v>
      </c>
      <c r="B5087">
        <v>258673960</v>
      </c>
      <c r="C5087">
        <v>258673960</v>
      </c>
    </row>
    <row r="5088" spans="1:3">
      <c r="A5088">
        <v>5087</v>
      </c>
      <c r="B5088">
        <v>258775690</v>
      </c>
      <c r="C5088">
        <v>258775690</v>
      </c>
    </row>
    <row r="5089" spans="1:3">
      <c r="A5089">
        <v>5088</v>
      </c>
      <c r="B5089">
        <v>258877440</v>
      </c>
      <c r="C5089">
        <v>258877440</v>
      </c>
    </row>
    <row r="5090" spans="1:3">
      <c r="A5090">
        <v>5089</v>
      </c>
      <c r="B5090">
        <v>258979210</v>
      </c>
      <c r="C5090">
        <v>258979210</v>
      </c>
    </row>
    <row r="5091" spans="1:3">
      <c r="A5091">
        <v>5090</v>
      </c>
      <c r="B5091">
        <v>259081000</v>
      </c>
      <c r="C5091">
        <v>259081000</v>
      </c>
    </row>
    <row r="5092" spans="1:3">
      <c r="A5092">
        <v>5091</v>
      </c>
      <c r="B5092">
        <v>259182810</v>
      </c>
      <c r="C5092">
        <v>259182810</v>
      </c>
    </row>
    <row r="5093" spans="1:3">
      <c r="A5093">
        <v>5092</v>
      </c>
      <c r="B5093">
        <v>259284640</v>
      </c>
      <c r="C5093">
        <v>259284640</v>
      </c>
    </row>
    <row r="5094" spans="1:3">
      <c r="A5094">
        <v>5093</v>
      </c>
      <c r="B5094">
        <v>259386490</v>
      </c>
      <c r="C5094">
        <v>259386490</v>
      </c>
    </row>
    <row r="5095" spans="1:3">
      <c r="A5095">
        <v>5094</v>
      </c>
      <c r="B5095">
        <v>259488360</v>
      </c>
      <c r="C5095">
        <v>259488360</v>
      </c>
    </row>
    <row r="5096" spans="1:3">
      <c r="A5096">
        <v>5095</v>
      </c>
      <c r="B5096">
        <v>259590250</v>
      </c>
      <c r="C5096">
        <v>259590250</v>
      </c>
    </row>
    <row r="5097" spans="1:3">
      <c r="A5097">
        <v>5096</v>
      </c>
      <c r="B5097">
        <v>259692160</v>
      </c>
      <c r="C5097">
        <v>259692160</v>
      </c>
    </row>
    <row r="5098" spans="1:3">
      <c r="A5098">
        <v>5097</v>
      </c>
      <c r="B5098">
        <v>259794090</v>
      </c>
      <c r="C5098">
        <v>259794090</v>
      </c>
    </row>
    <row r="5099" spans="1:3">
      <c r="A5099">
        <v>5098</v>
      </c>
      <c r="B5099">
        <v>259896040</v>
      </c>
      <c r="C5099">
        <v>259896040</v>
      </c>
    </row>
    <row r="5100" spans="1:3">
      <c r="A5100">
        <v>5099</v>
      </c>
      <c r="B5100">
        <v>259998010</v>
      </c>
      <c r="C5100">
        <v>259998010</v>
      </c>
    </row>
    <row r="5101" spans="1:3">
      <c r="A5101">
        <v>5100</v>
      </c>
      <c r="B5101">
        <v>260100000</v>
      </c>
      <c r="C5101">
        <v>260100000</v>
      </c>
    </row>
    <row r="5102" spans="1:3">
      <c r="A5102">
        <v>5101</v>
      </c>
      <c r="B5102">
        <v>260202010</v>
      </c>
      <c r="C5102">
        <v>260202010</v>
      </c>
    </row>
    <row r="5103" spans="1:3">
      <c r="A5103">
        <v>5102</v>
      </c>
      <c r="B5103">
        <v>260304040</v>
      </c>
      <c r="C5103">
        <v>260304040</v>
      </c>
    </row>
    <row r="5104" spans="1:3">
      <c r="A5104">
        <v>5103</v>
      </c>
      <c r="B5104">
        <v>260406090</v>
      </c>
      <c r="C5104">
        <v>260406090</v>
      </c>
    </row>
    <row r="5105" spans="1:3">
      <c r="A5105">
        <v>5104</v>
      </c>
      <c r="B5105">
        <v>260508160</v>
      </c>
      <c r="C5105">
        <v>260508160</v>
      </c>
    </row>
    <row r="5106" spans="1:3">
      <c r="A5106">
        <v>5105</v>
      </c>
      <c r="B5106">
        <v>260610250</v>
      </c>
      <c r="C5106">
        <v>260610250</v>
      </c>
    </row>
    <row r="5107" spans="1:3">
      <c r="A5107">
        <v>5106</v>
      </c>
      <c r="B5107">
        <v>260712360</v>
      </c>
      <c r="C5107">
        <v>260712360</v>
      </c>
    </row>
    <row r="5108" spans="1:3">
      <c r="A5108">
        <v>5107</v>
      </c>
      <c r="B5108">
        <v>260814490</v>
      </c>
      <c r="C5108">
        <v>260814490</v>
      </c>
    </row>
    <row r="5109" spans="1:3">
      <c r="A5109">
        <v>5108</v>
      </c>
      <c r="B5109">
        <v>260916640</v>
      </c>
      <c r="C5109">
        <v>260916640</v>
      </c>
    </row>
    <row r="5110" spans="1:3">
      <c r="A5110">
        <v>5109</v>
      </c>
      <c r="B5110">
        <v>261018810</v>
      </c>
      <c r="C5110">
        <v>261018810</v>
      </c>
    </row>
    <row r="5111" spans="1:3">
      <c r="A5111">
        <v>5110</v>
      </c>
      <c r="B5111">
        <v>261121000</v>
      </c>
      <c r="C5111">
        <v>261121000</v>
      </c>
    </row>
    <row r="5112" spans="1:3">
      <c r="A5112">
        <v>5111</v>
      </c>
      <c r="B5112">
        <v>261223210</v>
      </c>
      <c r="C5112">
        <v>261223210</v>
      </c>
    </row>
    <row r="5113" spans="1:3">
      <c r="A5113">
        <v>5112</v>
      </c>
      <c r="B5113">
        <v>261325440</v>
      </c>
      <c r="C5113">
        <v>261325440</v>
      </c>
    </row>
    <row r="5114" spans="1:3">
      <c r="A5114">
        <v>5113</v>
      </c>
      <c r="B5114">
        <v>261427690</v>
      </c>
      <c r="C5114">
        <v>261427690</v>
      </c>
    </row>
    <row r="5115" spans="1:3">
      <c r="A5115">
        <v>5114</v>
      </c>
      <c r="B5115">
        <v>261529960</v>
      </c>
      <c r="C5115">
        <v>261529960</v>
      </c>
    </row>
    <row r="5116" spans="1:3">
      <c r="A5116">
        <v>5115</v>
      </c>
      <c r="B5116">
        <v>261632250</v>
      </c>
      <c r="C5116">
        <v>261632250</v>
      </c>
    </row>
    <row r="5117" spans="1:3">
      <c r="A5117">
        <v>5116</v>
      </c>
      <c r="B5117">
        <v>261734560</v>
      </c>
      <c r="C5117">
        <v>261734560</v>
      </c>
    </row>
    <row r="5118" spans="1:3">
      <c r="A5118">
        <v>5117</v>
      </c>
      <c r="B5118">
        <v>261836890</v>
      </c>
      <c r="C5118">
        <v>261836890</v>
      </c>
    </row>
    <row r="5119" spans="1:3">
      <c r="A5119">
        <v>5118</v>
      </c>
      <c r="B5119">
        <v>261939240</v>
      </c>
      <c r="C5119">
        <v>261939240</v>
      </c>
    </row>
    <row r="5120" spans="1:3">
      <c r="A5120">
        <v>5119</v>
      </c>
      <c r="B5120">
        <v>262041610</v>
      </c>
      <c r="C5120">
        <v>262041610</v>
      </c>
    </row>
    <row r="5121" spans="1:3">
      <c r="A5121">
        <v>5120</v>
      </c>
      <c r="B5121">
        <v>262144000</v>
      </c>
      <c r="C5121">
        <v>262144000</v>
      </c>
    </row>
    <row r="5122" spans="1:3">
      <c r="A5122">
        <v>5121</v>
      </c>
      <c r="B5122">
        <v>262246410</v>
      </c>
      <c r="C5122">
        <v>262246410</v>
      </c>
    </row>
    <row r="5123" spans="1:3">
      <c r="A5123">
        <v>5122</v>
      </c>
      <c r="B5123">
        <v>262348840</v>
      </c>
      <c r="C5123">
        <v>262348840</v>
      </c>
    </row>
    <row r="5124" spans="1:3">
      <c r="A5124">
        <v>5123</v>
      </c>
      <c r="B5124">
        <v>262451290</v>
      </c>
      <c r="C5124">
        <v>262451290</v>
      </c>
    </row>
    <row r="5125" spans="1:3">
      <c r="A5125">
        <v>5124</v>
      </c>
      <c r="B5125">
        <v>262553760</v>
      </c>
      <c r="C5125">
        <v>262553760</v>
      </c>
    </row>
    <row r="5126" spans="1:3">
      <c r="A5126">
        <v>5125</v>
      </c>
      <c r="B5126">
        <v>262656250</v>
      </c>
      <c r="C5126">
        <v>262656250</v>
      </c>
    </row>
    <row r="5127" spans="1:3">
      <c r="A5127">
        <v>5126</v>
      </c>
      <c r="B5127">
        <v>262758760</v>
      </c>
      <c r="C5127">
        <v>262758760</v>
      </c>
    </row>
    <row r="5128" spans="1:3">
      <c r="A5128">
        <v>5127</v>
      </c>
      <c r="B5128">
        <v>262861290</v>
      </c>
      <c r="C5128">
        <v>262861290</v>
      </c>
    </row>
    <row r="5129" spans="1:3">
      <c r="A5129">
        <v>5128</v>
      </c>
      <c r="B5129">
        <v>262963840</v>
      </c>
      <c r="C5129">
        <v>262963840</v>
      </c>
    </row>
    <row r="5130" spans="1:3">
      <c r="A5130">
        <v>5129</v>
      </c>
      <c r="B5130">
        <v>263066410</v>
      </c>
      <c r="C5130">
        <v>263066410</v>
      </c>
    </row>
    <row r="5131" spans="1:3">
      <c r="A5131">
        <v>5130</v>
      </c>
      <c r="B5131">
        <v>263169000</v>
      </c>
      <c r="C5131">
        <v>263169000</v>
      </c>
    </row>
    <row r="5132" spans="1:3">
      <c r="A5132">
        <v>5131</v>
      </c>
      <c r="B5132">
        <v>263271610</v>
      </c>
      <c r="C5132">
        <v>263271610</v>
      </c>
    </row>
    <row r="5133" spans="1:3">
      <c r="A5133">
        <v>5132</v>
      </c>
      <c r="B5133">
        <v>263374240</v>
      </c>
      <c r="C5133">
        <v>263374240</v>
      </c>
    </row>
    <row r="5134" spans="1:3">
      <c r="A5134">
        <v>5133</v>
      </c>
      <c r="B5134">
        <v>263476890</v>
      </c>
      <c r="C5134">
        <v>263476890</v>
      </c>
    </row>
    <row r="5135" spans="1:3">
      <c r="A5135">
        <v>5134</v>
      </c>
      <c r="B5135">
        <v>263579560</v>
      </c>
      <c r="C5135">
        <v>263579560</v>
      </c>
    </row>
    <row r="5136" spans="1:3">
      <c r="A5136">
        <v>5135</v>
      </c>
      <c r="B5136">
        <v>263682250</v>
      </c>
      <c r="C5136">
        <v>263682250</v>
      </c>
    </row>
    <row r="5137" spans="1:3">
      <c r="A5137">
        <v>5136</v>
      </c>
      <c r="B5137">
        <v>263784960</v>
      </c>
      <c r="C5137">
        <v>263784960</v>
      </c>
    </row>
    <row r="5138" spans="1:3">
      <c r="A5138">
        <v>5137</v>
      </c>
      <c r="B5138">
        <v>263887690</v>
      </c>
      <c r="C5138">
        <v>263887690</v>
      </c>
    </row>
    <row r="5139" spans="1:3">
      <c r="A5139">
        <v>5138</v>
      </c>
      <c r="B5139">
        <v>263990440</v>
      </c>
      <c r="C5139">
        <v>263990440</v>
      </c>
    </row>
    <row r="5140" spans="1:3">
      <c r="A5140">
        <v>5139</v>
      </c>
      <c r="B5140">
        <v>264093210</v>
      </c>
      <c r="C5140">
        <v>264093210</v>
      </c>
    </row>
    <row r="5141" spans="1:3">
      <c r="A5141">
        <v>5140</v>
      </c>
      <c r="B5141">
        <v>264196000</v>
      </c>
      <c r="C5141">
        <v>264196000</v>
      </c>
    </row>
    <row r="5142" spans="1:3">
      <c r="A5142">
        <v>5141</v>
      </c>
      <c r="B5142">
        <v>264298810</v>
      </c>
      <c r="C5142">
        <v>264298810</v>
      </c>
    </row>
    <row r="5143" spans="1:3">
      <c r="A5143">
        <v>5142</v>
      </c>
      <c r="B5143">
        <v>264401640</v>
      </c>
      <c r="C5143">
        <v>264401640</v>
      </c>
    </row>
    <row r="5144" spans="1:3">
      <c r="A5144">
        <v>5143</v>
      </c>
      <c r="B5144">
        <v>264504490</v>
      </c>
      <c r="C5144">
        <v>264504490</v>
      </c>
    </row>
    <row r="5145" spans="1:3">
      <c r="A5145">
        <v>5144</v>
      </c>
      <c r="B5145">
        <v>264607360</v>
      </c>
      <c r="C5145">
        <v>264607360</v>
      </c>
    </row>
    <row r="5146" spans="1:3">
      <c r="A5146">
        <v>5145</v>
      </c>
      <c r="B5146">
        <v>264710250</v>
      </c>
      <c r="C5146">
        <v>264710250</v>
      </c>
    </row>
    <row r="5147" spans="1:3">
      <c r="A5147">
        <v>5146</v>
      </c>
      <c r="B5147">
        <v>264813160</v>
      </c>
      <c r="C5147">
        <v>264813160</v>
      </c>
    </row>
    <row r="5148" spans="1:3">
      <c r="A5148">
        <v>5147</v>
      </c>
      <c r="B5148">
        <v>264916090</v>
      </c>
      <c r="C5148">
        <v>264916090</v>
      </c>
    </row>
    <row r="5149" spans="1:3">
      <c r="A5149">
        <v>5148</v>
      </c>
      <c r="B5149">
        <v>265019040</v>
      </c>
      <c r="C5149">
        <v>265019040</v>
      </c>
    </row>
    <row r="5150" spans="1:3">
      <c r="A5150">
        <v>5149</v>
      </c>
      <c r="B5150">
        <v>265122010</v>
      </c>
      <c r="C5150">
        <v>265122010</v>
      </c>
    </row>
    <row r="5151" spans="1:3">
      <c r="A5151">
        <v>5150</v>
      </c>
      <c r="B5151">
        <v>265225000</v>
      </c>
      <c r="C5151">
        <v>265225000</v>
      </c>
    </row>
    <row r="5152" spans="1:3">
      <c r="A5152">
        <v>5151</v>
      </c>
      <c r="B5152">
        <v>265328010</v>
      </c>
      <c r="C5152">
        <v>265328010</v>
      </c>
    </row>
    <row r="5153" spans="1:3">
      <c r="A5153">
        <v>5152</v>
      </c>
      <c r="B5153">
        <v>265431040</v>
      </c>
      <c r="C5153">
        <v>265431040</v>
      </c>
    </row>
    <row r="5154" spans="1:3">
      <c r="A5154">
        <v>5153</v>
      </c>
      <c r="B5154">
        <v>265534090</v>
      </c>
      <c r="C5154">
        <v>265534090</v>
      </c>
    </row>
    <row r="5155" spans="1:3">
      <c r="A5155">
        <v>5154</v>
      </c>
      <c r="B5155">
        <v>265637160</v>
      </c>
      <c r="C5155">
        <v>265637160</v>
      </c>
    </row>
    <row r="5156" spans="1:3">
      <c r="A5156">
        <v>5155</v>
      </c>
      <c r="B5156">
        <v>265740250</v>
      </c>
      <c r="C5156">
        <v>265740250</v>
      </c>
    </row>
    <row r="5157" spans="1:3">
      <c r="A5157">
        <v>5156</v>
      </c>
      <c r="B5157">
        <v>265843360</v>
      </c>
      <c r="C5157">
        <v>265843360</v>
      </c>
    </row>
    <row r="5158" spans="1:3">
      <c r="A5158">
        <v>5157</v>
      </c>
      <c r="B5158">
        <v>265946490</v>
      </c>
      <c r="C5158">
        <v>265946490</v>
      </c>
    </row>
    <row r="5159" spans="1:3">
      <c r="A5159">
        <v>5158</v>
      </c>
      <c r="B5159">
        <v>266049640</v>
      </c>
      <c r="C5159">
        <v>266049640</v>
      </c>
    </row>
    <row r="5160" spans="1:3">
      <c r="A5160">
        <v>5159</v>
      </c>
      <c r="B5160">
        <v>266152810</v>
      </c>
      <c r="C5160">
        <v>266152810</v>
      </c>
    </row>
    <row r="5161" spans="1:3">
      <c r="A5161">
        <v>5160</v>
      </c>
      <c r="B5161">
        <v>266256000</v>
      </c>
      <c r="C5161">
        <v>266256000</v>
      </c>
    </row>
    <row r="5162" spans="1:3">
      <c r="A5162">
        <v>5161</v>
      </c>
      <c r="B5162">
        <v>266359210</v>
      </c>
      <c r="C5162">
        <v>266359210</v>
      </c>
    </row>
    <row r="5163" spans="1:3">
      <c r="A5163">
        <v>5162</v>
      </c>
      <c r="B5163">
        <v>266462440</v>
      </c>
      <c r="C5163">
        <v>266462440</v>
      </c>
    </row>
    <row r="5164" spans="1:3">
      <c r="A5164">
        <v>5163</v>
      </c>
      <c r="B5164">
        <v>266565690</v>
      </c>
      <c r="C5164">
        <v>266565690</v>
      </c>
    </row>
    <row r="5165" spans="1:3">
      <c r="A5165">
        <v>5164</v>
      </c>
      <c r="B5165">
        <v>266668960</v>
      </c>
      <c r="C5165">
        <v>266668960</v>
      </c>
    </row>
    <row r="5166" spans="1:3">
      <c r="A5166">
        <v>5165</v>
      </c>
      <c r="B5166">
        <v>266772250</v>
      </c>
      <c r="C5166">
        <v>266772250</v>
      </c>
    </row>
    <row r="5167" spans="1:3">
      <c r="A5167">
        <v>5166</v>
      </c>
      <c r="B5167">
        <v>266875560</v>
      </c>
      <c r="C5167">
        <v>266875560</v>
      </c>
    </row>
    <row r="5168" spans="1:3">
      <c r="A5168">
        <v>5167</v>
      </c>
      <c r="B5168">
        <v>266978890</v>
      </c>
      <c r="C5168">
        <v>266978890</v>
      </c>
    </row>
    <row r="5169" spans="1:3">
      <c r="A5169">
        <v>5168</v>
      </c>
      <c r="B5169">
        <v>267082240</v>
      </c>
      <c r="C5169">
        <v>267082240</v>
      </c>
    </row>
    <row r="5170" spans="1:3">
      <c r="A5170">
        <v>5169</v>
      </c>
      <c r="B5170">
        <v>267185610</v>
      </c>
      <c r="C5170">
        <v>267185610</v>
      </c>
    </row>
    <row r="5171" spans="1:3">
      <c r="A5171">
        <v>5170</v>
      </c>
      <c r="B5171">
        <v>267289000</v>
      </c>
      <c r="C5171">
        <v>267289000</v>
      </c>
    </row>
    <row r="5172" spans="1:3">
      <c r="A5172">
        <v>5171</v>
      </c>
      <c r="B5172">
        <v>267392410</v>
      </c>
      <c r="C5172">
        <v>267392410</v>
      </c>
    </row>
    <row r="5173" spans="1:3">
      <c r="A5173">
        <v>5172</v>
      </c>
      <c r="B5173">
        <v>267495840</v>
      </c>
      <c r="C5173">
        <v>267495840</v>
      </c>
    </row>
    <row r="5174" spans="1:3">
      <c r="A5174">
        <v>5173</v>
      </c>
      <c r="B5174">
        <v>267599290</v>
      </c>
      <c r="C5174">
        <v>267599290</v>
      </c>
    </row>
    <row r="5175" spans="1:3">
      <c r="A5175">
        <v>5174</v>
      </c>
      <c r="B5175">
        <v>267702760</v>
      </c>
      <c r="C5175">
        <v>267702760</v>
      </c>
    </row>
    <row r="5176" spans="1:3">
      <c r="A5176">
        <v>5175</v>
      </c>
      <c r="B5176">
        <v>267806250</v>
      </c>
      <c r="C5176">
        <v>267806250</v>
      </c>
    </row>
    <row r="5177" spans="1:3">
      <c r="A5177">
        <v>5176</v>
      </c>
      <c r="B5177">
        <v>267909760</v>
      </c>
      <c r="C5177">
        <v>267909760</v>
      </c>
    </row>
    <row r="5178" spans="1:3">
      <c r="A5178">
        <v>5177</v>
      </c>
      <c r="B5178">
        <v>268013290</v>
      </c>
      <c r="C5178">
        <v>268013290</v>
      </c>
    </row>
    <row r="5179" spans="1:3">
      <c r="A5179">
        <v>5178</v>
      </c>
      <c r="B5179">
        <v>268116840</v>
      </c>
      <c r="C5179">
        <v>268116840</v>
      </c>
    </row>
    <row r="5180" spans="1:3">
      <c r="A5180">
        <v>5179</v>
      </c>
      <c r="B5180">
        <v>268220410</v>
      </c>
      <c r="C5180">
        <v>268220410</v>
      </c>
    </row>
    <row r="5181" spans="1:3">
      <c r="A5181">
        <v>5180</v>
      </c>
      <c r="B5181">
        <v>268324000</v>
      </c>
      <c r="C5181">
        <v>268324000</v>
      </c>
    </row>
    <row r="5182" spans="1:3">
      <c r="A5182">
        <v>5181</v>
      </c>
      <c r="B5182">
        <v>268427610</v>
      </c>
      <c r="C5182">
        <v>268427610</v>
      </c>
    </row>
    <row r="5183" spans="1:3">
      <c r="A5183">
        <v>5182</v>
      </c>
      <c r="B5183">
        <v>268531240</v>
      </c>
      <c r="C5183">
        <v>268531240</v>
      </c>
    </row>
    <row r="5184" spans="1:3">
      <c r="A5184">
        <v>5183</v>
      </c>
      <c r="B5184">
        <v>268634890</v>
      </c>
      <c r="C5184">
        <v>268634890</v>
      </c>
    </row>
    <row r="5185" spans="1:3">
      <c r="A5185">
        <v>5184</v>
      </c>
      <c r="B5185">
        <v>268738560</v>
      </c>
      <c r="C5185">
        <v>268738560</v>
      </c>
    </row>
    <row r="5186" spans="1:3">
      <c r="A5186">
        <v>5185</v>
      </c>
      <c r="B5186">
        <v>268842250</v>
      </c>
      <c r="C5186">
        <v>268842250</v>
      </c>
    </row>
    <row r="5187" spans="1:3">
      <c r="A5187">
        <v>5186</v>
      </c>
      <c r="B5187">
        <v>268945960</v>
      </c>
      <c r="C5187">
        <v>268945960</v>
      </c>
    </row>
    <row r="5188" spans="1:3">
      <c r="A5188">
        <v>5187</v>
      </c>
      <c r="B5188">
        <v>269049690</v>
      </c>
      <c r="C5188">
        <v>269049690</v>
      </c>
    </row>
    <row r="5189" spans="1:3">
      <c r="A5189">
        <v>5188</v>
      </c>
      <c r="B5189">
        <v>269153440</v>
      </c>
      <c r="C5189">
        <v>269153440</v>
      </c>
    </row>
    <row r="5190" spans="1:3">
      <c r="A5190">
        <v>5189</v>
      </c>
      <c r="B5190">
        <v>269257210</v>
      </c>
      <c r="C5190">
        <v>269257210</v>
      </c>
    </row>
    <row r="5191" spans="1:3">
      <c r="A5191">
        <v>5190</v>
      </c>
      <c r="B5191">
        <v>269361000</v>
      </c>
      <c r="C5191">
        <v>269361000</v>
      </c>
    </row>
    <row r="5192" spans="1:3">
      <c r="A5192">
        <v>5191</v>
      </c>
      <c r="B5192">
        <v>269464810</v>
      </c>
      <c r="C5192">
        <v>269464810</v>
      </c>
    </row>
    <row r="5193" spans="1:3">
      <c r="A5193">
        <v>5192</v>
      </c>
      <c r="B5193">
        <v>269568640</v>
      </c>
      <c r="C5193">
        <v>269568640</v>
      </c>
    </row>
    <row r="5194" spans="1:3">
      <c r="A5194">
        <v>5193</v>
      </c>
      <c r="B5194">
        <v>269672490</v>
      </c>
      <c r="C5194">
        <v>269672490</v>
      </c>
    </row>
    <row r="5195" spans="1:3">
      <c r="A5195">
        <v>5194</v>
      </c>
      <c r="B5195">
        <v>269776360</v>
      </c>
      <c r="C5195">
        <v>269776360</v>
      </c>
    </row>
    <row r="5196" spans="1:3">
      <c r="A5196">
        <v>5195</v>
      </c>
      <c r="B5196">
        <v>269880250</v>
      </c>
      <c r="C5196">
        <v>269880250</v>
      </c>
    </row>
    <row r="5197" spans="1:3">
      <c r="A5197">
        <v>5196</v>
      </c>
      <c r="B5197">
        <v>269984160</v>
      </c>
      <c r="C5197">
        <v>269984160</v>
      </c>
    </row>
    <row r="5198" spans="1:3">
      <c r="A5198">
        <v>5197</v>
      </c>
      <c r="B5198">
        <v>270088090</v>
      </c>
      <c r="C5198">
        <v>270088090</v>
      </c>
    </row>
    <row r="5199" spans="1:3">
      <c r="A5199">
        <v>5198</v>
      </c>
      <c r="B5199">
        <v>270192040</v>
      </c>
      <c r="C5199">
        <v>270192040</v>
      </c>
    </row>
    <row r="5200" spans="1:3">
      <c r="A5200">
        <v>5199</v>
      </c>
      <c r="B5200">
        <v>270296010</v>
      </c>
      <c r="C5200">
        <v>270296010</v>
      </c>
    </row>
    <row r="5201" spans="1:3">
      <c r="A5201">
        <v>5200</v>
      </c>
      <c r="B5201">
        <v>270400000</v>
      </c>
      <c r="C5201">
        <v>270400000</v>
      </c>
    </row>
    <row r="5202" spans="1:3">
      <c r="A5202">
        <v>5201</v>
      </c>
      <c r="B5202">
        <v>270504010</v>
      </c>
      <c r="C5202">
        <v>270504010</v>
      </c>
    </row>
    <row r="5203" spans="1:3">
      <c r="A5203">
        <v>5202</v>
      </c>
      <c r="B5203">
        <v>270608040</v>
      </c>
      <c r="C5203">
        <v>270608040</v>
      </c>
    </row>
    <row r="5204" spans="1:3">
      <c r="A5204">
        <v>5203</v>
      </c>
      <c r="B5204">
        <v>270712090</v>
      </c>
      <c r="C5204">
        <v>270712090</v>
      </c>
    </row>
    <row r="5205" spans="1:3">
      <c r="A5205">
        <v>5204</v>
      </c>
      <c r="B5205">
        <v>270816160</v>
      </c>
      <c r="C5205">
        <v>270816160</v>
      </c>
    </row>
    <row r="5206" spans="1:3">
      <c r="A5206">
        <v>5205</v>
      </c>
      <c r="B5206">
        <v>270920250</v>
      </c>
      <c r="C5206">
        <v>270920250</v>
      </c>
    </row>
    <row r="5207" spans="1:3">
      <c r="A5207">
        <v>5206</v>
      </c>
      <c r="B5207">
        <v>271024360</v>
      </c>
      <c r="C5207">
        <v>271024360</v>
      </c>
    </row>
    <row r="5208" spans="1:3">
      <c r="A5208">
        <v>5207</v>
      </c>
      <c r="B5208">
        <v>271128490</v>
      </c>
      <c r="C5208">
        <v>271128490</v>
      </c>
    </row>
    <row r="5209" spans="1:3">
      <c r="A5209">
        <v>5208</v>
      </c>
      <c r="B5209">
        <v>271232640</v>
      </c>
      <c r="C5209">
        <v>271232640</v>
      </c>
    </row>
    <row r="5210" spans="1:3">
      <c r="A5210">
        <v>5209</v>
      </c>
      <c r="B5210">
        <v>271336810</v>
      </c>
      <c r="C5210">
        <v>271336810</v>
      </c>
    </row>
    <row r="5211" spans="1:3">
      <c r="A5211">
        <v>5210</v>
      </c>
      <c r="B5211">
        <v>271441000</v>
      </c>
      <c r="C5211">
        <v>271441000</v>
      </c>
    </row>
    <row r="5212" spans="1:3">
      <c r="A5212">
        <v>5211</v>
      </c>
      <c r="B5212">
        <v>271545210</v>
      </c>
      <c r="C5212">
        <v>271545210</v>
      </c>
    </row>
    <row r="5213" spans="1:3">
      <c r="A5213">
        <v>5212</v>
      </c>
      <c r="B5213">
        <v>271649440</v>
      </c>
      <c r="C5213">
        <v>271649440</v>
      </c>
    </row>
    <row r="5214" spans="1:3">
      <c r="A5214">
        <v>5213</v>
      </c>
      <c r="B5214">
        <v>271753690</v>
      </c>
      <c r="C5214">
        <v>271753690</v>
      </c>
    </row>
    <row r="5215" spans="1:3">
      <c r="A5215">
        <v>5214</v>
      </c>
      <c r="B5215">
        <v>271857960</v>
      </c>
      <c r="C5215">
        <v>271857960</v>
      </c>
    </row>
    <row r="5216" spans="1:3">
      <c r="A5216">
        <v>5215</v>
      </c>
      <c r="B5216">
        <v>271962250</v>
      </c>
      <c r="C5216">
        <v>271962250</v>
      </c>
    </row>
    <row r="5217" spans="1:3">
      <c r="A5217">
        <v>5216</v>
      </c>
      <c r="B5217">
        <v>272066560</v>
      </c>
      <c r="C5217">
        <v>272066560</v>
      </c>
    </row>
    <row r="5218" spans="1:3">
      <c r="A5218">
        <v>5217</v>
      </c>
      <c r="B5218">
        <v>272170890</v>
      </c>
      <c r="C5218">
        <v>272170890</v>
      </c>
    </row>
    <row r="5219" spans="1:3">
      <c r="A5219">
        <v>5218</v>
      </c>
      <c r="B5219">
        <v>272275240</v>
      </c>
      <c r="C5219">
        <v>272275240</v>
      </c>
    </row>
    <row r="5220" spans="1:3">
      <c r="A5220">
        <v>5219</v>
      </c>
      <c r="B5220">
        <v>272379610</v>
      </c>
      <c r="C5220">
        <v>272379610</v>
      </c>
    </row>
    <row r="5221" spans="1:3">
      <c r="A5221">
        <v>5220</v>
      </c>
      <c r="B5221">
        <v>272484000</v>
      </c>
      <c r="C5221">
        <v>272484000</v>
      </c>
    </row>
    <row r="5222" spans="1:3">
      <c r="A5222">
        <v>5221</v>
      </c>
      <c r="B5222">
        <v>272588410</v>
      </c>
      <c r="C5222">
        <v>272588410</v>
      </c>
    </row>
    <row r="5223" spans="1:3">
      <c r="A5223">
        <v>5222</v>
      </c>
      <c r="B5223">
        <v>272692840</v>
      </c>
      <c r="C5223">
        <v>272692840</v>
      </c>
    </row>
    <row r="5224" spans="1:3">
      <c r="A5224">
        <v>5223</v>
      </c>
      <c r="B5224">
        <v>272797290</v>
      </c>
      <c r="C5224">
        <v>272797290</v>
      </c>
    </row>
    <row r="5225" spans="1:3">
      <c r="A5225">
        <v>5224</v>
      </c>
      <c r="B5225">
        <v>272901760</v>
      </c>
      <c r="C5225">
        <v>272901760</v>
      </c>
    </row>
    <row r="5226" spans="1:3">
      <c r="A5226">
        <v>5225</v>
      </c>
      <c r="B5226">
        <v>273006250</v>
      </c>
      <c r="C5226">
        <v>273006250</v>
      </c>
    </row>
    <row r="5227" spans="1:3">
      <c r="A5227">
        <v>5226</v>
      </c>
      <c r="B5227">
        <v>273110760</v>
      </c>
      <c r="C5227">
        <v>273110760</v>
      </c>
    </row>
    <row r="5228" spans="1:3">
      <c r="A5228">
        <v>5227</v>
      </c>
      <c r="B5228">
        <v>273215290</v>
      </c>
      <c r="C5228">
        <v>273215290</v>
      </c>
    </row>
    <row r="5229" spans="1:3">
      <c r="A5229">
        <v>5228</v>
      </c>
      <c r="B5229">
        <v>273319840</v>
      </c>
      <c r="C5229">
        <v>273319840</v>
      </c>
    </row>
    <row r="5230" spans="1:3">
      <c r="A5230">
        <v>5229</v>
      </c>
      <c r="B5230">
        <v>273424410</v>
      </c>
      <c r="C5230">
        <v>273424410</v>
      </c>
    </row>
    <row r="5231" spans="1:3">
      <c r="A5231">
        <v>5230</v>
      </c>
      <c r="B5231">
        <v>273529000</v>
      </c>
      <c r="C5231">
        <v>273529000</v>
      </c>
    </row>
    <row r="5232" spans="1:3">
      <c r="A5232">
        <v>5231</v>
      </c>
      <c r="B5232">
        <v>273633610</v>
      </c>
      <c r="C5232">
        <v>273633610</v>
      </c>
    </row>
    <row r="5233" spans="1:3">
      <c r="A5233">
        <v>5232</v>
      </c>
      <c r="B5233">
        <v>273738240</v>
      </c>
      <c r="C5233">
        <v>273738240</v>
      </c>
    </row>
    <row r="5234" spans="1:3">
      <c r="A5234">
        <v>5233</v>
      </c>
      <c r="B5234">
        <v>273842890</v>
      </c>
      <c r="C5234">
        <v>273842890</v>
      </c>
    </row>
    <row r="5235" spans="1:3">
      <c r="A5235">
        <v>5234</v>
      </c>
      <c r="B5235">
        <v>273947560</v>
      </c>
      <c r="C5235">
        <v>273947560</v>
      </c>
    </row>
    <row r="5236" spans="1:3">
      <c r="A5236">
        <v>5235</v>
      </c>
      <c r="B5236">
        <v>274052250</v>
      </c>
      <c r="C5236">
        <v>274052250</v>
      </c>
    </row>
    <row r="5237" spans="1:3">
      <c r="A5237">
        <v>5236</v>
      </c>
      <c r="B5237">
        <v>274156960</v>
      </c>
      <c r="C5237">
        <v>274156960</v>
      </c>
    </row>
    <row r="5238" spans="1:3">
      <c r="A5238">
        <v>5237</v>
      </c>
      <c r="B5238">
        <v>274261690</v>
      </c>
      <c r="C5238">
        <v>274261690</v>
      </c>
    </row>
    <row r="5239" spans="1:3">
      <c r="A5239">
        <v>5238</v>
      </c>
      <c r="B5239">
        <v>274366440</v>
      </c>
      <c r="C5239">
        <v>274366440</v>
      </c>
    </row>
    <row r="5240" spans="1:3">
      <c r="A5240">
        <v>5239</v>
      </c>
      <c r="B5240">
        <v>274471210</v>
      </c>
      <c r="C5240">
        <v>274471210</v>
      </c>
    </row>
    <row r="5241" spans="1:3">
      <c r="A5241">
        <v>5240</v>
      </c>
      <c r="B5241">
        <v>274576000</v>
      </c>
      <c r="C5241">
        <v>274576000</v>
      </c>
    </row>
    <row r="5242" spans="1:3">
      <c r="A5242">
        <v>5241</v>
      </c>
      <c r="B5242">
        <v>274680810</v>
      </c>
      <c r="C5242">
        <v>274680810</v>
      </c>
    </row>
    <row r="5243" spans="1:3">
      <c r="A5243">
        <v>5242</v>
      </c>
      <c r="B5243">
        <v>274785640</v>
      </c>
      <c r="C5243">
        <v>274785640</v>
      </c>
    </row>
    <row r="5244" spans="1:3">
      <c r="A5244">
        <v>5243</v>
      </c>
      <c r="B5244">
        <v>274890490</v>
      </c>
      <c r="C5244">
        <v>274890490</v>
      </c>
    </row>
    <row r="5245" spans="1:3">
      <c r="A5245">
        <v>5244</v>
      </c>
      <c r="B5245">
        <v>274995360</v>
      </c>
      <c r="C5245">
        <v>274995360</v>
      </c>
    </row>
    <row r="5246" spans="1:3">
      <c r="A5246">
        <v>5245</v>
      </c>
      <c r="B5246">
        <v>275100250</v>
      </c>
      <c r="C5246">
        <v>275100250</v>
      </c>
    </row>
    <row r="5247" spans="1:3">
      <c r="A5247">
        <v>5246</v>
      </c>
      <c r="B5247">
        <v>275205160</v>
      </c>
      <c r="C5247">
        <v>275205160</v>
      </c>
    </row>
    <row r="5248" spans="1:3">
      <c r="A5248">
        <v>5247</v>
      </c>
      <c r="B5248">
        <v>275310090</v>
      </c>
      <c r="C5248">
        <v>275310090</v>
      </c>
    </row>
    <row r="5249" spans="1:3">
      <c r="A5249">
        <v>5248</v>
      </c>
      <c r="B5249">
        <v>275415040</v>
      </c>
      <c r="C5249">
        <v>275415040</v>
      </c>
    </row>
    <row r="5250" spans="1:3">
      <c r="A5250">
        <v>5249</v>
      </c>
      <c r="B5250">
        <v>275520010</v>
      </c>
      <c r="C5250">
        <v>275520010</v>
      </c>
    </row>
    <row r="5251" spans="1:3">
      <c r="A5251">
        <v>5250</v>
      </c>
      <c r="B5251">
        <v>275625000</v>
      </c>
      <c r="C5251">
        <v>275625000</v>
      </c>
    </row>
    <row r="5252" spans="1:3">
      <c r="A5252">
        <v>5251</v>
      </c>
      <c r="B5252">
        <v>275730010</v>
      </c>
      <c r="C5252">
        <v>275730010</v>
      </c>
    </row>
    <row r="5253" spans="1:3">
      <c r="A5253">
        <v>5252</v>
      </c>
      <c r="B5253">
        <v>275835040</v>
      </c>
      <c r="C5253">
        <v>275835040</v>
      </c>
    </row>
    <row r="5254" spans="1:3">
      <c r="A5254">
        <v>5253</v>
      </c>
      <c r="B5254">
        <v>275940090</v>
      </c>
      <c r="C5254">
        <v>275940090</v>
      </c>
    </row>
    <row r="5255" spans="1:3">
      <c r="A5255">
        <v>5254</v>
      </c>
      <c r="B5255">
        <v>276045160</v>
      </c>
      <c r="C5255">
        <v>276045160</v>
      </c>
    </row>
    <row r="5256" spans="1:3">
      <c r="A5256">
        <v>5255</v>
      </c>
      <c r="B5256">
        <v>276150250</v>
      </c>
      <c r="C5256">
        <v>276150250</v>
      </c>
    </row>
    <row r="5257" spans="1:3">
      <c r="A5257">
        <v>5256</v>
      </c>
      <c r="B5257">
        <v>276255360</v>
      </c>
      <c r="C5257">
        <v>276255360</v>
      </c>
    </row>
    <row r="5258" spans="1:3">
      <c r="A5258">
        <v>5257</v>
      </c>
      <c r="B5258">
        <v>276360490</v>
      </c>
      <c r="C5258">
        <v>276360490</v>
      </c>
    </row>
    <row r="5259" spans="1:3">
      <c r="A5259">
        <v>5258</v>
      </c>
      <c r="B5259">
        <v>276465640</v>
      </c>
      <c r="C5259">
        <v>276465640</v>
      </c>
    </row>
    <row r="5260" spans="1:3">
      <c r="A5260">
        <v>5259</v>
      </c>
      <c r="B5260">
        <v>276570810</v>
      </c>
      <c r="C5260">
        <v>276570810</v>
      </c>
    </row>
    <row r="5261" spans="1:3">
      <c r="A5261">
        <v>5260</v>
      </c>
      <c r="B5261">
        <v>276676000</v>
      </c>
      <c r="C5261">
        <v>276676000</v>
      </c>
    </row>
    <row r="5262" spans="1:3">
      <c r="A5262">
        <v>5261</v>
      </c>
      <c r="B5262">
        <v>276781210</v>
      </c>
      <c r="C5262">
        <v>276781210</v>
      </c>
    </row>
    <row r="5263" spans="1:3">
      <c r="A5263">
        <v>5262</v>
      </c>
      <c r="B5263">
        <v>276886440</v>
      </c>
      <c r="C5263">
        <v>276886440</v>
      </c>
    </row>
    <row r="5264" spans="1:3">
      <c r="A5264">
        <v>5263</v>
      </c>
      <c r="B5264">
        <v>276991690</v>
      </c>
      <c r="C5264">
        <v>276991690</v>
      </c>
    </row>
    <row r="5265" spans="1:3">
      <c r="A5265">
        <v>5264</v>
      </c>
      <c r="B5265">
        <v>277096960</v>
      </c>
      <c r="C5265">
        <v>277096960</v>
      </c>
    </row>
    <row r="5266" spans="1:3">
      <c r="A5266">
        <v>5265</v>
      </c>
      <c r="B5266">
        <v>277202250</v>
      </c>
      <c r="C5266">
        <v>277202250</v>
      </c>
    </row>
    <row r="5267" spans="1:3">
      <c r="A5267">
        <v>5266</v>
      </c>
      <c r="B5267">
        <v>277307560</v>
      </c>
      <c r="C5267">
        <v>277307560</v>
      </c>
    </row>
    <row r="5268" spans="1:3">
      <c r="A5268">
        <v>5267</v>
      </c>
      <c r="B5268">
        <v>277412890</v>
      </c>
      <c r="C5268">
        <v>277412890</v>
      </c>
    </row>
    <row r="5269" spans="1:3">
      <c r="A5269">
        <v>5268</v>
      </c>
      <c r="B5269">
        <v>277518240</v>
      </c>
      <c r="C5269">
        <v>277518240</v>
      </c>
    </row>
    <row r="5270" spans="1:3">
      <c r="A5270">
        <v>5269</v>
      </c>
      <c r="B5270">
        <v>277623610</v>
      </c>
      <c r="C5270">
        <v>277623610</v>
      </c>
    </row>
    <row r="5271" spans="1:3">
      <c r="A5271">
        <v>5270</v>
      </c>
      <c r="B5271">
        <v>277729000</v>
      </c>
      <c r="C5271">
        <v>277729000</v>
      </c>
    </row>
    <row r="5272" spans="1:3">
      <c r="A5272">
        <v>5271</v>
      </c>
      <c r="B5272">
        <v>277834410</v>
      </c>
      <c r="C5272">
        <v>277834410</v>
      </c>
    </row>
    <row r="5273" spans="1:3">
      <c r="A5273">
        <v>5272</v>
      </c>
      <c r="B5273">
        <v>277939840</v>
      </c>
      <c r="C5273">
        <v>277939840</v>
      </c>
    </row>
    <row r="5274" spans="1:3">
      <c r="A5274">
        <v>5273</v>
      </c>
      <c r="B5274">
        <v>278045290</v>
      </c>
      <c r="C5274">
        <v>278045290</v>
      </c>
    </row>
    <row r="5275" spans="1:3">
      <c r="A5275">
        <v>5274</v>
      </c>
      <c r="B5275">
        <v>278150760</v>
      </c>
      <c r="C5275">
        <v>278150760</v>
      </c>
    </row>
    <row r="5276" spans="1:3">
      <c r="A5276">
        <v>5275</v>
      </c>
      <c r="B5276">
        <v>278256250</v>
      </c>
      <c r="C5276">
        <v>278256250</v>
      </c>
    </row>
    <row r="5277" spans="1:3">
      <c r="A5277">
        <v>5276</v>
      </c>
      <c r="B5277">
        <v>278361760</v>
      </c>
      <c r="C5277">
        <v>278361760</v>
      </c>
    </row>
    <row r="5278" spans="1:3">
      <c r="A5278">
        <v>5277</v>
      </c>
      <c r="B5278">
        <v>278467290</v>
      </c>
      <c r="C5278">
        <v>278467290</v>
      </c>
    </row>
    <row r="5279" spans="1:3">
      <c r="A5279">
        <v>5278</v>
      </c>
      <c r="B5279">
        <v>278572840</v>
      </c>
      <c r="C5279">
        <v>278572840</v>
      </c>
    </row>
    <row r="5280" spans="1:3">
      <c r="A5280">
        <v>5279</v>
      </c>
      <c r="B5280">
        <v>278678410</v>
      </c>
      <c r="C5280">
        <v>278678410</v>
      </c>
    </row>
    <row r="5281" spans="1:3">
      <c r="A5281">
        <v>5280</v>
      </c>
      <c r="B5281">
        <v>278784000</v>
      </c>
      <c r="C5281">
        <v>278784000</v>
      </c>
    </row>
    <row r="5282" spans="1:3">
      <c r="A5282">
        <v>5281</v>
      </c>
      <c r="B5282">
        <v>278889610</v>
      </c>
      <c r="C5282">
        <v>278889610</v>
      </c>
    </row>
    <row r="5283" spans="1:3">
      <c r="A5283">
        <v>5282</v>
      </c>
      <c r="B5283">
        <v>278995240</v>
      </c>
      <c r="C5283">
        <v>278995240</v>
      </c>
    </row>
    <row r="5284" spans="1:3">
      <c r="A5284">
        <v>5283</v>
      </c>
      <c r="B5284">
        <v>279100890</v>
      </c>
      <c r="C5284">
        <v>279100890</v>
      </c>
    </row>
    <row r="5285" spans="1:3">
      <c r="A5285">
        <v>5284</v>
      </c>
      <c r="B5285">
        <v>279206560</v>
      </c>
      <c r="C5285">
        <v>279206560</v>
      </c>
    </row>
    <row r="5286" spans="1:3">
      <c r="A5286">
        <v>5285</v>
      </c>
      <c r="B5286">
        <v>279312250</v>
      </c>
      <c r="C5286">
        <v>279312250</v>
      </c>
    </row>
    <row r="5287" spans="1:3">
      <c r="A5287">
        <v>5286</v>
      </c>
      <c r="B5287">
        <v>279417960</v>
      </c>
      <c r="C5287">
        <v>279417960</v>
      </c>
    </row>
    <row r="5288" spans="1:3">
      <c r="A5288">
        <v>5287</v>
      </c>
      <c r="B5288">
        <v>279523690</v>
      </c>
      <c r="C5288">
        <v>279523690</v>
      </c>
    </row>
    <row r="5289" spans="1:3">
      <c r="A5289">
        <v>5288</v>
      </c>
      <c r="B5289">
        <v>279629440</v>
      </c>
      <c r="C5289">
        <v>279629440</v>
      </c>
    </row>
    <row r="5290" spans="1:3">
      <c r="A5290">
        <v>5289</v>
      </c>
      <c r="B5290">
        <v>279735210</v>
      </c>
      <c r="C5290">
        <v>279735210</v>
      </c>
    </row>
    <row r="5291" spans="1:3">
      <c r="A5291">
        <v>5290</v>
      </c>
      <c r="B5291">
        <v>279841000</v>
      </c>
      <c r="C5291">
        <v>279841000</v>
      </c>
    </row>
    <row r="5292" spans="1:3">
      <c r="A5292">
        <v>5291</v>
      </c>
      <c r="B5292">
        <v>279946810</v>
      </c>
      <c r="C5292">
        <v>279946810</v>
      </c>
    </row>
    <row r="5293" spans="1:3">
      <c r="A5293">
        <v>5292</v>
      </c>
      <c r="B5293">
        <v>280052640</v>
      </c>
      <c r="C5293">
        <v>280052640</v>
      </c>
    </row>
    <row r="5294" spans="1:3">
      <c r="A5294">
        <v>5293</v>
      </c>
      <c r="B5294">
        <v>280158490</v>
      </c>
      <c r="C5294">
        <v>280158490</v>
      </c>
    </row>
    <row r="5295" spans="1:3">
      <c r="A5295">
        <v>5294</v>
      </c>
      <c r="B5295">
        <v>280264360</v>
      </c>
      <c r="C5295">
        <v>280264360</v>
      </c>
    </row>
    <row r="5296" spans="1:3">
      <c r="A5296">
        <v>5295</v>
      </c>
      <c r="B5296">
        <v>280370250</v>
      </c>
      <c r="C5296">
        <v>280370250</v>
      </c>
    </row>
    <row r="5297" spans="1:3">
      <c r="A5297">
        <v>5296</v>
      </c>
      <c r="B5297">
        <v>280476160</v>
      </c>
      <c r="C5297">
        <v>280476160</v>
      </c>
    </row>
    <row r="5298" spans="1:3">
      <c r="A5298">
        <v>5297</v>
      </c>
      <c r="B5298">
        <v>280582090</v>
      </c>
      <c r="C5298">
        <v>280582090</v>
      </c>
    </row>
    <row r="5299" spans="1:3">
      <c r="A5299">
        <v>5298</v>
      </c>
      <c r="B5299">
        <v>280688040</v>
      </c>
      <c r="C5299">
        <v>280688040</v>
      </c>
    </row>
    <row r="5300" spans="1:3">
      <c r="A5300">
        <v>5299</v>
      </c>
      <c r="B5300">
        <v>280794010</v>
      </c>
      <c r="C5300">
        <v>280794010</v>
      </c>
    </row>
    <row r="5301" spans="1:3">
      <c r="A5301">
        <v>5300</v>
      </c>
      <c r="B5301">
        <v>280900000</v>
      </c>
      <c r="C5301">
        <v>280900000</v>
      </c>
    </row>
    <row r="5302" spans="1:3">
      <c r="A5302">
        <v>5301</v>
      </c>
      <c r="B5302">
        <v>281006010</v>
      </c>
      <c r="C5302">
        <v>281006010</v>
      </c>
    </row>
    <row r="5303" spans="1:3">
      <c r="A5303">
        <v>5302</v>
      </c>
      <c r="B5303">
        <v>281112040</v>
      </c>
      <c r="C5303">
        <v>281112040</v>
      </c>
    </row>
    <row r="5304" spans="1:3">
      <c r="A5304">
        <v>5303</v>
      </c>
      <c r="B5304">
        <v>281218090</v>
      </c>
      <c r="C5304">
        <v>281218090</v>
      </c>
    </row>
    <row r="5305" spans="1:3">
      <c r="A5305">
        <v>5304</v>
      </c>
      <c r="B5305">
        <v>281324160</v>
      </c>
      <c r="C5305">
        <v>281324160</v>
      </c>
    </row>
    <row r="5306" spans="1:3">
      <c r="A5306">
        <v>5305</v>
      </c>
      <c r="B5306">
        <v>281430250</v>
      </c>
      <c r="C5306">
        <v>281430250</v>
      </c>
    </row>
    <row r="5307" spans="1:3">
      <c r="A5307">
        <v>5306</v>
      </c>
      <c r="B5307">
        <v>281536360</v>
      </c>
      <c r="C5307">
        <v>281536360</v>
      </c>
    </row>
    <row r="5308" spans="1:3">
      <c r="A5308">
        <v>5307</v>
      </c>
      <c r="B5308">
        <v>281642490</v>
      </c>
      <c r="C5308">
        <v>281642490</v>
      </c>
    </row>
    <row r="5309" spans="1:3">
      <c r="A5309">
        <v>5308</v>
      </c>
      <c r="B5309">
        <v>281748640</v>
      </c>
      <c r="C5309">
        <v>281748640</v>
      </c>
    </row>
    <row r="5310" spans="1:3">
      <c r="A5310">
        <v>5309</v>
      </c>
      <c r="B5310">
        <v>281854810</v>
      </c>
      <c r="C5310">
        <v>281854810</v>
      </c>
    </row>
    <row r="5311" spans="1:3">
      <c r="A5311">
        <v>5310</v>
      </c>
      <c r="B5311">
        <v>281961000</v>
      </c>
      <c r="C5311">
        <v>281961000</v>
      </c>
    </row>
    <row r="5312" spans="1:3">
      <c r="A5312">
        <v>5311</v>
      </c>
      <c r="B5312">
        <v>282067210</v>
      </c>
      <c r="C5312">
        <v>282067210</v>
      </c>
    </row>
    <row r="5313" spans="1:3">
      <c r="A5313">
        <v>5312</v>
      </c>
      <c r="B5313">
        <v>282173440</v>
      </c>
      <c r="C5313">
        <v>282173440</v>
      </c>
    </row>
    <row r="5314" spans="1:3">
      <c r="A5314">
        <v>5313</v>
      </c>
      <c r="B5314">
        <v>282279690</v>
      </c>
      <c r="C5314">
        <v>282279690</v>
      </c>
    </row>
    <row r="5315" spans="1:3">
      <c r="A5315">
        <v>5314</v>
      </c>
      <c r="B5315">
        <v>282385960</v>
      </c>
      <c r="C5315">
        <v>282385960</v>
      </c>
    </row>
    <row r="5316" spans="1:3">
      <c r="A5316">
        <v>5315</v>
      </c>
      <c r="B5316">
        <v>282492250</v>
      </c>
      <c r="C5316">
        <v>282492250</v>
      </c>
    </row>
    <row r="5317" spans="1:3">
      <c r="A5317">
        <v>5316</v>
      </c>
      <c r="B5317">
        <v>282598560</v>
      </c>
      <c r="C5317">
        <v>282598560</v>
      </c>
    </row>
    <row r="5318" spans="1:3">
      <c r="A5318">
        <v>5317</v>
      </c>
      <c r="B5318">
        <v>282704890</v>
      </c>
      <c r="C5318">
        <v>282704890</v>
      </c>
    </row>
    <row r="5319" spans="1:3">
      <c r="A5319">
        <v>5318</v>
      </c>
      <c r="B5319">
        <v>282811240</v>
      </c>
      <c r="C5319">
        <v>282811240</v>
      </c>
    </row>
    <row r="5320" spans="1:3">
      <c r="A5320">
        <v>5319</v>
      </c>
      <c r="B5320">
        <v>282917610</v>
      </c>
      <c r="C5320">
        <v>282917610</v>
      </c>
    </row>
    <row r="5321" spans="1:3">
      <c r="A5321">
        <v>5320</v>
      </c>
      <c r="B5321">
        <v>283024000</v>
      </c>
      <c r="C5321">
        <v>283024000</v>
      </c>
    </row>
    <row r="5322" spans="1:3">
      <c r="A5322">
        <v>5321</v>
      </c>
      <c r="B5322">
        <v>283130410</v>
      </c>
      <c r="C5322">
        <v>283130410</v>
      </c>
    </row>
    <row r="5323" spans="1:3">
      <c r="A5323">
        <v>5322</v>
      </c>
      <c r="B5323">
        <v>283236840</v>
      </c>
      <c r="C5323">
        <v>283236840</v>
      </c>
    </row>
    <row r="5324" spans="1:3">
      <c r="A5324">
        <v>5323</v>
      </c>
      <c r="B5324">
        <v>283343290</v>
      </c>
      <c r="C5324">
        <v>283343290</v>
      </c>
    </row>
    <row r="5325" spans="1:3">
      <c r="A5325">
        <v>5324</v>
      </c>
      <c r="B5325">
        <v>283449760</v>
      </c>
      <c r="C5325">
        <v>283449760</v>
      </c>
    </row>
    <row r="5326" spans="1:3">
      <c r="A5326">
        <v>5325</v>
      </c>
      <c r="B5326">
        <v>283556250</v>
      </c>
      <c r="C5326">
        <v>283556250</v>
      </c>
    </row>
    <row r="5327" spans="1:3">
      <c r="A5327">
        <v>5326</v>
      </c>
      <c r="B5327">
        <v>283662760</v>
      </c>
      <c r="C5327">
        <v>283662760</v>
      </c>
    </row>
    <row r="5328" spans="1:3">
      <c r="A5328">
        <v>5327</v>
      </c>
      <c r="B5328">
        <v>283769290</v>
      </c>
      <c r="C5328">
        <v>283769290</v>
      </c>
    </row>
    <row r="5329" spans="1:3">
      <c r="A5329">
        <v>5328</v>
      </c>
      <c r="B5329">
        <v>283875840</v>
      </c>
      <c r="C5329">
        <v>283875840</v>
      </c>
    </row>
    <row r="5330" spans="1:3">
      <c r="A5330">
        <v>5329</v>
      </c>
      <c r="B5330">
        <v>283982410</v>
      </c>
      <c r="C5330">
        <v>283982410</v>
      </c>
    </row>
    <row r="5331" spans="1:3">
      <c r="A5331">
        <v>5330</v>
      </c>
      <c r="B5331">
        <v>284089000</v>
      </c>
      <c r="C5331">
        <v>284089000</v>
      </c>
    </row>
    <row r="5332" spans="1:3">
      <c r="A5332">
        <v>5331</v>
      </c>
      <c r="B5332">
        <v>284195610</v>
      </c>
      <c r="C5332">
        <v>284195610</v>
      </c>
    </row>
    <row r="5333" spans="1:3">
      <c r="A5333">
        <v>5332</v>
      </c>
      <c r="B5333">
        <v>284302240</v>
      </c>
      <c r="C5333">
        <v>284302240</v>
      </c>
    </row>
    <row r="5334" spans="1:3">
      <c r="A5334">
        <v>5333</v>
      </c>
      <c r="B5334">
        <v>284408890</v>
      </c>
      <c r="C5334">
        <v>284408890</v>
      </c>
    </row>
    <row r="5335" spans="1:3">
      <c r="A5335">
        <v>5334</v>
      </c>
      <c r="B5335">
        <v>284515560</v>
      </c>
      <c r="C5335">
        <v>284515560</v>
      </c>
    </row>
    <row r="5336" spans="1:3">
      <c r="A5336">
        <v>5335</v>
      </c>
      <c r="B5336">
        <v>284622250</v>
      </c>
      <c r="C5336">
        <v>284622250</v>
      </c>
    </row>
    <row r="5337" spans="1:3">
      <c r="A5337">
        <v>5336</v>
      </c>
      <c r="B5337">
        <v>284728960</v>
      </c>
      <c r="C5337">
        <v>284728960</v>
      </c>
    </row>
    <row r="5338" spans="1:3">
      <c r="A5338">
        <v>5337</v>
      </c>
      <c r="B5338">
        <v>284835690</v>
      </c>
      <c r="C5338">
        <v>284835690</v>
      </c>
    </row>
    <row r="5339" spans="1:3">
      <c r="A5339">
        <v>5338</v>
      </c>
      <c r="B5339">
        <v>284942440</v>
      </c>
      <c r="C5339">
        <v>284942440</v>
      </c>
    </row>
    <row r="5340" spans="1:3">
      <c r="A5340">
        <v>5339</v>
      </c>
      <c r="B5340">
        <v>285049210</v>
      </c>
      <c r="C5340">
        <v>285049210</v>
      </c>
    </row>
    <row r="5341" spans="1:3">
      <c r="A5341">
        <v>5340</v>
      </c>
      <c r="B5341">
        <v>285156000</v>
      </c>
      <c r="C5341">
        <v>285156000</v>
      </c>
    </row>
    <row r="5342" spans="1:3">
      <c r="A5342">
        <v>5341</v>
      </c>
      <c r="B5342">
        <v>285262810</v>
      </c>
      <c r="C5342">
        <v>285262810</v>
      </c>
    </row>
    <row r="5343" spans="1:3">
      <c r="A5343">
        <v>5342</v>
      </c>
      <c r="B5343">
        <v>285369640</v>
      </c>
      <c r="C5343">
        <v>285369640</v>
      </c>
    </row>
    <row r="5344" spans="1:3">
      <c r="A5344">
        <v>5343</v>
      </c>
      <c r="B5344">
        <v>285476490</v>
      </c>
      <c r="C5344">
        <v>285476490</v>
      </c>
    </row>
    <row r="5345" spans="1:3">
      <c r="A5345">
        <v>5344</v>
      </c>
      <c r="B5345">
        <v>285583360</v>
      </c>
      <c r="C5345">
        <v>285583360</v>
      </c>
    </row>
    <row r="5346" spans="1:3">
      <c r="A5346">
        <v>5345</v>
      </c>
      <c r="B5346">
        <v>285690250</v>
      </c>
      <c r="C5346">
        <v>285690250</v>
      </c>
    </row>
    <row r="5347" spans="1:3">
      <c r="A5347">
        <v>5346</v>
      </c>
      <c r="B5347">
        <v>285797160</v>
      </c>
      <c r="C5347">
        <v>285797160</v>
      </c>
    </row>
    <row r="5348" spans="1:3">
      <c r="A5348">
        <v>5347</v>
      </c>
      <c r="B5348">
        <v>285904090</v>
      </c>
      <c r="C5348">
        <v>285904090</v>
      </c>
    </row>
    <row r="5349" spans="1:3">
      <c r="A5349">
        <v>5348</v>
      </c>
      <c r="B5349">
        <v>286011040</v>
      </c>
      <c r="C5349">
        <v>286011040</v>
      </c>
    </row>
    <row r="5350" spans="1:3">
      <c r="A5350">
        <v>5349</v>
      </c>
      <c r="B5350">
        <v>286118010</v>
      </c>
      <c r="C5350">
        <v>286118010</v>
      </c>
    </row>
    <row r="5351" spans="1:3">
      <c r="A5351">
        <v>5350</v>
      </c>
      <c r="B5351">
        <v>286225000</v>
      </c>
      <c r="C5351">
        <v>286225000</v>
      </c>
    </row>
    <row r="5352" spans="1:3">
      <c r="A5352">
        <v>5351</v>
      </c>
      <c r="B5352">
        <v>286332010</v>
      </c>
      <c r="C5352">
        <v>286332010</v>
      </c>
    </row>
    <row r="5353" spans="1:3">
      <c r="A5353">
        <v>5352</v>
      </c>
      <c r="B5353">
        <v>286439040</v>
      </c>
      <c r="C5353">
        <v>286439040</v>
      </c>
    </row>
    <row r="5354" spans="1:3">
      <c r="A5354">
        <v>5353</v>
      </c>
      <c r="B5354">
        <v>286546090</v>
      </c>
      <c r="C5354">
        <v>286546090</v>
      </c>
    </row>
    <row r="5355" spans="1:3">
      <c r="A5355">
        <v>5354</v>
      </c>
      <c r="B5355">
        <v>286653160</v>
      </c>
      <c r="C5355">
        <v>286653160</v>
      </c>
    </row>
    <row r="5356" spans="1:3">
      <c r="A5356">
        <v>5355</v>
      </c>
      <c r="B5356">
        <v>286760250</v>
      </c>
      <c r="C5356">
        <v>286760250</v>
      </c>
    </row>
    <row r="5357" spans="1:3">
      <c r="A5357">
        <v>5356</v>
      </c>
      <c r="B5357">
        <v>286867360</v>
      </c>
      <c r="C5357">
        <v>286867360</v>
      </c>
    </row>
    <row r="5358" spans="1:3">
      <c r="A5358">
        <v>5357</v>
      </c>
      <c r="B5358">
        <v>286974490</v>
      </c>
      <c r="C5358">
        <v>286974490</v>
      </c>
    </row>
    <row r="5359" spans="1:3">
      <c r="A5359">
        <v>5358</v>
      </c>
      <c r="B5359">
        <v>287081640</v>
      </c>
      <c r="C5359">
        <v>287081640</v>
      </c>
    </row>
    <row r="5360" spans="1:3">
      <c r="A5360">
        <v>5359</v>
      </c>
      <c r="B5360">
        <v>287188810</v>
      </c>
      <c r="C5360">
        <v>287188810</v>
      </c>
    </row>
    <row r="5361" spans="1:3">
      <c r="A5361">
        <v>5360</v>
      </c>
      <c r="B5361">
        <v>287296000</v>
      </c>
      <c r="C5361">
        <v>287296000</v>
      </c>
    </row>
    <row r="5362" spans="1:3">
      <c r="A5362">
        <v>5361</v>
      </c>
      <c r="B5362">
        <v>287403210</v>
      </c>
      <c r="C5362">
        <v>287403210</v>
      </c>
    </row>
    <row r="5363" spans="1:3">
      <c r="A5363">
        <v>5362</v>
      </c>
      <c r="B5363">
        <v>287510440</v>
      </c>
      <c r="C5363">
        <v>287510440</v>
      </c>
    </row>
    <row r="5364" spans="1:3">
      <c r="A5364">
        <v>5363</v>
      </c>
      <c r="B5364">
        <v>287617690</v>
      </c>
      <c r="C5364">
        <v>287617690</v>
      </c>
    </row>
    <row r="5365" spans="1:3">
      <c r="A5365">
        <v>5364</v>
      </c>
      <c r="B5365">
        <v>287724960</v>
      </c>
      <c r="C5365">
        <v>287724960</v>
      </c>
    </row>
    <row r="5366" spans="1:3">
      <c r="A5366">
        <v>5365</v>
      </c>
      <c r="B5366">
        <v>287832250</v>
      </c>
      <c r="C5366">
        <v>287832250</v>
      </c>
    </row>
    <row r="5367" spans="1:3">
      <c r="A5367">
        <v>5366</v>
      </c>
      <c r="B5367">
        <v>287939560</v>
      </c>
      <c r="C5367">
        <v>287939560</v>
      </c>
    </row>
    <row r="5368" spans="1:3">
      <c r="A5368">
        <v>5367</v>
      </c>
      <c r="B5368">
        <v>288046890</v>
      </c>
      <c r="C5368">
        <v>288046890</v>
      </c>
    </row>
    <row r="5369" spans="1:3">
      <c r="A5369">
        <v>5368</v>
      </c>
      <c r="B5369">
        <v>288154240</v>
      </c>
      <c r="C5369">
        <v>288154240</v>
      </c>
    </row>
    <row r="5370" spans="1:3">
      <c r="A5370">
        <v>5369</v>
      </c>
      <c r="B5370">
        <v>288261610</v>
      </c>
      <c r="C5370">
        <v>288261610</v>
      </c>
    </row>
    <row r="5371" spans="1:3">
      <c r="A5371">
        <v>5370</v>
      </c>
      <c r="B5371">
        <v>288369000</v>
      </c>
      <c r="C5371">
        <v>288369000</v>
      </c>
    </row>
    <row r="5372" spans="1:3">
      <c r="A5372">
        <v>5371</v>
      </c>
      <c r="B5372">
        <v>288476410</v>
      </c>
      <c r="C5372">
        <v>288476410</v>
      </c>
    </row>
    <row r="5373" spans="1:3">
      <c r="A5373">
        <v>5372</v>
      </c>
      <c r="B5373">
        <v>288583840</v>
      </c>
      <c r="C5373">
        <v>288583840</v>
      </c>
    </row>
    <row r="5374" spans="1:3">
      <c r="A5374">
        <v>5373</v>
      </c>
      <c r="B5374">
        <v>288691290</v>
      </c>
      <c r="C5374">
        <v>288691290</v>
      </c>
    </row>
    <row r="5375" spans="1:3">
      <c r="A5375">
        <v>5374</v>
      </c>
      <c r="B5375">
        <v>288798760</v>
      </c>
      <c r="C5375">
        <v>288798760</v>
      </c>
    </row>
    <row r="5376" spans="1:3">
      <c r="A5376">
        <v>5375</v>
      </c>
      <c r="B5376">
        <v>288906250</v>
      </c>
      <c r="C5376">
        <v>288906250</v>
      </c>
    </row>
    <row r="5377" spans="1:3">
      <c r="A5377">
        <v>5376</v>
      </c>
      <c r="B5377">
        <v>289013760</v>
      </c>
      <c r="C5377">
        <v>289013760</v>
      </c>
    </row>
    <row r="5378" spans="1:3">
      <c r="A5378">
        <v>5377</v>
      </c>
      <c r="B5378">
        <v>289121290</v>
      </c>
      <c r="C5378">
        <v>289121290</v>
      </c>
    </row>
    <row r="5379" spans="1:3">
      <c r="A5379">
        <v>5378</v>
      </c>
      <c r="B5379">
        <v>289228840</v>
      </c>
      <c r="C5379">
        <v>289228840</v>
      </c>
    </row>
    <row r="5380" spans="1:3">
      <c r="A5380">
        <v>5379</v>
      </c>
      <c r="B5380">
        <v>289336410</v>
      </c>
      <c r="C5380">
        <v>289336410</v>
      </c>
    </row>
    <row r="5381" spans="1:3">
      <c r="A5381">
        <v>5380</v>
      </c>
      <c r="B5381">
        <v>289444000</v>
      </c>
      <c r="C5381">
        <v>289444000</v>
      </c>
    </row>
    <row r="5382" spans="1:3">
      <c r="A5382">
        <v>5381</v>
      </c>
      <c r="B5382">
        <v>289551610</v>
      </c>
      <c r="C5382">
        <v>289551610</v>
      </c>
    </row>
    <row r="5383" spans="1:3">
      <c r="A5383">
        <v>5382</v>
      </c>
      <c r="B5383">
        <v>289659240</v>
      </c>
      <c r="C5383">
        <v>289659240</v>
      </c>
    </row>
    <row r="5384" spans="1:3">
      <c r="A5384">
        <v>5383</v>
      </c>
      <c r="B5384">
        <v>289766890</v>
      </c>
      <c r="C5384">
        <v>289766890</v>
      </c>
    </row>
    <row r="5385" spans="1:3">
      <c r="A5385">
        <v>5384</v>
      </c>
      <c r="B5385">
        <v>289874560</v>
      </c>
      <c r="C5385">
        <v>289874560</v>
      </c>
    </row>
    <row r="5386" spans="1:3">
      <c r="A5386">
        <v>5385</v>
      </c>
      <c r="B5386">
        <v>289982250</v>
      </c>
      <c r="C5386">
        <v>289982250</v>
      </c>
    </row>
    <row r="5387" spans="1:3">
      <c r="A5387">
        <v>5386</v>
      </c>
      <c r="B5387">
        <v>290089960</v>
      </c>
      <c r="C5387">
        <v>290089960</v>
      </c>
    </row>
    <row r="5388" spans="1:3">
      <c r="A5388">
        <v>5387</v>
      </c>
      <c r="B5388">
        <v>290197690</v>
      </c>
      <c r="C5388">
        <v>290197690</v>
      </c>
    </row>
    <row r="5389" spans="1:3">
      <c r="A5389">
        <v>5388</v>
      </c>
      <c r="B5389">
        <v>290305440</v>
      </c>
      <c r="C5389">
        <v>290305440</v>
      </c>
    </row>
    <row r="5390" spans="1:3">
      <c r="A5390">
        <v>5389</v>
      </c>
      <c r="B5390">
        <v>290413210</v>
      </c>
      <c r="C5390">
        <v>290413210</v>
      </c>
    </row>
    <row r="5391" spans="1:3">
      <c r="A5391">
        <v>5390</v>
      </c>
      <c r="B5391">
        <v>290521000</v>
      </c>
      <c r="C5391">
        <v>290521000</v>
      </c>
    </row>
    <row r="5392" spans="1:3">
      <c r="A5392">
        <v>5391</v>
      </c>
      <c r="B5392">
        <v>290628810</v>
      </c>
      <c r="C5392">
        <v>290628810</v>
      </c>
    </row>
    <row r="5393" spans="1:3">
      <c r="A5393">
        <v>5392</v>
      </c>
      <c r="B5393">
        <v>290736640</v>
      </c>
      <c r="C5393">
        <v>290736640</v>
      </c>
    </row>
    <row r="5394" spans="1:3">
      <c r="A5394">
        <v>5393</v>
      </c>
      <c r="B5394">
        <v>290844490</v>
      </c>
      <c r="C5394">
        <v>290844490</v>
      </c>
    </row>
    <row r="5395" spans="1:3">
      <c r="A5395">
        <v>5394</v>
      </c>
      <c r="B5395">
        <v>290952360</v>
      </c>
      <c r="C5395">
        <v>290952360</v>
      </c>
    </row>
    <row r="5396" spans="1:3">
      <c r="A5396">
        <v>5395</v>
      </c>
      <c r="B5396">
        <v>291060250</v>
      </c>
      <c r="C5396">
        <v>291060250</v>
      </c>
    </row>
    <row r="5397" spans="1:3">
      <c r="A5397">
        <v>5396</v>
      </c>
      <c r="B5397">
        <v>291168160</v>
      </c>
      <c r="C5397">
        <v>291168160</v>
      </c>
    </row>
    <row r="5398" spans="1:3">
      <c r="A5398">
        <v>5397</v>
      </c>
      <c r="B5398">
        <v>291276090</v>
      </c>
      <c r="C5398">
        <v>291276090</v>
      </c>
    </row>
    <row r="5399" spans="1:3">
      <c r="A5399">
        <v>5398</v>
      </c>
      <c r="B5399">
        <v>291384040</v>
      </c>
      <c r="C5399">
        <v>291384040</v>
      </c>
    </row>
    <row r="5400" spans="1:3">
      <c r="A5400">
        <v>5399</v>
      </c>
      <c r="B5400">
        <v>291492010</v>
      </c>
      <c r="C5400">
        <v>291492010</v>
      </c>
    </row>
    <row r="5401" spans="1:3">
      <c r="A5401">
        <v>5400</v>
      </c>
      <c r="B5401">
        <v>291600000</v>
      </c>
      <c r="C5401">
        <v>291600000</v>
      </c>
    </row>
    <row r="5402" spans="1:3">
      <c r="A5402">
        <v>5401</v>
      </c>
      <c r="B5402">
        <v>291708010</v>
      </c>
      <c r="C5402">
        <v>291708010</v>
      </c>
    </row>
    <row r="5403" spans="1:3">
      <c r="A5403">
        <v>5402</v>
      </c>
      <c r="B5403">
        <v>291816040</v>
      </c>
      <c r="C5403">
        <v>291816040</v>
      </c>
    </row>
    <row r="5404" spans="1:3">
      <c r="A5404">
        <v>5403</v>
      </c>
      <c r="B5404">
        <v>291924090</v>
      </c>
      <c r="C5404">
        <v>291924090</v>
      </c>
    </row>
    <row r="5405" spans="1:3">
      <c r="A5405">
        <v>5404</v>
      </c>
      <c r="B5405">
        <v>292032160</v>
      </c>
      <c r="C5405">
        <v>292032160</v>
      </c>
    </row>
    <row r="5406" spans="1:3">
      <c r="A5406">
        <v>5405</v>
      </c>
      <c r="B5406">
        <v>292140250</v>
      </c>
      <c r="C5406">
        <v>292140250</v>
      </c>
    </row>
    <row r="5407" spans="1:3">
      <c r="A5407">
        <v>5406</v>
      </c>
      <c r="B5407">
        <v>292248360</v>
      </c>
      <c r="C5407">
        <v>292248360</v>
      </c>
    </row>
    <row r="5408" spans="1:3">
      <c r="A5408">
        <v>5407</v>
      </c>
      <c r="B5408">
        <v>292356490</v>
      </c>
      <c r="C5408">
        <v>292356490</v>
      </c>
    </row>
    <row r="5409" spans="1:3">
      <c r="A5409">
        <v>5408</v>
      </c>
      <c r="B5409">
        <v>292464640</v>
      </c>
      <c r="C5409">
        <v>292464640</v>
      </c>
    </row>
    <row r="5410" spans="1:3">
      <c r="A5410">
        <v>5409</v>
      </c>
      <c r="B5410">
        <v>292572810</v>
      </c>
      <c r="C5410">
        <v>292572810</v>
      </c>
    </row>
    <row r="5411" spans="1:3">
      <c r="A5411">
        <v>5410</v>
      </c>
      <c r="B5411">
        <v>292681000</v>
      </c>
      <c r="C5411">
        <v>292681000</v>
      </c>
    </row>
    <row r="5412" spans="1:3">
      <c r="A5412">
        <v>5411</v>
      </c>
      <c r="B5412">
        <v>292789210</v>
      </c>
      <c r="C5412">
        <v>292789210</v>
      </c>
    </row>
    <row r="5413" spans="1:3">
      <c r="A5413">
        <v>5412</v>
      </c>
      <c r="B5413">
        <v>292897440</v>
      </c>
      <c r="C5413">
        <v>292897440</v>
      </c>
    </row>
    <row r="5414" spans="1:3">
      <c r="A5414">
        <v>5413</v>
      </c>
      <c r="B5414">
        <v>293005690</v>
      </c>
      <c r="C5414">
        <v>293005690</v>
      </c>
    </row>
    <row r="5415" spans="1:3">
      <c r="A5415">
        <v>5414</v>
      </c>
      <c r="B5415">
        <v>293113960</v>
      </c>
      <c r="C5415">
        <v>293113960</v>
      </c>
    </row>
    <row r="5416" spans="1:3">
      <c r="A5416">
        <v>5415</v>
      </c>
      <c r="B5416">
        <v>293222250</v>
      </c>
      <c r="C5416">
        <v>293222250</v>
      </c>
    </row>
    <row r="5417" spans="1:3">
      <c r="A5417">
        <v>5416</v>
      </c>
      <c r="B5417">
        <v>293330560</v>
      </c>
      <c r="C5417">
        <v>293330560</v>
      </c>
    </row>
    <row r="5418" spans="1:3">
      <c r="A5418">
        <v>5417</v>
      </c>
      <c r="B5418">
        <v>293438890</v>
      </c>
      <c r="C5418">
        <v>293438890</v>
      </c>
    </row>
    <row r="5419" spans="1:3">
      <c r="A5419">
        <v>5418</v>
      </c>
      <c r="B5419">
        <v>293547240</v>
      </c>
      <c r="C5419">
        <v>293547240</v>
      </c>
    </row>
    <row r="5420" spans="1:3">
      <c r="A5420">
        <v>5419</v>
      </c>
      <c r="B5420">
        <v>293655610</v>
      </c>
      <c r="C5420">
        <v>293655610</v>
      </c>
    </row>
    <row r="5421" spans="1:3">
      <c r="A5421">
        <v>5420</v>
      </c>
      <c r="B5421">
        <v>293764000</v>
      </c>
      <c r="C5421">
        <v>293764000</v>
      </c>
    </row>
    <row r="5422" spans="1:3">
      <c r="A5422">
        <v>5421</v>
      </c>
      <c r="B5422">
        <v>293872410</v>
      </c>
      <c r="C5422">
        <v>293872410</v>
      </c>
    </row>
    <row r="5423" spans="1:3">
      <c r="A5423">
        <v>5422</v>
      </c>
      <c r="B5423">
        <v>293980840</v>
      </c>
      <c r="C5423">
        <v>293980840</v>
      </c>
    </row>
    <row r="5424" spans="1:3">
      <c r="A5424">
        <v>5423</v>
      </c>
      <c r="B5424">
        <v>294089290</v>
      </c>
      <c r="C5424">
        <v>294089290</v>
      </c>
    </row>
    <row r="5425" spans="1:3">
      <c r="A5425">
        <v>5424</v>
      </c>
      <c r="B5425">
        <v>294197760</v>
      </c>
      <c r="C5425">
        <v>294197760</v>
      </c>
    </row>
    <row r="5426" spans="1:3">
      <c r="A5426">
        <v>5425</v>
      </c>
      <c r="B5426">
        <v>294306250</v>
      </c>
      <c r="C5426">
        <v>294306250</v>
      </c>
    </row>
    <row r="5427" spans="1:3">
      <c r="A5427">
        <v>5426</v>
      </c>
      <c r="B5427">
        <v>294414760</v>
      </c>
      <c r="C5427">
        <v>294414760</v>
      </c>
    </row>
    <row r="5428" spans="1:3">
      <c r="A5428">
        <v>5427</v>
      </c>
      <c r="B5428">
        <v>294523290</v>
      </c>
      <c r="C5428">
        <v>294523290</v>
      </c>
    </row>
    <row r="5429" spans="1:3">
      <c r="A5429">
        <v>5428</v>
      </c>
      <c r="B5429">
        <v>294631840</v>
      </c>
      <c r="C5429">
        <v>294631840</v>
      </c>
    </row>
    <row r="5430" spans="1:3">
      <c r="A5430">
        <v>5429</v>
      </c>
      <c r="B5430">
        <v>294740410</v>
      </c>
      <c r="C5430">
        <v>294740410</v>
      </c>
    </row>
    <row r="5431" spans="1:3">
      <c r="A5431">
        <v>5430</v>
      </c>
      <c r="B5431">
        <v>294849000</v>
      </c>
      <c r="C5431">
        <v>294849000</v>
      </c>
    </row>
    <row r="5432" spans="1:3">
      <c r="A5432">
        <v>5431</v>
      </c>
      <c r="B5432">
        <v>294957610</v>
      </c>
      <c r="C5432">
        <v>294957610</v>
      </c>
    </row>
    <row r="5433" spans="1:3">
      <c r="A5433">
        <v>5432</v>
      </c>
      <c r="B5433">
        <v>295066240</v>
      </c>
      <c r="C5433">
        <v>295066240</v>
      </c>
    </row>
    <row r="5434" spans="1:3">
      <c r="A5434">
        <v>5433</v>
      </c>
      <c r="B5434">
        <v>295174890</v>
      </c>
      <c r="C5434">
        <v>295174890</v>
      </c>
    </row>
    <row r="5435" spans="1:3">
      <c r="A5435">
        <v>5434</v>
      </c>
      <c r="B5435">
        <v>295283560</v>
      </c>
      <c r="C5435">
        <v>295283560</v>
      </c>
    </row>
    <row r="5436" spans="1:3">
      <c r="A5436">
        <v>5435</v>
      </c>
      <c r="B5436">
        <v>295392250</v>
      </c>
      <c r="C5436">
        <v>295392250</v>
      </c>
    </row>
    <row r="5437" spans="1:3">
      <c r="A5437">
        <v>5436</v>
      </c>
      <c r="B5437">
        <v>295500960</v>
      </c>
      <c r="C5437">
        <v>295500960</v>
      </c>
    </row>
    <row r="5438" spans="1:3">
      <c r="A5438">
        <v>5437</v>
      </c>
      <c r="B5438">
        <v>295609690</v>
      </c>
      <c r="C5438">
        <v>295609690</v>
      </c>
    </row>
    <row r="5439" spans="1:3">
      <c r="A5439">
        <v>5438</v>
      </c>
      <c r="B5439">
        <v>295718440</v>
      </c>
      <c r="C5439">
        <v>295718440</v>
      </c>
    </row>
    <row r="5440" spans="1:3">
      <c r="A5440">
        <v>5439</v>
      </c>
      <c r="B5440">
        <v>295827210</v>
      </c>
      <c r="C5440">
        <v>295827210</v>
      </c>
    </row>
    <row r="5441" spans="1:3">
      <c r="A5441">
        <v>5440</v>
      </c>
      <c r="B5441">
        <v>295936000</v>
      </c>
      <c r="C5441">
        <v>295936000</v>
      </c>
    </row>
    <row r="5442" spans="1:3">
      <c r="A5442">
        <v>5441</v>
      </c>
      <c r="B5442">
        <v>296044810</v>
      </c>
      <c r="C5442">
        <v>296044810</v>
      </c>
    </row>
    <row r="5443" spans="1:3">
      <c r="A5443">
        <v>5442</v>
      </c>
      <c r="B5443">
        <v>296153640</v>
      </c>
      <c r="C5443">
        <v>296153640</v>
      </c>
    </row>
    <row r="5444" spans="1:3">
      <c r="A5444">
        <v>5443</v>
      </c>
      <c r="B5444">
        <v>296262490</v>
      </c>
      <c r="C5444">
        <v>296262490</v>
      </c>
    </row>
    <row r="5445" spans="1:3">
      <c r="A5445">
        <v>5444</v>
      </c>
      <c r="B5445">
        <v>296371360</v>
      </c>
      <c r="C5445">
        <v>296371360</v>
      </c>
    </row>
    <row r="5446" spans="1:3">
      <c r="A5446">
        <v>5445</v>
      </c>
      <c r="B5446">
        <v>296480250</v>
      </c>
      <c r="C5446">
        <v>296480250</v>
      </c>
    </row>
    <row r="5447" spans="1:3">
      <c r="A5447">
        <v>5446</v>
      </c>
      <c r="B5447">
        <v>296589160</v>
      </c>
      <c r="C5447">
        <v>296589160</v>
      </c>
    </row>
    <row r="5448" spans="1:3">
      <c r="A5448">
        <v>5447</v>
      </c>
      <c r="B5448">
        <v>296698090</v>
      </c>
      <c r="C5448">
        <v>296698090</v>
      </c>
    </row>
    <row r="5449" spans="1:3">
      <c r="A5449">
        <v>5448</v>
      </c>
      <c r="B5449">
        <v>296807040</v>
      </c>
      <c r="C5449">
        <v>296807040</v>
      </c>
    </row>
    <row r="5450" spans="1:3">
      <c r="A5450">
        <v>5449</v>
      </c>
      <c r="B5450">
        <v>296916010</v>
      </c>
      <c r="C5450">
        <v>296916010</v>
      </c>
    </row>
    <row r="5451" spans="1:3">
      <c r="A5451">
        <v>5450</v>
      </c>
      <c r="B5451">
        <v>297025000</v>
      </c>
      <c r="C5451">
        <v>297025000</v>
      </c>
    </row>
    <row r="5452" spans="1:3">
      <c r="A5452">
        <v>5451</v>
      </c>
      <c r="B5452">
        <v>297134010</v>
      </c>
      <c r="C5452">
        <v>297134010</v>
      </c>
    </row>
    <row r="5453" spans="1:3">
      <c r="A5453">
        <v>5452</v>
      </c>
      <c r="B5453">
        <v>297243040</v>
      </c>
      <c r="C5453">
        <v>297243040</v>
      </c>
    </row>
    <row r="5454" spans="1:3">
      <c r="A5454">
        <v>5453</v>
      </c>
      <c r="B5454">
        <v>297352090</v>
      </c>
      <c r="C5454">
        <v>297352090</v>
      </c>
    </row>
    <row r="5455" spans="1:3">
      <c r="A5455">
        <v>5454</v>
      </c>
      <c r="B5455">
        <v>297461160</v>
      </c>
      <c r="C5455">
        <v>297461160</v>
      </c>
    </row>
    <row r="5456" spans="1:3">
      <c r="A5456">
        <v>5455</v>
      </c>
      <c r="B5456">
        <v>297570250</v>
      </c>
      <c r="C5456">
        <v>297570250</v>
      </c>
    </row>
    <row r="5457" spans="1:3">
      <c r="A5457">
        <v>5456</v>
      </c>
      <c r="B5457">
        <v>297679360</v>
      </c>
      <c r="C5457">
        <v>297679360</v>
      </c>
    </row>
    <row r="5458" spans="1:3">
      <c r="A5458">
        <v>5457</v>
      </c>
      <c r="B5458">
        <v>297788490</v>
      </c>
      <c r="C5458">
        <v>297788490</v>
      </c>
    </row>
    <row r="5459" spans="1:3">
      <c r="A5459">
        <v>5458</v>
      </c>
      <c r="B5459">
        <v>297897640</v>
      </c>
      <c r="C5459">
        <v>297897640</v>
      </c>
    </row>
    <row r="5460" spans="1:3">
      <c r="A5460">
        <v>5459</v>
      </c>
      <c r="B5460">
        <v>298006810</v>
      </c>
      <c r="C5460">
        <v>298006810</v>
      </c>
    </row>
    <row r="5461" spans="1:3">
      <c r="A5461">
        <v>5460</v>
      </c>
      <c r="B5461">
        <v>298116000</v>
      </c>
      <c r="C5461">
        <v>298116000</v>
      </c>
    </row>
    <row r="5462" spans="1:3">
      <c r="A5462">
        <v>5461</v>
      </c>
      <c r="B5462">
        <v>298225210</v>
      </c>
      <c r="C5462">
        <v>298225210</v>
      </c>
    </row>
    <row r="5463" spans="1:3">
      <c r="A5463">
        <v>5462</v>
      </c>
      <c r="B5463">
        <v>298334440</v>
      </c>
      <c r="C5463">
        <v>298334440</v>
      </c>
    </row>
    <row r="5464" spans="1:3">
      <c r="A5464">
        <v>5463</v>
      </c>
      <c r="B5464">
        <v>298443690</v>
      </c>
      <c r="C5464">
        <v>298443690</v>
      </c>
    </row>
    <row r="5465" spans="1:3">
      <c r="A5465">
        <v>5464</v>
      </c>
      <c r="B5465">
        <v>298552960</v>
      </c>
      <c r="C5465">
        <v>298552960</v>
      </c>
    </row>
    <row r="5466" spans="1:3">
      <c r="A5466">
        <v>5465</v>
      </c>
      <c r="B5466">
        <v>298662250</v>
      </c>
      <c r="C5466">
        <v>298662250</v>
      </c>
    </row>
    <row r="5467" spans="1:3">
      <c r="A5467">
        <v>5466</v>
      </c>
      <c r="B5467">
        <v>298771560</v>
      </c>
      <c r="C5467">
        <v>298771560</v>
      </c>
    </row>
    <row r="5468" spans="1:3">
      <c r="A5468">
        <v>5467</v>
      </c>
      <c r="B5468">
        <v>298880890</v>
      </c>
      <c r="C5468">
        <v>298880890</v>
      </c>
    </row>
    <row r="5469" spans="1:3">
      <c r="A5469">
        <v>5468</v>
      </c>
      <c r="B5469">
        <v>298990240</v>
      </c>
      <c r="C5469">
        <v>298990240</v>
      </c>
    </row>
    <row r="5470" spans="1:3">
      <c r="A5470">
        <v>5469</v>
      </c>
      <c r="B5470">
        <v>299099610</v>
      </c>
      <c r="C5470">
        <v>299099610</v>
      </c>
    </row>
    <row r="5471" spans="1:3">
      <c r="A5471">
        <v>5470</v>
      </c>
      <c r="B5471">
        <v>299209000</v>
      </c>
      <c r="C5471">
        <v>299209000</v>
      </c>
    </row>
    <row r="5472" spans="1:3">
      <c r="A5472">
        <v>5471</v>
      </c>
      <c r="B5472">
        <v>299318410</v>
      </c>
      <c r="C5472">
        <v>299318410</v>
      </c>
    </row>
    <row r="5473" spans="1:3">
      <c r="A5473">
        <v>5472</v>
      </c>
      <c r="B5473">
        <v>299427840</v>
      </c>
      <c r="C5473">
        <v>299427840</v>
      </c>
    </row>
    <row r="5474" spans="1:3">
      <c r="A5474">
        <v>5473</v>
      </c>
      <c r="B5474">
        <v>299537290</v>
      </c>
      <c r="C5474">
        <v>299537290</v>
      </c>
    </row>
    <row r="5475" spans="1:3">
      <c r="A5475">
        <v>5474</v>
      </c>
      <c r="B5475">
        <v>299646760</v>
      </c>
      <c r="C5475">
        <v>299646760</v>
      </c>
    </row>
    <row r="5476" spans="1:3">
      <c r="A5476">
        <v>5475</v>
      </c>
      <c r="B5476">
        <v>299756250</v>
      </c>
      <c r="C5476">
        <v>299756250</v>
      </c>
    </row>
    <row r="5477" spans="1:3">
      <c r="A5477">
        <v>5476</v>
      </c>
      <c r="B5477">
        <v>299865760</v>
      </c>
      <c r="C5477">
        <v>299865760</v>
      </c>
    </row>
    <row r="5478" spans="1:3">
      <c r="A5478">
        <v>5477</v>
      </c>
      <c r="B5478">
        <v>299975290</v>
      </c>
      <c r="C5478">
        <v>299975290</v>
      </c>
    </row>
    <row r="5479" spans="1:3">
      <c r="A5479">
        <v>5478</v>
      </c>
      <c r="B5479">
        <v>300084840</v>
      </c>
      <c r="C5479">
        <v>300084840</v>
      </c>
    </row>
    <row r="5480" spans="1:3">
      <c r="A5480">
        <v>5479</v>
      </c>
      <c r="B5480">
        <v>300194410</v>
      </c>
      <c r="C5480">
        <v>300194410</v>
      </c>
    </row>
    <row r="5481" spans="1:3">
      <c r="A5481">
        <v>5480</v>
      </c>
      <c r="B5481">
        <v>300304000</v>
      </c>
      <c r="C5481">
        <v>300304000</v>
      </c>
    </row>
    <row r="5482" spans="1:3">
      <c r="A5482">
        <v>5481</v>
      </c>
      <c r="B5482">
        <v>300413610</v>
      </c>
      <c r="C5482">
        <v>300413610</v>
      </c>
    </row>
    <row r="5483" spans="1:3">
      <c r="A5483">
        <v>5482</v>
      </c>
      <c r="B5483">
        <v>300523240</v>
      </c>
      <c r="C5483">
        <v>300523240</v>
      </c>
    </row>
    <row r="5484" spans="1:3">
      <c r="A5484">
        <v>5483</v>
      </c>
      <c r="B5484">
        <v>300632890</v>
      </c>
      <c r="C5484">
        <v>300632890</v>
      </c>
    </row>
    <row r="5485" spans="1:3">
      <c r="A5485">
        <v>5484</v>
      </c>
      <c r="B5485">
        <v>300742560</v>
      </c>
      <c r="C5485">
        <v>300742560</v>
      </c>
    </row>
    <row r="5486" spans="1:3">
      <c r="A5486">
        <v>5485</v>
      </c>
      <c r="B5486">
        <v>300852250</v>
      </c>
      <c r="C5486">
        <v>300852250</v>
      </c>
    </row>
    <row r="5487" spans="1:3">
      <c r="A5487">
        <v>5486</v>
      </c>
      <c r="B5487">
        <v>300961960</v>
      </c>
      <c r="C5487">
        <v>300961960</v>
      </c>
    </row>
    <row r="5488" spans="1:3">
      <c r="A5488">
        <v>5487</v>
      </c>
      <c r="B5488">
        <v>301071690</v>
      </c>
      <c r="C5488">
        <v>301071690</v>
      </c>
    </row>
    <row r="5489" spans="1:3">
      <c r="A5489">
        <v>5488</v>
      </c>
      <c r="B5489">
        <v>301181440</v>
      </c>
      <c r="C5489">
        <v>301181440</v>
      </c>
    </row>
    <row r="5490" spans="1:3">
      <c r="A5490">
        <v>5489</v>
      </c>
      <c r="B5490">
        <v>301291210</v>
      </c>
      <c r="C5490">
        <v>301291210</v>
      </c>
    </row>
    <row r="5491" spans="1:3">
      <c r="A5491">
        <v>5490</v>
      </c>
      <c r="B5491">
        <v>301401000</v>
      </c>
      <c r="C5491">
        <v>301401000</v>
      </c>
    </row>
    <row r="5492" spans="1:3">
      <c r="A5492">
        <v>5491</v>
      </c>
      <c r="B5492">
        <v>301510810</v>
      </c>
      <c r="C5492">
        <v>301510810</v>
      </c>
    </row>
    <row r="5493" spans="1:3">
      <c r="A5493">
        <v>5492</v>
      </c>
      <c r="B5493">
        <v>301620640</v>
      </c>
      <c r="C5493">
        <v>301620640</v>
      </c>
    </row>
    <row r="5494" spans="1:3">
      <c r="A5494">
        <v>5493</v>
      </c>
      <c r="B5494">
        <v>301730490</v>
      </c>
      <c r="C5494">
        <v>301730490</v>
      </c>
    </row>
    <row r="5495" spans="1:3">
      <c r="A5495">
        <v>5494</v>
      </c>
      <c r="B5495">
        <v>301840360</v>
      </c>
      <c r="C5495">
        <v>301840360</v>
      </c>
    </row>
    <row r="5496" spans="1:3">
      <c r="A5496">
        <v>5495</v>
      </c>
      <c r="B5496">
        <v>301950250</v>
      </c>
      <c r="C5496">
        <v>301950250</v>
      </c>
    </row>
    <row r="5497" spans="1:3">
      <c r="A5497">
        <v>5496</v>
      </c>
      <c r="B5497">
        <v>302060160</v>
      </c>
      <c r="C5497">
        <v>302060160</v>
      </c>
    </row>
    <row r="5498" spans="1:3">
      <c r="A5498">
        <v>5497</v>
      </c>
      <c r="B5498">
        <v>302170090</v>
      </c>
      <c r="C5498">
        <v>302170090</v>
      </c>
    </row>
    <row r="5499" spans="1:3">
      <c r="A5499">
        <v>5498</v>
      </c>
      <c r="B5499">
        <v>302280040</v>
      </c>
      <c r="C5499">
        <v>302280040</v>
      </c>
    </row>
    <row r="5500" spans="1:3">
      <c r="A5500">
        <v>5499</v>
      </c>
      <c r="B5500">
        <v>302390010</v>
      </c>
      <c r="C5500">
        <v>302390010</v>
      </c>
    </row>
    <row r="5501" spans="1:3">
      <c r="A5501">
        <v>5500</v>
      </c>
      <c r="B5501">
        <v>302500000</v>
      </c>
      <c r="C5501">
        <v>302500000</v>
      </c>
    </row>
    <row r="5502" spans="1:3">
      <c r="A5502">
        <v>5501</v>
      </c>
      <c r="B5502">
        <v>302610010</v>
      </c>
      <c r="C5502">
        <v>302610010</v>
      </c>
    </row>
    <row r="5503" spans="1:3">
      <c r="A5503">
        <v>5502</v>
      </c>
      <c r="B5503">
        <v>302720040</v>
      </c>
      <c r="C5503">
        <v>302720040</v>
      </c>
    </row>
    <row r="5504" spans="1:3">
      <c r="A5504">
        <v>5503</v>
      </c>
      <c r="B5504">
        <v>302830090</v>
      </c>
      <c r="C5504">
        <v>302830090</v>
      </c>
    </row>
    <row r="5505" spans="1:3">
      <c r="A5505">
        <v>5504</v>
      </c>
      <c r="B5505">
        <v>302940160</v>
      </c>
      <c r="C5505">
        <v>302940160</v>
      </c>
    </row>
    <row r="5506" spans="1:3">
      <c r="A5506">
        <v>5505</v>
      </c>
      <c r="B5506">
        <v>303050250</v>
      </c>
      <c r="C5506">
        <v>303050250</v>
      </c>
    </row>
    <row r="5507" spans="1:3">
      <c r="A5507">
        <v>5506</v>
      </c>
      <c r="B5507">
        <v>303160360</v>
      </c>
      <c r="C5507">
        <v>303160360</v>
      </c>
    </row>
    <row r="5508" spans="1:3">
      <c r="A5508">
        <v>5507</v>
      </c>
      <c r="B5508">
        <v>303270490</v>
      </c>
      <c r="C5508">
        <v>303270490</v>
      </c>
    </row>
    <row r="5509" spans="1:3">
      <c r="A5509">
        <v>5508</v>
      </c>
      <c r="B5509">
        <v>303380640</v>
      </c>
      <c r="C5509">
        <v>303380640</v>
      </c>
    </row>
    <row r="5510" spans="1:3">
      <c r="A5510">
        <v>5509</v>
      </c>
      <c r="B5510">
        <v>303490810</v>
      </c>
      <c r="C5510">
        <v>303490810</v>
      </c>
    </row>
    <row r="5511" spans="1:3">
      <c r="A5511">
        <v>5510</v>
      </c>
      <c r="B5511">
        <v>303601000</v>
      </c>
      <c r="C5511">
        <v>303601000</v>
      </c>
    </row>
    <row r="5512" spans="1:3">
      <c r="A5512">
        <v>5511</v>
      </c>
      <c r="B5512">
        <v>303711210</v>
      </c>
      <c r="C5512">
        <v>303711210</v>
      </c>
    </row>
    <row r="5513" spans="1:3">
      <c r="A5513">
        <v>5512</v>
      </c>
      <c r="B5513">
        <v>303821440</v>
      </c>
      <c r="C5513">
        <v>303821440</v>
      </c>
    </row>
    <row r="5514" spans="1:3">
      <c r="A5514">
        <v>5513</v>
      </c>
      <c r="B5514">
        <v>303931690</v>
      </c>
      <c r="C5514">
        <v>303931690</v>
      </c>
    </row>
    <row r="5515" spans="1:3">
      <c r="A5515">
        <v>5514</v>
      </c>
      <c r="B5515">
        <v>304041960</v>
      </c>
      <c r="C5515">
        <v>304041960</v>
      </c>
    </row>
    <row r="5516" spans="1:3">
      <c r="A5516">
        <v>5515</v>
      </c>
      <c r="B5516">
        <v>304152250</v>
      </c>
      <c r="C5516">
        <v>304152250</v>
      </c>
    </row>
    <row r="5517" spans="1:3">
      <c r="A5517">
        <v>5516</v>
      </c>
      <c r="B5517">
        <v>304262560</v>
      </c>
      <c r="C5517">
        <v>304262560</v>
      </c>
    </row>
    <row r="5518" spans="1:3">
      <c r="A5518">
        <v>5517</v>
      </c>
      <c r="B5518">
        <v>304372890</v>
      </c>
      <c r="C5518">
        <v>304372890</v>
      </c>
    </row>
    <row r="5519" spans="1:3">
      <c r="A5519">
        <v>5518</v>
      </c>
      <c r="B5519">
        <v>304483240</v>
      </c>
      <c r="C5519">
        <v>304483240</v>
      </c>
    </row>
    <row r="5520" spans="1:3">
      <c r="A5520">
        <v>5519</v>
      </c>
      <c r="B5520">
        <v>304593610</v>
      </c>
      <c r="C5520">
        <v>304593610</v>
      </c>
    </row>
    <row r="5521" spans="1:3">
      <c r="A5521">
        <v>5520</v>
      </c>
      <c r="B5521">
        <v>304704000</v>
      </c>
      <c r="C5521">
        <v>304704000</v>
      </c>
    </row>
    <row r="5522" spans="1:3">
      <c r="A5522">
        <v>5521</v>
      </c>
      <c r="B5522">
        <v>304814410</v>
      </c>
      <c r="C5522">
        <v>304814410</v>
      </c>
    </row>
    <row r="5523" spans="1:3">
      <c r="A5523">
        <v>5522</v>
      </c>
      <c r="B5523">
        <v>304924840</v>
      </c>
      <c r="C5523">
        <v>304924840</v>
      </c>
    </row>
    <row r="5524" spans="1:3">
      <c r="A5524">
        <v>5523</v>
      </c>
      <c r="B5524">
        <v>305035290</v>
      </c>
      <c r="C5524">
        <v>305035290</v>
      </c>
    </row>
    <row r="5525" spans="1:3">
      <c r="A5525">
        <v>5524</v>
      </c>
      <c r="B5525">
        <v>305145760</v>
      </c>
      <c r="C5525">
        <v>305145760</v>
      </c>
    </row>
    <row r="5526" spans="1:3">
      <c r="A5526">
        <v>5525</v>
      </c>
      <c r="B5526">
        <v>305256250</v>
      </c>
      <c r="C5526">
        <v>305256250</v>
      </c>
    </row>
    <row r="5527" spans="1:3">
      <c r="A5527">
        <v>5526</v>
      </c>
      <c r="B5527">
        <v>305366760</v>
      </c>
      <c r="C5527">
        <v>305366760</v>
      </c>
    </row>
    <row r="5528" spans="1:3">
      <c r="A5528">
        <v>5527</v>
      </c>
      <c r="B5528">
        <v>305477290</v>
      </c>
      <c r="C5528">
        <v>305477290</v>
      </c>
    </row>
    <row r="5529" spans="1:3">
      <c r="A5529">
        <v>5528</v>
      </c>
      <c r="B5529">
        <v>305587840</v>
      </c>
      <c r="C5529">
        <v>305587840</v>
      </c>
    </row>
    <row r="5530" spans="1:3">
      <c r="A5530">
        <v>5529</v>
      </c>
      <c r="B5530">
        <v>305698410</v>
      </c>
      <c r="C5530">
        <v>305698410</v>
      </c>
    </row>
    <row r="5531" spans="1:3">
      <c r="A5531">
        <v>5530</v>
      </c>
      <c r="B5531">
        <v>305809000</v>
      </c>
      <c r="C5531">
        <v>305809000</v>
      </c>
    </row>
    <row r="5532" spans="1:3">
      <c r="A5532">
        <v>5531</v>
      </c>
      <c r="B5532">
        <v>305919610</v>
      </c>
      <c r="C5532">
        <v>305919610</v>
      </c>
    </row>
    <row r="5533" spans="1:3">
      <c r="A5533">
        <v>5532</v>
      </c>
      <c r="B5533">
        <v>306030240</v>
      </c>
      <c r="C5533">
        <v>306030240</v>
      </c>
    </row>
    <row r="5534" spans="1:3">
      <c r="A5534">
        <v>5533</v>
      </c>
      <c r="B5534">
        <v>306140890</v>
      </c>
      <c r="C5534">
        <v>306140890</v>
      </c>
    </row>
    <row r="5535" spans="1:3">
      <c r="A5535">
        <v>5534</v>
      </c>
      <c r="B5535">
        <v>306251560</v>
      </c>
      <c r="C5535">
        <v>306251560</v>
      </c>
    </row>
    <row r="5536" spans="1:3">
      <c r="A5536">
        <v>5535</v>
      </c>
      <c r="B5536">
        <v>306362250</v>
      </c>
      <c r="C5536">
        <v>306362250</v>
      </c>
    </row>
    <row r="5537" spans="1:3">
      <c r="A5537">
        <v>5536</v>
      </c>
      <c r="B5537">
        <v>306472960</v>
      </c>
      <c r="C5537">
        <v>306472960</v>
      </c>
    </row>
    <row r="5538" spans="1:3">
      <c r="A5538">
        <v>5537</v>
      </c>
      <c r="B5538">
        <v>306583690</v>
      </c>
      <c r="C5538">
        <v>306583690</v>
      </c>
    </row>
    <row r="5539" spans="1:3">
      <c r="A5539">
        <v>5538</v>
      </c>
      <c r="B5539">
        <v>306694440</v>
      </c>
      <c r="C5539">
        <v>306694440</v>
      </c>
    </row>
    <row r="5540" spans="1:3">
      <c r="A5540">
        <v>5539</v>
      </c>
      <c r="B5540">
        <v>306805210</v>
      </c>
      <c r="C5540">
        <v>306805210</v>
      </c>
    </row>
    <row r="5541" spans="1:3">
      <c r="A5541">
        <v>5540</v>
      </c>
      <c r="B5541">
        <v>306916000</v>
      </c>
      <c r="C5541">
        <v>306916000</v>
      </c>
    </row>
    <row r="5542" spans="1:3">
      <c r="A5542">
        <v>5541</v>
      </c>
      <c r="B5542">
        <v>307026810</v>
      </c>
      <c r="C5542">
        <v>307026810</v>
      </c>
    </row>
    <row r="5543" spans="1:3">
      <c r="A5543">
        <v>5542</v>
      </c>
      <c r="B5543">
        <v>307137640</v>
      </c>
      <c r="C5543">
        <v>307137640</v>
      </c>
    </row>
    <row r="5544" spans="1:3">
      <c r="A5544">
        <v>5543</v>
      </c>
      <c r="B5544">
        <v>307248490</v>
      </c>
      <c r="C5544">
        <v>307248490</v>
      </c>
    </row>
    <row r="5545" spans="1:3">
      <c r="A5545">
        <v>5544</v>
      </c>
      <c r="B5545">
        <v>307359360</v>
      </c>
      <c r="C5545">
        <v>307359360</v>
      </c>
    </row>
    <row r="5546" spans="1:3">
      <c r="A5546">
        <v>5545</v>
      </c>
      <c r="B5546">
        <v>307470250</v>
      </c>
      <c r="C5546">
        <v>307470250</v>
      </c>
    </row>
    <row r="5547" spans="1:3">
      <c r="A5547">
        <v>5546</v>
      </c>
      <c r="B5547">
        <v>307581160</v>
      </c>
      <c r="C5547">
        <v>307581160</v>
      </c>
    </row>
    <row r="5548" spans="1:3">
      <c r="A5548">
        <v>5547</v>
      </c>
      <c r="B5548">
        <v>307692090</v>
      </c>
      <c r="C5548">
        <v>307692090</v>
      </c>
    </row>
    <row r="5549" spans="1:3">
      <c r="A5549">
        <v>5548</v>
      </c>
      <c r="B5549">
        <v>307803040</v>
      </c>
      <c r="C5549">
        <v>307803040</v>
      </c>
    </row>
    <row r="5550" spans="1:3">
      <c r="A5550">
        <v>5549</v>
      </c>
      <c r="B5550">
        <v>307914010</v>
      </c>
      <c r="C5550">
        <v>307914010</v>
      </c>
    </row>
    <row r="5551" spans="1:3">
      <c r="A5551">
        <v>5550</v>
      </c>
      <c r="B5551">
        <v>308025000</v>
      </c>
      <c r="C5551">
        <v>308025000</v>
      </c>
    </row>
    <row r="5552" spans="1:3">
      <c r="A5552">
        <v>5551</v>
      </c>
      <c r="B5552">
        <v>308136010</v>
      </c>
      <c r="C5552">
        <v>308136010</v>
      </c>
    </row>
    <row r="5553" spans="1:3">
      <c r="A5553">
        <v>5552</v>
      </c>
      <c r="B5553">
        <v>308247040</v>
      </c>
      <c r="C5553">
        <v>308247040</v>
      </c>
    </row>
    <row r="5554" spans="1:3">
      <c r="A5554">
        <v>5553</v>
      </c>
      <c r="B5554">
        <v>308358090</v>
      </c>
      <c r="C5554">
        <v>308358090</v>
      </c>
    </row>
    <row r="5555" spans="1:3">
      <c r="A5555">
        <v>5554</v>
      </c>
      <c r="B5555">
        <v>308469160</v>
      </c>
      <c r="C5555">
        <v>308469160</v>
      </c>
    </row>
    <row r="5556" spans="1:3">
      <c r="A5556">
        <v>5555</v>
      </c>
      <c r="B5556">
        <v>308580250</v>
      </c>
      <c r="C5556">
        <v>308580250</v>
      </c>
    </row>
    <row r="5557" spans="1:3">
      <c r="A5557">
        <v>5556</v>
      </c>
      <c r="B5557">
        <v>308691360</v>
      </c>
      <c r="C5557">
        <v>308691360</v>
      </c>
    </row>
    <row r="5558" spans="1:3">
      <c r="A5558">
        <v>5557</v>
      </c>
      <c r="B5558">
        <v>308802490</v>
      </c>
      <c r="C5558">
        <v>308802490</v>
      </c>
    </row>
    <row r="5559" spans="1:3">
      <c r="A5559">
        <v>5558</v>
      </c>
      <c r="B5559">
        <v>308913640</v>
      </c>
      <c r="C5559">
        <v>308913640</v>
      </c>
    </row>
    <row r="5560" spans="1:3">
      <c r="A5560">
        <v>5559</v>
      </c>
      <c r="B5560">
        <v>309024810</v>
      </c>
      <c r="C5560">
        <v>309024810</v>
      </c>
    </row>
    <row r="5561" spans="1:3">
      <c r="A5561">
        <v>5560</v>
      </c>
      <c r="B5561">
        <v>309136000</v>
      </c>
      <c r="C5561">
        <v>309136000</v>
      </c>
    </row>
    <row r="5562" spans="1:3">
      <c r="A5562">
        <v>5561</v>
      </c>
      <c r="B5562">
        <v>309247210</v>
      </c>
      <c r="C5562">
        <v>309247210</v>
      </c>
    </row>
    <row r="5563" spans="1:3">
      <c r="A5563">
        <v>5562</v>
      </c>
      <c r="B5563">
        <v>309358440</v>
      </c>
      <c r="C5563">
        <v>309358440</v>
      </c>
    </row>
    <row r="5564" spans="1:3">
      <c r="A5564">
        <v>5563</v>
      </c>
      <c r="B5564">
        <v>309469690</v>
      </c>
      <c r="C5564">
        <v>309469690</v>
      </c>
    </row>
    <row r="5565" spans="1:3">
      <c r="A5565">
        <v>5564</v>
      </c>
      <c r="B5565">
        <v>309580960</v>
      </c>
      <c r="C5565">
        <v>309580960</v>
      </c>
    </row>
    <row r="5566" spans="1:3">
      <c r="A5566">
        <v>5565</v>
      </c>
      <c r="B5566">
        <v>309692250</v>
      </c>
      <c r="C5566">
        <v>309692250</v>
      </c>
    </row>
    <row r="5567" spans="1:3">
      <c r="A5567">
        <v>5566</v>
      </c>
      <c r="B5567">
        <v>309803560</v>
      </c>
      <c r="C5567">
        <v>309803560</v>
      </c>
    </row>
    <row r="5568" spans="1:3">
      <c r="A5568">
        <v>5567</v>
      </c>
      <c r="B5568">
        <v>309914890</v>
      </c>
      <c r="C5568">
        <v>309914890</v>
      </c>
    </row>
    <row r="5569" spans="1:3">
      <c r="A5569">
        <v>5568</v>
      </c>
      <c r="B5569">
        <v>310026240</v>
      </c>
      <c r="C5569">
        <v>310026240</v>
      </c>
    </row>
    <row r="5570" spans="1:3">
      <c r="A5570">
        <v>5569</v>
      </c>
      <c r="B5570">
        <v>310137610</v>
      </c>
      <c r="C5570">
        <v>310137610</v>
      </c>
    </row>
    <row r="5571" spans="1:3">
      <c r="A5571">
        <v>5570</v>
      </c>
      <c r="B5571">
        <v>310249000</v>
      </c>
      <c r="C5571">
        <v>310249000</v>
      </c>
    </row>
    <row r="5572" spans="1:3">
      <c r="A5572">
        <v>5571</v>
      </c>
      <c r="B5572">
        <v>310360410</v>
      </c>
      <c r="C5572">
        <v>310360410</v>
      </c>
    </row>
    <row r="5573" spans="1:3">
      <c r="A5573">
        <v>5572</v>
      </c>
      <c r="B5573">
        <v>310471840</v>
      </c>
      <c r="C5573">
        <v>310471840</v>
      </c>
    </row>
    <row r="5574" spans="1:3">
      <c r="A5574">
        <v>5573</v>
      </c>
      <c r="B5574">
        <v>310583290</v>
      </c>
      <c r="C5574">
        <v>310583290</v>
      </c>
    </row>
    <row r="5575" spans="1:3">
      <c r="A5575">
        <v>5574</v>
      </c>
      <c r="B5575">
        <v>310694760</v>
      </c>
      <c r="C5575">
        <v>310694760</v>
      </c>
    </row>
    <row r="5576" spans="1:3">
      <c r="A5576">
        <v>5575</v>
      </c>
      <c r="B5576">
        <v>310806250</v>
      </c>
      <c r="C5576">
        <v>310806250</v>
      </c>
    </row>
    <row r="5577" spans="1:3">
      <c r="A5577">
        <v>5576</v>
      </c>
      <c r="B5577">
        <v>310917760</v>
      </c>
      <c r="C5577">
        <v>310917760</v>
      </c>
    </row>
    <row r="5578" spans="1:3">
      <c r="A5578">
        <v>5577</v>
      </c>
      <c r="B5578">
        <v>311029290</v>
      </c>
      <c r="C5578">
        <v>311029290</v>
      </c>
    </row>
    <row r="5579" spans="1:3">
      <c r="A5579">
        <v>5578</v>
      </c>
      <c r="B5579">
        <v>311140840</v>
      </c>
      <c r="C5579">
        <v>311140840</v>
      </c>
    </row>
    <row r="5580" spans="1:3">
      <c r="A5580">
        <v>5579</v>
      </c>
      <c r="B5580">
        <v>311252410</v>
      </c>
      <c r="C5580">
        <v>311252410</v>
      </c>
    </row>
    <row r="5581" spans="1:3">
      <c r="A5581">
        <v>5580</v>
      </c>
      <c r="B5581">
        <v>311364000</v>
      </c>
      <c r="C5581">
        <v>311364000</v>
      </c>
    </row>
    <row r="5582" spans="1:3">
      <c r="A5582">
        <v>5581</v>
      </c>
      <c r="B5582">
        <v>311475610</v>
      </c>
      <c r="C5582">
        <v>311475610</v>
      </c>
    </row>
    <row r="5583" spans="1:3">
      <c r="A5583">
        <v>5582</v>
      </c>
      <c r="B5583">
        <v>311587240</v>
      </c>
      <c r="C5583">
        <v>311587240</v>
      </c>
    </row>
    <row r="5584" spans="1:3">
      <c r="A5584">
        <v>5583</v>
      </c>
      <c r="B5584">
        <v>311698890</v>
      </c>
      <c r="C5584">
        <v>311698890</v>
      </c>
    </row>
    <row r="5585" spans="1:3">
      <c r="A5585">
        <v>5584</v>
      </c>
      <c r="B5585">
        <v>311810560</v>
      </c>
      <c r="C5585">
        <v>311810560</v>
      </c>
    </row>
    <row r="5586" spans="1:3">
      <c r="A5586">
        <v>5585</v>
      </c>
      <c r="B5586">
        <v>311922250</v>
      </c>
      <c r="C5586">
        <v>311922250</v>
      </c>
    </row>
    <row r="5587" spans="1:3">
      <c r="A5587">
        <v>5586</v>
      </c>
      <c r="B5587">
        <v>312033960</v>
      </c>
      <c r="C5587">
        <v>312033960</v>
      </c>
    </row>
    <row r="5588" spans="1:3">
      <c r="A5588">
        <v>5587</v>
      </c>
      <c r="B5588">
        <v>312145690</v>
      </c>
      <c r="C5588">
        <v>312145690</v>
      </c>
    </row>
    <row r="5589" spans="1:3">
      <c r="A5589">
        <v>5588</v>
      </c>
      <c r="B5589">
        <v>312257440</v>
      </c>
      <c r="C5589">
        <v>312257440</v>
      </c>
    </row>
    <row r="5590" spans="1:3">
      <c r="A5590">
        <v>5589</v>
      </c>
      <c r="B5590">
        <v>312369210</v>
      </c>
      <c r="C5590">
        <v>312369210</v>
      </c>
    </row>
    <row r="5591" spans="1:3">
      <c r="A5591">
        <v>5590</v>
      </c>
      <c r="B5591">
        <v>312481000</v>
      </c>
      <c r="C5591">
        <v>312481000</v>
      </c>
    </row>
    <row r="5592" spans="1:3">
      <c r="A5592">
        <v>5591</v>
      </c>
      <c r="B5592">
        <v>312592810</v>
      </c>
      <c r="C5592">
        <v>312592810</v>
      </c>
    </row>
    <row r="5593" spans="1:3">
      <c r="A5593">
        <v>5592</v>
      </c>
      <c r="B5593">
        <v>312704640</v>
      </c>
      <c r="C5593">
        <v>312704640</v>
      </c>
    </row>
    <row r="5594" spans="1:3">
      <c r="A5594">
        <v>5593</v>
      </c>
      <c r="B5594">
        <v>312816490</v>
      </c>
      <c r="C5594">
        <v>312816490</v>
      </c>
    </row>
    <row r="5595" spans="1:3">
      <c r="A5595">
        <v>5594</v>
      </c>
      <c r="B5595">
        <v>312928360</v>
      </c>
      <c r="C5595">
        <v>312928360</v>
      </c>
    </row>
    <row r="5596" spans="1:3">
      <c r="A5596">
        <v>5595</v>
      </c>
      <c r="B5596">
        <v>313040250</v>
      </c>
      <c r="C5596">
        <v>313040250</v>
      </c>
    </row>
    <row r="5597" spans="1:3">
      <c r="A5597">
        <v>5596</v>
      </c>
      <c r="B5597">
        <v>313152160</v>
      </c>
      <c r="C5597">
        <v>313152160</v>
      </c>
    </row>
    <row r="5598" spans="1:3">
      <c r="A5598">
        <v>5597</v>
      </c>
      <c r="B5598">
        <v>313264090</v>
      </c>
      <c r="C5598">
        <v>313264090</v>
      </c>
    </row>
    <row r="5599" spans="1:3">
      <c r="A5599">
        <v>5598</v>
      </c>
      <c r="B5599">
        <v>313376040</v>
      </c>
      <c r="C5599">
        <v>313376040</v>
      </c>
    </row>
    <row r="5600" spans="1:3">
      <c r="A5600">
        <v>5599</v>
      </c>
      <c r="B5600">
        <v>313488010</v>
      </c>
      <c r="C5600">
        <v>313488010</v>
      </c>
    </row>
    <row r="5601" spans="1:3">
      <c r="A5601">
        <v>5600</v>
      </c>
      <c r="B5601">
        <v>313600000</v>
      </c>
      <c r="C5601">
        <v>313600000</v>
      </c>
    </row>
    <row r="5602" spans="1:3">
      <c r="A5602">
        <v>5601</v>
      </c>
      <c r="B5602">
        <v>313712010</v>
      </c>
      <c r="C5602">
        <v>313712010</v>
      </c>
    </row>
    <row r="5603" spans="1:3">
      <c r="A5603">
        <v>5602</v>
      </c>
      <c r="B5603">
        <v>313824040</v>
      </c>
      <c r="C5603">
        <v>313824040</v>
      </c>
    </row>
    <row r="5604" spans="1:3">
      <c r="A5604">
        <v>5603</v>
      </c>
      <c r="B5604">
        <v>313936090</v>
      </c>
      <c r="C5604">
        <v>313936090</v>
      </c>
    </row>
    <row r="5605" spans="1:3">
      <c r="A5605">
        <v>5604</v>
      </c>
      <c r="B5605">
        <v>314048160</v>
      </c>
      <c r="C5605">
        <v>314048160</v>
      </c>
    </row>
    <row r="5606" spans="1:3">
      <c r="A5606">
        <v>5605</v>
      </c>
      <c r="B5606">
        <v>314160250</v>
      </c>
      <c r="C5606">
        <v>314160250</v>
      </c>
    </row>
    <row r="5607" spans="1:3">
      <c r="A5607">
        <v>5606</v>
      </c>
      <c r="B5607">
        <v>314272360</v>
      </c>
      <c r="C5607">
        <v>314272360</v>
      </c>
    </row>
    <row r="5608" spans="1:3">
      <c r="A5608">
        <v>5607</v>
      </c>
      <c r="B5608">
        <v>314384490</v>
      </c>
      <c r="C5608">
        <v>314384490</v>
      </c>
    </row>
    <row r="5609" spans="1:3">
      <c r="A5609">
        <v>5608</v>
      </c>
      <c r="B5609">
        <v>314496640</v>
      </c>
      <c r="C5609">
        <v>314496640</v>
      </c>
    </row>
    <row r="5610" spans="1:3">
      <c r="A5610">
        <v>5609</v>
      </c>
      <c r="B5610">
        <v>314608810</v>
      </c>
      <c r="C5610">
        <v>314608810</v>
      </c>
    </row>
    <row r="5611" spans="1:3">
      <c r="A5611">
        <v>5610</v>
      </c>
      <c r="B5611">
        <v>314721000</v>
      </c>
      <c r="C5611">
        <v>314721000</v>
      </c>
    </row>
    <row r="5612" spans="1:3">
      <c r="A5612">
        <v>5611</v>
      </c>
      <c r="B5612">
        <v>314833210</v>
      </c>
      <c r="C5612">
        <v>314833210</v>
      </c>
    </row>
    <row r="5613" spans="1:3">
      <c r="A5613">
        <v>5612</v>
      </c>
      <c r="B5613">
        <v>314945440</v>
      </c>
      <c r="C5613">
        <v>314945440</v>
      </c>
    </row>
    <row r="5614" spans="1:3">
      <c r="A5614">
        <v>5613</v>
      </c>
      <c r="B5614">
        <v>315057690</v>
      </c>
      <c r="C5614">
        <v>315057690</v>
      </c>
    </row>
    <row r="5615" spans="1:3">
      <c r="A5615">
        <v>5614</v>
      </c>
      <c r="B5615">
        <v>315169960</v>
      </c>
      <c r="C5615">
        <v>315169960</v>
      </c>
    </row>
    <row r="5616" spans="1:3">
      <c r="A5616">
        <v>5615</v>
      </c>
      <c r="B5616">
        <v>315282250</v>
      </c>
      <c r="C5616">
        <v>315282250</v>
      </c>
    </row>
    <row r="5617" spans="1:3">
      <c r="A5617">
        <v>5616</v>
      </c>
      <c r="B5617">
        <v>315394560</v>
      </c>
      <c r="C5617">
        <v>315394560</v>
      </c>
    </row>
    <row r="5618" spans="1:3">
      <c r="A5618">
        <v>5617</v>
      </c>
      <c r="B5618">
        <v>315506890</v>
      </c>
      <c r="C5618">
        <v>315506890</v>
      </c>
    </row>
    <row r="5619" spans="1:3">
      <c r="A5619">
        <v>5618</v>
      </c>
      <c r="B5619">
        <v>315619240</v>
      </c>
      <c r="C5619">
        <v>315619240</v>
      </c>
    </row>
    <row r="5620" spans="1:3">
      <c r="A5620">
        <v>5619</v>
      </c>
      <c r="B5620">
        <v>315731610</v>
      </c>
      <c r="C5620">
        <v>315731610</v>
      </c>
    </row>
    <row r="5621" spans="1:3">
      <c r="A5621">
        <v>5620</v>
      </c>
      <c r="B5621">
        <v>315844000</v>
      </c>
      <c r="C5621">
        <v>315844000</v>
      </c>
    </row>
    <row r="5622" spans="1:3">
      <c r="A5622">
        <v>5621</v>
      </c>
      <c r="B5622">
        <v>315956410</v>
      </c>
      <c r="C5622">
        <v>315956410</v>
      </c>
    </row>
    <row r="5623" spans="1:3">
      <c r="A5623">
        <v>5622</v>
      </c>
      <c r="B5623">
        <v>316068840</v>
      </c>
      <c r="C5623">
        <v>316068840</v>
      </c>
    </row>
    <row r="5624" spans="1:3">
      <c r="A5624">
        <v>5623</v>
      </c>
      <c r="B5624">
        <v>316181290</v>
      </c>
      <c r="C5624">
        <v>316181290</v>
      </c>
    </row>
    <row r="5625" spans="1:3">
      <c r="A5625">
        <v>5624</v>
      </c>
      <c r="B5625">
        <v>316293760</v>
      </c>
      <c r="C5625">
        <v>316293760</v>
      </c>
    </row>
    <row r="5626" spans="1:3">
      <c r="A5626">
        <v>5625</v>
      </c>
      <c r="B5626">
        <v>316406250</v>
      </c>
      <c r="C5626">
        <v>316406250</v>
      </c>
    </row>
    <row r="5627" spans="1:3">
      <c r="A5627">
        <v>5626</v>
      </c>
      <c r="B5627">
        <v>316518760</v>
      </c>
      <c r="C5627">
        <v>316518760</v>
      </c>
    </row>
    <row r="5628" spans="1:3">
      <c r="A5628">
        <v>5627</v>
      </c>
      <c r="B5628">
        <v>316631290</v>
      </c>
      <c r="C5628">
        <v>316631290</v>
      </c>
    </row>
    <row r="5629" spans="1:3">
      <c r="A5629">
        <v>5628</v>
      </c>
      <c r="B5629">
        <v>316743840</v>
      </c>
      <c r="C5629">
        <v>316743840</v>
      </c>
    </row>
    <row r="5630" spans="1:3">
      <c r="A5630">
        <v>5629</v>
      </c>
      <c r="B5630">
        <v>316856410</v>
      </c>
      <c r="C5630">
        <v>316856410</v>
      </c>
    </row>
    <row r="5631" spans="1:3">
      <c r="A5631">
        <v>5630</v>
      </c>
      <c r="B5631">
        <v>316969000</v>
      </c>
      <c r="C5631">
        <v>316969000</v>
      </c>
    </row>
    <row r="5632" spans="1:3">
      <c r="A5632">
        <v>5631</v>
      </c>
      <c r="B5632">
        <v>317081610</v>
      </c>
      <c r="C5632">
        <v>317081610</v>
      </c>
    </row>
    <row r="5633" spans="1:3">
      <c r="A5633">
        <v>5632</v>
      </c>
      <c r="B5633">
        <v>317194240</v>
      </c>
      <c r="C5633">
        <v>317194240</v>
      </c>
    </row>
    <row r="5634" spans="1:3">
      <c r="A5634">
        <v>5633</v>
      </c>
      <c r="B5634">
        <v>317306890</v>
      </c>
      <c r="C5634">
        <v>317306890</v>
      </c>
    </row>
    <row r="5635" spans="1:3">
      <c r="A5635">
        <v>5634</v>
      </c>
      <c r="B5635">
        <v>317419560</v>
      </c>
      <c r="C5635">
        <v>317419560</v>
      </c>
    </row>
    <row r="5636" spans="1:3">
      <c r="A5636">
        <v>5635</v>
      </c>
      <c r="B5636">
        <v>317532250</v>
      </c>
      <c r="C5636">
        <v>317532250</v>
      </c>
    </row>
    <row r="5637" spans="1:3">
      <c r="A5637">
        <v>5636</v>
      </c>
      <c r="B5637">
        <v>317644960</v>
      </c>
      <c r="C5637">
        <v>317644960</v>
      </c>
    </row>
    <row r="5638" spans="1:3">
      <c r="A5638">
        <v>5637</v>
      </c>
      <c r="B5638">
        <v>317757690</v>
      </c>
      <c r="C5638">
        <v>317757690</v>
      </c>
    </row>
    <row r="5639" spans="1:3">
      <c r="A5639">
        <v>5638</v>
      </c>
      <c r="B5639">
        <v>317870440</v>
      </c>
      <c r="C5639">
        <v>317870440</v>
      </c>
    </row>
    <row r="5640" spans="1:3">
      <c r="A5640">
        <v>5639</v>
      </c>
      <c r="B5640">
        <v>317983210</v>
      </c>
      <c r="C5640">
        <v>317983210</v>
      </c>
    </row>
    <row r="5641" spans="1:3">
      <c r="A5641">
        <v>5640</v>
      </c>
      <c r="B5641">
        <v>318096000</v>
      </c>
      <c r="C5641">
        <v>318096000</v>
      </c>
    </row>
    <row r="5642" spans="1:3">
      <c r="A5642">
        <v>5641</v>
      </c>
      <c r="B5642">
        <v>318208810</v>
      </c>
      <c r="C5642">
        <v>318208810</v>
      </c>
    </row>
    <row r="5643" spans="1:3">
      <c r="A5643">
        <v>5642</v>
      </c>
      <c r="B5643">
        <v>318321640</v>
      </c>
      <c r="C5643">
        <v>318321640</v>
      </c>
    </row>
    <row r="5644" spans="1:3">
      <c r="A5644">
        <v>5643</v>
      </c>
      <c r="B5644">
        <v>318434490</v>
      </c>
      <c r="C5644">
        <v>318434490</v>
      </c>
    </row>
    <row r="5645" spans="1:3">
      <c r="A5645">
        <v>5644</v>
      </c>
      <c r="B5645">
        <v>318547360</v>
      </c>
      <c r="C5645">
        <v>318547360</v>
      </c>
    </row>
    <row r="5646" spans="1:3">
      <c r="A5646">
        <v>5645</v>
      </c>
      <c r="B5646">
        <v>318660250</v>
      </c>
      <c r="C5646">
        <v>318660250</v>
      </c>
    </row>
    <row r="5647" spans="1:3">
      <c r="A5647">
        <v>5646</v>
      </c>
      <c r="B5647">
        <v>318773160</v>
      </c>
      <c r="C5647">
        <v>318773160</v>
      </c>
    </row>
    <row r="5648" spans="1:3">
      <c r="A5648">
        <v>5647</v>
      </c>
      <c r="B5648">
        <v>318886090</v>
      </c>
      <c r="C5648">
        <v>318886090</v>
      </c>
    </row>
    <row r="5649" spans="1:3">
      <c r="A5649">
        <v>5648</v>
      </c>
      <c r="B5649">
        <v>318999040</v>
      </c>
      <c r="C5649">
        <v>318999040</v>
      </c>
    </row>
    <row r="5650" spans="1:3">
      <c r="A5650">
        <v>5649</v>
      </c>
      <c r="B5650">
        <v>319112010</v>
      </c>
      <c r="C5650">
        <v>319112010</v>
      </c>
    </row>
    <row r="5651" spans="1:3">
      <c r="A5651">
        <v>5650</v>
      </c>
      <c r="B5651">
        <v>319225000</v>
      </c>
      <c r="C5651">
        <v>319225000</v>
      </c>
    </row>
    <row r="5652" spans="1:3">
      <c r="A5652">
        <v>5651</v>
      </c>
      <c r="B5652">
        <v>319338010</v>
      </c>
      <c r="C5652">
        <v>319338010</v>
      </c>
    </row>
    <row r="5653" spans="1:3">
      <c r="A5653">
        <v>5652</v>
      </c>
      <c r="B5653">
        <v>319451040</v>
      </c>
      <c r="C5653">
        <v>319451040</v>
      </c>
    </row>
    <row r="5654" spans="1:3">
      <c r="A5654">
        <v>5653</v>
      </c>
      <c r="B5654">
        <v>319564090</v>
      </c>
      <c r="C5654">
        <v>319564090</v>
      </c>
    </row>
    <row r="5655" spans="1:3">
      <c r="A5655">
        <v>5654</v>
      </c>
      <c r="B5655">
        <v>319677160</v>
      </c>
      <c r="C5655">
        <v>319677160</v>
      </c>
    </row>
    <row r="5656" spans="1:3">
      <c r="A5656">
        <v>5655</v>
      </c>
      <c r="B5656">
        <v>319790250</v>
      </c>
      <c r="C5656">
        <v>319790250</v>
      </c>
    </row>
    <row r="5657" spans="1:3">
      <c r="A5657">
        <v>5656</v>
      </c>
      <c r="B5657">
        <v>319903360</v>
      </c>
      <c r="C5657">
        <v>319903360</v>
      </c>
    </row>
    <row r="5658" spans="1:3">
      <c r="A5658">
        <v>5657</v>
      </c>
      <c r="B5658">
        <v>320016490</v>
      </c>
      <c r="C5658">
        <v>320016490</v>
      </c>
    </row>
    <row r="5659" spans="1:3">
      <c r="A5659">
        <v>5658</v>
      </c>
      <c r="B5659">
        <v>320129640</v>
      </c>
      <c r="C5659">
        <v>320129640</v>
      </c>
    </row>
    <row r="5660" spans="1:3">
      <c r="A5660">
        <v>5659</v>
      </c>
      <c r="B5660">
        <v>320242810</v>
      </c>
      <c r="C5660">
        <v>320242810</v>
      </c>
    </row>
    <row r="5661" spans="1:3">
      <c r="A5661">
        <v>5660</v>
      </c>
      <c r="B5661">
        <v>320356000</v>
      </c>
      <c r="C5661">
        <v>320356000</v>
      </c>
    </row>
    <row r="5662" spans="1:3">
      <c r="A5662">
        <v>5661</v>
      </c>
      <c r="B5662">
        <v>320469210</v>
      </c>
      <c r="C5662">
        <v>320469210</v>
      </c>
    </row>
    <row r="5663" spans="1:3">
      <c r="A5663">
        <v>5662</v>
      </c>
      <c r="B5663">
        <v>320582440</v>
      </c>
      <c r="C5663">
        <v>320582440</v>
      </c>
    </row>
    <row r="5664" spans="1:3">
      <c r="A5664">
        <v>5663</v>
      </c>
      <c r="B5664">
        <v>320695690</v>
      </c>
      <c r="C5664">
        <v>320695690</v>
      </c>
    </row>
    <row r="5665" spans="1:3">
      <c r="A5665">
        <v>5664</v>
      </c>
      <c r="B5665">
        <v>320808960</v>
      </c>
      <c r="C5665">
        <v>320808960</v>
      </c>
    </row>
    <row r="5666" spans="1:3">
      <c r="A5666">
        <v>5665</v>
      </c>
      <c r="B5666">
        <v>320922250</v>
      </c>
      <c r="C5666">
        <v>320922250</v>
      </c>
    </row>
    <row r="5667" spans="1:3">
      <c r="A5667">
        <v>5666</v>
      </c>
      <c r="B5667">
        <v>321035560</v>
      </c>
      <c r="C5667">
        <v>321035560</v>
      </c>
    </row>
    <row r="5668" spans="1:3">
      <c r="A5668">
        <v>5667</v>
      </c>
      <c r="B5668">
        <v>321148890</v>
      </c>
      <c r="C5668">
        <v>321148890</v>
      </c>
    </row>
    <row r="5669" spans="1:3">
      <c r="A5669">
        <v>5668</v>
      </c>
      <c r="B5669">
        <v>321262240</v>
      </c>
      <c r="C5669">
        <v>321262240</v>
      </c>
    </row>
    <row r="5670" spans="1:3">
      <c r="A5670">
        <v>5669</v>
      </c>
      <c r="B5670">
        <v>321375610</v>
      </c>
      <c r="C5670">
        <v>321375610</v>
      </c>
    </row>
    <row r="5671" spans="1:3">
      <c r="A5671">
        <v>5670</v>
      </c>
      <c r="B5671">
        <v>321489000</v>
      </c>
      <c r="C5671">
        <v>321489000</v>
      </c>
    </row>
    <row r="5672" spans="1:3">
      <c r="A5672">
        <v>5671</v>
      </c>
      <c r="B5672">
        <v>321602410</v>
      </c>
      <c r="C5672">
        <v>321602410</v>
      </c>
    </row>
    <row r="5673" spans="1:3">
      <c r="A5673">
        <v>5672</v>
      </c>
      <c r="B5673">
        <v>321715840</v>
      </c>
      <c r="C5673">
        <v>321715840</v>
      </c>
    </row>
    <row r="5674" spans="1:3">
      <c r="A5674">
        <v>5673</v>
      </c>
      <c r="B5674">
        <v>321829290</v>
      </c>
      <c r="C5674">
        <v>321829290</v>
      </c>
    </row>
    <row r="5675" spans="1:3">
      <c r="A5675">
        <v>5674</v>
      </c>
      <c r="B5675">
        <v>321942760</v>
      </c>
      <c r="C5675">
        <v>321942760</v>
      </c>
    </row>
    <row r="5676" spans="1:3">
      <c r="A5676">
        <v>5675</v>
      </c>
      <c r="B5676">
        <v>322056250</v>
      </c>
      <c r="C5676">
        <v>322056250</v>
      </c>
    </row>
    <row r="5677" spans="1:3">
      <c r="A5677">
        <v>5676</v>
      </c>
      <c r="B5677">
        <v>322169760</v>
      </c>
      <c r="C5677">
        <v>322169760</v>
      </c>
    </row>
    <row r="5678" spans="1:3">
      <c r="A5678">
        <v>5677</v>
      </c>
      <c r="B5678">
        <v>322283290</v>
      </c>
      <c r="C5678">
        <v>322283290</v>
      </c>
    </row>
    <row r="5679" spans="1:3">
      <c r="A5679">
        <v>5678</v>
      </c>
      <c r="B5679">
        <v>322396840</v>
      </c>
      <c r="C5679">
        <v>322396840</v>
      </c>
    </row>
    <row r="5680" spans="1:3">
      <c r="A5680">
        <v>5679</v>
      </c>
      <c r="B5680">
        <v>322510410</v>
      </c>
      <c r="C5680">
        <v>322510410</v>
      </c>
    </row>
    <row r="5681" spans="1:3">
      <c r="A5681">
        <v>5680</v>
      </c>
      <c r="B5681">
        <v>322624000</v>
      </c>
      <c r="C5681">
        <v>322624000</v>
      </c>
    </row>
    <row r="5682" spans="1:3">
      <c r="A5682">
        <v>5681</v>
      </c>
      <c r="B5682">
        <v>322737610</v>
      </c>
      <c r="C5682">
        <v>322737610</v>
      </c>
    </row>
    <row r="5683" spans="1:3">
      <c r="A5683">
        <v>5682</v>
      </c>
      <c r="B5683">
        <v>322851240</v>
      </c>
      <c r="C5683">
        <v>322851240</v>
      </c>
    </row>
    <row r="5684" spans="1:3">
      <c r="A5684">
        <v>5683</v>
      </c>
      <c r="B5684">
        <v>322964890</v>
      </c>
      <c r="C5684">
        <v>322964890</v>
      </c>
    </row>
    <row r="5685" spans="1:3">
      <c r="A5685">
        <v>5684</v>
      </c>
      <c r="B5685">
        <v>323078560</v>
      </c>
      <c r="C5685">
        <v>323078560</v>
      </c>
    </row>
    <row r="5686" spans="1:3">
      <c r="A5686">
        <v>5685</v>
      </c>
      <c r="B5686">
        <v>323192250</v>
      </c>
      <c r="C5686">
        <v>323192250</v>
      </c>
    </row>
    <row r="5687" spans="1:3">
      <c r="A5687">
        <v>5686</v>
      </c>
      <c r="B5687">
        <v>323305960</v>
      </c>
      <c r="C5687">
        <v>323305960</v>
      </c>
    </row>
    <row r="5688" spans="1:3">
      <c r="A5688">
        <v>5687</v>
      </c>
      <c r="B5688">
        <v>323419690</v>
      </c>
      <c r="C5688">
        <v>323419690</v>
      </c>
    </row>
    <row r="5689" spans="1:3">
      <c r="A5689">
        <v>5688</v>
      </c>
      <c r="B5689">
        <v>323533440</v>
      </c>
      <c r="C5689">
        <v>323533440</v>
      </c>
    </row>
    <row r="5690" spans="1:3">
      <c r="A5690">
        <v>5689</v>
      </c>
      <c r="B5690">
        <v>323647210</v>
      </c>
      <c r="C5690">
        <v>323647210</v>
      </c>
    </row>
    <row r="5691" spans="1:3">
      <c r="A5691">
        <v>5690</v>
      </c>
      <c r="B5691">
        <v>323761000</v>
      </c>
      <c r="C5691">
        <v>323761000</v>
      </c>
    </row>
    <row r="5692" spans="1:3">
      <c r="A5692">
        <v>5691</v>
      </c>
      <c r="B5692">
        <v>323874810</v>
      </c>
      <c r="C5692">
        <v>323874810</v>
      </c>
    </row>
    <row r="5693" spans="1:3">
      <c r="A5693">
        <v>5692</v>
      </c>
      <c r="B5693">
        <v>323988640</v>
      </c>
      <c r="C5693">
        <v>323988640</v>
      </c>
    </row>
    <row r="5694" spans="1:3">
      <c r="A5694">
        <v>5693</v>
      </c>
      <c r="B5694">
        <v>324102490</v>
      </c>
      <c r="C5694">
        <v>324102490</v>
      </c>
    </row>
    <row r="5695" spans="1:3">
      <c r="A5695">
        <v>5694</v>
      </c>
      <c r="B5695">
        <v>324216360</v>
      </c>
      <c r="C5695">
        <v>324216360</v>
      </c>
    </row>
    <row r="5696" spans="1:3">
      <c r="A5696">
        <v>5695</v>
      </c>
      <c r="B5696">
        <v>324330250</v>
      </c>
      <c r="C5696">
        <v>324330250</v>
      </c>
    </row>
    <row r="5697" spans="1:3">
      <c r="A5697">
        <v>5696</v>
      </c>
      <c r="B5697">
        <v>324444160</v>
      </c>
      <c r="C5697">
        <v>324444160</v>
      </c>
    </row>
    <row r="5698" spans="1:3">
      <c r="A5698">
        <v>5697</v>
      </c>
      <c r="B5698">
        <v>324558090</v>
      </c>
      <c r="C5698">
        <v>324558090</v>
      </c>
    </row>
    <row r="5699" spans="1:3">
      <c r="A5699">
        <v>5698</v>
      </c>
      <c r="B5699">
        <v>324672040</v>
      </c>
      <c r="C5699">
        <v>324672040</v>
      </c>
    </row>
    <row r="5700" spans="1:3">
      <c r="A5700">
        <v>5699</v>
      </c>
      <c r="B5700">
        <v>324786010</v>
      </c>
      <c r="C5700">
        <v>324786010</v>
      </c>
    </row>
    <row r="5701" spans="1:3">
      <c r="A5701">
        <v>5700</v>
      </c>
      <c r="B5701">
        <v>324900000</v>
      </c>
      <c r="C5701">
        <v>324900000</v>
      </c>
    </row>
    <row r="5702" spans="1:3">
      <c r="A5702">
        <v>5701</v>
      </c>
      <c r="B5702">
        <v>325014010</v>
      </c>
      <c r="C5702">
        <v>325014010</v>
      </c>
    </row>
    <row r="5703" spans="1:3">
      <c r="A5703">
        <v>5702</v>
      </c>
      <c r="B5703">
        <v>325128040</v>
      </c>
      <c r="C5703">
        <v>325128040</v>
      </c>
    </row>
    <row r="5704" spans="1:3">
      <c r="A5704">
        <v>5703</v>
      </c>
      <c r="B5704">
        <v>325242090</v>
      </c>
      <c r="C5704">
        <v>325242090</v>
      </c>
    </row>
    <row r="5705" spans="1:3">
      <c r="A5705">
        <v>5704</v>
      </c>
      <c r="B5705">
        <v>325356160</v>
      </c>
      <c r="C5705">
        <v>325356160</v>
      </c>
    </row>
    <row r="5706" spans="1:3">
      <c r="A5706">
        <v>5705</v>
      </c>
      <c r="B5706">
        <v>325470250</v>
      </c>
      <c r="C5706">
        <v>325470250</v>
      </c>
    </row>
    <row r="5707" spans="1:3">
      <c r="A5707">
        <v>5706</v>
      </c>
      <c r="B5707">
        <v>325584360</v>
      </c>
      <c r="C5707">
        <v>325584360</v>
      </c>
    </row>
    <row r="5708" spans="1:3">
      <c r="A5708">
        <v>5707</v>
      </c>
      <c r="B5708">
        <v>325698490</v>
      </c>
      <c r="C5708">
        <v>325698490</v>
      </c>
    </row>
    <row r="5709" spans="1:3">
      <c r="A5709">
        <v>5708</v>
      </c>
      <c r="B5709">
        <v>325812640</v>
      </c>
      <c r="C5709">
        <v>325812640</v>
      </c>
    </row>
    <row r="5710" spans="1:3">
      <c r="A5710">
        <v>5709</v>
      </c>
      <c r="B5710">
        <v>325926810</v>
      </c>
      <c r="C5710">
        <v>325926810</v>
      </c>
    </row>
    <row r="5711" spans="1:3">
      <c r="A5711">
        <v>5710</v>
      </c>
      <c r="B5711">
        <v>326041000</v>
      </c>
      <c r="C5711">
        <v>326041000</v>
      </c>
    </row>
    <row r="5712" spans="1:3">
      <c r="A5712">
        <v>5711</v>
      </c>
      <c r="B5712">
        <v>326155210</v>
      </c>
      <c r="C5712">
        <v>326155210</v>
      </c>
    </row>
    <row r="5713" spans="1:3">
      <c r="A5713">
        <v>5712</v>
      </c>
      <c r="B5713">
        <v>326269440</v>
      </c>
      <c r="C5713">
        <v>326269440</v>
      </c>
    </row>
    <row r="5714" spans="1:3">
      <c r="A5714">
        <v>5713</v>
      </c>
      <c r="B5714">
        <v>326383690</v>
      </c>
      <c r="C5714">
        <v>326383690</v>
      </c>
    </row>
    <row r="5715" spans="1:3">
      <c r="A5715">
        <v>5714</v>
      </c>
      <c r="B5715">
        <v>326497960</v>
      </c>
      <c r="C5715">
        <v>326497960</v>
      </c>
    </row>
    <row r="5716" spans="1:3">
      <c r="A5716">
        <v>5715</v>
      </c>
      <c r="B5716">
        <v>326612250</v>
      </c>
      <c r="C5716">
        <v>326612250</v>
      </c>
    </row>
    <row r="5717" spans="1:3">
      <c r="A5717">
        <v>5716</v>
      </c>
      <c r="B5717">
        <v>326726560</v>
      </c>
      <c r="C5717">
        <v>326726560</v>
      </c>
    </row>
    <row r="5718" spans="1:3">
      <c r="A5718">
        <v>5717</v>
      </c>
      <c r="B5718">
        <v>326840890</v>
      </c>
      <c r="C5718">
        <v>326840890</v>
      </c>
    </row>
    <row r="5719" spans="1:3">
      <c r="A5719">
        <v>5718</v>
      </c>
      <c r="B5719">
        <v>326955240</v>
      </c>
      <c r="C5719">
        <v>326955240</v>
      </c>
    </row>
    <row r="5720" spans="1:3">
      <c r="A5720">
        <v>5719</v>
      </c>
      <c r="B5720">
        <v>327069610</v>
      </c>
      <c r="C5720">
        <v>327069610</v>
      </c>
    </row>
    <row r="5721" spans="1:3">
      <c r="A5721">
        <v>5720</v>
      </c>
      <c r="B5721">
        <v>327184000</v>
      </c>
      <c r="C5721">
        <v>327184000</v>
      </c>
    </row>
    <row r="5722" spans="1:3">
      <c r="A5722">
        <v>5721</v>
      </c>
      <c r="B5722">
        <v>327298410</v>
      </c>
      <c r="C5722">
        <v>327298410</v>
      </c>
    </row>
    <row r="5723" spans="1:3">
      <c r="A5723">
        <v>5722</v>
      </c>
      <c r="B5723">
        <v>327412840</v>
      </c>
      <c r="C5723">
        <v>327412840</v>
      </c>
    </row>
    <row r="5724" spans="1:3">
      <c r="A5724">
        <v>5723</v>
      </c>
      <c r="B5724">
        <v>327527290</v>
      </c>
      <c r="C5724">
        <v>327527290</v>
      </c>
    </row>
    <row r="5725" spans="1:3">
      <c r="A5725">
        <v>5724</v>
      </c>
      <c r="B5725">
        <v>327641760</v>
      </c>
      <c r="C5725">
        <v>327641760</v>
      </c>
    </row>
    <row r="5726" spans="1:3">
      <c r="A5726">
        <v>5725</v>
      </c>
      <c r="B5726">
        <v>327756250</v>
      </c>
      <c r="C5726">
        <v>327756250</v>
      </c>
    </row>
    <row r="5727" spans="1:3">
      <c r="A5727">
        <v>5726</v>
      </c>
      <c r="B5727">
        <v>327870760</v>
      </c>
      <c r="C5727">
        <v>327870760</v>
      </c>
    </row>
    <row r="5728" spans="1:3">
      <c r="A5728">
        <v>5727</v>
      </c>
      <c r="B5728">
        <v>327985290</v>
      </c>
      <c r="C5728">
        <v>327985290</v>
      </c>
    </row>
    <row r="5729" spans="1:3">
      <c r="A5729">
        <v>5728</v>
      </c>
      <c r="B5729">
        <v>328099840</v>
      </c>
      <c r="C5729">
        <v>328099840</v>
      </c>
    </row>
    <row r="5730" spans="1:3">
      <c r="A5730">
        <v>5729</v>
      </c>
      <c r="B5730">
        <v>328214410</v>
      </c>
      <c r="C5730">
        <v>328214410</v>
      </c>
    </row>
    <row r="5731" spans="1:3">
      <c r="A5731">
        <v>5730</v>
      </c>
      <c r="B5731">
        <v>328329000</v>
      </c>
      <c r="C5731">
        <v>328329000</v>
      </c>
    </row>
    <row r="5732" spans="1:3">
      <c r="A5732">
        <v>5731</v>
      </c>
      <c r="B5732">
        <v>328443610</v>
      </c>
      <c r="C5732">
        <v>328443610</v>
      </c>
    </row>
    <row r="5733" spans="1:3">
      <c r="A5733">
        <v>5732</v>
      </c>
      <c r="B5733">
        <v>328558240</v>
      </c>
      <c r="C5733">
        <v>328558240</v>
      </c>
    </row>
    <row r="5734" spans="1:3">
      <c r="A5734">
        <v>5733</v>
      </c>
      <c r="B5734">
        <v>328672890</v>
      </c>
      <c r="C5734">
        <v>328672890</v>
      </c>
    </row>
    <row r="5735" spans="1:3">
      <c r="A5735">
        <v>5734</v>
      </c>
      <c r="B5735">
        <v>328787560</v>
      </c>
      <c r="C5735">
        <v>328787560</v>
      </c>
    </row>
    <row r="5736" spans="1:3">
      <c r="A5736">
        <v>5735</v>
      </c>
      <c r="B5736">
        <v>328902250</v>
      </c>
      <c r="C5736">
        <v>328902250</v>
      </c>
    </row>
    <row r="5737" spans="1:3">
      <c r="A5737">
        <v>5736</v>
      </c>
      <c r="B5737">
        <v>329016960</v>
      </c>
      <c r="C5737">
        <v>329016960</v>
      </c>
    </row>
    <row r="5738" spans="1:3">
      <c r="A5738">
        <v>5737</v>
      </c>
      <c r="B5738">
        <v>329131690</v>
      </c>
      <c r="C5738">
        <v>329131690</v>
      </c>
    </row>
    <row r="5739" spans="1:3">
      <c r="A5739">
        <v>5738</v>
      </c>
      <c r="B5739">
        <v>329246440</v>
      </c>
      <c r="C5739">
        <v>329246440</v>
      </c>
    </row>
    <row r="5740" spans="1:3">
      <c r="A5740">
        <v>5739</v>
      </c>
      <c r="B5740">
        <v>329361210</v>
      </c>
      <c r="C5740">
        <v>329361210</v>
      </c>
    </row>
    <row r="5741" spans="1:3">
      <c r="A5741">
        <v>5740</v>
      </c>
      <c r="B5741">
        <v>329476000</v>
      </c>
      <c r="C5741">
        <v>329476000</v>
      </c>
    </row>
    <row r="5742" spans="1:3">
      <c r="A5742">
        <v>5741</v>
      </c>
      <c r="B5742">
        <v>329590810</v>
      </c>
      <c r="C5742">
        <v>329590810</v>
      </c>
    </row>
    <row r="5743" spans="1:3">
      <c r="A5743">
        <v>5742</v>
      </c>
      <c r="B5743">
        <v>329705640</v>
      </c>
      <c r="C5743">
        <v>329705640</v>
      </c>
    </row>
    <row r="5744" spans="1:3">
      <c r="A5744">
        <v>5743</v>
      </c>
      <c r="B5744">
        <v>329820490</v>
      </c>
      <c r="C5744">
        <v>329820490</v>
      </c>
    </row>
    <row r="5745" spans="1:3">
      <c r="A5745">
        <v>5744</v>
      </c>
      <c r="B5745">
        <v>329935360</v>
      </c>
      <c r="C5745">
        <v>329935360</v>
      </c>
    </row>
    <row r="5746" spans="1:3">
      <c r="A5746">
        <v>5745</v>
      </c>
      <c r="B5746">
        <v>330050250</v>
      </c>
      <c r="C5746">
        <v>330050250</v>
      </c>
    </row>
    <row r="5747" spans="1:3">
      <c r="A5747">
        <v>5746</v>
      </c>
      <c r="B5747">
        <v>330165160</v>
      </c>
      <c r="C5747">
        <v>330165160</v>
      </c>
    </row>
    <row r="5748" spans="1:3">
      <c r="A5748">
        <v>5747</v>
      </c>
      <c r="B5748">
        <v>330280090</v>
      </c>
      <c r="C5748">
        <v>330280090</v>
      </c>
    </row>
    <row r="5749" spans="1:3">
      <c r="A5749">
        <v>5748</v>
      </c>
      <c r="B5749">
        <v>330395040</v>
      </c>
      <c r="C5749">
        <v>330395040</v>
      </c>
    </row>
    <row r="5750" spans="1:3">
      <c r="A5750">
        <v>5749</v>
      </c>
      <c r="B5750">
        <v>330510010</v>
      </c>
      <c r="C5750">
        <v>330510010</v>
      </c>
    </row>
    <row r="5751" spans="1:3">
      <c r="A5751">
        <v>5750</v>
      </c>
      <c r="B5751">
        <v>330625000</v>
      </c>
      <c r="C5751">
        <v>330625000</v>
      </c>
    </row>
    <row r="5752" spans="1:3">
      <c r="A5752">
        <v>5751</v>
      </c>
      <c r="B5752">
        <v>330740010</v>
      </c>
      <c r="C5752">
        <v>330740010</v>
      </c>
    </row>
    <row r="5753" spans="1:3">
      <c r="A5753">
        <v>5752</v>
      </c>
      <c r="B5753">
        <v>330855040</v>
      </c>
      <c r="C5753">
        <v>330855040</v>
      </c>
    </row>
    <row r="5754" spans="1:3">
      <c r="A5754">
        <v>5753</v>
      </c>
      <c r="B5754">
        <v>330970090</v>
      </c>
      <c r="C5754">
        <v>330970090</v>
      </c>
    </row>
    <row r="5755" spans="1:3">
      <c r="A5755">
        <v>5754</v>
      </c>
      <c r="B5755">
        <v>331085160</v>
      </c>
      <c r="C5755">
        <v>331085160</v>
      </c>
    </row>
    <row r="5756" spans="1:3">
      <c r="A5756">
        <v>5755</v>
      </c>
      <c r="B5756">
        <v>331200250</v>
      </c>
      <c r="C5756">
        <v>331200250</v>
      </c>
    </row>
    <row r="5757" spans="1:3">
      <c r="A5757">
        <v>5756</v>
      </c>
      <c r="B5757">
        <v>331315360</v>
      </c>
      <c r="C5757">
        <v>331315360</v>
      </c>
    </row>
    <row r="5758" spans="1:3">
      <c r="A5758">
        <v>5757</v>
      </c>
      <c r="B5758">
        <v>331430490</v>
      </c>
      <c r="C5758">
        <v>331430490</v>
      </c>
    </row>
    <row r="5759" spans="1:3">
      <c r="A5759">
        <v>5758</v>
      </c>
      <c r="B5759">
        <v>331545640</v>
      </c>
      <c r="C5759">
        <v>331545640</v>
      </c>
    </row>
    <row r="5760" spans="1:3">
      <c r="A5760">
        <v>5759</v>
      </c>
      <c r="B5760">
        <v>331660810</v>
      </c>
      <c r="C5760">
        <v>331660810</v>
      </c>
    </row>
    <row r="5761" spans="1:3">
      <c r="A5761">
        <v>5760</v>
      </c>
      <c r="B5761">
        <v>331776000</v>
      </c>
      <c r="C5761">
        <v>331776000</v>
      </c>
    </row>
    <row r="5762" spans="1:3">
      <c r="A5762">
        <v>5761</v>
      </c>
      <c r="B5762">
        <v>331891210</v>
      </c>
      <c r="C5762">
        <v>331891210</v>
      </c>
    </row>
    <row r="5763" spans="1:3">
      <c r="A5763">
        <v>5762</v>
      </c>
      <c r="B5763">
        <v>332006440</v>
      </c>
      <c r="C5763">
        <v>332006440</v>
      </c>
    </row>
    <row r="5764" spans="1:3">
      <c r="A5764">
        <v>5763</v>
      </c>
      <c r="B5764">
        <v>332121690</v>
      </c>
      <c r="C5764">
        <v>332121690</v>
      </c>
    </row>
    <row r="5765" spans="1:3">
      <c r="A5765">
        <v>5764</v>
      </c>
      <c r="B5765">
        <v>332236960</v>
      </c>
      <c r="C5765">
        <v>332236960</v>
      </c>
    </row>
    <row r="5766" spans="1:3">
      <c r="A5766">
        <v>5765</v>
      </c>
      <c r="B5766">
        <v>332352250</v>
      </c>
      <c r="C5766">
        <v>332352250</v>
      </c>
    </row>
    <row r="5767" spans="1:3">
      <c r="A5767">
        <v>5766</v>
      </c>
      <c r="B5767">
        <v>332467560</v>
      </c>
      <c r="C5767">
        <v>332467560</v>
      </c>
    </row>
    <row r="5768" spans="1:3">
      <c r="A5768">
        <v>5767</v>
      </c>
      <c r="B5768">
        <v>332582890</v>
      </c>
      <c r="C5768">
        <v>332582890</v>
      </c>
    </row>
    <row r="5769" spans="1:3">
      <c r="A5769">
        <v>5768</v>
      </c>
      <c r="B5769">
        <v>332698240</v>
      </c>
      <c r="C5769">
        <v>332698240</v>
      </c>
    </row>
    <row r="5770" spans="1:3">
      <c r="A5770">
        <v>5769</v>
      </c>
      <c r="B5770">
        <v>332813610</v>
      </c>
      <c r="C5770">
        <v>332813610</v>
      </c>
    </row>
    <row r="5771" spans="1:3">
      <c r="A5771">
        <v>5770</v>
      </c>
      <c r="B5771">
        <v>332929000</v>
      </c>
      <c r="C5771">
        <v>332929000</v>
      </c>
    </row>
    <row r="5772" spans="1:3">
      <c r="A5772">
        <v>5771</v>
      </c>
      <c r="B5772">
        <v>333044410</v>
      </c>
      <c r="C5772">
        <v>333044410</v>
      </c>
    </row>
    <row r="5773" spans="1:3">
      <c r="A5773">
        <v>5772</v>
      </c>
      <c r="B5773">
        <v>333159840</v>
      </c>
      <c r="C5773">
        <v>333159840</v>
      </c>
    </row>
    <row r="5774" spans="1:3">
      <c r="A5774">
        <v>5773</v>
      </c>
      <c r="B5774">
        <v>333275290</v>
      </c>
      <c r="C5774">
        <v>333275290</v>
      </c>
    </row>
    <row r="5775" spans="1:3">
      <c r="A5775">
        <v>5774</v>
      </c>
      <c r="B5775">
        <v>333390760</v>
      </c>
      <c r="C5775">
        <v>333390760</v>
      </c>
    </row>
    <row r="5776" spans="1:3">
      <c r="A5776">
        <v>5775</v>
      </c>
      <c r="B5776">
        <v>333506250</v>
      </c>
      <c r="C5776">
        <v>333506250</v>
      </c>
    </row>
    <row r="5777" spans="1:3">
      <c r="A5777">
        <v>5776</v>
      </c>
      <c r="B5777">
        <v>333621760</v>
      </c>
      <c r="C5777">
        <v>333621760</v>
      </c>
    </row>
    <row r="5778" spans="1:3">
      <c r="A5778">
        <v>5777</v>
      </c>
      <c r="B5778">
        <v>333737290</v>
      </c>
      <c r="C5778">
        <v>333737290</v>
      </c>
    </row>
    <row r="5779" spans="1:3">
      <c r="A5779">
        <v>5778</v>
      </c>
      <c r="B5779">
        <v>333852840</v>
      </c>
      <c r="C5779">
        <v>333852840</v>
      </c>
    </row>
    <row r="5780" spans="1:3">
      <c r="A5780">
        <v>5779</v>
      </c>
      <c r="B5780">
        <v>333968410</v>
      </c>
      <c r="C5780">
        <v>333968410</v>
      </c>
    </row>
    <row r="5781" spans="1:3">
      <c r="A5781">
        <v>5780</v>
      </c>
      <c r="B5781">
        <v>334084000</v>
      </c>
      <c r="C5781">
        <v>334084000</v>
      </c>
    </row>
    <row r="5782" spans="1:3">
      <c r="A5782">
        <v>5781</v>
      </c>
      <c r="B5782">
        <v>334199610</v>
      </c>
      <c r="C5782">
        <v>334199610</v>
      </c>
    </row>
    <row r="5783" spans="1:3">
      <c r="A5783">
        <v>5782</v>
      </c>
      <c r="B5783">
        <v>334315240</v>
      </c>
      <c r="C5783">
        <v>334315240</v>
      </c>
    </row>
    <row r="5784" spans="1:3">
      <c r="A5784">
        <v>5783</v>
      </c>
      <c r="B5784">
        <v>334430890</v>
      </c>
      <c r="C5784">
        <v>334430890</v>
      </c>
    </row>
    <row r="5785" spans="1:3">
      <c r="A5785">
        <v>5784</v>
      </c>
      <c r="B5785">
        <v>334546560</v>
      </c>
      <c r="C5785">
        <v>334546560</v>
      </c>
    </row>
    <row r="5786" spans="1:3">
      <c r="A5786">
        <v>5785</v>
      </c>
      <c r="B5786">
        <v>334662250</v>
      </c>
      <c r="C5786">
        <v>334662250</v>
      </c>
    </row>
    <row r="5787" spans="1:3">
      <c r="A5787">
        <v>5786</v>
      </c>
      <c r="B5787">
        <v>334777960</v>
      </c>
      <c r="C5787">
        <v>334777960</v>
      </c>
    </row>
    <row r="5788" spans="1:3">
      <c r="A5788">
        <v>5787</v>
      </c>
      <c r="B5788">
        <v>334893690</v>
      </c>
      <c r="C5788">
        <v>334893690</v>
      </c>
    </row>
    <row r="5789" spans="1:3">
      <c r="A5789">
        <v>5788</v>
      </c>
      <c r="B5789">
        <v>335009440</v>
      </c>
      <c r="C5789">
        <v>335009440</v>
      </c>
    </row>
    <row r="5790" spans="1:3">
      <c r="A5790">
        <v>5789</v>
      </c>
      <c r="B5790">
        <v>335125210</v>
      </c>
      <c r="C5790">
        <v>335125210</v>
      </c>
    </row>
    <row r="5791" spans="1:3">
      <c r="A5791">
        <v>5790</v>
      </c>
      <c r="B5791">
        <v>335241000</v>
      </c>
      <c r="C5791">
        <v>335241000</v>
      </c>
    </row>
    <row r="5792" spans="1:3">
      <c r="A5792">
        <v>5791</v>
      </c>
      <c r="B5792">
        <v>335356810</v>
      </c>
      <c r="C5792">
        <v>335356810</v>
      </c>
    </row>
    <row r="5793" spans="1:3">
      <c r="A5793">
        <v>5792</v>
      </c>
      <c r="B5793">
        <v>335472640</v>
      </c>
      <c r="C5793">
        <v>335472640</v>
      </c>
    </row>
    <row r="5794" spans="1:3">
      <c r="A5794">
        <v>5793</v>
      </c>
      <c r="B5794">
        <v>335588490</v>
      </c>
      <c r="C5794">
        <v>335588490</v>
      </c>
    </row>
    <row r="5795" spans="1:3">
      <c r="A5795">
        <v>5794</v>
      </c>
      <c r="B5795">
        <v>335704360</v>
      </c>
      <c r="C5795">
        <v>335704360</v>
      </c>
    </row>
    <row r="5796" spans="1:3">
      <c r="A5796">
        <v>5795</v>
      </c>
      <c r="B5796">
        <v>335820250</v>
      </c>
      <c r="C5796">
        <v>335820250</v>
      </c>
    </row>
    <row r="5797" spans="1:3">
      <c r="A5797">
        <v>5796</v>
      </c>
      <c r="B5797">
        <v>335936160</v>
      </c>
      <c r="C5797">
        <v>335936160</v>
      </c>
    </row>
    <row r="5798" spans="1:3">
      <c r="A5798">
        <v>5797</v>
      </c>
      <c r="B5798">
        <v>336052090</v>
      </c>
      <c r="C5798">
        <v>336052090</v>
      </c>
    </row>
    <row r="5799" spans="1:3">
      <c r="A5799">
        <v>5798</v>
      </c>
      <c r="B5799">
        <v>336168040</v>
      </c>
      <c r="C5799">
        <v>336168040</v>
      </c>
    </row>
    <row r="5800" spans="1:3">
      <c r="A5800">
        <v>5799</v>
      </c>
      <c r="B5800">
        <v>336284010</v>
      </c>
      <c r="C5800">
        <v>336284010</v>
      </c>
    </row>
    <row r="5801" spans="1:3">
      <c r="A5801">
        <v>5800</v>
      </c>
      <c r="B5801">
        <v>336400000</v>
      </c>
      <c r="C5801">
        <v>336400000</v>
      </c>
    </row>
    <row r="5802" spans="1:3">
      <c r="A5802">
        <v>5801</v>
      </c>
      <c r="B5802">
        <v>336516010</v>
      </c>
      <c r="C5802">
        <v>336516010</v>
      </c>
    </row>
    <row r="5803" spans="1:3">
      <c r="A5803">
        <v>5802</v>
      </c>
      <c r="B5803">
        <v>336632040</v>
      </c>
      <c r="C5803">
        <v>336632040</v>
      </c>
    </row>
    <row r="5804" spans="1:3">
      <c r="A5804">
        <v>5803</v>
      </c>
      <c r="B5804">
        <v>336748090</v>
      </c>
      <c r="C5804">
        <v>336748090</v>
      </c>
    </row>
    <row r="5805" spans="1:3">
      <c r="A5805">
        <v>5804</v>
      </c>
      <c r="B5805">
        <v>336864160</v>
      </c>
      <c r="C5805">
        <v>336864160</v>
      </c>
    </row>
    <row r="5806" spans="1:3">
      <c r="A5806">
        <v>5805</v>
      </c>
      <c r="B5806">
        <v>336980250</v>
      </c>
      <c r="C5806">
        <v>336980250</v>
      </c>
    </row>
    <row r="5807" spans="1:3">
      <c r="A5807">
        <v>5806</v>
      </c>
      <c r="B5807">
        <v>337096360</v>
      </c>
      <c r="C5807">
        <v>337096360</v>
      </c>
    </row>
    <row r="5808" spans="1:3">
      <c r="A5808">
        <v>5807</v>
      </c>
      <c r="B5808">
        <v>337212490</v>
      </c>
      <c r="C5808">
        <v>337212490</v>
      </c>
    </row>
    <row r="5809" spans="1:3">
      <c r="A5809">
        <v>5808</v>
      </c>
      <c r="B5809">
        <v>337328640</v>
      </c>
      <c r="C5809">
        <v>337328640</v>
      </c>
    </row>
    <row r="5810" spans="1:3">
      <c r="A5810">
        <v>5809</v>
      </c>
      <c r="B5810">
        <v>337444810</v>
      </c>
      <c r="C5810">
        <v>337444810</v>
      </c>
    </row>
    <row r="5811" spans="1:3">
      <c r="A5811">
        <v>5810</v>
      </c>
      <c r="B5811">
        <v>337561000</v>
      </c>
      <c r="C5811">
        <v>337561000</v>
      </c>
    </row>
    <row r="5812" spans="1:3">
      <c r="A5812">
        <v>5811</v>
      </c>
      <c r="B5812">
        <v>337677210</v>
      </c>
      <c r="C5812">
        <v>337677210</v>
      </c>
    </row>
    <row r="5813" spans="1:3">
      <c r="A5813">
        <v>5812</v>
      </c>
      <c r="B5813">
        <v>337793440</v>
      </c>
      <c r="C5813">
        <v>337793440</v>
      </c>
    </row>
    <row r="5814" spans="1:3">
      <c r="A5814">
        <v>5813</v>
      </c>
      <c r="B5814">
        <v>337909690</v>
      </c>
      <c r="C5814">
        <v>337909690</v>
      </c>
    </row>
    <row r="5815" spans="1:3">
      <c r="A5815">
        <v>5814</v>
      </c>
      <c r="B5815">
        <v>338025960</v>
      </c>
      <c r="C5815">
        <v>338025960</v>
      </c>
    </row>
    <row r="5816" spans="1:3">
      <c r="A5816">
        <v>5815</v>
      </c>
      <c r="B5816">
        <v>338142250</v>
      </c>
      <c r="C5816">
        <v>338142250</v>
      </c>
    </row>
    <row r="5817" spans="1:3">
      <c r="A5817">
        <v>5816</v>
      </c>
      <c r="B5817">
        <v>338258560</v>
      </c>
      <c r="C5817">
        <v>338258560</v>
      </c>
    </row>
    <row r="5818" spans="1:3">
      <c r="A5818">
        <v>5817</v>
      </c>
      <c r="B5818">
        <v>338374890</v>
      </c>
      <c r="C5818">
        <v>338374890</v>
      </c>
    </row>
    <row r="5819" spans="1:3">
      <c r="A5819">
        <v>5818</v>
      </c>
      <c r="B5819">
        <v>338491240</v>
      </c>
      <c r="C5819">
        <v>338491240</v>
      </c>
    </row>
    <row r="5820" spans="1:3">
      <c r="A5820">
        <v>5819</v>
      </c>
      <c r="B5820">
        <v>338607610</v>
      </c>
      <c r="C5820">
        <v>338607610</v>
      </c>
    </row>
    <row r="5821" spans="1:3">
      <c r="A5821">
        <v>5820</v>
      </c>
      <c r="B5821">
        <v>338724000</v>
      </c>
      <c r="C5821">
        <v>338724000</v>
      </c>
    </row>
    <row r="5822" spans="1:3">
      <c r="A5822">
        <v>5821</v>
      </c>
      <c r="B5822">
        <v>338840410</v>
      </c>
      <c r="C5822">
        <v>338840410</v>
      </c>
    </row>
    <row r="5823" spans="1:3">
      <c r="A5823">
        <v>5822</v>
      </c>
      <c r="B5823">
        <v>338956840</v>
      </c>
      <c r="C5823">
        <v>338956840</v>
      </c>
    </row>
    <row r="5824" spans="1:3">
      <c r="A5824">
        <v>5823</v>
      </c>
      <c r="B5824">
        <v>339073290</v>
      </c>
      <c r="C5824">
        <v>339073290</v>
      </c>
    </row>
    <row r="5825" spans="1:3">
      <c r="A5825">
        <v>5824</v>
      </c>
      <c r="B5825">
        <v>339189760</v>
      </c>
      <c r="C5825">
        <v>339189760</v>
      </c>
    </row>
    <row r="5826" spans="1:3">
      <c r="A5826">
        <v>5825</v>
      </c>
      <c r="B5826">
        <v>339306250</v>
      </c>
      <c r="C5826">
        <v>339306250</v>
      </c>
    </row>
    <row r="5827" spans="1:3">
      <c r="A5827">
        <v>5826</v>
      </c>
      <c r="B5827">
        <v>339422760</v>
      </c>
      <c r="C5827">
        <v>339422760</v>
      </c>
    </row>
    <row r="5828" spans="1:3">
      <c r="A5828">
        <v>5827</v>
      </c>
      <c r="B5828">
        <v>339539290</v>
      </c>
      <c r="C5828">
        <v>339539290</v>
      </c>
    </row>
    <row r="5829" spans="1:3">
      <c r="A5829">
        <v>5828</v>
      </c>
      <c r="B5829">
        <v>339655840</v>
      </c>
      <c r="C5829">
        <v>339655840</v>
      </c>
    </row>
    <row r="5830" spans="1:3">
      <c r="A5830">
        <v>5829</v>
      </c>
      <c r="B5830">
        <v>339772410</v>
      </c>
      <c r="C5830">
        <v>339772410</v>
      </c>
    </row>
    <row r="5831" spans="1:3">
      <c r="A5831">
        <v>5830</v>
      </c>
      <c r="B5831">
        <v>339889000</v>
      </c>
      <c r="C5831">
        <v>339889000</v>
      </c>
    </row>
    <row r="5832" spans="1:3">
      <c r="A5832">
        <v>5831</v>
      </c>
      <c r="B5832">
        <v>340005610</v>
      </c>
      <c r="C5832">
        <v>340005610</v>
      </c>
    </row>
    <row r="5833" spans="1:3">
      <c r="A5833">
        <v>5832</v>
      </c>
      <c r="B5833">
        <v>340122240</v>
      </c>
      <c r="C5833">
        <v>340122240</v>
      </c>
    </row>
    <row r="5834" spans="1:3">
      <c r="A5834">
        <v>5833</v>
      </c>
      <c r="B5834">
        <v>340238890</v>
      </c>
      <c r="C5834">
        <v>340238890</v>
      </c>
    </row>
    <row r="5835" spans="1:3">
      <c r="A5835">
        <v>5834</v>
      </c>
      <c r="B5835">
        <v>340355560</v>
      </c>
      <c r="C5835">
        <v>340355560</v>
      </c>
    </row>
    <row r="5836" spans="1:3">
      <c r="A5836">
        <v>5835</v>
      </c>
      <c r="B5836">
        <v>340472250</v>
      </c>
      <c r="C5836">
        <v>340472250</v>
      </c>
    </row>
    <row r="5837" spans="1:3">
      <c r="A5837">
        <v>5836</v>
      </c>
      <c r="B5837">
        <v>340588960</v>
      </c>
      <c r="C5837">
        <v>340588960</v>
      </c>
    </row>
    <row r="5838" spans="1:3">
      <c r="A5838">
        <v>5837</v>
      </c>
      <c r="B5838">
        <v>340705690</v>
      </c>
      <c r="C5838">
        <v>340705690</v>
      </c>
    </row>
    <row r="5839" spans="1:3">
      <c r="A5839">
        <v>5838</v>
      </c>
      <c r="B5839">
        <v>340822440</v>
      </c>
      <c r="C5839">
        <v>340822440</v>
      </c>
    </row>
    <row r="5840" spans="1:3">
      <c r="A5840">
        <v>5839</v>
      </c>
      <c r="B5840">
        <v>340939210</v>
      </c>
      <c r="C5840">
        <v>340939210</v>
      </c>
    </row>
    <row r="5841" spans="1:3">
      <c r="A5841">
        <v>5840</v>
      </c>
      <c r="B5841">
        <v>341056000</v>
      </c>
      <c r="C5841">
        <v>341056000</v>
      </c>
    </row>
    <row r="5842" spans="1:3">
      <c r="A5842">
        <v>5841</v>
      </c>
      <c r="B5842">
        <v>341172810</v>
      </c>
      <c r="C5842">
        <v>341172810</v>
      </c>
    </row>
    <row r="5843" spans="1:3">
      <c r="A5843">
        <v>5842</v>
      </c>
      <c r="B5843">
        <v>341289640</v>
      </c>
      <c r="C5843">
        <v>341289640</v>
      </c>
    </row>
    <row r="5844" spans="1:3">
      <c r="A5844">
        <v>5843</v>
      </c>
      <c r="B5844">
        <v>341406490</v>
      </c>
      <c r="C5844">
        <v>341406490</v>
      </c>
    </row>
    <row r="5845" spans="1:3">
      <c r="A5845">
        <v>5844</v>
      </c>
      <c r="B5845">
        <v>341523360</v>
      </c>
      <c r="C5845">
        <v>341523360</v>
      </c>
    </row>
    <row r="5846" spans="1:3">
      <c r="A5846">
        <v>5845</v>
      </c>
      <c r="B5846">
        <v>341640250</v>
      </c>
      <c r="C5846">
        <v>341640250</v>
      </c>
    </row>
    <row r="5847" spans="1:3">
      <c r="A5847">
        <v>5846</v>
      </c>
      <c r="B5847">
        <v>341757160</v>
      </c>
      <c r="C5847">
        <v>341757160</v>
      </c>
    </row>
    <row r="5848" spans="1:3">
      <c r="A5848">
        <v>5847</v>
      </c>
      <c r="B5848">
        <v>341874090</v>
      </c>
      <c r="C5848">
        <v>341874090</v>
      </c>
    </row>
    <row r="5849" spans="1:3">
      <c r="A5849">
        <v>5848</v>
      </c>
      <c r="B5849">
        <v>341991040</v>
      </c>
      <c r="C5849">
        <v>341991040</v>
      </c>
    </row>
    <row r="5850" spans="1:3">
      <c r="A5850">
        <v>5849</v>
      </c>
      <c r="B5850">
        <v>342108010</v>
      </c>
      <c r="C5850">
        <v>342108010</v>
      </c>
    </row>
    <row r="5851" spans="1:3">
      <c r="A5851">
        <v>5850</v>
      </c>
      <c r="B5851">
        <v>342225000</v>
      </c>
      <c r="C5851">
        <v>342225000</v>
      </c>
    </row>
    <row r="5852" spans="1:3">
      <c r="A5852">
        <v>5851</v>
      </c>
      <c r="B5852">
        <v>342342010</v>
      </c>
      <c r="C5852">
        <v>342342010</v>
      </c>
    </row>
    <row r="5853" spans="1:3">
      <c r="A5853">
        <v>5852</v>
      </c>
      <c r="B5853">
        <v>342459040</v>
      </c>
      <c r="C5853">
        <v>342459040</v>
      </c>
    </row>
    <row r="5854" spans="1:3">
      <c r="A5854">
        <v>5853</v>
      </c>
      <c r="B5854">
        <v>342576090</v>
      </c>
      <c r="C5854">
        <v>342576090</v>
      </c>
    </row>
    <row r="5855" spans="1:3">
      <c r="A5855">
        <v>5854</v>
      </c>
      <c r="B5855">
        <v>342693160</v>
      </c>
      <c r="C5855">
        <v>342693160</v>
      </c>
    </row>
    <row r="5856" spans="1:3">
      <c r="A5856">
        <v>5855</v>
      </c>
      <c r="B5856">
        <v>342810250</v>
      </c>
      <c r="C5856">
        <v>342810250</v>
      </c>
    </row>
    <row r="5857" spans="1:3">
      <c r="A5857">
        <v>5856</v>
      </c>
      <c r="B5857">
        <v>342927360</v>
      </c>
      <c r="C5857">
        <v>342927360</v>
      </c>
    </row>
    <row r="5858" spans="1:3">
      <c r="A5858">
        <v>5857</v>
      </c>
      <c r="B5858">
        <v>343044490</v>
      </c>
      <c r="C5858">
        <v>343044490</v>
      </c>
    </row>
    <row r="5859" spans="1:3">
      <c r="A5859">
        <v>5858</v>
      </c>
      <c r="B5859">
        <v>343161640</v>
      </c>
      <c r="C5859">
        <v>343161640</v>
      </c>
    </row>
    <row r="5860" spans="1:3">
      <c r="A5860">
        <v>5859</v>
      </c>
      <c r="B5860">
        <v>343278810</v>
      </c>
      <c r="C5860">
        <v>343278810</v>
      </c>
    </row>
    <row r="5861" spans="1:3">
      <c r="A5861">
        <v>5860</v>
      </c>
      <c r="B5861">
        <v>343396000</v>
      </c>
      <c r="C5861">
        <v>343396000</v>
      </c>
    </row>
    <row r="5862" spans="1:3">
      <c r="A5862">
        <v>5861</v>
      </c>
      <c r="B5862">
        <v>343513210</v>
      </c>
      <c r="C5862">
        <v>343513210</v>
      </c>
    </row>
    <row r="5863" spans="1:3">
      <c r="A5863">
        <v>5862</v>
      </c>
      <c r="B5863">
        <v>343630440</v>
      </c>
      <c r="C5863">
        <v>343630440</v>
      </c>
    </row>
    <row r="5864" spans="1:3">
      <c r="A5864">
        <v>5863</v>
      </c>
      <c r="B5864">
        <v>343747690</v>
      </c>
      <c r="C5864">
        <v>343747690</v>
      </c>
    </row>
    <row r="5865" spans="1:3">
      <c r="A5865">
        <v>5864</v>
      </c>
      <c r="B5865">
        <v>343864960</v>
      </c>
      <c r="C5865">
        <v>343864960</v>
      </c>
    </row>
    <row r="5866" spans="1:3">
      <c r="A5866">
        <v>5865</v>
      </c>
      <c r="B5866">
        <v>343982250</v>
      </c>
      <c r="C5866">
        <v>343982250</v>
      </c>
    </row>
    <row r="5867" spans="1:3">
      <c r="A5867">
        <v>5866</v>
      </c>
      <c r="B5867">
        <v>344099560</v>
      </c>
      <c r="C5867">
        <v>344099560</v>
      </c>
    </row>
    <row r="5868" spans="1:3">
      <c r="A5868">
        <v>5867</v>
      </c>
      <c r="B5868">
        <v>344216890</v>
      </c>
      <c r="C5868">
        <v>344216890</v>
      </c>
    </row>
    <row r="5869" spans="1:3">
      <c r="A5869">
        <v>5868</v>
      </c>
      <c r="B5869">
        <v>344334240</v>
      </c>
      <c r="C5869">
        <v>344334240</v>
      </c>
    </row>
    <row r="5870" spans="1:3">
      <c r="A5870">
        <v>5869</v>
      </c>
      <c r="B5870">
        <v>344451610</v>
      </c>
      <c r="C5870">
        <v>344451610</v>
      </c>
    </row>
    <row r="5871" spans="1:3">
      <c r="A5871">
        <v>5870</v>
      </c>
      <c r="B5871">
        <v>344569000</v>
      </c>
      <c r="C5871">
        <v>344569000</v>
      </c>
    </row>
    <row r="5872" spans="1:3">
      <c r="A5872">
        <v>5871</v>
      </c>
      <c r="B5872">
        <v>344686410</v>
      </c>
      <c r="C5872">
        <v>344686410</v>
      </c>
    </row>
    <row r="5873" spans="1:3">
      <c r="A5873">
        <v>5872</v>
      </c>
      <c r="B5873">
        <v>344803840</v>
      </c>
      <c r="C5873">
        <v>344803840</v>
      </c>
    </row>
    <row r="5874" spans="1:3">
      <c r="A5874">
        <v>5873</v>
      </c>
      <c r="B5874">
        <v>344921290</v>
      </c>
      <c r="C5874">
        <v>344921290</v>
      </c>
    </row>
    <row r="5875" spans="1:3">
      <c r="A5875">
        <v>5874</v>
      </c>
      <c r="B5875">
        <v>345038760</v>
      </c>
      <c r="C5875">
        <v>345038760</v>
      </c>
    </row>
    <row r="5876" spans="1:3">
      <c r="A5876">
        <v>5875</v>
      </c>
      <c r="B5876">
        <v>345156250</v>
      </c>
      <c r="C5876">
        <v>345156250</v>
      </c>
    </row>
    <row r="5877" spans="1:3">
      <c r="A5877">
        <v>5876</v>
      </c>
      <c r="B5877">
        <v>345273760</v>
      </c>
      <c r="C5877">
        <v>345273760</v>
      </c>
    </row>
    <row r="5878" spans="1:3">
      <c r="A5878">
        <v>5877</v>
      </c>
      <c r="B5878">
        <v>345391290</v>
      </c>
      <c r="C5878">
        <v>345391290</v>
      </c>
    </row>
    <row r="5879" spans="1:3">
      <c r="A5879">
        <v>5878</v>
      </c>
      <c r="B5879">
        <v>345508840</v>
      </c>
      <c r="C5879">
        <v>345508840</v>
      </c>
    </row>
    <row r="5880" spans="1:3">
      <c r="A5880">
        <v>5879</v>
      </c>
      <c r="B5880">
        <v>345626410</v>
      </c>
      <c r="C5880">
        <v>345626410</v>
      </c>
    </row>
    <row r="5881" spans="1:3">
      <c r="A5881">
        <v>5880</v>
      </c>
      <c r="B5881">
        <v>345744000</v>
      </c>
      <c r="C5881">
        <v>345744000</v>
      </c>
    </row>
    <row r="5882" spans="1:3">
      <c r="A5882">
        <v>5881</v>
      </c>
      <c r="B5882">
        <v>345861610</v>
      </c>
      <c r="C5882">
        <v>345861610</v>
      </c>
    </row>
    <row r="5883" spans="1:3">
      <c r="A5883">
        <v>5882</v>
      </c>
      <c r="B5883">
        <v>345979240</v>
      </c>
      <c r="C5883">
        <v>345979240</v>
      </c>
    </row>
    <row r="5884" spans="1:3">
      <c r="A5884">
        <v>5883</v>
      </c>
      <c r="B5884">
        <v>346096890</v>
      </c>
      <c r="C5884">
        <v>346096890</v>
      </c>
    </row>
    <row r="5885" spans="1:3">
      <c r="A5885">
        <v>5884</v>
      </c>
      <c r="B5885">
        <v>346214560</v>
      </c>
      <c r="C5885">
        <v>346214560</v>
      </c>
    </row>
    <row r="5886" spans="1:3">
      <c r="A5886">
        <v>5885</v>
      </c>
      <c r="B5886">
        <v>346332250</v>
      </c>
      <c r="C5886">
        <v>346332250</v>
      </c>
    </row>
    <row r="5887" spans="1:3">
      <c r="A5887">
        <v>5886</v>
      </c>
      <c r="B5887">
        <v>346449960</v>
      </c>
      <c r="C5887">
        <v>346449960</v>
      </c>
    </row>
    <row r="5888" spans="1:3">
      <c r="A5888">
        <v>5887</v>
      </c>
      <c r="B5888">
        <v>346567690</v>
      </c>
      <c r="C5888">
        <v>346567690</v>
      </c>
    </row>
    <row r="5889" spans="1:3">
      <c r="A5889">
        <v>5888</v>
      </c>
      <c r="B5889">
        <v>346685440</v>
      </c>
      <c r="C5889">
        <v>346685440</v>
      </c>
    </row>
    <row r="5890" spans="1:3">
      <c r="A5890">
        <v>5889</v>
      </c>
      <c r="B5890">
        <v>346803210</v>
      </c>
      <c r="C5890">
        <v>346803210</v>
      </c>
    </row>
    <row r="5891" spans="1:3">
      <c r="A5891">
        <v>5890</v>
      </c>
      <c r="B5891">
        <v>346921000</v>
      </c>
      <c r="C5891">
        <v>346921000</v>
      </c>
    </row>
    <row r="5892" spans="1:3">
      <c r="A5892">
        <v>5891</v>
      </c>
      <c r="B5892">
        <v>347038810</v>
      </c>
      <c r="C5892">
        <v>347038810</v>
      </c>
    </row>
    <row r="5893" spans="1:3">
      <c r="A5893">
        <v>5892</v>
      </c>
      <c r="B5893">
        <v>347156640</v>
      </c>
      <c r="C5893">
        <v>347156640</v>
      </c>
    </row>
    <row r="5894" spans="1:3">
      <c r="A5894">
        <v>5893</v>
      </c>
      <c r="B5894">
        <v>347274490</v>
      </c>
      <c r="C5894">
        <v>347274490</v>
      </c>
    </row>
    <row r="5895" spans="1:3">
      <c r="A5895">
        <v>5894</v>
      </c>
      <c r="B5895">
        <v>347392360</v>
      </c>
      <c r="C5895">
        <v>347392360</v>
      </c>
    </row>
    <row r="5896" spans="1:3">
      <c r="A5896">
        <v>5895</v>
      </c>
      <c r="B5896">
        <v>347510250</v>
      </c>
      <c r="C5896">
        <v>347510250</v>
      </c>
    </row>
    <row r="5897" spans="1:3">
      <c r="A5897">
        <v>5896</v>
      </c>
      <c r="B5897">
        <v>347628160</v>
      </c>
      <c r="C5897">
        <v>347628160</v>
      </c>
    </row>
    <row r="5898" spans="1:3">
      <c r="A5898">
        <v>5897</v>
      </c>
      <c r="B5898">
        <v>347746090</v>
      </c>
      <c r="C5898">
        <v>347746090</v>
      </c>
    </row>
    <row r="5899" spans="1:3">
      <c r="A5899">
        <v>5898</v>
      </c>
      <c r="B5899">
        <v>347864040</v>
      </c>
      <c r="C5899">
        <v>347864040</v>
      </c>
    </row>
    <row r="5900" spans="1:3">
      <c r="A5900">
        <v>5899</v>
      </c>
      <c r="B5900">
        <v>347982010</v>
      </c>
      <c r="C5900">
        <v>347982010</v>
      </c>
    </row>
    <row r="5901" spans="1:3">
      <c r="A5901">
        <v>5900</v>
      </c>
      <c r="B5901">
        <v>348100000</v>
      </c>
      <c r="C5901">
        <v>348100000</v>
      </c>
    </row>
    <row r="5902" spans="1:3">
      <c r="A5902">
        <v>5901</v>
      </c>
      <c r="B5902">
        <v>348218010</v>
      </c>
      <c r="C5902">
        <v>348218010</v>
      </c>
    </row>
    <row r="5903" spans="1:3">
      <c r="A5903">
        <v>5902</v>
      </c>
      <c r="B5903">
        <v>348336040</v>
      </c>
      <c r="C5903">
        <v>348336040</v>
      </c>
    </row>
    <row r="5904" spans="1:3">
      <c r="A5904">
        <v>5903</v>
      </c>
      <c r="B5904">
        <v>348454090</v>
      </c>
      <c r="C5904">
        <v>348454090</v>
      </c>
    </row>
    <row r="5905" spans="1:3">
      <c r="A5905">
        <v>5904</v>
      </c>
      <c r="B5905">
        <v>348572160</v>
      </c>
      <c r="C5905">
        <v>348572160</v>
      </c>
    </row>
    <row r="5906" spans="1:3">
      <c r="A5906">
        <v>5905</v>
      </c>
      <c r="B5906">
        <v>348690250</v>
      </c>
      <c r="C5906">
        <v>348690250</v>
      </c>
    </row>
    <row r="5907" spans="1:3">
      <c r="A5907">
        <v>5906</v>
      </c>
      <c r="B5907">
        <v>348808360</v>
      </c>
      <c r="C5907">
        <v>348808360</v>
      </c>
    </row>
    <row r="5908" spans="1:3">
      <c r="A5908">
        <v>5907</v>
      </c>
      <c r="B5908">
        <v>348926490</v>
      </c>
      <c r="C5908">
        <v>348926490</v>
      </c>
    </row>
    <row r="5909" spans="1:3">
      <c r="A5909">
        <v>5908</v>
      </c>
      <c r="B5909">
        <v>349044640</v>
      </c>
      <c r="C5909">
        <v>349044640</v>
      </c>
    </row>
    <row r="5910" spans="1:3">
      <c r="A5910">
        <v>5909</v>
      </c>
      <c r="B5910">
        <v>349162810</v>
      </c>
      <c r="C5910">
        <v>349162810</v>
      </c>
    </row>
    <row r="5911" spans="1:3">
      <c r="A5911">
        <v>5910</v>
      </c>
      <c r="B5911">
        <v>349281000</v>
      </c>
      <c r="C5911">
        <v>349281000</v>
      </c>
    </row>
    <row r="5912" spans="1:3">
      <c r="A5912">
        <v>5911</v>
      </c>
      <c r="B5912">
        <v>349399210</v>
      </c>
      <c r="C5912">
        <v>349399210</v>
      </c>
    </row>
    <row r="5913" spans="1:3">
      <c r="A5913">
        <v>5912</v>
      </c>
      <c r="B5913">
        <v>349517440</v>
      </c>
      <c r="C5913">
        <v>349517440</v>
      </c>
    </row>
    <row r="5914" spans="1:3">
      <c r="A5914">
        <v>5913</v>
      </c>
      <c r="B5914">
        <v>349635690</v>
      </c>
      <c r="C5914">
        <v>349635690</v>
      </c>
    </row>
    <row r="5915" spans="1:3">
      <c r="A5915">
        <v>5914</v>
      </c>
      <c r="B5915">
        <v>349753960</v>
      </c>
      <c r="C5915">
        <v>349753960</v>
      </c>
    </row>
    <row r="5916" spans="1:3">
      <c r="A5916">
        <v>5915</v>
      </c>
      <c r="B5916">
        <v>349872250</v>
      </c>
      <c r="C5916">
        <v>349872250</v>
      </c>
    </row>
    <row r="5917" spans="1:3">
      <c r="A5917">
        <v>5916</v>
      </c>
      <c r="B5917">
        <v>349990560</v>
      </c>
      <c r="C5917">
        <v>349990560</v>
      </c>
    </row>
    <row r="5918" spans="1:3">
      <c r="A5918">
        <v>5917</v>
      </c>
      <c r="B5918">
        <v>350108890</v>
      </c>
      <c r="C5918">
        <v>350108890</v>
      </c>
    </row>
    <row r="5919" spans="1:3">
      <c r="A5919">
        <v>5918</v>
      </c>
      <c r="B5919">
        <v>350227240</v>
      </c>
      <c r="C5919">
        <v>350227240</v>
      </c>
    </row>
    <row r="5920" spans="1:3">
      <c r="A5920">
        <v>5919</v>
      </c>
      <c r="B5920">
        <v>350345610</v>
      </c>
      <c r="C5920">
        <v>350345610</v>
      </c>
    </row>
    <row r="5921" spans="1:3">
      <c r="A5921">
        <v>5920</v>
      </c>
      <c r="B5921">
        <v>350464000</v>
      </c>
      <c r="C5921">
        <v>350464000</v>
      </c>
    </row>
    <row r="5922" spans="1:3">
      <c r="A5922">
        <v>5921</v>
      </c>
      <c r="B5922">
        <v>350582410</v>
      </c>
      <c r="C5922">
        <v>350582410</v>
      </c>
    </row>
    <row r="5923" spans="1:3">
      <c r="A5923">
        <v>5922</v>
      </c>
      <c r="B5923">
        <v>350700840</v>
      </c>
      <c r="C5923">
        <v>350700840</v>
      </c>
    </row>
    <row r="5924" spans="1:3">
      <c r="A5924">
        <v>5923</v>
      </c>
      <c r="B5924">
        <v>350819290</v>
      </c>
      <c r="C5924">
        <v>350819290</v>
      </c>
    </row>
    <row r="5925" spans="1:3">
      <c r="A5925">
        <v>5924</v>
      </c>
      <c r="B5925">
        <v>350937760</v>
      </c>
      <c r="C5925">
        <v>350937760</v>
      </c>
    </row>
    <row r="5926" spans="1:3">
      <c r="A5926">
        <v>5925</v>
      </c>
      <c r="B5926">
        <v>351056250</v>
      </c>
      <c r="C5926">
        <v>351056250</v>
      </c>
    </row>
    <row r="5927" spans="1:3">
      <c r="A5927">
        <v>5926</v>
      </c>
      <c r="B5927">
        <v>351174760</v>
      </c>
      <c r="C5927">
        <v>351174760</v>
      </c>
    </row>
    <row r="5928" spans="1:3">
      <c r="A5928">
        <v>5927</v>
      </c>
      <c r="B5928">
        <v>351293290</v>
      </c>
      <c r="C5928">
        <v>351293290</v>
      </c>
    </row>
    <row r="5929" spans="1:3">
      <c r="A5929">
        <v>5928</v>
      </c>
      <c r="B5929">
        <v>351411840</v>
      </c>
      <c r="C5929">
        <v>351411840</v>
      </c>
    </row>
    <row r="5930" spans="1:3">
      <c r="A5930">
        <v>5929</v>
      </c>
      <c r="B5930">
        <v>351530410</v>
      </c>
      <c r="C5930">
        <v>351530410</v>
      </c>
    </row>
    <row r="5931" spans="1:3">
      <c r="A5931">
        <v>5930</v>
      </c>
      <c r="B5931">
        <v>351649000</v>
      </c>
      <c r="C5931">
        <v>351649000</v>
      </c>
    </row>
    <row r="5932" spans="1:3">
      <c r="A5932">
        <v>5931</v>
      </c>
      <c r="B5932">
        <v>351767610</v>
      </c>
      <c r="C5932">
        <v>351767610</v>
      </c>
    </row>
    <row r="5933" spans="1:3">
      <c r="A5933">
        <v>5932</v>
      </c>
      <c r="B5933">
        <v>351886240</v>
      </c>
      <c r="C5933">
        <v>351886240</v>
      </c>
    </row>
    <row r="5934" spans="1:3">
      <c r="A5934">
        <v>5933</v>
      </c>
      <c r="B5934">
        <v>352004890</v>
      </c>
      <c r="C5934">
        <v>352004890</v>
      </c>
    </row>
    <row r="5935" spans="1:3">
      <c r="A5935">
        <v>5934</v>
      </c>
      <c r="B5935">
        <v>352123560</v>
      </c>
      <c r="C5935">
        <v>352123560</v>
      </c>
    </row>
    <row r="5936" spans="1:3">
      <c r="A5936">
        <v>5935</v>
      </c>
      <c r="B5936">
        <v>352242250</v>
      </c>
      <c r="C5936">
        <v>352242250</v>
      </c>
    </row>
    <row r="5937" spans="1:3">
      <c r="A5937">
        <v>5936</v>
      </c>
      <c r="B5937">
        <v>352360960</v>
      </c>
      <c r="C5937">
        <v>352360960</v>
      </c>
    </row>
    <row r="5938" spans="1:3">
      <c r="A5938">
        <v>5937</v>
      </c>
      <c r="B5938">
        <v>352479690</v>
      </c>
      <c r="C5938">
        <v>352479690</v>
      </c>
    </row>
    <row r="5939" spans="1:3">
      <c r="A5939">
        <v>5938</v>
      </c>
      <c r="B5939">
        <v>352598440</v>
      </c>
      <c r="C5939">
        <v>352598440</v>
      </c>
    </row>
    <row r="5940" spans="1:3">
      <c r="A5940">
        <v>5939</v>
      </c>
      <c r="B5940">
        <v>352717210</v>
      </c>
      <c r="C5940">
        <v>352717210</v>
      </c>
    </row>
    <row r="5941" spans="1:3">
      <c r="A5941">
        <v>5940</v>
      </c>
      <c r="B5941">
        <v>352836000</v>
      </c>
      <c r="C5941">
        <v>352836000</v>
      </c>
    </row>
    <row r="5942" spans="1:3">
      <c r="A5942">
        <v>5941</v>
      </c>
      <c r="B5942">
        <v>352954810</v>
      </c>
      <c r="C5942">
        <v>352954810</v>
      </c>
    </row>
    <row r="5943" spans="1:3">
      <c r="A5943">
        <v>5942</v>
      </c>
      <c r="B5943">
        <v>353073640</v>
      </c>
      <c r="C5943">
        <v>353073640</v>
      </c>
    </row>
    <row r="5944" spans="1:3">
      <c r="A5944">
        <v>5943</v>
      </c>
      <c r="B5944">
        <v>353192490</v>
      </c>
      <c r="C5944">
        <v>353192490</v>
      </c>
    </row>
    <row r="5945" spans="1:3">
      <c r="A5945">
        <v>5944</v>
      </c>
      <c r="B5945">
        <v>353311360</v>
      </c>
      <c r="C5945">
        <v>353311360</v>
      </c>
    </row>
    <row r="5946" spans="1:3">
      <c r="A5946">
        <v>5945</v>
      </c>
      <c r="B5946">
        <v>353430250</v>
      </c>
      <c r="C5946">
        <v>353430250</v>
      </c>
    </row>
    <row r="5947" spans="1:3">
      <c r="A5947">
        <v>5946</v>
      </c>
      <c r="B5947">
        <v>353549160</v>
      </c>
      <c r="C5947">
        <v>353549160</v>
      </c>
    </row>
    <row r="5948" spans="1:3">
      <c r="A5948">
        <v>5947</v>
      </c>
      <c r="B5948">
        <v>353668090</v>
      </c>
      <c r="C5948">
        <v>353668090</v>
      </c>
    </row>
    <row r="5949" spans="1:3">
      <c r="A5949">
        <v>5948</v>
      </c>
      <c r="B5949">
        <v>353787040</v>
      </c>
      <c r="C5949">
        <v>353787040</v>
      </c>
    </row>
    <row r="5950" spans="1:3">
      <c r="A5950">
        <v>5949</v>
      </c>
      <c r="B5950">
        <v>353906010</v>
      </c>
      <c r="C5950">
        <v>353906010</v>
      </c>
    </row>
    <row r="5951" spans="1:3">
      <c r="A5951">
        <v>5950</v>
      </c>
      <c r="B5951">
        <v>354025000</v>
      </c>
      <c r="C5951">
        <v>354025000</v>
      </c>
    </row>
    <row r="5952" spans="1:3">
      <c r="A5952">
        <v>5951</v>
      </c>
      <c r="B5952">
        <v>354144010</v>
      </c>
      <c r="C5952">
        <v>354144010</v>
      </c>
    </row>
    <row r="5953" spans="1:3">
      <c r="A5953">
        <v>5952</v>
      </c>
      <c r="B5953">
        <v>354263040</v>
      </c>
      <c r="C5953">
        <v>354263040</v>
      </c>
    </row>
    <row r="5954" spans="1:3">
      <c r="A5954">
        <v>5953</v>
      </c>
      <c r="B5954">
        <v>354382090</v>
      </c>
      <c r="C5954">
        <v>354382090</v>
      </c>
    </row>
    <row r="5955" spans="1:3">
      <c r="A5955">
        <v>5954</v>
      </c>
      <c r="B5955">
        <v>354501160</v>
      </c>
      <c r="C5955">
        <v>354501160</v>
      </c>
    </row>
    <row r="5956" spans="1:3">
      <c r="A5956">
        <v>5955</v>
      </c>
      <c r="B5956">
        <v>354620250</v>
      </c>
      <c r="C5956">
        <v>354620250</v>
      </c>
    </row>
    <row r="5957" spans="1:3">
      <c r="A5957">
        <v>5956</v>
      </c>
      <c r="B5957">
        <v>354739360</v>
      </c>
      <c r="C5957">
        <v>354739360</v>
      </c>
    </row>
    <row r="5958" spans="1:3">
      <c r="A5958">
        <v>5957</v>
      </c>
      <c r="B5958">
        <v>354858490</v>
      </c>
      <c r="C5958">
        <v>354858490</v>
      </c>
    </row>
    <row r="5959" spans="1:3">
      <c r="A5959">
        <v>5958</v>
      </c>
      <c r="B5959">
        <v>354977640</v>
      </c>
      <c r="C5959">
        <v>354977640</v>
      </c>
    </row>
    <row r="5960" spans="1:3">
      <c r="A5960">
        <v>5959</v>
      </c>
      <c r="B5960">
        <v>355096810</v>
      </c>
      <c r="C5960">
        <v>355096810</v>
      </c>
    </row>
    <row r="5961" spans="1:3">
      <c r="A5961">
        <v>5960</v>
      </c>
      <c r="B5961">
        <v>355216000</v>
      </c>
      <c r="C5961">
        <v>355216000</v>
      </c>
    </row>
    <row r="5962" spans="1:3">
      <c r="A5962">
        <v>5961</v>
      </c>
      <c r="B5962">
        <v>355335210</v>
      </c>
      <c r="C5962">
        <v>355335210</v>
      </c>
    </row>
    <row r="5963" spans="1:3">
      <c r="A5963">
        <v>5962</v>
      </c>
      <c r="B5963">
        <v>355454440</v>
      </c>
      <c r="C5963">
        <v>355454440</v>
      </c>
    </row>
    <row r="5964" spans="1:3">
      <c r="A5964">
        <v>5963</v>
      </c>
      <c r="B5964">
        <v>355573690</v>
      </c>
      <c r="C5964">
        <v>355573690</v>
      </c>
    </row>
    <row r="5965" spans="1:3">
      <c r="A5965">
        <v>5964</v>
      </c>
      <c r="B5965">
        <v>355692960</v>
      </c>
      <c r="C5965">
        <v>355692960</v>
      </c>
    </row>
    <row r="5966" spans="1:3">
      <c r="A5966">
        <v>5965</v>
      </c>
      <c r="B5966">
        <v>355812250</v>
      </c>
      <c r="C5966">
        <v>355812250</v>
      </c>
    </row>
    <row r="5967" spans="1:3">
      <c r="A5967">
        <v>5966</v>
      </c>
      <c r="B5967">
        <v>355931560</v>
      </c>
      <c r="C5967">
        <v>355931560</v>
      </c>
    </row>
    <row r="5968" spans="1:3">
      <c r="A5968">
        <v>5967</v>
      </c>
      <c r="B5968">
        <v>356050890</v>
      </c>
      <c r="C5968">
        <v>356050890</v>
      </c>
    </row>
    <row r="5969" spans="1:3">
      <c r="A5969">
        <v>5968</v>
      </c>
      <c r="B5969">
        <v>356170240</v>
      </c>
      <c r="C5969">
        <v>356170240</v>
      </c>
    </row>
    <row r="5970" spans="1:3">
      <c r="A5970">
        <v>5969</v>
      </c>
      <c r="B5970">
        <v>356289610</v>
      </c>
      <c r="C5970">
        <v>356289610</v>
      </c>
    </row>
    <row r="5971" spans="1:3">
      <c r="A5971">
        <v>5970</v>
      </c>
      <c r="B5971">
        <v>356409000</v>
      </c>
      <c r="C5971">
        <v>356409000</v>
      </c>
    </row>
    <row r="5972" spans="1:3">
      <c r="A5972">
        <v>5971</v>
      </c>
      <c r="B5972">
        <v>356528410</v>
      </c>
      <c r="C5972">
        <v>356528410</v>
      </c>
    </row>
    <row r="5973" spans="1:3">
      <c r="A5973">
        <v>5972</v>
      </c>
      <c r="B5973">
        <v>356647840</v>
      </c>
      <c r="C5973">
        <v>356647840</v>
      </c>
    </row>
    <row r="5974" spans="1:3">
      <c r="A5974">
        <v>5973</v>
      </c>
      <c r="B5974">
        <v>356767290</v>
      </c>
      <c r="C5974">
        <v>356767290</v>
      </c>
    </row>
    <row r="5975" spans="1:3">
      <c r="A5975">
        <v>5974</v>
      </c>
      <c r="B5975">
        <v>356886760</v>
      </c>
      <c r="C5975">
        <v>356886760</v>
      </c>
    </row>
    <row r="5976" spans="1:3">
      <c r="A5976">
        <v>5975</v>
      </c>
      <c r="B5976">
        <v>357006250</v>
      </c>
      <c r="C5976">
        <v>357006250</v>
      </c>
    </row>
    <row r="5977" spans="1:3">
      <c r="A5977">
        <v>5976</v>
      </c>
      <c r="B5977">
        <v>357125760</v>
      </c>
      <c r="C5977">
        <v>357125760</v>
      </c>
    </row>
    <row r="5978" spans="1:3">
      <c r="A5978">
        <v>5977</v>
      </c>
      <c r="B5978">
        <v>357245290</v>
      </c>
      <c r="C5978">
        <v>357245290</v>
      </c>
    </row>
    <row r="5979" spans="1:3">
      <c r="A5979">
        <v>5978</v>
      </c>
      <c r="B5979">
        <v>357364840</v>
      </c>
      <c r="C5979">
        <v>357364840</v>
      </c>
    </row>
    <row r="5980" spans="1:3">
      <c r="A5980">
        <v>5979</v>
      </c>
      <c r="B5980">
        <v>357484410</v>
      </c>
      <c r="C5980">
        <v>357484410</v>
      </c>
    </row>
    <row r="5981" spans="1:3">
      <c r="A5981">
        <v>5980</v>
      </c>
      <c r="B5981">
        <v>357604000</v>
      </c>
      <c r="C5981">
        <v>357604000</v>
      </c>
    </row>
    <row r="5982" spans="1:3">
      <c r="A5982">
        <v>5981</v>
      </c>
      <c r="B5982">
        <v>357723610</v>
      </c>
      <c r="C5982">
        <v>357723610</v>
      </c>
    </row>
    <row r="5983" spans="1:3">
      <c r="A5983">
        <v>5982</v>
      </c>
      <c r="B5983">
        <v>357843240</v>
      </c>
      <c r="C5983">
        <v>357843240</v>
      </c>
    </row>
    <row r="5984" spans="1:3">
      <c r="A5984">
        <v>5983</v>
      </c>
      <c r="B5984">
        <v>357962890</v>
      </c>
      <c r="C5984">
        <v>357962890</v>
      </c>
    </row>
    <row r="5985" spans="1:3">
      <c r="A5985">
        <v>5984</v>
      </c>
      <c r="B5985">
        <v>358082560</v>
      </c>
      <c r="C5985">
        <v>358082560</v>
      </c>
    </row>
    <row r="5986" spans="1:3">
      <c r="A5986">
        <v>5985</v>
      </c>
      <c r="B5986">
        <v>358202250</v>
      </c>
      <c r="C5986">
        <v>358202250</v>
      </c>
    </row>
    <row r="5987" spans="1:3">
      <c r="A5987">
        <v>5986</v>
      </c>
      <c r="B5987">
        <v>358321960</v>
      </c>
      <c r="C5987">
        <v>358321960</v>
      </c>
    </row>
    <row r="5988" spans="1:3">
      <c r="A5988">
        <v>5987</v>
      </c>
      <c r="B5988">
        <v>358441690</v>
      </c>
      <c r="C5988">
        <v>358441690</v>
      </c>
    </row>
    <row r="5989" spans="1:3">
      <c r="A5989">
        <v>5988</v>
      </c>
      <c r="B5989">
        <v>358561440</v>
      </c>
      <c r="C5989">
        <v>358561440</v>
      </c>
    </row>
    <row r="5990" spans="1:3">
      <c r="A5990">
        <v>5989</v>
      </c>
      <c r="B5990">
        <v>358681210</v>
      </c>
      <c r="C5990">
        <v>358681210</v>
      </c>
    </row>
    <row r="5991" spans="1:3">
      <c r="A5991">
        <v>5990</v>
      </c>
      <c r="B5991">
        <v>358801000</v>
      </c>
      <c r="C5991">
        <v>358801000</v>
      </c>
    </row>
    <row r="5992" spans="1:3">
      <c r="A5992">
        <v>5991</v>
      </c>
      <c r="B5992">
        <v>358920810</v>
      </c>
      <c r="C5992">
        <v>358920810</v>
      </c>
    </row>
    <row r="5993" spans="1:3">
      <c r="A5993">
        <v>5992</v>
      </c>
      <c r="B5993">
        <v>359040640</v>
      </c>
      <c r="C5993">
        <v>359040640</v>
      </c>
    </row>
    <row r="5994" spans="1:3">
      <c r="A5994">
        <v>5993</v>
      </c>
      <c r="B5994">
        <v>359160490</v>
      </c>
      <c r="C5994">
        <v>359160490</v>
      </c>
    </row>
    <row r="5995" spans="1:3">
      <c r="A5995">
        <v>5994</v>
      </c>
      <c r="B5995">
        <v>359280360</v>
      </c>
      <c r="C5995">
        <v>359280360</v>
      </c>
    </row>
    <row r="5996" spans="1:3">
      <c r="A5996">
        <v>5995</v>
      </c>
      <c r="B5996">
        <v>359400250</v>
      </c>
      <c r="C5996">
        <v>359400250</v>
      </c>
    </row>
    <row r="5997" spans="1:3">
      <c r="A5997">
        <v>5996</v>
      </c>
      <c r="B5997">
        <v>359520160</v>
      </c>
      <c r="C5997">
        <v>359520160</v>
      </c>
    </row>
    <row r="5998" spans="1:3">
      <c r="A5998">
        <v>5997</v>
      </c>
      <c r="B5998">
        <v>359640090</v>
      </c>
      <c r="C5998">
        <v>359640090</v>
      </c>
    </row>
    <row r="5999" spans="1:3">
      <c r="A5999">
        <v>5998</v>
      </c>
      <c r="B5999">
        <v>359760040</v>
      </c>
      <c r="C5999">
        <v>359760040</v>
      </c>
    </row>
    <row r="6000" spans="1:3">
      <c r="A6000">
        <v>5999</v>
      </c>
      <c r="B6000">
        <v>359880010</v>
      </c>
      <c r="C6000">
        <v>359880010</v>
      </c>
    </row>
    <row r="6001" spans="1:3">
      <c r="A6001">
        <v>6000</v>
      </c>
      <c r="B6001">
        <v>360000000</v>
      </c>
      <c r="C6001">
        <v>360000000</v>
      </c>
    </row>
    <row r="6002" spans="1:3">
      <c r="A6002">
        <v>6001</v>
      </c>
      <c r="B6002">
        <v>360120010</v>
      </c>
      <c r="C6002">
        <v>360120010</v>
      </c>
    </row>
    <row r="6003" spans="1:3">
      <c r="A6003">
        <v>6002</v>
      </c>
      <c r="B6003">
        <v>360240040</v>
      </c>
      <c r="C6003">
        <v>360240040</v>
      </c>
    </row>
    <row r="6004" spans="1:3">
      <c r="A6004">
        <v>6003</v>
      </c>
      <c r="B6004">
        <v>360360090</v>
      </c>
      <c r="C6004">
        <v>360360090</v>
      </c>
    </row>
    <row r="6005" spans="1:3">
      <c r="A6005">
        <v>6004</v>
      </c>
      <c r="B6005">
        <v>360480160</v>
      </c>
      <c r="C6005">
        <v>360480160</v>
      </c>
    </row>
    <row r="6006" spans="1:3">
      <c r="A6006">
        <v>6005</v>
      </c>
      <c r="B6006">
        <v>360600250</v>
      </c>
      <c r="C6006">
        <v>360600250</v>
      </c>
    </row>
    <row r="6007" spans="1:3">
      <c r="A6007">
        <v>6006</v>
      </c>
      <c r="B6007">
        <v>360720360</v>
      </c>
      <c r="C6007">
        <v>360720360</v>
      </c>
    </row>
    <row r="6008" spans="1:3">
      <c r="A6008">
        <v>6007</v>
      </c>
      <c r="B6008">
        <v>360840490</v>
      </c>
      <c r="C6008">
        <v>360840490</v>
      </c>
    </row>
    <row r="6009" spans="1:3">
      <c r="A6009">
        <v>6008</v>
      </c>
      <c r="B6009">
        <v>360960640</v>
      </c>
      <c r="C6009">
        <v>360960640</v>
      </c>
    </row>
    <row r="6010" spans="1:3">
      <c r="A6010">
        <v>6009</v>
      </c>
      <c r="B6010">
        <v>361080810</v>
      </c>
      <c r="C6010">
        <v>361080810</v>
      </c>
    </row>
    <row r="6011" spans="1:3">
      <c r="A6011">
        <v>6010</v>
      </c>
      <c r="B6011">
        <v>361201000</v>
      </c>
      <c r="C6011">
        <v>361201000</v>
      </c>
    </row>
    <row r="6012" spans="1:3">
      <c r="A6012">
        <v>6011</v>
      </c>
      <c r="B6012">
        <v>361321210</v>
      </c>
      <c r="C6012">
        <v>361321210</v>
      </c>
    </row>
    <row r="6013" spans="1:3">
      <c r="A6013">
        <v>6012</v>
      </c>
      <c r="B6013">
        <v>361441440</v>
      </c>
      <c r="C6013">
        <v>361441440</v>
      </c>
    </row>
    <row r="6014" spans="1:3">
      <c r="A6014">
        <v>6013</v>
      </c>
      <c r="B6014">
        <v>361561690</v>
      </c>
      <c r="C6014">
        <v>361561690</v>
      </c>
    </row>
    <row r="6015" spans="1:3">
      <c r="A6015">
        <v>6014</v>
      </c>
      <c r="B6015">
        <v>361681960</v>
      </c>
      <c r="C6015">
        <v>361681960</v>
      </c>
    </row>
    <row r="6016" spans="1:3">
      <c r="A6016">
        <v>6015</v>
      </c>
      <c r="B6016">
        <v>361802250</v>
      </c>
      <c r="C6016">
        <v>361802250</v>
      </c>
    </row>
    <row r="6017" spans="1:3">
      <c r="A6017">
        <v>6016</v>
      </c>
      <c r="B6017">
        <v>361922560</v>
      </c>
      <c r="C6017">
        <v>361922560</v>
      </c>
    </row>
    <row r="6018" spans="1:3">
      <c r="A6018">
        <v>6017</v>
      </c>
      <c r="B6018">
        <v>362042890</v>
      </c>
      <c r="C6018">
        <v>362042890</v>
      </c>
    </row>
    <row r="6019" spans="1:3">
      <c r="A6019">
        <v>6018</v>
      </c>
      <c r="B6019">
        <v>362163240</v>
      </c>
      <c r="C6019">
        <v>362163240</v>
      </c>
    </row>
    <row r="6020" spans="1:3">
      <c r="A6020">
        <v>6019</v>
      </c>
      <c r="B6020">
        <v>362283610</v>
      </c>
      <c r="C6020">
        <v>362283610</v>
      </c>
    </row>
    <row r="6021" spans="1:3">
      <c r="A6021">
        <v>6020</v>
      </c>
      <c r="B6021">
        <v>362404000</v>
      </c>
      <c r="C6021">
        <v>362404000</v>
      </c>
    </row>
    <row r="6022" spans="1:3">
      <c r="A6022">
        <v>6021</v>
      </c>
      <c r="B6022">
        <v>362524410</v>
      </c>
      <c r="C6022">
        <v>362524410</v>
      </c>
    </row>
    <row r="6023" spans="1:3">
      <c r="A6023">
        <v>6022</v>
      </c>
      <c r="B6023">
        <v>362644840</v>
      </c>
      <c r="C6023">
        <v>362644840</v>
      </c>
    </row>
    <row r="6024" spans="1:3">
      <c r="A6024">
        <v>6023</v>
      </c>
      <c r="B6024">
        <v>362765290</v>
      </c>
      <c r="C6024">
        <v>362765290</v>
      </c>
    </row>
    <row r="6025" spans="1:3">
      <c r="A6025">
        <v>6024</v>
      </c>
      <c r="B6025">
        <v>362885760</v>
      </c>
      <c r="C6025">
        <v>362885760</v>
      </c>
    </row>
    <row r="6026" spans="1:3">
      <c r="A6026">
        <v>6025</v>
      </c>
      <c r="B6026">
        <v>363006250</v>
      </c>
      <c r="C6026">
        <v>363006250</v>
      </c>
    </row>
    <row r="6027" spans="1:3">
      <c r="A6027">
        <v>6026</v>
      </c>
      <c r="B6027">
        <v>363126760</v>
      </c>
      <c r="C6027">
        <v>363126760</v>
      </c>
    </row>
    <row r="6028" spans="1:3">
      <c r="A6028">
        <v>6027</v>
      </c>
      <c r="B6028">
        <v>363247290</v>
      </c>
      <c r="C6028">
        <v>363247290</v>
      </c>
    </row>
    <row r="6029" spans="1:3">
      <c r="A6029">
        <v>6028</v>
      </c>
      <c r="B6029">
        <v>363367840</v>
      </c>
      <c r="C6029">
        <v>363367840</v>
      </c>
    </row>
    <row r="6030" spans="1:3">
      <c r="A6030">
        <v>6029</v>
      </c>
      <c r="B6030">
        <v>363488410</v>
      </c>
      <c r="C6030">
        <v>363488410</v>
      </c>
    </row>
    <row r="6031" spans="1:3">
      <c r="A6031">
        <v>6030</v>
      </c>
      <c r="B6031">
        <v>363609000</v>
      </c>
      <c r="C6031">
        <v>363609000</v>
      </c>
    </row>
    <row r="6032" spans="1:3">
      <c r="A6032">
        <v>6031</v>
      </c>
      <c r="B6032">
        <v>363729610</v>
      </c>
      <c r="C6032">
        <v>363729610</v>
      </c>
    </row>
    <row r="6033" spans="1:3">
      <c r="A6033">
        <v>6032</v>
      </c>
      <c r="B6033">
        <v>363850240</v>
      </c>
      <c r="C6033">
        <v>363850240</v>
      </c>
    </row>
    <row r="6034" spans="1:3">
      <c r="A6034">
        <v>6033</v>
      </c>
      <c r="B6034">
        <v>363970890</v>
      </c>
      <c r="C6034">
        <v>363970890</v>
      </c>
    </row>
    <row r="6035" spans="1:3">
      <c r="A6035">
        <v>6034</v>
      </c>
      <c r="B6035">
        <v>364091560</v>
      </c>
      <c r="C6035">
        <v>364091560</v>
      </c>
    </row>
    <row r="6036" spans="1:3">
      <c r="A6036">
        <v>6035</v>
      </c>
      <c r="B6036">
        <v>364212250</v>
      </c>
      <c r="C6036">
        <v>364212250</v>
      </c>
    </row>
    <row r="6037" spans="1:3">
      <c r="A6037">
        <v>6036</v>
      </c>
      <c r="B6037">
        <v>364332960</v>
      </c>
      <c r="C6037">
        <v>364332960</v>
      </c>
    </row>
    <row r="6038" spans="1:3">
      <c r="A6038">
        <v>6037</v>
      </c>
      <c r="B6038">
        <v>364453690</v>
      </c>
      <c r="C6038">
        <v>364453690</v>
      </c>
    </row>
    <row r="6039" spans="1:3">
      <c r="A6039">
        <v>6038</v>
      </c>
      <c r="B6039">
        <v>364574440</v>
      </c>
      <c r="C6039">
        <v>364574440</v>
      </c>
    </row>
    <row r="6040" spans="1:3">
      <c r="A6040">
        <v>6039</v>
      </c>
      <c r="B6040">
        <v>364695210</v>
      </c>
      <c r="C6040">
        <v>364695210</v>
      </c>
    </row>
    <row r="6041" spans="1:3">
      <c r="A6041">
        <v>6040</v>
      </c>
      <c r="B6041">
        <v>364816000</v>
      </c>
      <c r="C6041">
        <v>364816000</v>
      </c>
    </row>
    <row r="6042" spans="1:3">
      <c r="A6042">
        <v>6041</v>
      </c>
      <c r="B6042">
        <v>364936810</v>
      </c>
      <c r="C6042">
        <v>364936810</v>
      </c>
    </row>
    <row r="6043" spans="1:3">
      <c r="A6043">
        <v>6042</v>
      </c>
      <c r="B6043">
        <v>365057640</v>
      </c>
      <c r="C6043">
        <v>365057640</v>
      </c>
    </row>
    <row r="6044" spans="1:3">
      <c r="A6044">
        <v>6043</v>
      </c>
      <c r="B6044">
        <v>365178490</v>
      </c>
      <c r="C6044">
        <v>365178490</v>
      </c>
    </row>
    <row r="6045" spans="1:3">
      <c r="A6045">
        <v>6044</v>
      </c>
      <c r="B6045">
        <v>365299360</v>
      </c>
      <c r="C6045">
        <v>365299360</v>
      </c>
    </row>
    <row r="6046" spans="1:3">
      <c r="A6046">
        <v>6045</v>
      </c>
      <c r="B6046">
        <v>365420250</v>
      </c>
      <c r="C6046">
        <v>365420250</v>
      </c>
    </row>
    <row r="6047" spans="1:3">
      <c r="A6047">
        <v>6046</v>
      </c>
      <c r="B6047">
        <v>365541160</v>
      </c>
      <c r="C6047">
        <v>365541160</v>
      </c>
    </row>
    <row r="6048" spans="1:3">
      <c r="A6048">
        <v>6047</v>
      </c>
      <c r="B6048">
        <v>365662090</v>
      </c>
      <c r="C6048">
        <v>365662090</v>
      </c>
    </row>
    <row r="6049" spans="1:3">
      <c r="A6049">
        <v>6048</v>
      </c>
      <c r="B6049">
        <v>365783040</v>
      </c>
      <c r="C6049">
        <v>365783040</v>
      </c>
    </row>
    <row r="6050" spans="1:3">
      <c r="A6050">
        <v>6049</v>
      </c>
      <c r="B6050">
        <v>365904010</v>
      </c>
      <c r="C6050">
        <v>365904010</v>
      </c>
    </row>
    <row r="6051" spans="1:3">
      <c r="A6051">
        <v>6050</v>
      </c>
      <c r="B6051">
        <v>366025000</v>
      </c>
      <c r="C6051">
        <v>366025000</v>
      </c>
    </row>
    <row r="6052" spans="1:3">
      <c r="A6052">
        <v>6051</v>
      </c>
      <c r="B6052">
        <v>366146010</v>
      </c>
      <c r="C6052">
        <v>366146010</v>
      </c>
    </row>
    <row r="6053" spans="1:3">
      <c r="A6053">
        <v>6052</v>
      </c>
      <c r="B6053">
        <v>366267040</v>
      </c>
      <c r="C6053">
        <v>366267040</v>
      </c>
    </row>
    <row r="6054" spans="1:3">
      <c r="A6054">
        <v>6053</v>
      </c>
      <c r="B6054">
        <v>366388090</v>
      </c>
      <c r="C6054">
        <v>366388090</v>
      </c>
    </row>
    <row r="6055" spans="1:3">
      <c r="A6055">
        <v>6054</v>
      </c>
      <c r="B6055">
        <v>366509160</v>
      </c>
      <c r="C6055">
        <v>366509160</v>
      </c>
    </row>
    <row r="6056" spans="1:3">
      <c r="A6056">
        <v>6055</v>
      </c>
      <c r="B6056">
        <v>366630250</v>
      </c>
      <c r="C6056">
        <v>366630250</v>
      </c>
    </row>
    <row r="6057" spans="1:3">
      <c r="A6057">
        <v>6056</v>
      </c>
      <c r="B6057">
        <v>366751360</v>
      </c>
      <c r="C6057">
        <v>366751360</v>
      </c>
    </row>
    <row r="6058" spans="1:3">
      <c r="A6058">
        <v>6057</v>
      </c>
      <c r="B6058">
        <v>366872490</v>
      </c>
      <c r="C6058">
        <v>366872490</v>
      </c>
    </row>
    <row r="6059" spans="1:3">
      <c r="A6059">
        <v>6058</v>
      </c>
      <c r="B6059">
        <v>366993640</v>
      </c>
      <c r="C6059">
        <v>366993640</v>
      </c>
    </row>
    <row r="6060" spans="1:3">
      <c r="A6060">
        <v>6059</v>
      </c>
      <c r="B6060">
        <v>367114810</v>
      </c>
      <c r="C6060">
        <v>367114810</v>
      </c>
    </row>
    <row r="6061" spans="1:3">
      <c r="A6061">
        <v>6060</v>
      </c>
      <c r="B6061">
        <v>367236000</v>
      </c>
      <c r="C6061">
        <v>367236000</v>
      </c>
    </row>
    <row r="6062" spans="1:3">
      <c r="A6062">
        <v>6061</v>
      </c>
      <c r="B6062">
        <v>367357210</v>
      </c>
      <c r="C6062">
        <v>367357210</v>
      </c>
    </row>
    <row r="6063" spans="1:3">
      <c r="A6063">
        <v>6062</v>
      </c>
      <c r="B6063">
        <v>367478440</v>
      </c>
      <c r="C6063">
        <v>367478440</v>
      </c>
    </row>
    <row r="6064" spans="1:3">
      <c r="A6064">
        <v>6063</v>
      </c>
      <c r="B6064">
        <v>367599690</v>
      </c>
      <c r="C6064">
        <v>367599690</v>
      </c>
    </row>
    <row r="6065" spans="1:3">
      <c r="A6065">
        <v>6064</v>
      </c>
      <c r="B6065">
        <v>367720960</v>
      </c>
      <c r="C6065">
        <v>367720960</v>
      </c>
    </row>
    <row r="6066" spans="1:3">
      <c r="A6066">
        <v>6065</v>
      </c>
      <c r="B6066">
        <v>367842250</v>
      </c>
      <c r="C6066">
        <v>367842250</v>
      </c>
    </row>
    <row r="6067" spans="1:3">
      <c r="A6067">
        <v>6066</v>
      </c>
      <c r="B6067">
        <v>367963560</v>
      </c>
      <c r="C6067">
        <v>367963560</v>
      </c>
    </row>
    <row r="6068" spans="1:3">
      <c r="A6068">
        <v>6067</v>
      </c>
      <c r="B6068">
        <v>368084890</v>
      </c>
      <c r="C6068">
        <v>368084890</v>
      </c>
    </row>
    <row r="6069" spans="1:3">
      <c r="A6069">
        <v>6068</v>
      </c>
      <c r="B6069">
        <v>368206240</v>
      </c>
      <c r="C6069">
        <v>368206240</v>
      </c>
    </row>
    <row r="6070" spans="1:3">
      <c r="A6070">
        <v>6069</v>
      </c>
      <c r="B6070">
        <v>368327610</v>
      </c>
      <c r="C6070">
        <v>368327610</v>
      </c>
    </row>
    <row r="6071" spans="1:3">
      <c r="A6071">
        <v>6070</v>
      </c>
      <c r="B6071">
        <v>368449000</v>
      </c>
      <c r="C6071">
        <v>368449000</v>
      </c>
    </row>
    <row r="6072" spans="1:3">
      <c r="A6072">
        <v>6071</v>
      </c>
      <c r="B6072">
        <v>368570410</v>
      </c>
      <c r="C6072">
        <v>368570410</v>
      </c>
    </row>
    <row r="6073" spans="1:3">
      <c r="A6073">
        <v>6072</v>
      </c>
      <c r="B6073">
        <v>368691840</v>
      </c>
      <c r="C6073">
        <v>368691840</v>
      </c>
    </row>
    <row r="6074" spans="1:3">
      <c r="A6074">
        <v>6073</v>
      </c>
      <c r="B6074">
        <v>368813290</v>
      </c>
      <c r="C6074">
        <v>368813290</v>
      </c>
    </row>
    <row r="6075" spans="1:3">
      <c r="A6075">
        <v>6074</v>
      </c>
      <c r="B6075">
        <v>368934760</v>
      </c>
      <c r="C6075">
        <v>368934760</v>
      </c>
    </row>
    <row r="6076" spans="1:3">
      <c r="A6076">
        <v>6075</v>
      </c>
      <c r="B6076">
        <v>369056250</v>
      </c>
      <c r="C6076">
        <v>369056250</v>
      </c>
    </row>
    <row r="6077" spans="1:3">
      <c r="A6077">
        <v>6076</v>
      </c>
      <c r="B6077">
        <v>369177760</v>
      </c>
      <c r="C6077">
        <v>369177760</v>
      </c>
    </row>
    <row r="6078" spans="1:3">
      <c r="A6078">
        <v>6077</v>
      </c>
      <c r="B6078">
        <v>369299290</v>
      </c>
      <c r="C6078">
        <v>369299290</v>
      </c>
    </row>
    <row r="6079" spans="1:3">
      <c r="A6079">
        <v>6078</v>
      </c>
      <c r="B6079">
        <v>369420840</v>
      </c>
      <c r="C6079">
        <v>369420840</v>
      </c>
    </row>
    <row r="6080" spans="1:3">
      <c r="A6080">
        <v>6079</v>
      </c>
      <c r="B6080">
        <v>369542410</v>
      </c>
      <c r="C6080">
        <v>369542410</v>
      </c>
    </row>
    <row r="6081" spans="1:3">
      <c r="A6081">
        <v>6080</v>
      </c>
      <c r="B6081">
        <v>369664000</v>
      </c>
      <c r="C6081">
        <v>369664000</v>
      </c>
    </row>
    <row r="6082" spans="1:3">
      <c r="A6082">
        <v>6081</v>
      </c>
      <c r="B6082">
        <v>369785610</v>
      </c>
      <c r="C6082">
        <v>369785610</v>
      </c>
    </row>
    <row r="6083" spans="1:3">
      <c r="A6083">
        <v>6082</v>
      </c>
      <c r="B6083">
        <v>369907240</v>
      </c>
      <c r="C6083">
        <v>369907240</v>
      </c>
    </row>
    <row r="6084" spans="1:3">
      <c r="A6084">
        <v>6083</v>
      </c>
      <c r="B6084">
        <v>370028890</v>
      </c>
      <c r="C6084">
        <v>370028890</v>
      </c>
    </row>
    <row r="6085" spans="1:3">
      <c r="A6085">
        <v>6084</v>
      </c>
      <c r="B6085">
        <v>370150560</v>
      </c>
      <c r="C6085">
        <v>370150560</v>
      </c>
    </row>
    <row r="6086" spans="1:3">
      <c r="A6086">
        <v>6085</v>
      </c>
      <c r="B6086">
        <v>370272250</v>
      </c>
      <c r="C6086">
        <v>370272250</v>
      </c>
    </row>
    <row r="6087" spans="1:3">
      <c r="A6087">
        <v>6086</v>
      </c>
      <c r="B6087">
        <v>370393960</v>
      </c>
      <c r="C6087">
        <v>370393960</v>
      </c>
    </row>
    <row r="6088" spans="1:3">
      <c r="A6088">
        <v>6087</v>
      </c>
      <c r="B6088">
        <v>370515690</v>
      </c>
      <c r="C6088">
        <v>370515690</v>
      </c>
    </row>
    <row r="6089" spans="1:3">
      <c r="A6089">
        <v>6088</v>
      </c>
      <c r="B6089">
        <v>370637440</v>
      </c>
      <c r="C6089">
        <v>370637440</v>
      </c>
    </row>
    <row r="6090" spans="1:3">
      <c r="A6090">
        <v>6089</v>
      </c>
      <c r="B6090">
        <v>370759210</v>
      </c>
      <c r="C6090">
        <v>370759210</v>
      </c>
    </row>
    <row r="6091" spans="1:3">
      <c r="A6091">
        <v>6090</v>
      </c>
      <c r="B6091">
        <v>370881000</v>
      </c>
      <c r="C6091">
        <v>370881000</v>
      </c>
    </row>
    <row r="6092" spans="1:3">
      <c r="A6092">
        <v>6091</v>
      </c>
      <c r="B6092">
        <v>371002810</v>
      </c>
      <c r="C6092">
        <v>371002810</v>
      </c>
    </row>
    <row r="6093" spans="1:3">
      <c r="A6093">
        <v>6092</v>
      </c>
      <c r="B6093">
        <v>371124640</v>
      </c>
      <c r="C6093">
        <v>371124640</v>
      </c>
    </row>
    <row r="6094" spans="1:3">
      <c r="A6094">
        <v>6093</v>
      </c>
      <c r="B6094">
        <v>371246490</v>
      </c>
      <c r="C6094">
        <v>371246490</v>
      </c>
    </row>
    <row r="6095" spans="1:3">
      <c r="A6095">
        <v>6094</v>
      </c>
      <c r="B6095">
        <v>371368360</v>
      </c>
      <c r="C6095">
        <v>371368360</v>
      </c>
    </row>
    <row r="6096" spans="1:3">
      <c r="A6096">
        <v>6095</v>
      </c>
      <c r="B6096">
        <v>371490250</v>
      </c>
      <c r="C6096">
        <v>371490250</v>
      </c>
    </row>
    <row r="6097" spans="1:3">
      <c r="A6097">
        <v>6096</v>
      </c>
      <c r="B6097">
        <v>371612160</v>
      </c>
      <c r="C6097">
        <v>371612160</v>
      </c>
    </row>
    <row r="6098" spans="1:3">
      <c r="A6098">
        <v>6097</v>
      </c>
      <c r="B6098">
        <v>371734090</v>
      </c>
      <c r="C6098">
        <v>371734090</v>
      </c>
    </row>
    <row r="6099" spans="1:3">
      <c r="A6099">
        <v>6098</v>
      </c>
      <c r="B6099">
        <v>371856040</v>
      </c>
      <c r="C6099">
        <v>371856040</v>
      </c>
    </row>
    <row r="6100" spans="1:3">
      <c r="A6100">
        <v>6099</v>
      </c>
      <c r="B6100">
        <v>371978010</v>
      </c>
      <c r="C6100">
        <v>371978010</v>
      </c>
    </row>
    <row r="6101" spans="1:3">
      <c r="A6101">
        <v>6100</v>
      </c>
      <c r="B6101">
        <v>372100000</v>
      </c>
      <c r="C6101">
        <v>372100000</v>
      </c>
    </row>
    <row r="6102" spans="1:3">
      <c r="A6102">
        <v>6101</v>
      </c>
      <c r="B6102">
        <v>372222010</v>
      </c>
      <c r="C6102">
        <v>372222010</v>
      </c>
    </row>
    <row r="6103" spans="1:3">
      <c r="A6103">
        <v>6102</v>
      </c>
      <c r="B6103">
        <v>372344040</v>
      </c>
      <c r="C6103">
        <v>372344040</v>
      </c>
    </row>
    <row r="6104" spans="1:3">
      <c r="A6104">
        <v>6103</v>
      </c>
      <c r="B6104">
        <v>372466090</v>
      </c>
      <c r="C6104">
        <v>372466090</v>
      </c>
    </row>
    <row r="6105" spans="1:3">
      <c r="A6105">
        <v>6104</v>
      </c>
      <c r="B6105">
        <v>372588160</v>
      </c>
      <c r="C6105">
        <v>372588160</v>
      </c>
    </row>
    <row r="6106" spans="1:3">
      <c r="A6106">
        <v>6105</v>
      </c>
      <c r="B6106">
        <v>372710250</v>
      </c>
      <c r="C6106">
        <v>372710250</v>
      </c>
    </row>
    <row r="6107" spans="1:3">
      <c r="A6107">
        <v>6106</v>
      </c>
      <c r="B6107">
        <v>372832360</v>
      </c>
      <c r="C6107">
        <v>372832360</v>
      </c>
    </row>
    <row r="6108" spans="1:3">
      <c r="A6108">
        <v>6107</v>
      </c>
      <c r="B6108">
        <v>372954490</v>
      </c>
      <c r="C6108">
        <v>372954490</v>
      </c>
    </row>
    <row r="6109" spans="1:3">
      <c r="A6109">
        <v>6108</v>
      </c>
      <c r="B6109">
        <v>373076640</v>
      </c>
      <c r="C6109">
        <v>373076640</v>
      </c>
    </row>
    <row r="6110" spans="1:3">
      <c r="A6110">
        <v>6109</v>
      </c>
      <c r="B6110">
        <v>373198810</v>
      </c>
      <c r="C6110">
        <v>373198810</v>
      </c>
    </row>
    <row r="6111" spans="1:3">
      <c r="A6111">
        <v>6110</v>
      </c>
      <c r="B6111">
        <v>373321000</v>
      </c>
      <c r="C6111">
        <v>373321000</v>
      </c>
    </row>
    <row r="6112" spans="1:3">
      <c r="A6112">
        <v>6111</v>
      </c>
      <c r="B6112">
        <v>373443210</v>
      </c>
      <c r="C6112">
        <v>373443210</v>
      </c>
    </row>
    <row r="6113" spans="1:3">
      <c r="A6113">
        <v>6112</v>
      </c>
      <c r="B6113">
        <v>373565440</v>
      </c>
      <c r="C6113">
        <v>373565440</v>
      </c>
    </row>
    <row r="6114" spans="1:3">
      <c r="A6114">
        <v>6113</v>
      </c>
      <c r="B6114">
        <v>373687690</v>
      </c>
      <c r="C6114">
        <v>373687690</v>
      </c>
    </row>
    <row r="6115" spans="1:3">
      <c r="A6115">
        <v>6114</v>
      </c>
      <c r="B6115">
        <v>373809960</v>
      </c>
      <c r="C6115">
        <v>373809960</v>
      </c>
    </row>
    <row r="6116" spans="1:3">
      <c r="A6116">
        <v>6115</v>
      </c>
      <c r="B6116">
        <v>373932250</v>
      </c>
      <c r="C6116">
        <v>373932250</v>
      </c>
    </row>
    <row r="6117" spans="1:3">
      <c r="A6117">
        <v>6116</v>
      </c>
      <c r="B6117">
        <v>374054560</v>
      </c>
      <c r="C6117">
        <v>374054560</v>
      </c>
    </row>
    <row r="6118" spans="1:3">
      <c r="A6118">
        <v>6117</v>
      </c>
      <c r="B6118">
        <v>374176890</v>
      </c>
      <c r="C6118">
        <v>374176890</v>
      </c>
    </row>
    <row r="6119" spans="1:3">
      <c r="A6119">
        <v>6118</v>
      </c>
      <c r="B6119">
        <v>374299240</v>
      </c>
      <c r="C6119">
        <v>374299240</v>
      </c>
    </row>
    <row r="6120" spans="1:3">
      <c r="A6120">
        <v>6119</v>
      </c>
      <c r="B6120">
        <v>374421610</v>
      </c>
      <c r="C6120">
        <v>374421610</v>
      </c>
    </row>
    <row r="6121" spans="1:3">
      <c r="A6121">
        <v>6120</v>
      </c>
      <c r="B6121">
        <v>374544000</v>
      </c>
      <c r="C6121">
        <v>374544000</v>
      </c>
    </row>
    <row r="6122" spans="1:3">
      <c r="A6122">
        <v>6121</v>
      </c>
      <c r="B6122">
        <v>374666410</v>
      </c>
      <c r="C6122">
        <v>374666410</v>
      </c>
    </row>
    <row r="6123" spans="1:3">
      <c r="A6123">
        <v>6122</v>
      </c>
      <c r="B6123">
        <v>374788840</v>
      </c>
      <c r="C6123">
        <v>374788840</v>
      </c>
    </row>
    <row r="6124" spans="1:3">
      <c r="A6124">
        <v>6123</v>
      </c>
      <c r="B6124">
        <v>374911290</v>
      </c>
      <c r="C6124">
        <v>374911290</v>
      </c>
    </row>
    <row r="6125" spans="1:3">
      <c r="A6125">
        <v>6124</v>
      </c>
      <c r="B6125">
        <v>375033760</v>
      </c>
      <c r="C6125">
        <v>375033760</v>
      </c>
    </row>
    <row r="6126" spans="1:3">
      <c r="A6126">
        <v>6125</v>
      </c>
      <c r="B6126">
        <v>375156250</v>
      </c>
      <c r="C6126">
        <v>375156250</v>
      </c>
    </row>
    <row r="6127" spans="1:3">
      <c r="A6127">
        <v>6126</v>
      </c>
      <c r="B6127">
        <v>375278760</v>
      </c>
      <c r="C6127">
        <v>375278760</v>
      </c>
    </row>
    <row r="6128" spans="1:3">
      <c r="A6128">
        <v>6127</v>
      </c>
      <c r="B6128">
        <v>375401290</v>
      </c>
      <c r="C6128">
        <v>375401290</v>
      </c>
    </row>
    <row r="6129" spans="1:3">
      <c r="A6129">
        <v>6128</v>
      </c>
      <c r="B6129">
        <v>375523840</v>
      </c>
      <c r="C6129">
        <v>375523840</v>
      </c>
    </row>
    <row r="6130" spans="1:3">
      <c r="A6130">
        <v>6129</v>
      </c>
      <c r="B6130">
        <v>375646410</v>
      </c>
      <c r="C6130">
        <v>375646410</v>
      </c>
    </row>
    <row r="6131" spans="1:3">
      <c r="A6131">
        <v>6130</v>
      </c>
      <c r="B6131">
        <v>375769000</v>
      </c>
      <c r="C6131">
        <v>375769000</v>
      </c>
    </row>
    <row r="6132" spans="1:3">
      <c r="A6132">
        <v>6131</v>
      </c>
      <c r="B6132">
        <v>375891610</v>
      </c>
      <c r="C6132">
        <v>375891610</v>
      </c>
    </row>
    <row r="6133" spans="1:3">
      <c r="A6133">
        <v>6132</v>
      </c>
      <c r="B6133">
        <v>376014240</v>
      </c>
      <c r="C6133">
        <v>376014240</v>
      </c>
    </row>
    <row r="6134" spans="1:3">
      <c r="A6134">
        <v>6133</v>
      </c>
      <c r="B6134">
        <v>376136890</v>
      </c>
      <c r="C6134">
        <v>376136890</v>
      </c>
    </row>
    <row r="6135" spans="1:3">
      <c r="A6135">
        <v>6134</v>
      </c>
      <c r="B6135">
        <v>376259560</v>
      </c>
      <c r="C6135">
        <v>376259560</v>
      </c>
    </row>
    <row r="6136" spans="1:3">
      <c r="A6136">
        <v>6135</v>
      </c>
      <c r="B6136">
        <v>376382250</v>
      </c>
      <c r="C6136">
        <v>376382250</v>
      </c>
    </row>
    <row r="6137" spans="1:3">
      <c r="A6137">
        <v>6136</v>
      </c>
      <c r="B6137">
        <v>376504960</v>
      </c>
      <c r="C6137">
        <v>376504960</v>
      </c>
    </row>
    <row r="6138" spans="1:3">
      <c r="A6138">
        <v>6137</v>
      </c>
      <c r="B6138">
        <v>376627690</v>
      </c>
      <c r="C6138">
        <v>376627690</v>
      </c>
    </row>
    <row r="6139" spans="1:3">
      <c r="A6139">
        <v>6138</v>
      </c>
      <c r="B6139">
        <v>376750440</v>
      </c>
      <c r="C6139">
        <v>376750440</v>
      </c>
    </row>
    <row r="6140" spans="1:3">
      <c r="A6140">
        <v>6139</v>
      </c>
      <c r="B6140">
        <v>376873210</v>
      </c>
      <c r="C6140">
        <v>376873210</v>
      </c>
    </row>
    <row r="6141" spans="1:3">
      <c r="A6141">
        <v>6140</v>
      </c>
      <c r="B6141">
        <v>376996000</v>
      </c>
      <c r="C6141">
        <v>376996000</v>
      </c>
    </row>
    <row r="6142" spans="1:3">
      <c r="A6142">
        <v>6141</v>
      </c>
      <c r="B6142">
        <v>377118810</v>
      </c>
      <c r="C6142">
        <v>377118810</v>
      </c>
    </row>
    <row r="6143" spans="1:3">
      <c r="A6143">
        <v>6142</v>
      </c>
      <c r="B6143">
        <v>377241640</v>
      </c>
      <c r="C6143">
        <v>377241640</v>
      </c>
    </row>
    <row r="6144" spans="1:3">
      <c r="A6144">
        <v>6143</v>
      </c>
      <c r="B6144">
        <v>377364490</v>
      </c>
      <c r="C6144">
        <v>377364490</v>
      </c>
    </row>
    <row r="6145" spans="1:3">
      <c r="A6145">
        <v>6144</v>
      </c>
      <c r="B6145">
        <v>377487360</v>
      </c>
      <c r="C6145">
        <v>377487360</v>
      </c>
    </row>
    <row r="6146" spans="1:3">
      <c r="A6146">
        <v>6145</v>
      </c>
      <c r="B6146">
        <v>377610250</v>
      </c>
      <c r="C6146">
        <v>377610250</v>
      </c>
    </row>
    <row r="6147" spans="1:3">
      <c r="A6147">
        <v>6146</v>
      </c>
      <c r="B6147">
        <v>377733160</v>
      </c>
      <c r="C6147">
        <v>377733160</v>
      </c>
    </row>
    <row r="6148" spans="1:3">
      <c r="A6148">
        <v>6147</v>
      </c>
      <c r="B6148">
        <v>377856090</v>
      </c>
      <c r="C6148">
        <v>377856090</v>
      </c>
    </row>
    <row r="6149" spans="1:3">
      <c r="A6149">
        <v>6148</v>
      </c>
      <c r="B6149">
        <v>377979040</v>
      </c>
      <c r="C6149">
        <v>377979040</v>
      </c>
    </row>
    <row r="6150" spans="1:3">
      <c r="A6150">
        <v>6149</v>
      </c>
      <c r="B6150">
        <v>378102010</v>
      </c>
      <c r="C6150">
        <v>378102010</v>
      </c>
    </row>
    <row r="6151" spans="1:3">
      <c r="A6151">
        <v>6150</v>
      </c>
      <c r="B6151">
        <v>378225000</v>
      </c>
      <c r="C6151">
        <v>378225000</v>
      </c>
    </row>
    <row r="6152" spans="1:3">
      <c r="A6152">
        <v>6151</v>
      </c>
      <c r="B6152">
        <v>378348010</v>
      </c>
      <c r="C6152">
        <v>378348010</v>
      </c>
    </row>
    <row r="6153" spans="1:3">
      <c r="A6153">
        <v>6152</v>
      </c>
      <c r="B6153">
        <v>378471040</v>
      </c>
      <c r="C6153">
        <v>378471040</v>
      </c>
    </row>
    <row r="6154" spans="1:3">
      <c r="A6154">
        <v>6153</v>
      </c>
      <c r="B6154">
        <v>378594090</v>
      </c>
      <c r="C6154">
        <v>378594090</v>
      </c>
    </row>
    <row r="6155" spans="1:3">
      <c r="A6155">
        <v>6154</v>
      </c>
      <c r="B6155">
        <v>378717160</v>
      </c>
      <c r="C6155">
        <v>378717160</v>
      </c>
    </row>
    <row r="6156" spans="1:3">
      <c r="A6156">
        <v>6155</v>
      </c>
      <c r="B6156">
        <v>378840250</v>
      </c>
      <c r="C6156">
        <v>378840250</v>
      </c>
    </row>
    <row r="6157" spans="1:3">
      <c r="A6157">
        <v>6156</v>
      </c>
      <c r="B6157">
        <v>378963360</v>
      </c>
      <c r="C6157">
        <v>378963360</v>
      </c>
    </row>
    <row r="6158" spans="1:3">
      <c r="A6158">
        <v>6157</v>
      </c>
      <c r="B6158">
        <v>379086490</v>
      </c>
      <c r="C6158">
        <v>379086490</v>
      </c>
    </row>
    <row r="6159" spans="1:3">
      <c r="A6159">
        <v>6158</v>
      </c>
      <c r="B6159">
        <v>379209640</v>
      </c>
      <c r="C6159">
        <v>379209640</v>
      </c>
    </row>
    <row r="6160" spans="1:3">
      <c r="A6160">
        <v>6159</v>
      </c>
      <c r="B6160">
        <v>379332810</v>
      </c>
      <c r="C6160">
        <v>379332810</v>
      </c>
    </row>
    <row r="6161" spans="1:3">
      <c r="A6161">
        <v>6160</v>
      </c>
      <c r="B6161">
        <v>379456000</v>
      </c>
      <c r="C6161">
        <v>379456000</v>
      </c>
    </row>
    <row r="6162" spans="1:3">
      <c r="A6162">
        <v>6161</v>
      </c>
      <c r="B6162">
        <v>379579210</v>
      </c>
      <c r="C6162">
        <v>379579210</v>
      </c>
    </row>
    <row r="6163" spans="1:3">
      <c r="A6163">
        <v>6162</v>
      </c>
      <c r="B6163">
        <v>379702440</v>
      </c>
      <c r="C6163">
        <v>379702440</v>
      </c>
    </row>
    <row r="6164" spans="1:3">
      <c r="A6164">
        <v>6163</v>
      </c>
      <c r="B6164">
        <v>379825690</v>
      </c>
      <c r="C6164">
        <v>379825690</v>
      </c>
    </row>
    <row r="6165" spans="1:3">
      <c r="A6165">
        <v>6164</v>
      </c>
      <c r="B6165">
        <v>379948960</v>
      </c>
      <c r="C6165">
        <v>379948960</v>
      </c>
    </row>
    <row r="6166" spans="1:3">
      <c r="A6166">
        <v>6165</v>
      </c>
      <c r="B6166">
        <v>380072250</v>
      </c>
      <c r="C6166">
        <v>380072250</v>
      </c>
    </row>
    <row r="6167" spans="1:3">
      <c r="A6167">
        <v>6166</v>
      </c>
      <c r="B6167">
        <v>380195560</v>
      </c>
      <c r="C6167">
        <v>380195560</v>
      </c>
    </row>
    <row r="6168" spans="1:3">
      <c r="A6168">
        <v>6167</v>
      </c>
      <c r="B6168">
        <v>380318890</v>
      </c>
      <c r="C6168">
        <v>380318890</v>
      </c>
    </row>
    <row r="6169" spans="1:3">
      <c r="A6169">
        <v>6168</v>
      </c>
      <c r="B6169">
        <v>380442240</v>
      </c>
      <c r="C6169">
        <v>380442240</v>
      </c>
    </row>
    <row r="6170" spans="1:3">
      <c r="A6170">
        <v>6169</v>
      </c>
      <c r="B6170">
        <v>380565610</v>
      </c>
      <c r="C6170">
        <v>380565610</v>
      </c>
    </row>
    <row r="6171" spans="1:3">
      <c r="A6171">
        <v>6170</v>
      </c>
      <c r="B6171">
        <v>380689000</v>
      </c>
      <c r="C6171">
        <v>380689000</v>
      </c>
    </row>
    <row r="6172" spans="1:3">
      <c r="A6172">
        <v>6171</v>
      </c>
      <c r="B6172">
        <v>380812410</v>
      </c>
      <c r="C6172">
        <v>380812410</v>
      </c>
    </row>
    <row r="6173" spans="1:3">
      <c r="A6173">
        <v>6172</v>
      </c>
      <c r="B6173">
        <v>380935840</v>
      </c>
      <c r="C6173">
        <v>380935840</v>
      </c>
    </row>
    <row r="6174" spans="1:3">
      <c r="A6174">
        <v>6173</v>
      </c>
      <c r="B6174">
        <v>381059290</v>
      </c>
      <c r="C6174">
        <v>381059290</v>
      </c>
    </row>
    <row r="6175" spans="1:3">
      <c r="A6175">
        <v>6174</v>
      </c>
      <c r="B6175">
        <v>381182760</v>
      </c>
      <c r="C6175">
        <v>381182760</v>
      </c>
    </row>
    <row r="6176" spans="1:3">
      <c r="A6176">
        <v>6175</v>
      </c>
      <c r="B6176">
        <v>381306250</v>
      </c>
      <c r="C6176">
        <v>381306250</v>
      </c>
    </row>
    <row r="6177" spans="1:3">
      <c r="A6177">
        <v>6176</v>
      </c>
      <c r="B6177">
        <v>381429760</v>
      </c>
      <c r="C6177">
        <v>381429760</v>
      </c>
    </row>
    <row r="6178" spans="1:3">
      <c r="A6178">
        <v>6177</v>
      </c>
      <c r="B6178">
        <v>381553290</v>
      </c>
      <c r="C6178">
        <v>381553290</v>
      </c>
    </row>
    <row r="6179" spans="1:3">
      <c r="A6179">
        <v>6178</v>
      </c>
      <c r="B6179">
        <v>381676840</v>
      </c>
      <c r="C6179">
        <v>381676840</v>
      </c>
    </row>
    <row r="6180" spans="1:3">
      <c r="A6180">
        <v>6179</v>
      </c>
      <c r="B6180">
        <v>381800410</v>
      </c>
      <c r="C6180">
        <v>381800410</v>
      </c>
    </row>
    <row r="6181" spans="1:3">
      <c r="A6181">
        <v>6180</v>
      </c>
      <c r="B6181">
        <v>381924000</v>
      </c>
      <c r="C6181">
        <v>381924000</v>
      </c>
    </row>
    <row r="6182" spans="1:3">
      <c r="A6182">
        <v>6181</v>
      </c>
      <c r="B6182">
        <v>382047610</v>
      </c>
      <c r="C6182">
        <v>382047610</v>
      </c>
    </row>
    <row r="6183" spans="1:3">
      <c r="A6183">
        <v>6182</v>
      </c>
      <c r="B6183">
        <v>382171240</v>
      </c>
      <c r="C6183">
        <v>382171240</v>
      </c>
    </row>
    <row r="6184" spans="1:3">
      <c r="A6184">
        <v>6183</v>
      </c>
      <c r="B6184">
        <v>382294890</v>
      </c>
      <c r="C6184">
        <v>382294890</v>
      </c>
    </row>
    <row r="6185" spans="1:3">
      <c r="A6185">
        <v>6184</v>
      </c>
      <c r="B6185">
        <v>382418560</v>
      </c>
      <c r="C6185">
        <v>382418560</v>
      </c>
    </row>
    <row r="6186" spans="1:3">
      <c r="A6186">
        <v>6185</v>
      </c>
      <c r="B6186">
        <v>382542250</v>
      </c>
      <c r="C6186">
        <v>382542250</v>
      </c>
    </row>
    <row r="6187" spans="1:3">
      <c r="A6187">
        <v>6186</v>
      </c>
      <c r="B6187">
        <v>382665960</v>
      </c>
      <c r="C6187">
        <v>382665960</v>
      </c>
    </row>
    <row r="6188" spans="1:3">
      <c r="A6188">
        <v>6187</v>
      </c>
      <c r="B6188">
        <v>382789690</v>
      </c>
      <c r="C6188">
        <v>382789690</v>
      </c>
    </row>
    <row r="6189" spans="1:3">
      <c r="A6189">
        <v>6188</v>
      </c>
      <c r="B6189">
        <v>382913440</v>
      </c>
      <c r="C6189">
        <v>382913440</v>
      </c>
    </row>
    <row r="6190" spans="1:3">
      <c r="A6190">
        <v>6189</v>
      </c>
      <c r="B6190">
        <v>383037210</v>
      </c>
      <c r="C6190">
        <v>383037210</v>
      </c>
    </row>
    <row r="6191" spans="1:3">
      <c r="A6191">
        <v>6190</v>
      </c>
      <c r="B6191">
        <v>383161000</v>
      </c>
      <c r="C6191">
        <v>383161000</v>
      </c>
    </row>
    <row r="6192" spans="1:3">
      <c r="A6192">
        <v>6191</v>
      </c>
      <c r="B6192">
        <v>383284810</v>
      </c>
      <c r="C6192">
        <v>383284810</v>
      </c>
    </row>
    <row r="6193" spans="1:3">
      <c r="A6193">
        <v>6192</v>
      </c>
      <c r="B6193">
        <v>383408640</v>
      </c>
      <c r="C6193">
        <v>383408640</v>
      </c>
    </row>
    <row r="6194" spans="1:3">
      <c r="A6194">
        <v>6193</v>
      </c>
      <c r="B6194">
        <v>383532490</v>
      </c>
      <c r="C6194">
        <v>383532490</v>
      </c>
    </row>
    <row r="6195" spans="1:3">
      <c r="A6195">
        <v>6194</v>
      </c>
      <c r="B6195">
        <v>383656360</v>
      </c>
      <c r="C6195">
        <v>383656360</v>
      </c>
    </row>
    <row r="6196" spans="1:3">
      <c r="A6196">
        <v>6195</v>
      </c>
      <c r="B6196">
        <v>383780250</v>
      </c>
      <c r="C6196">
        <v>383780250</v>
      </c>
    </row>
    <row r="6197" spans="1:3">
      <c r="A6197">
        <v>6196</v>
      </c>
      <c r="B6197">
        <v>383904160</v>
      </c>
      <c r="C6197">
        <v>383904160</v>
      </c>
    </row>
    <row r="6198" spans="1:3">
      <c r="A6198">
        <v>6197</v>
      </c>
      <c r="B6198">
        <v>384028090</v>
      </c>
      <c r="C6198">
        <v>384028090</v>
      </c>
    </row>
    <row r="6199" spans="1:3">
      <c r="A6199">
        <v>6198</v>
      </c>
      <c r="B6199">
        <v>384152040</v>
      </c>
      <c r="C6199">
        <v>384152040</v>
      </c>
    </row>
    <row r="6200" spans="1:3">
      <c r="A6200">
        <v>6199</v>
      </c>
      <c r="B6200">
        <v>384276010</v>
      </c>
      <c r="C6200">
        <v>384276010</v>
      </c>
    </row>
    <row r="6201" spans="1:3">
      <c r="A6201">
        <v>6200</v>
      </c>
      <c r="B6201">
        <v>384400000</v>
      </c>
      <c r="C6201">
        <v>384400000</v>
      </c>
    </row>
    <row r="6202" spans="1:3">
      <c r="A6202">
        <v>6201</v>
      </c>
      <c r="B6202">
        <v>384524010</v>
      </c>
      <c r="C6202">
        <v>384524010</v>
      </c>
    </row>
    <row r="6203" spans="1:3">
      <c r="A6203">
        <v>6202</v>
      </c>
      <c r="B6203">
        <v>384648040</v>
      </c>
      <c r="C6203">
        <v>384648040</v>
      </c>
    </row>
    <row r="6204" spans="1:3">
      <c r="A6204">
        <v>6203</v>
      </c>
      <c r="B6204">
        <v>384772090</v>
      </c>
      <c r="C6204">
        <v>384772090</v>
      </c>
    </row>
    <row r="6205" spans="1:3">
      <c r="A6205">
        <v>6204</v>
      </c>
      <c r="B6205">
        <v>384896160</v>
      </c>
      <c r="C6205">
        <v>384896160</v>
      </c>
    </row>
    <row r="6206" spans="1:3">
      <c r="A6206">
        <v>6205</v>
      </c>
      <c r="B6206">
        <v>385020250</v>
      </c>
      <c r="C6206">
        <v>385020250</v>
      </c>
    </row>
    <row r="6207" spans="1:3">
      <c r="A6207">
        <v>6206</v>
      </c>
      <c r="B6207">
        <v>385144360</v>
      </c>
      <c r="C6207">
        <v>385144360</v>
      </c>
    </row>
    <row r="6208" spans="1:3">
      <c r="A6208">
        <v>6207</v>
      </c>
      <c r="B6208">
        <v>385268490</v>
      </c>
      <c r="C6208">
        <v>385268490</v>
      </c>
    </row>
    <row r="6209" spans="1:3">
      <c r="A6209">
        <v>6208</v>
      </c>
      <c r="B6209">
        <v>385392640</v>
      </c>
      <c r="C6209">
        <v>385392640</v>
      </c>
    </row>
    <row r="6210" spans="1:3">
      <c r="A6210">
        <v>6209</v>
      </c>
      <c r="B6210">
        <v>385516810</v>
      </c>
      <c r="C6210">
        <v>385516810</v>
      </c>
    </row>
    <row r="6211" spans="1:3">
      <c r="A6211">
        <v>6210</v>
      </c>
      <c r="B6211">
        <v>385641000</v>
      </c>
      <c r="C6211">
        <v>385641000</v>
      </c>
    </row>
    <row r="6212" spans="1:3">
      <c r="A6212">
        <v>6211</v>
      </c>
      <c r="B6212">
        <v>385765210</v>
      </c>
      <c r="C6212">
        <v>385765210</v>
      </c>
    </row>
    <row r="6213" spans="1:3">
      <c r="A6213">
        <v>6212</v>
      </c>
      <c r="B6213">
        <v>385889440</v>
      </c>
      <c r="C6213">
        <v>385889440</v>
      </c>
    </row>
    <row r="6214" spans="1:3">
      <c r="A6214">
        <v>6213</v>
      </c>
      <c r="B6214">
        <v>386013690</v>
      </c>
      <c r="C6214">
        <v>386013690</v>
      </c>
    </row>
    <row r="6215" spans="1:3">
      <c r="A6215">
        <v>6214</v>
      </c>
      <c r="B6215">
        <v>386137960</v>
      </c>
      <c r="C6215">
        <v>386137960</v>
      </c>
    </row>
    <row r="6216" spans="1:3">
      <c r="A6216">
        <v>6215</v>
      </c>
      <c r="B6216">
        <v>386262250</v>
      </c>
      <c r="C6216">
        <v>386262250</v>
      </c>
    </row>
    <row r="6217" spans="1:3">
      <c r="A6217">
        <v>6216</v>
      </c>
      <c r="B6217">
        <v>386386560</v>
      </c>
      <c r="C6217">
        <v>386386560</v>
      </c>
    </row>
    <row r="6218" spans="1:3">
      <c r="A6218">
        <v>6217</v>
      </c>
      <c r="B6218">
        <v>386510890</v>
      </c>
      <c r="C6218">
        <v>386510890</v>
      </c>
    </row>
    <row r="6219" spans="1:3">
      <c r="A6219">
        <v>6218</v>
      </c>
      <c r="B6219">
        <v>386635240</v>
      </c>
      <c r="C6219">
        <v>386635240</v>
      </c>
    </row>
    <row r="6220" spans="1:3">
      <c r="A6220">
        <v>6219</v>
      </c>
      <c r="B6220">
        <v>386759610</v>
      </c>
      <c r="C6220">
        <v>386759610</v>
      </c>
    </row>
    <row r="6221" spans="1:3">
      <c r="A6221">
        <v>6220</v>
      </c>
      <c r="B6221">
        <v>386884000</v>
      </c>
      <c r="C6221">
        <v>386884000</v>
      </c>
    </row>
    <row r="6222" spans="1:3">
      <c r="A6222">
        <v>6221</v>
      </c>
      <c r="B6222">
        <v>387008410</v>
      </c>
      <c r="C6222">
        <v>387008410</v>
      </c>
    </row>
    <row r="6223" spans="1:3">
      <c r="A6223">
        <v>6222</v>
      </c>
      <c r="B6223">
        <v>387132840</v>
      </c>
      <c r="C6223">
        <v>387132840</v>
      </c>
    </row>
    <row r="6224" spans="1:3">
      <c r="A6224">
        <v>6223</v>
      </c>
      <c r="B6224">
        <v>387257290</v>
      </c>
      <c r="C6224">
        <v>387257290</v>
      </c>
    </row>
    <row r="6225" spans="1:3">
      <c r="A6225">
        <v>6224</v>
      </c>
      <c r="B6225">
        <v>387381760</v>
      </c>
      <c r="C6225">
        <v>387381760</v>
      </c>
    </row>
    <row r="6226" spans="1:3">
      <c r="A6226">
        <v>6225</v>
      </c>
      <c r="B6226">
        <v>387506250</v>
      </c>
      <c r="C6226">
        <v>387506250</v>
      </c>
    </row>
    <row r="6227" spans="1:3">
      <c r="A6227">
        <v>6226</v>
      </c>
      <c r="B6227">
        <v>387630760</v>
      </c>
      <c r="C6227">
        <v>387630760</v>
      </c>
    </row>
    <row r="6228" spans="1:3">
      <c r="A6228">
        <v>6227</v>
      </c>
      <c r="B6228">
        <v>387755290</v>
      </c>
      <c r="C6228">
        <v>387755290</v>
      </c>
    </row>
    <row r="6229" spans="1:3">
      <c r="A6229">
        <v>6228</v>
      </c>
      <c r="B6229">
        <v>387879840</v>
      </c>
      <c r="C6229">
        <v>387879840</v>
      </c>
    </row>
    <row r="6230" spans="1:3">
      <c r="A6230">
        <v>6229</v>
      </c>
      <c r="B6230">
        <v>388004410</v>
      </c>
      <c r="C6230">
        <v>388004410</v>
      </c>
    </row>
    <row r="6231" spans="1:3">
      <c r="A6231">
        <v>6230</v>
      </c>
      <c r="B6231">
        <v>388129000</v>
      </c>
      <c r="C6231">
        <v>388129000</v>
      </c>
    </row>
    <row r="6232" spans="1:3">
      <c r="A6232">
        <v>6231</v>
      </c>
      <c r="B6232">
        <v>388253610</v>
      </c>
      <c r="C6232">
        <v>388253610</v>
      </c>
    </row>
    <row r="6233" spans="1:3">
      <c r="A6233">
        <v>6232</v>
      </c>
      <c r="B6233">
        <v>388378240</v>
      </c>
      <c r="C6233">
        <v>388378240</v>
      </c>
    </row>
    <row r="6234" spans="1:3">
      <c r="A6234">
        <v>6233</v>
      </c>
      <c r="B6234">
        <v>388502890</v>
      </c>
      <c r="C6234">
        <v>388502890</v>
      </c>
    </row>
    <row r="6235" spans="1:3">
      <c r="A6235">
        <v>6234</v>
      </c>
      <c r="B6235">
        <v>388627560</v>
      </c>
      <c r="C6235">
        <v>388627560</v>
      </c>
    </row>
    <row r="6236" spans="1:3">
      <c r="A6236">
        <v>6235</v>
      </c>
      <c r="B6236">
        <v>388752250</v>
      </c>
      <c r="C6236">
        <v>388752250</v>
      </c>
    </row>
    <row r="6237" spans="1:3">
      <c r="A6237">
        <v>6236</v>
      </c>
      <c r="B6237">
        <v>388876960</v>
      </c>
      <c r="C6237">
        <v>388876960</v>
      </c>
    </row>
    <row r="6238" spans="1:3">
      <c r="A6238">
        <v>6237</v>
      </c>
      <c r="B6238">
        <v>389001690</v>
      </c>
      <c r="C6238">
        <v>389001690</v>
      </c>
    </row>
    <row r="6239" spans="1:3">
      <c r="A6239">
        <v>6238</v>
      </c>
      <c r="B6239">
        <v>389126440</v>
      </c>
      <c r="C6239">
        <v>389126440</v>
      </c>
    </row>
    <row r="6240" spans="1:3">
      <c r="A6240">
        <v>6239</v>
      </c>
      <c r="B6240">
        <v>389251210</v>
      </c>
      <c r="C6240">
        <v>389251210</v>
      </c>
    </row>
    <row r="6241" spans="1:3">
      <c r="A6241">
        <v>6240</v>
      </c>
      <c r="B6241">
        <v>389376000</v>
      </c>
      <c r="C6241">
        <v>389376000</v>
      </c>
    </row>
    <row r="6242" spans="1:3">
      <c r="A6242">
        <v>6241</v>
      </c>
      <c r="B6242">
        <v>389500810</v>
      </c>
      <c r="C6242">
        <v>389500810</v>
      </c>
    </row>
    <row r="6243" spans="1:3">
      <c r="A6243">
        <v>6242</v>
      </c>
      <c r="B6243">
        <v>389625640</v>
      </c>
      <c r="C6243">
        <v>389625640</v>
      </c>
    </row>
    <row r="6244" spans="1:3">
      <c r="A6244">
        <v>6243</v>
      </c>
      <c r="B6244">
        <v>389750490</v>
      </c>
      <c r="C6244">
        <v>389750490</v>
      </c>
    </row>
    <row r="6245" spans="1:3">
      <c r="A6245">
        <v>6244</v>
      </c>
      <c r="B6245">
        <v>389875360</v>
      </c>
      <c r="C6245">
        <v>389875360</v>
      </c>
    </row>
    <row r="6246" spans="1:3">
      <c r="A6246">
        <v>6245</v>
      </c>
      <c r="B6246">
        <v>390000250</v>
      </c>
      <c r="C6246">
        <v>390000250</v>
      </c>
    </row>
    <row r="6247" spans="1:3">
      <c r="A6247">
        <v>6246</v>
      </c>
      <c r="B6247">
        <v>390125160</v>
      </c>
      <c r="C6247">
        <v>390125160</v>
      </c>
    </row>
    <row r="6248" spans="1:3">
      <c r="A6248">
        <v>6247</v>
      </c>
      <c r="B6248">
        <v>390250090</v>
      </c>
      <c r="C6248">
        <v>390250090</v>
      </c>
    </row>
    <row r="6249" spans="1:3">
      <c r="A6249">
        <v>6248</v>
      </c>
      <c r="B6249">
        <v>390375040</v>
      </c>
      <c r="C6249">
        <v>390375040</v>
      </c>
    </row>
    <row r="6250" spans="1:3">
      <c r="A6250">
        <v>6249</v>
      </c>
      <c r="B6250">
        <v>390500010</v>
      </c>
      <c r="C6250">
        <v>390500010</v>
      </c>
    </row>
    <row r="6251" spans="1:3">
      <c r="A6251">
        <v>6250</v>
      </c>
      <c r="B6251">
        <v>390625000</v>
      </c>
      <c r="C6251">
        <v>390625000</v>
      </c>
    </row>
    <row r="6252" spans="1:3">
      <c r="A6252">
        <v>6251</v>
      </c>
      <c r="B6252">
        <v>390750010</v>
      </c>
      <c r="C6252">
        <v>390750010</v>
      </c>
    </row>
    <row r="6253" spans="1:3">
      <c r="A6253">
        <v>6252</v>
      </c>
      <c r="B6253">
        <v>390875040</v>
      </c>
      <c r="C6253">
        <v>390875040</v>
      </c>
    </row>
    <row r="6254" spans="1:3">
      <c r="A6254">
        <v>6253</v>
      </c>
      <c r="B6254">
        <v>391000090</v>
      </c>
      <c r="C6254">
        <v>391000090</v>
      </c>
    </row>
    <row r="6255" spans="1:3">
      <c r="A6255">
        <v>6254</v>
      </c>
      <c r="B6255">
        <v>391125160</v>
      </c>
      <c r="C6255">
        <v>391125160</v>
      </c>
    </row>
    <row r="6256" spans="1:3">
      <c r="A6256">
        <v>6255</v>
      </c>
      <c r="B6256">
        <v>391250250</v>
      </c>
      <c r="C6256">
        <v>391250250</v>
      </c>
    </row>
    <row r="6257" spans="1:3">
      <c r="A6257">
        <v>6256</v>
      </c>
      <c r="B6257">
        <v>391375360</v>
      </c>
      <c r="C6257">
        <v>391375360</v>
      </c>
    </row>
    <row r="6258" spans="1:3">
      <c r="A6258">
        <v>6257</v>
      </c>
      <c r="B6258">
        <v>391500490</v>
      </c>
      <c r="C6258">
        <v>391500490</v>
      </c>
    </row>
    <row r="6259" spans="1:3">
      <c r="A6259">
        <v>6258</v>
      </c>
      <c r="B6259">
        <v>391625640</v>
      </c>
      <c r="C6259">
        <v>391625640</v>
      </c>
    </row>
    <row r="6260" spans="1:3">
      <c r="A6260">
        <v>6259</v>
      </c>
      <c r="B6260">
        <v>391750810</v>
      </c>
      <c r="C6260">
        <v>391750810</v>
      </c>
    </row>
    <row r="6261" spans="1:3">
      <c r="A6261">
        <v>6260</v>
      </c>
      <c r="B6261">
        <v>391876000</v>
      </c>
      <c r="C6261">
        <v>391876000</v>
      </c>
    </row>
    <row r="6262" spans="1:3">
      <c r="A6262">
        <v>6261</v>
      </c>
      <c r="B6262">
        <v>392001210</v>
      </c>
      <c r="C6262">
        <v>392001210</v>
      </c>
    </row>
    <row r="6263" spans="1:3">
      <c r="A6263">
        <v>6262</v>
      </c>
      <c r="B6263">
        <v>392126440</v>
      </c>
      <c r="C6263">
        <v>392126440</v>
      </c>
    </row>
    <row r="6264" spans="1:3">
      <c r="A6264">
        <v>6263</v>
      </c>
      <c r="B6264">
        <v>392251690</v>
      </c>
      <c r="C6264">
        <v>392251690</v>
      </c>
    </row>
    <row r="6265" spans="1:3">
      <c r="A6265">
        <v>6264</v>
      </c>
      <c r="B6265">
        <v>392376960</v>
      </c>
      <c r="C6265">
        <v>392376960</v>
      </c>
    </row>
    <row r="6266" spans="1:3">
      <c r="A6266">
        <v>6265</v>
      </c>
      <c r="B6266">
        <v>392502250</v>
      </c>
      <c r="C6266">
        <v>392502250</v>
      </c>
    </row>
    <row r="6267" spans="1:3">
      <c r="A6267">
        <v>6266</v>
      </c>
      <c r="B6267">
        <v>392627560</v>
      </c>
      <c r="C6267">
        <v>392627560</v>
      </c>
    </row>
    <row r="6268" spans="1:3">
      <c r="A6268">
        <v>6267</v>
      </c>
      <c r="B6268">
        <v>392752890</v>
      </c>
      <c r="C6268">
        <v>392752890</v>
      </c>
    </row>
    <row r="6269" spans="1:3">
      <c r="A6269">
        <v>6268</v>
      </c>
      <c r="B6269">
        <v>392878240</v>
      </c>
      <c r="C6269">
        <v>392878240</v>
      </c>
    </row>
    <row r="6270" spans="1:3">
      <c r="A6270">
        <v>6269</v>
      </c>
      <c r="B6270">
        <v>393003610</v>
      </c>
      <c r="C6270">
        <v>393003610</v>
      </c>
    </row>
    <row r="6271" spans="1:3">
      <c r="A6271">
        <v>6270</v>
      </c>
      <c r="B6271">
        <v>393129000</v>
      </c>
      <c r="C6271">
        <v>393129000</v>
      </c>
    </row>
    <row r="6272" spans="1:3">
      <c r="A6272">
        <v>6271</v>
      </c>
      <c r="B6272">
        <v>393254410</v>
      </c>
      <c r="C6272">
        <v>393254410</v>
      </c>
    </row>
    <row r="6273" spans="1:3">
      <c r="A6273">
        <v>6272</v>
      </c>
      <c r="B6273">
        <v>393379840</v>
      </c>
      <c r="C6273">
        <v>393379840</v>
      </c>
    </row>
    <row r="6274" spans="1:3">
      <c r="A6274">
        <v>6273</v>
      </c>
      <c r="B6274">
        <v>393505290</v>
      </c>
      <c r="C6274">
        <v>393505290</v>
      </c>
    </row>
    <row r="6275" spans="1:3">
      <c r="A6275">
        <v>6274</v>
      </c>
      <c r="B6275">
        <v>393630760</v>
      </c>
      <c r="C6275">
        <v>393630760</v>
      </c>
    </row>
    <row r="6276" spans="1:3">
      <c r="A6276">
        <v>6275</v>
      </c>
      <c r="B6276">
        <v>393756250</v>
      </c>
      <c r="C6276">
        <v>393756250</v>
      </c>
    </row>
    <row r="6277" spans="1:3">
      <c r="A6277">
        <v>6276</v>
      </c>
      <c r="B6277">
        <v>393881760</v>
      </c>
      <c r="C6277">
        <v>393881760</v>
      </c>
    </row>
    <row r="6278" spans="1:3">
      <c r="A6278">
        <v>6277</v>
      </c>
      <c r="B6278">
        <v>394007290</v>
      </c>
      <c r="C6278">
        <v>394007290</v>
      </c>
    </row>
    <row r="6279" spans="1:3">
      <c r="A6279">
        <v>6278</v>
      </c>
      <c r="B6279">
        <v>394132840</v>
      </c>
      <c r="C6279">
        <v>394132840</v>
      </c>
    </row>
    <row r="6280" spans="1:3">
      <c r="A6280">
        <v>6279</v>
      </c>
      <c r="B6280">
        <v>394258410</v>
      </c>
      <c r="C6280">
        <v>394258410</v>
      </c>
    </row>
    <row r="6281" spans="1:3">
      <c r="A6281">
        <v>6280</v>
      </c>
      <c r="B6281">
        <v>394384000</v>
      </c>
      <c r="C6281">
        <v>394384000</v>
      </c>
    </row>
    <row r="6282" spans="1:3">
      <c r="A6282">
        <v>6281</v>
      </c>
      <c r="B6282">
        <v>394509610</v>
      </c>
      <c r="C6282">
        <v>394509610</v>
      </c>
    </row>
    <row r="6283" spans="1:3">
      <c r="A6283">
        <v>6282</v>
      </c>
      <c r="B6283">
        <v>394635240</v>
      </c>
      <c r="C6283">
        <v>394635240</v>
      </c>
    </row>
    <row r="6284" spans="1:3">
      <c r="A6284">
        <v>6283</v>
      </c>
      <c r="B6284">
        <v>394760890</v>
      </c>
      <c r="C6284">
        <v>394760890</v>
      </c>
    </row>
    <row r="6285" spans="1:3">
      <c r="A6285">
        <v>6284</v>
      </c>
      <c r="B6285">
        <v>394886560</v>
      </c>
      <c r="C6285">
        <v>394886560</v>
      </c>
    </row>
    <row r="6286" spans="1:3">
      <c r="A6286">
        <v>6285</v>
      </c>
      <c r="B6286">
        <v>395012250</v>
      </c>
      <c r="C6286">
        <v>395012250</v>
      </c>
    </row>
    <row r="6287" spans="1:3">
      <c r="A6287">
        <v>6286</v>
      </c>
      <c r="B6287">
        <v>395137960</v>
      </c>
      <c r="C6287">
        <v>395137960</v>
      </c>
    </row>
    <row r="6288" spans="1:3">
      <c r="A6288">
        <v>6287</v>
      </c>
      <c r="B6288">
        <v>395263690</v>
      </c>
      <c r="C6288">
        <v>395263690</v>
      </c>
    </row>
    <row r="6289" spans="1:3">
      <c r="A6289">
        <v>6288</v>
      </c>
      <c r="B6289">
        <v>395389440</v>
      </c>
      <c r="C6289">
        <v>395389440</v>
      </c>
    </row>
    <row r="6290" spans="1:3">
      <c r="A6290">
        <v>6289</v>
      </c>
      <c r="B6290">
        <v>395515210</v>
      </c>
      <c r="C6290">
        <v>395515210</v>
      </c>
    </row>
    <row r="6291" spans="1:3">
      <c r="A6291">
        <v>6290</v>
      </c>
      <c r="B6291">
        <v>395641000</v>
      </c>
      <c r="C6291">
        <v>395641000</v>
      </c>
    </row>
    <row r="6292" spans="1:3">
      <c r="A6292">
        <v>6291</v>
      </c>
      <c r="B6292">
        <v>395766810</v>
      </c>
      <c r="C6292">
        <v>395766810</v>
      </c>
    </row>
    <row r="6293" spans="1:3">
      <c r="A6293">
        <v>6292</v>
      </c>
      <c r="B6293">
        <v>395892640</v>
      </c>
      <c r="C6293">
        <v>395892640</v>
      </c>
    </row>
    <row r="6294" spans="1:3">
      <c r="A6294">
        <v>6293</v>
      </c>
      <c r="B6294">
        <v>396018490</v>
      </c>
      <c r="C6294">
        <v>396018490</v>
      </c>
    </row>
    <row r="6295" spans="1:3">
      <c r="A6295">
        <v>6294</v>
      </c>
      <c r="B6295">
        <v>396144360</v>
      </c>
      <c r="C6295">
        <v>396144360</v>
      </c>
    </row>
    <row r="6296" spans="1:3">
      <c r="A6296">
        <v>6295</v>
      </c>
      <c r="B6296">
        <v>396270250</v>
      </c>
      <c r="C6296">
        <v>396270250</v>
      </c>
    </row>
    <row r="6297" spans="1:3">
      <c r="A6297">
        <v>6296</v>
      </c>
      <c r="B6297">
        <v>396396160</v>
      </c>
      <c r="C6297">
        <v>396396160</v>
      </c>
    </row>
    <row r="6298" spans="1:3">
      <c r="A6298">
        <v>6297</v>
      </c>
      <c r="B6298">
        <v>396522090</v>
      </c>
      <c r="C6298">
        <v>396522090</v>
      </c>
    </row>
    <row r="6299" spans="1:3">
      <c r="A6299">
        <v>6298</v>
      </c>
      <c r="B6299">
        <v>396648040</v>
      </c>
      <c r="C6299">
        <v>396648040</v>
      </c>
    </row>
    <row r="6300" spans="1:3">
      <c r="A6300">
        <v>6299</v>
      </c>
      <c r="B6300">
        <v>396774010</v>
      </c>
      <c r="C6300">
        <v>396774010</v>
      </c>
    </row>
    <row r="6301" spans="1:3">
      <c r="A6301">
        <v>6300</v>
      </c>
      <c r="B6301">
        <v>396900000</v>
      </c>
      <c r="C6301">
        <v>396900000</v>
      </c>
    </row>
    <row r="6302" spans="1:3">
      <c r="A6302">
        <v>6301</v>
      </c>
      <c r="B6302">
        <v>397026010</v>
      </c>
      <c r="C6302">
        <v>397026010</v>
      </c>
    </row>
    <row r="6303" spans="1:3">
      <c r="A6303">
        <v>6302</v>
      </c>
      <c r="B6303">
        <v>397152040</v>
      </c>
      <c r="C6303">
        <v>397152040</v>
      </c>
    </row>
    <row r="6304" spans="1:3">
      <c r="A6304">
        <v>6303</v>
      </c>
      <c r="B6304">
        <v>397278090</v>
      </c>
      <c r="C6304">
        <v>397278090</v>
      </c>
    </row>
    <row r="6305" spans="1:3">
      <c r="A6305">
        <v>6304</v>
      </c>
      <c r="B6305">
        <v>397404160</v>
      </c>
      <c r="C6305">
        <v>397404160</v>
      </c>
    </row>
    <row r="6306" spans="1:3">
      <c r="A6306">
        <v>6305</v>
      </c>
      <c r="B6306">
        <v>397530250</v>
      </c>
      <c r="C6306">
        <v>397530250</v>
      </c>
    </row>
    <row r="6307" spans="1:3">
      <c r="A6307">
        <v>6306</v>
      </c>
      <c r="B6307">
        <v>397656360</v>
      </c>
      <c r="C6307">
        <v>397656360</v>
      </c>
    </row>
    <row r="6308" spans="1:3">
      <c r="A6308">
        <v>6307</v>
      </c>
      <c r="B6308">
        <v>397782490</v>
      </c>
      <c r="C6308">
        <v>397782490</v>
      </c>
    </row>
    <row r="6309" spans="1:3">
      <c r="A6309">
        <v>6308</v>
      </c>
      <c r="B6309">
        <v>397908640</v>
      </c>
      <c r="C6309">
        <v>397908640</v>
      </c>
    </row>
    <row r="6310" spans="1:3">
      <c r="A6310">
        <v>6309</v>
      </c>
      <c r="B6310">
        <v>398034810</v>
      </c>
      <c r="C6310">
        <v>398034810</v>
      </c>
    </row>
    <row r="6311" spans="1:3">
      <c r="A6311">
        <v>6310</v>
      </c>
      <c r="B6311">
        <v>398161000</v>
      </c>
      <c r="C6311">
        <v>398161000</v>
      </c>
    </row>
    <row r="6312" spans="1:3">
      <c r="A6312">
        <v>6311</v>
      </c>
      <c r="B6312">
        <v>398287210</v>
      </c>
      <c r="C6312">
        <v>398287210</v>
      </c>
    </row>
    <row r="6313" spans="1:3">
      <c r="A6313">
        <v>6312</v>
      </c>
      <c r="B6313">
        <v>398413440</v>
      </c>
      <c r="C6313">
        <v>398413440</v>
      </c>
    </row>
    <row r="6314" spans="1:3">
      <c r="A6314">
        <v>6313</v>
      </c>
      <c r="B6314">
        <v>398539690</v>
      </c>
      <c r="C6314">
        <v>398539690</v>
      </c>
    </row>
    <row r="6315" spans="1:3">
      <c r="A6315">
        <v>6314</v>
      </c>
      <c r="B6315">
        <v>398665960</v>
      </c>
      <c r="C6315">
        <v>398665960</v>
      </c>
    </row>
    <row r="6316" spans="1:3">
      <c r="A6316">
        <v>6315</v>
      </c>
      <c r="B6316">
        <v>398792250</v>
      </c>
      <c r="C6316">
        <v>398792250</v>
      </c>
    </row>
    <row r="6317" spans="1:3">
      <c r="A6317">
        <v>6316</v>
      </c>
      <c r="B6317">
        <v>398918560</v>
      </c>
      <c r="C6317">
        <v>398918560</v>
      </c>
    </row>
    <row r="6318" spans="1:3">
      <c r="A6318">
        <v>6317</v>
      </c>
      <c r="B6318">
        <v>399044890</v>
      </c>
      <c r="C6318">
        <v>399044890</v>
      </c>
    </row>
    <row r="6319" spans="1:3">
      <c r="A6319">
        <v>6318</v>
      </c>
      <c r="B6319">
        <v>399171240</v>
      </c>
      <c r="C6319">
        <v>399171240</v>
      </c>
    </row>
    <row r="6320" spans="1:3">
      <c r="A6320">
        <v>6319</v>
      </c>
      <c r="B6320">
        <v>399297610</v>
      </c>
      <c r="C6320">
        <v>399297610</v>
      </c>
    </row>
    <row r="6321" spans="1:3">
      <c r="A6321">
        <v>6320</v>
      </c>
      <c r="B6321">
        <v>399424000</v>
      </c>
      <c r="C6321">
        <v>399424000</v>
      </c>
    </row>
    <row r="6322" spans="1:3">
      <c r="A6322">
        <v>6321</v>
      </c>
      <c r="B6322">
        <v>399550410</v>
      </c>
      <c r="C6322">
        <v>399550410</v>
      </c>
    </row>
    <row r="6323" spans="1:3">
      <c r="A6323">
        <v>6322</v>
      </c>
      <c r="B6323">
        <v>399676840</v>
      </c>
      <c r="C6323">
        <v>399676840</v>
      </c>
    </row>
    <row r="6324" spans="1:3">
      <c r="A6324">
        <v>6323</v>
      </c>
      <c r="B6324">
        <v>399803290</v>
      </c>
      <c r="C6324">
        <v>399803290</v>
      </c>
    </row>
    <row r="6325" spans="1:3">
      <c r="A6325">
        <v>6324</v>
      </c>
      <c r="B6325">
        <v>399929760</v>
      </c>
      <c r="C6325">
        <v>399929760</v>
      </c>
    </row>
    <row r="6326" spans="1:3">
      <c r="A6326">
        <v>6325</v>
      </c>
      <c r="B6326">
        <v>400056250</v>
      </c>
      <c r="C6326">
        <v>400056250</v>
      </c>
    </row>
    <row r="6327" spans="1:3">
      <c r="A6327">
        <v>6326</v>
      </c>
      <c r="B6327">
        <v>400182760</v>
      </c>
      <c r="C6327">
        <v>400182760</v>
      </c>
    </row>
    <row r="6328" spans="1:3">
      <c r="A6328">
        <v>6327</v>
      </c>
      <c r="B6328">
        <v>400309290</v>
      </c>
      <c r="C6328">
        <v>400309290</v>
      </c>
    </row>
    <row r="6329" spans="1:3">
      <c r="A6329">
        <v>6328</v>
      </c>
      <c r="B6329">
        <v>400435840</v>
      </c>
      <c r="C6329">
        <v>400435840</v>
      </c>
    </row>
    <row r="6330" spans="1:3">
      <c r="A6330">
        <v>6329</v>
      </c>
      <c r="B6330">
        <v>400562410</v>
      </c>
      <c r="C6330">
        <v>400562410</v>
      </c>
    </row>
    <row r="6331" spans="1:3">
      <c r="A6331">
        <v>6330</v>
      </c>
      <c r="B6331">
        <v>400689000</v>
      </c>
      <c r="C6331">
        <v>400689000</v>
      </c>
    </row>
    <row r="6332" spans="1:3">
      <c r="A6332">
        <v>6331</v>
      </c>
      <c r="B6332">
        <v>400815610</v>
      </c>
      <c r="C6332">
        <v>400815610</v>
      </c>
    </row>
    <row r="6333" spans="1:3">
      <c r="A6333">
        <v>6332</v>
      </c>
      <c r="B6333">
        <v>400942240</v>
      </c>
      <c r="C6333">
        <v>400942240</v>
      </c>
    </row>
    <row r="6334" spans="1:3">
      <c r="A6334">
        <v>6333</v>
      </c>
      <c r="B6334">
        <v>401068890</v>
      </c>
      <c r="C6334">
        <v>401068890</v>
      </c>
    </row>
    <row r="6335" spans="1:3">
      <c r="A6335">
        <v>6334</v>
      </c>
      <c r="B6335">
        <v>401195560</v>
      </c>
      <c r="C6335">
        <v>401195560</v>
      </c>
    </row>
    <row r="6336" spans="1:3">
      <c r="A6336">
        <v>6335</v>
      </c>
      <c r="B6336">
        <v>401322250</v>
      </c>
      <c r="C6336">
        <v>401322250</v>
      </c>
    </row>
    <row r="6337" spans="1:3">
      <c r="A6337">
        <v>6336</v>
      </c>
      <c r="B6337">
        <v>401448960</v>
      </c>
      <c r="C6337">
        <v>401448960</v>
      </c>
    </row>
    <row r="6338" spans="1:3">
      <c r="A6338">
        <v>6337</v>
      </c>
      <c r="B6338">
        <v>401575690</v>
      </c>
      <c r="C6338">
        <v>401575690</v>
      </c>
    </row>
    <row r="6339" spans="1:3">
      <c r="A6339">
        <v>6338</v>
      </c>
      <c r="B6339">
        <v>401702440</v>
      </c>
      <c r="C6339">
        <v>401702440</v>
      </c>
    </row>
    <row r="6340" spans="1:3">
      <c r="A6340">
        <v>6339</v>
      </c>
      <c r="B6340">
        <v>401829210</v>
      </c>
      <c r="C6340">
        <v>401829210</v>
      </c>
    </row>
    <row r="6341" spans="1:3">
      <c r="A6341">
        <v>6340</v>
      </c>
      <c r="B6341">
        <v>401956000</v>
      </c>
      <c r="C6341">
        <v>401956000</v>
      </c>
    </row>
    <row r="6342" spans="1:3">
      <c r="A6342">
        <v>6341</v>
      </c>
      <c r="B6342">
        <v>402082810</v>
      </c>
      <c r="C6342">
        <v>402082810</v>
      </c>
    </row>
    <row r="6343" spans="1:3">
      <c r="A6343">
        <v>6342</v>
      </c>
      <c r="B6343">
        <v>402209640</v>
      </c>
      <c r="C6343">
        <v>402209640</v>
      </c>
    </row>
    <row r="6344" spans="1:3">
      <c r="A6344">
        <v>6343</v>
      </c>
      <c r="B6344">
        <v>402336490</v>
      </c>
      <c r="C6344">
        <v>402336490</v>
      </c>
    </row>
    <row r="6345" spans="1:3">
      <c r="A6345">
        <v>6344</v>
      </c>
      <c r="B6345">
        <v>402463360</v>
      </c>
      <c r="C6345">
        <v>402463360</v>
      </c>
    </row>
    <row r="6346" spans="1:3">
      <c r="A6346">
        <v>6345</v>
      </c>
      <c r="B6346">
        <v>402590250</v>
      </c>
      <c r="C6346">
        <v>402590250</v>
      </c>
    </row>
    <row r="6347" spans="1:3">
      <c r="A6347">
        <v>6346</v>
      </c>
      <c r="B6347">
        <v>402717160</v>
      </c>
      <c r="C6347">
        <v>402717160</v>
      </c>
    </row>
    <row r="6348" spans="1:3">
      <c r="A6348">
        <v>6347</v>
      </c>
      <c r="B6348">
        <v>402844090</v>
      </c>
      <c r="C6348">
        <v>402844090</v>
      </c>
    </row>
    <row r="6349" spans="1:3">
      <c r="A6349">
        <v>6348</v>
      </c>
      <c r="B6349">
        <v>402971040</v>
      </c>
      <c r="C6349">
        <v>402971040</v>
      </c>
    </row>
    <row r="6350" spans="1:3">
      <c r="A6350">
        <v>6349</v>
      </c>
      <c r="B6350">
        <v>403098010</v>
      </c>
      <c r="C6350">
        <v>403098010</v>
      </c>
    </row>
    <row r="6351" spans="1:3">
      <c r="A6351">
        <v>6350</v>
      </c>
      <c r="B6351">
        <v>403225000</v>
      </c>
      <c r="C6351">
        <v>403225000</v>
      </c>
    </row>
    <row r="6352" spans="1:3">
      <c r="A6352">
        <v>6351</v>
      </c>
      <c r="B6352">
        <v>403352010</v>
      </c>
      <c r="C6352">
        <v>403352010</v>
      </c>
    </row>
    <row r="6353" spans="1:3">
      <c r="A6353">
        <v>6352</v>
      </c>
      <c r="B6353">
        <v>403479040</v>
      </c>
      <c r="C6353">
        <v>403479040</v>
      </c>
    </row>
    <row r="6354" spans="1:3">
      <c r="A6354">
        <v>6353</v>
      </c>
      <c r="B6354">
        <v>403606090</v>
      </c>
      <c r="C6354">
        <v>403606090</v>
      </c>
    </row>
    <row r="6355" spans="1:3">
      <c r="A6355">
        <v>6354</v>
      </c>
      <c r="B6355">
        <v>403733160</v>
      </c>
      <c r="C6355">
        <v>403733160</v>
      </c>
    </row>
    <row r="6356" spans="1:3">
      <c r="A6356">
        <v>6355</v>
      </c>
      <c r="B6356">
        <v>403860250</v>
      </c>
      <c r="C6356">
        <v>403860250</v>
      </c>
    </row>
    <row r="6357" spans="1:3">
      <c r="A6357">
        <v>6356</v>
      </c>
      <c r="B6357">
        <v>403987360</v>
      </c>
      <c r="C6357">
        <v>403987360</v>
      </c>
    </row>
    <row r="6358" spans="1:3">
      <c r="A6358">
        <v>6357</v>
      </c>
      <c r="B6358">
        <v>404114490</v>
      </c>
      <c r="C6358">
        <v>404114490</v>
      </c>
    </row>
    <row r="6359" spans="1:3">
      <c r="A6359">
        <v>6358</v>
      </c>
      <c r="B6359">
        <v>404241640</v>
      </c>
      <c r="C6359">
        <v>404241640</v>
      </c>
    </row>
    <row r="6360" spans="1:3">
      <c r="A6360">
        <v>6359</v>
      </c>
      <c r="B6360">
        <v>404368810</v>
      </c>
      <c r="C6360">
        <v>404368810</v>
      </c>
    </row>
    <row r="6361" spans="1:3">
      <c r="A6361">
        <v>6360</v>
      </c>
      <c r="B6361">
        <v>404496000</v>
      </c>
      <c r="C6361">
        <v>404496000</v>
      </c>
    </row>
    <row r="6362" spans="1:3">
      <c r="A6362">
        <v>6361</v>
      </c>
      <c r="B6362">
        <v>404623210</v>
      </c>
      <c r="C6362">
        <v>404623210</v>
      </c>
    </row>
    <row r="6363" spans="1:3">
      <c r="A6363">
        <v>6362</v>
      </c>
      <c r="B6363">
        <v>404750440</v>
      </c>
      <c r="C6363">
        <v>404750440</v>
      </c>
    </row>
    <row r="6364" spans="1:3">
      <c r="A6364">
        <v>6363</v>
      </c>
      <c r="B6364">
        <v>404877690</v>
      </c>
      <c r="C6364">
        <v>404877690</v>
      </c>
    </row>
    <row r="6365" spans="1:3">
      <c r="A6365">
        <v>6364</v>
      </c>
      <c r="B6365">
        <v>405004960</v>
      </c>
      <c r="C6365">
        <v>405004960</v>
      </c>
    </row>
    <row r="6366" spans="1:3">
      <c r="A6366">
        <v>6365</v>
      </c>
      <c r="B6366">
        <v>405132250</v>
      </c>
      <c r="C6366">
        <v>405132250</v>
      </c>
    </row>
    <row r="6367" spans="1:3">
      <c r="A6367">
        <v>6366</v>
      </c>
      <c r="B6367">
        <v>405259560</v>
      </c>
      <c r="C6367">
        <v>405259560</v>
      </c>
    </row>
    <row r="6368" spans="1:3">
      <c r="A6368">
        <v>6367</v>
      </c>
      <c r="B6368">
        <v>405386890</v>
      </c>
      <c r="C6368">
        <v>405386890</v>
      </c>
    </row>
    <row r="6369" spans="1:3">
      <c r="A6369">
        <v>6368</v>
      </c>
      <c r="B6369">
        <v>405514240</v>
      </c>
      <c r="C6369">
        <v>405514240</v>
      </c>
    </row>
    <row r="6370" spans="1:3">
      <c r="A6370">
        <v>6369</v>
      </c>
      <c r="B6370">
        <v>405641610</v>
      </c>
      <c r="C6370">
        <v>405641610</v>
      </c>
    </row>
    <row r="6371" spans="1:3">
      <c r="A6371">
        <v>6370</v>
      </c>
      <c r="B6371">
        <v>405769000</v>
      </c>
      <c r="C6371">
        <v>405769000</v>
      </c>
    </row>
    <row r="6372" spans="1:3">
      <c r="A6372">
        <v>6371</v>
      </c>
      <c r="B6372">
        <v>405896410</v>
      </c>
      <c r="C6372">
        <v>405896410</v>
      </c>
    </row>
    <row r="6373" spans="1:3">
      <c r="A6373">
        <v>6372</v>
      </c>
      <c r="B6373">
        <v>406023840</v>
      </c>
      <c r="C6373">
        <v>406023840</v>
      </c>
    </row>
    <row r="6374" spans="1:3">
      <c r="A6374">
        <v>6373</v>
      </c>
      <c r="B6374">
        <v>406151290</v>
      </c>
      <c r="C6374">
        <v>406151290</v>
      </c>
    </row>
    <row r="6375" spans="1:3">
      <c r="A6375">
        <v>6374</v>
      </c>
      <c r="B6375">
        <v>406278760</v>
      </c>
      <c r="C6375">
        <v>406278760</v>
      </c>
    </row>
    <row r="6376" spans="1:3">
      <c r="A6376">
        <v>6375</v>
      </c>
      <c r="B6376">
        <v>406406250</v>
      </c>
      <c r="C6376">
        <v>406406250</v>
      </c>
    </row>
    <row r="6377" spans="1:3">
      <c r="A6377">
        <v>6376</v>
      </c>
      <c r="B6377">
        <v>406533760</v>
      </c>
      <c r="C6377">
        <v>406533760</v>
      </c>
    </row>
    <row r="6378" spans="1:3">
      <c r="A6378">
        <v>6377</v>
      </c>
      <c r="B6378">
        <v>406661290</v>
      </c>
      <c r="C6378">
        <v>406661290</v>
      </c>
    </row>
    <row r="6379" spans="1:3">
      <c r="A6379">
        <v>6378</v>
      </c>
      <c r="B6379">
        <v>406788840</v>
      </c>
      <c r="C6379">
        <v>406788840</v>
      </c>
    </row>
    <row r="6380" spans="1:3">
      <c r="A6380">
        <v>6379</v>
      </c>
      <c r="B6380">
        <v>406916410</v>
      </c>
      <c r="C6380">
        <v>406916410</v>
      </c>
    </row>
    <row r="6381" spans="1:3">
      <c r="A6381">
        <v>6380</v>
      </c>
      <c r="B6381">
        <v>407044000</v>
      </c>
      <c r="C6381">
        <v>407044000</v>
      </c>
    </row>
    <row r="6382" spans="1:3">
      <c r="A6382">
        <v>6381</v>
      </c>
      <c r="B6382">
        <v>407171610</v>
      </c>
      <c r="C6382">
        <v>407171610</v>
      </c>
    </row>
    <row r="6383" spans="1:3">
      <c r="A6383">
        <v>6382</v>
      </c>
      <c r="B6383">
        <v>407299240</v>
      </c>
      <c r="C6383">
        <v>407299240</v>
      </c>
    </row>
    <row r="6384" spans="1:3">
      <c r="A6384">
        <v>6383</v>
      </c>
      <c r="B6384">
        <v>407426890</v>
      </c>
      <c r="C6384">
        <v>407426890</v>
      </c>
    </row>
    <row r="6385" spans="1:3">
      <c r="A6385">
        <v>6384</v>
      </c>
      <c r="B6385">
        <v>407554560</v>
      </c>
      <c r="C6385">
        <v>407554560</v>
      </c>
    </row>
    <row r="6386" spans="1:3">
      <c r="A6386">
        <v>6385</v>
      </c>
      <c r="B6386">
        <v>407682250</v>
      </c>
      <c r="C6386">
        <v>407682250</v>
      </c>
    </row>
    <row r="6387" spans="1:3">
      <c r="A6387">
        <v>6386</v>
      </c>
      <c r="B6387">
        <v>407809960</v>
      </c>
      <c r="C6387">
        <v>407809960</v>
      </c>
    </row>
    <row r="6388" spans="1:3">
      <c r="A6388">
        <v>6387</v>
      </c>
      <c r="B6388">
        <v>407937690</v>
      </c>
      <c r="C6388">
        <v>407937690</v>
      </c>
    </row>
    <row r="6389" spans="1:3">
      <c r="A6389">
        <v>6388</v>
      </c>
      <c r="B6389">
        <v>408065440</v>
      </c>
      <c r="C6389">
        <v>408065440</v>
      </c>
    </row>
    <row r="6390" spans="1:3">
      <c r="A6390">
        <v>6389</v>
      </c>
      <c r="B6390">
        <v>408193210</v>
      </c>
      <c r="C6390">
        <v>408193210</v>
      </c>
    </row>
    <row r="6391" spans="1:3">
      <c r="A6391">
        <v>6390</v>
      </c>
      <c r="B6391">
        <v>408321000</v>
      </c>
      <c r="C6391">
        <v>408321000</v>
      </c>
    </row>
    <row r="6392" spans="1:3">
      <c r="A6392">
        <v>6391</v>
      </c>
      <c r="B6392">
        <v>408448810</v>
      </c>
      <c r="C6392">
        <v>408448810</v>
      </c>
    </row>
    <row r="6393" spans="1:3">
      <c r="A6393">
        <v>6392</v>
      </c>
      <c r="B6393">
        <v>408576640</v>
      </c>
      <c r="C6393">
        <v>408576640</v>
      </c>
    </row>
    <row r="6394" spans="1:3">
      <c r="A6394">
        <v>6393</v>
      </c>
      <c r="B6394">
        <v>408704490</v>
      </c>
      <c r="C6394">
        <v>408704490</v>
      </c>
    </row>
    <row r="6395" spans="1:3">
      <c r="A6395">
        <v>6394</v>
      </c>
      <c r="B6395">
        <v>408832360</v>
      </c>
      <c r="C6395">
        <v>408832360</v>
      </c>
    </row>
    <row r="6396" spans="1:3">
      <c r="A6396">
        <v>6395</v>
      </c>
      <c r="B6396">
        <v>408960250</v>
      </c>
      <c r="C6396">
        <v>408960250</v>
      </c>
    </row>
    <row r="6397" spans="1:3">
      <c r="A6397">
        <v>6396</v>
      </c>
      <c r="B6397">
        <v>409088160</v>
      </c>
      <c r="C6397">
        <v>409088160</v>
      </c>
    </row>
    <row r="6398" spans="1:3">
      <c r="A6398">
        <v>6397</v>
      </c>
      <c r="B6398">
        <v>409216090</v>
      </c>
      <c r="C6398">
        <v>409216090</v>
      </c>
    </row>
    <row r="6399" spans="1:3">
      <c r="A6399">
        <v>6398</v>
      </c>
      <c r="B6399">
        <v>409344040</v>
      </c>
      <c r="C6399">
        <v>409344040</v>
      </c>
    </row>
    <row r="6400" spans="1:3">
      <c r="A6400">
        <v>6399</v>
      </c>
      <c r="B6400">
        <v>409472010</v>
      </c>
      <c r="C6400">
        <v>409472010</v>
      </c>
    </row>
    <row r="6401" spans="1:3">
      <c r="A6401">
        <v>6400</v>
      </c>
      <c r="B6401">
        <v>409600000</v>
      </c>
      <c r="C6401">
        <v>409600000</v>
      </c>
    </row>
    <row r="6402" spans="1:3">
      <c r="A6402">
        <v>6401</v>
      </c>
      <c r="B6402">
        <v>409728010</v>
      </c>
      <c r="C6402">
        <v>409728010</v>
      </c>
    </row>
    <row r="6403" spans="1:3">
      <c r="A6403">
        <v>6402</v>
      </c>
      <c r="B6403">
        <v>409856040</v>
      </c>
      <c r="C6403">
        <v>409856040</v>
      </c>
    </row>
    <row r="6404" spans="1:3">
      <c r="A6404">
        <v>6403</v>
      </c>
      <c r="B6404">
        <v>409984090</v>
      </c>
      <c r="C6404">
        <v>409984090</v>
      </c>
    </row>
    <row r="6405" spans="1:3">
      <c r="A6405">
        <v>6404</v>
      </c>
      <c r="B6405">
        <v>410112160</v>
      </c>
      <c r="C6405">
        <v>410112160</v>
      </c>
    </row>
    <row r="6406" spans="1:3">
      <c r="A6406">
        <v>6405</v>
      </c>
      <c r="B6406">
        <v>410240250</v>
      </c>
      <c r="C6406">
        <v>410240250</v>
      </c>
    </row>
    <row r="6407" spans="1:3">
      <c r="A6407">
        <v>6406</v>
      </c>
      <c r="B6407">
        <v>410368360</v>
      </c>
      <c r="C6407">
        <v>410368360</v>
      </c>
    </row>
    <row r="6408" spans="1:3">
      <c r="A6408">
        <v>6407</v>
      </c>
      <c r="B6408">
        <v>410496490</v>
      </c>
      <c r="C6408">
        <v>410496490</v>
      </c>
    </row>
    <row r="6409" spans="1:3">
      <c r="A6409">
        <v>6408</v>
      </c>
      <c r="B6409">
        <v>410624640</v>
      </c>
      <c r="C6409">
        <v>410624640</v>
      </c>
    </row>
    <row r="6410" spans="1:3">
      <c r="A6410">
        <v>6409</v>
      </c>
      <c r="B6410">
        <v>410752810</v>
      </c>
      <c r="C6410">
        <v>410752810</v>
      </c>
    </row>
    <row r="6411" spans="1:3">
      <c r="A6411">
        <v>6410</v>
      </c>
      <c r="B6411">
        <v>410881000</v>
      </c>
      <c r="C6411">
        <v>410881000</v>
      </c>
    </row>
    <row r="6412" spans="1:3">
      <c r="A6412">
        <v>6411</v>
      </c>
      <c r="B6412">
        <v>411009210</v>
      </c>
      <c r="C6412">
        <v>411009210</v>
      </c>
    </row>
    <row r="6413" spans="1:3">
      <c r="A6413">
        <v>6412</v>
      </c>
      <c r="B6413">
        <v>411137440</v>
      </c>
      <c r="C6413">
        <v>411137440</v>
      </c>
    </row>
    <row r="6414" spans="1:3">
      <c r="A6414">
        <v>6413</v>
      </c>
      <c r="B6414">
        <v>411265690</v>
      </c>
      <c r="C6414">
        <v>411265690</v>
      </c>
    </row>
    <row r="6415" spans="1:3">
      <c r="A6415">
        <v>6414</v>
      </c>
      <c r="B6415">
        <v>411393960</v>
      </c>
      <c r="C6415">
        <v>411393960</v>
      </c>
    </row>
    <row r="6416" spans="1:3">
      <c r="A6416">
        <v>6415</v>
      </c>
      <c r="B6416">
        <v>411522250</v>
      </c>
      <c r="C6416">
        <v>411522250</v>
      </c>
    </row>
    <row r="6417" spans="1:3">
      <c r="A6417">
        <v>6416</v>
      </c>
      <c r="B6417">
        <v>411650560</v>
      </c>
      <c r="C6417">
        <v>411650560</v>
      </c>
    </row>
    <row r="6418" spans="1:3">
      <c r="A6418">
        <v>6417</v>
      </c>
      <c r="B6418">
        <v>411778890</v>
      </c>
      <c r="C6418">
        <v>411778890</v>
      </c>
    </row>
    <row r="6419" spans="1:3">
      <c r="A6419">
        <v>6418</v>
      </c>
      <c r="B6419">
        <v>411907240</v>
      </c>
      <c r="C6419">
        <v>411907240</v>
      </c>
    </row>
    <row r="6420" spans="1:3">
      <c r="A6420">
        <v>6419</v>
      </c>
      <c r="B6420">
        <v>412035610</v>
      </c>
      <c r="C6420">
        <v>412035610</v>
      </c>
    </row>
    <row r="6421" spans="1:3">
      <c r="A6421">
        <v>6420</v>
      </c>
      <c r="B6421">
        <v>412164000</v>
      </c>
      <c r="C6421">
        <v>412164000</v>
      </c>
    </row>
    <row r="6422" spans="1:3">
      <c r="A6422">
        <v>6421</v>
      </c>
      <c r="B6422">
        <v>412292410</v>
      </c>
      <c r="C6422">
        <v>412292410</v>
      </c>
    </row>
    <row r="6423" spans="1:3">
      <c r="A6423">
        <v>6422</v>
      </c>
      <c r="B6423">
        <v>412420840</v>
      </c>
      <c r="C6423">
        <v>412420840</v>
      </c>
    </row>
    <row r="6424" spans="1:3">
      <c r="A6424">
        <v>6423</v>
      </c>
      <c r="B6424">
        <v>412549290</v>
      </c>
      <c r="C6424">
        <v>412549290</v>
      </c>
    </row>
    <row r="6425" spans="1:3">
      <c r="A6425">
        <v>6424</v>
      </c>
      <c r="B6425">
        <v>412677760</v>
      </c>
      <c r="C6425">
        <v>412677760</v>
      </c>
    </row>
    <row r="6426" spans="1:3">
      <c r="A6426">
        <v>6425</v>
      </c>
      <c r="B6426">
        <v>412806250</v>
      </c>
      <c r="C6426">
        <v>412806250</v>
      </c>
    </row>
    <row r="6427" spans="1:3">
      <c r="A6427">
        <v>6426</v>
      </c>
      <c r="B6427">
        <v>412934760</v>
      </c>
      <c r="C6427">
        <v>412934760</v>
      </c>
    </row>
    <row r="6428" spans="1:3">
      <c r="A6428">
        <v>6427</v>
      </c>
      <c r="B6428">
        <v>413063290</v>
      </c>
      <c r="C6428">
        <v>413063290</v>
      </c>
    </row>
    <row r="6429" spans="1:3">
      <c r="A6429">
        <v>6428</v>
      </c>
      <c r="B6429">
        <v>413191840</v>
      </c>
      <c r="C6429">
        <v>413191840</v>
      </c>
    </row>
    <row r="6430" spans="1:3">
      <c r="A6430">
        <v>6429</v>
      </c>
      <c r="B6430">
        <v>413320410</v>
      </c>
      <c r="C6430">
        <v>413320410</v>
      </c>
    </row>
    <row r="6431" spans="1:3">
      <c r="A6431">
        <v>6430</v>
      </c>
      <c r="B6431">
        <v>413449000</v>
      </c>
      <c r="C6431">
        <v>413449000</v>
      </c>
    </row>
    <row r="6432" spans="1:3">
      <c r="A6432">
        <v>6431</v>
      </c>
      <c r="B6432">
        <v>413577610</v>
      </c>
      <c r="C6432">
        <v>413577610</v>
      </c>
    </row>
    <row r="6433" spans="1:3">
      <c r="A6433">
        <v>6432</v>
      </c>
      <c r="B6433">
        <v>413706240</v>
      </c>
      <c r="C6433">
        <v>413706240</v>
      </c>
    </row>
    <row r="6434" spans="1:3">
      <c r="A6434">
        <v>6433</v>
      </c>
      <c r="B6434">
        <v>413834890</v>
      </c>
      <c r="C6434">
        <v>413834890</v>
      </c>
    </row>
    <row r="6435" spans="1:3">
      <c r="A6435">
        <v>6434</v>
      </c>
      <c r="B6435">
        <v>413963560</v>
      </c>
      <c r="C6435">
        <v>413963560</v>
      </c>
    </row>
    <row r="6436" spans="1:3">
      <c r="A6436">
        <v>6435</v>
      </c>
      <c r="B6436">
        <v>414092250</v>
      </c>
      <c r="C6436">
        <v>414092250</v>
      </c>
    </row>
    <row r="6437" spans="1:3">
      <c r="A6437">
        <v>6436</v>
      </c>
      <c r="B6437">
        <v>414220960</v>
      </c>
      <c r="C6437">
        <v>414220960</v>
      </c>
    </row>
    <row r="6438" spans="1:3">
      <c r="A6438">
        <v>6437</v>
      </c>
      <c r="B6438">
        <v>414349690</v>
      </c>
      <c r="C6438">
        <v>414349690</v>
      </c>
    </row>
    <row r="6439" spans="1:3">
      <c r="A6439">
        <v>6438</v>
      </c>
      <c r="B6439">
        <v>414478440</v>
      </c>
      <c r="C6439">
        <v>414478440</v>
      </c>
    </row>
    <row r="6440" spans="1:3">
      <c r="A6440">
        <v>6439</v>
      </c>
      <c r="B6440">
        <v>414607210</v>
      </c>
      <c r="C6440">
        <v>414607210</v>
      </c>
    </row>
    <row r="6441" spans="1:3">
      <c r="A6441">
        <v>6440</v>
      </c>
      <c r="B6441">
        <v>414736000</v>
      </c>
      <c r="C6441">
        <v>414736000</v>
      </c>
    </row>
    <row r="6442" spans="1:3">
      <c r="A6442">
        <v>6441</v>
      </c>
      <c r="B6442">
        <v>414864810</v>
      </c>
      <c r="C6442">
        <v>414864810</v>
      </c>
    </row>
    <row r="6443" spans="1:3">
      <c r="A6443">
        <v>6442</v>
      </c>
      <c r="B6443">
        <v>414993640</v>
      </c>
      <c r="C6443">
        <v>414993640</v>
      </c>
    </row>
    <row r="6444" spans="1:3">
      <c r="A6444">
        <v>6443</v>
      </c>
      <c r="B6444">
        <v>415122490</v>
      </c>
      <c r="C6444">
        <v>415122490</v>
      </c>
    </row>
    <row r="6445" spans="1:3">
      <c r="A6445">
        <v>6444</v>
      </c>
      <c r="B6445">
        <v>415251360</v>
      </c>
      <c r="C6445">
        <v>415251360</v>
      </c>
    </row>
    <row r="6446" spans="1:3">
      <c r="A6446">
        <v>6445</v>
      </c>
      <c r="B6446">
        <v>415380250</v>
      </c>
      <c r="C6446">
        <v>415380250</v>
      </c>
    </row>
    <row r="6447" spans="1:3">
      <c r="A6447">
        <v>6446</v>
      </c>
      <c r="B6447">
        <v>415509160</v>
      </c>
      <c r="C6447">
        <v>415509160</v>
      </c>
    </row>
    <row r="6448" spans="1:3">
      <c r="A6448">
        <v>6447</v>
      </c>
      <c r="B6448">
        <v>415638090</v>
      </c>
      <c r="C6448">
        <v>415638090</v>
      </c>
    </row>
    <row r="6449" spans="1:3">
      <c r="A6449">
        <v>6448</v>
      </c>
      <c r="B6449">
        <v>415767040</v>
      </c>
      <c r="C6449">
        <v>415767040</v>
      </c>
    </row>
    <row r="6450" spans="1:3">
      <c r="A6450">
        <v>6449</v>
      </c>
      <c r="B6450">
        <v>415896010</v>
      </c>
      <c r="C6450">
        <v>415896010</v>
      </c>
    </row>
    <row r="6451" spans="1:3">
      <c r="A6451">
        <v>6450</v>
      </c>
      <c r="B6451">
        <v>416025000</v>
      </c>
      <c r="C6451">
        <v>416025000</v>
      </c>
    </row>
    <row r="6452" spans="1:3">
      <c r="A6452">
        <v>6451</v>
      </c>
      <c r="B6452">
        <v>416154010</v>
      </c>
      <c r="C6452">
        <v>416154010</v>
      </c>
    </row>
    <row r="6453" spans="1:3">
      <c r="A6453">
        <v>6452</v>
      </c>
      <c r="B6453">
        <v>416283040</v>
      </c>
      <c r="C6453">
        <v>416283040</v>
      </c>
    </row>
    <row r="6454" spans="1:3">
      <c r="A6454">
        <v>6453</v>
      </c>
      <c r="B6454">
        <v>416412090</v>
      </c>
      <c r="C6454">
        <v>416412090</v>
      </c>
    </row>
    <row r="6455" spans="1:3">
      <c r="A6455">
        <v>6454</v>
      </c>
      <c r="B6455">
        <v>416541160</v>
      </c>
      <c r="C6455">
        <v>416541160</v>
      </c>
    </row>
    <row r="6456" spans="1:3">
      <c r="A6456">
        <v>6455</v>
      </c>
      <c r="B6456">
        <v>416670250</v>
      </c>
      <c r="C6456">
        <v>416670250</v>
      </c>
    </row>
    <row r="6457" spans="1:3">
      <c r="A6457">
        <v>6456</v>
      </c>
      <c r="B6457">
        <v>416799360</v>
      </c>
      <c r="C6457">
        <v>416799360</v>
      </c>
    </row>
    <row r="6458" spans="1:3">
      <c r="A6458">
        <v>6457</v>
      </c>
      <c r="B6458">
        <v>416928490</v>
      </c>
      <c r="C6458">
        <v>416928490</v>
      </c>
    </row>
    <row r="6459" spans="1:3">
      <c r="A6459">
        <v>6458</v>
      </c>
      <c r="B6459">
        <v>417057640</v>
      </c>
      <c r="C6459">
        <v>417057640</v>
      </c>
    </row>
    <row r="6460" spans="1:3">
      <c r="A6460">
        <v>6459</v>
      </c>
      <c r="B6460">
        <v>417186810</v>
      </c>
      <c r="C6460">
        <v>417186810</v>
      </c>
    </row>
    <row r="6461" spans="1:3">
      <c r="A6461">
        <v>6460</v>
      </c>
      <c r="B6461">
        <v>417316000</v>
      </c>
      <c r="C6461">
        <v>417316000</v>
      </c>
    </row>
    <row r="6462" spans="1:3">
      <c r="A6462">
        <v>6461</v>
      </c>
      <c r="B6462">
        <v>417445210</v>
      </c>
      <c r="C6462">
        <v>417445210</v>
      </c>
    </row>
    <row r="6463" spans="1:3">
      <c r="A6463">
        <v>6462</v>
      </c>
      <c r="B6463">
        <v>417574440</v>
      </c>
      <c r="C6463">
        <v>417574440</v>
      </c>
    </row>
    <row r="6464" spans="1:3">
      <c r="A6464">
        <v>6463</v>
      </c>
      <c r="B6464">
        <v>417703690</v>
      </c>
      <c r="C6464">
        <v>417703690</v>
      </c>
    </row>
    <row r="6465" spans="1:3">
      <c r="A6465">
        <v>6464</v>
      </c>
      <c r="B6465">
        <v>417832960</v>
      </c>
      <c r="C6465">
        <v>417832960</v>
      </c>
    </row>
    <row r="6466" spans="1:3">
      <c r="A6466">
        <v>6465</v>
      </c>
      <c r="B6466">
        <v>417962250</v>
      </c>
      <c r="C6466">
        <v>417962250</v>
      </c>
    </row>
    <row r="6467" spans="1:3">
      <c r="A6467">
        <v>6466</v>
      </c>
      <c r="B6467">
        <v>418091560</v>
      </c>
      <c r="C6467">
        <v>418091560</v>
      </c>
    </row>
    <row r="6468" spans="1:3">
      <c r="A6468">
        <v>6467</v>
      </c>
      <c r="B6468">
        <v>418220890</v>
      </c>
      <c r="C6468">
        <v>418220890</v>
      </c>
    </row>
    <row r="6469" spans="1:3">
      <c r="A6469">
        <v>6468</v>
      </c>
      <c r="B6469">
        <v>418350240</v>
      </c>
      <c r="C6469">
        <v>418350240</v>
      </c>
    </row>
    <row r="6470" spans="1:3">
      <c r="A6470">
        <v>6469</v>
      </c>
      <c r="B6470">
        <v>418479610</v>
      </c>
      <c r="C6470">
        <v>418479610</v>
      </c>
    </row>
    <row r="6471" spans="1:3">
      <c r="A6471">
        <v>6470</v>
      </c>
      <c r="B6471">
        <v>418609000</v>
      </c>
      <c r="C6471">
        <v>418609000</v>
      </c>
    </row>
    <row r="6472" spans="1:3">
      <c r="A6472">
        <v>6471</v>
      </c>
      <c r="B6472">
        <v>418738410</v>
      </c>
      <c r="C6472">
        <v>418738410</v>
      </c>
    </row>
    <row r="6473" spans="1:3">
      <c r="A6473">
        <v>6472</v>
      </c>
      <c r="B6473">
        <v>418867840</v>
      </c>
      <c r="C6473">
        <v>418867840</v>
      </c>
    </row>
    <row r="6474" spans="1:3">
      <c r="A6474">
        <v>6473</v>
      </c>
      <c r="B6474">
        <v>418997290</v>
      </c>
      <c r="C6474">
        <v>418997290</v>
      </c>
    </row>
    <row r="6475" spans="1:3">
      <c r="A6475">
        <v>6474</v>
      </c>
      <c r="B6475">
        <v>419126760</v>
      </c>
      <c r="C6475">
        <v>419126760</v>
      </c>
    </row>
    <row r="6476" spans="1:3">
      <c r="A6476">
        <v>6475</v>
      </c>
      <c r="B6476">
        <v>419256250</v>
      </c>
      <c r="C6476">
        <v>419256250</v>
      </c>
    </row>
    <row r="6477" spans="1:3">
      <c r="A6477">
        <v>6476</v>
      </c>
      <c r="B6477">
        <v>419385760</v>
      </c>
      <c r="C6477">
        <v>419385760</v>
      </c>
    </row>
    <row r="6478" spans="1:3">
      <c r="A6478">
        <v>6477</v>
      </c>
      <c r="B6478">
        <v>419515290</v>
      </c>
      <c r="C6478">
        <v>419515290</v>
      </c>
    </row>
    <row r="6479" spans="1:3">
      <c r="A6479">
        <v>6478</v>
      </c>
      <c r="B6479">
        <v>419644840</v>
      </c>
      <c r="C6479">
        <v>419644840</v>
      </c>
    </row>
    <row r="6480" spans="1:3">
      <c r="A6480">
        <v>6479</v>
      </c>
      <c r="B6480">
        <v>419774410</v>
      </c>
      <c r="C6480">
        <v>419774410</v>
      </c>
    </row>
    <row r="6481" spans="1:3">
      <c r="A6481">
        <v>6480</v>
      </c>
      <c r="B6481">
        <v>419904000</v>
      </c>
      <c r="C6481">
        <v>419904000</v>
      </c>
    </row>
    <row r="6482" spans="1:3">
      <c r="A6482">
        <v>6481</v>
      </c>
      <c r="B6482">
        <v>420033610</v>
      </c>
      <c r="C6482">
        <v>420033610</v>
      </c>
    </row>
    <row r="6483" spans="1:3">
      <c r="A6483">
        <v>6482</v>
      </c>
      <c r="B6483">
        <v>420163240</v>
      </c>
      <c r="C6483">
        <v>420163240</v>
      </c>
    </row>
    <row r="6484" spans="1:3">
      <c r="A6484">
        <v>6483</v>
      </c>
      <c r="B6484">
        <v>420292890</v>
      </c>
      <c r="C6484">
        <v>420292890</v>
      </c>
    </row>
    <row r="6485" spans="1:3">
      <c r="A6485">
        <v>6484</v>
      </c>
      <c r="B6485">
        <v>420422560</v>
      </c>
      <c r="C6485">
        <v>420422560</v>
      </c>
    </row>
    <row r="6486" spans="1:3">
      <c r="A6486">
        <v>6485</v>
      </c>
      <c r="B6486">
        <v>420552250</v>
      </c>
      <c r="C6486">
        <v>420552250</v>
      </c>
    </row>
    <row r="6487" spans="1:3">
      <c r="A6487">
        <v>6486</v>
      </c>
      <c r="B6487">
        <v>420681960</v>
      </c>
      <c r="C6487">
        <v>420681960</v>
      </c>
    </row>
    <row r="6488" spans="1:3">
      <c r="A6488">
        <v>6487</v>
      </c>
      <c r="B6488">
        <v>420811690</v>
      </c>
      <c r="C6488">
        <v>420811690</v>
      </c>
    </row>
    <row r="6489" spans="1:3">
      <c r="A6489">
        <v>6488</v>
      </c>
      <c r="B6489">
        <v>420941440</v>
      </c>
      <c r="C6489">
        <v>420941440</v>
      </c>
    </row>
    <row r="6490" spans="1:3">
      <c r="A6490">
        <v>6489</v>
      </c>
      <c r="B6490">
        <v>421071210</v>
      </c>
      <c r="C6490">
        <v>421071210</v>
      </c>
    </row>
    <row r="6491" spans="1:3">
      <c r="A6491">
        <v>6490</v>
      </c>
      <c r="B6491">
        <v>421201000</v>
      </c>
      <c r="C6491">
        <v>421201000</v>
      </c>
    </row>
    <row r="6492" spans="1:3">
      <c r="A6492">
        <v>6491</v>
      </c>
      <c r="B6492">
        <v>421330810</v>
      </c>
      <c r="C6492">
        <v>421330810</v>
      </c>
    </row>
    <row r="6493" spans="1:3">
      <c r="A6493">
        <v>6492</v>
      </c>
      <c r="B6493">
        <v>421460640</v>
      </c>
      <c r="C6493">
        <v>421460640</v>
      </c>
    </row>
    <row r="6494" spans="1:3">
      <c r="A6494">
        <v>6493</v>
      </c>
      <c r="B6494">
        <v>421590490</v>
      </c>
      <c r="C6494">
        <v>421590490</v>
      </c>
    </row>
    <row r="6495" spans="1:3">
      <c r="A6495">
        <v>6494</v>
      </c>
      <c r="B6495">
        <v>421720360</v>
      </c>
      <c r="C6495">
        <v>421720360</v>
      </c>
    </row>
    <row r="6496" spans="1:3">
      <c r="A6496">
        <v>6495</v>
      </c>
      <c r="B6496">
        <v>421850250</v>
      </c>
      <c r="C6496">
        <v>421850250</v>
      </c>
    </row>
    <row r="6497" spans="1:3">
      <c r="A6497">
        <v>6496</v>
      </c>
      <c r="B6497">
        <v>421980160</v>
      </c>
      <c r="C6497">
        <v>421980160</v>
      </c>
    </row>
    <row r="6498" spans="1:3">
      <c r="A6498">
        <v>6497</v>
      </c>
      <c r="B6498">
        <v>422110090</v>
      </c>
      <c r="C6498">
        <v>422110090</v>
      </c>
    </row>
    <row r="6499" spans="1:3">
      <c r="A6499">
        <v>6498</v>
      </c>
      <c r="B6499">
        <v>422240040</v>
      </c>
      <c r="C6499">
        <v>422240040</v>
      </c>
    </row>
    <row r="6500" spans="1:3">
      <c r="A6500">
        <v>6499</v>
      </c>
      <c r="B6500">
        <v>422370010</v>
      </c>
      <c r="C6500">
        <v>422370010</v>
      </c>
    </row>
    <row r="6501" spans="1:3">
      <c r="A6501">
        <v>6500</v>
      </c>
      <c r="B6501">
        <v>422500000</v>
      </c>
      <c r="C6501">
        <v>422500000</v>
      </c>
    </row>
    <row r="6502" spans="1:3">
      <c r="A6502">
        <v>6501</v>
      </c>
      <c r="B6502">
        <v>422630010</v>
      </c>
      <c r="C6502">
        <v>422630010</v>
      </c>
    </row>
    <row r="6503" spans="1:3">
      <c r="A6503">
        <v>6502</v>
      </c>
      <c r="B6503">
        <v>422760040</v>
      </c>
      <c r="C6503">
        <v>422760040</v>
      </c>
    </row>
    <row r="6504" spans="1:3">
      <c r="A6504">
        <v>6503</v>
      </c>
      <c r="B6504">
        <v>422890090</v>
      </c>
      <c r="C6504">
        <v>422890090</v>
      </c>
    </row>
    <row r="6505" spans="1:3">
      <c r="A6505">
        <v>6504</v>
      </c>
      <c r="B6505">
        <v>423020160</v>
      </c>
      <c r="C6505">
        <v>423020160</v>
      </c>
    </row>
    <row r="6506" spans="1:3">
      <c r="A6506">
        <v>6505</v>
      </c>
      <c r="B6506">
        <v>423150250</v>
      </c>
      <c r="C6506">
        <v>423150250</v>
      </c>
    </row>
    <row r="6507" spans="1:3">
      <c r="A6507">
        <v>6506</v>
      </c>
      <c r="B6507">
        <v>423280360</v>
      </c>
      <c r="C6507">
        <v>423280360</v>
      </c>
    </row>
    <row r="6508" spans="1:3">
      <c r="A6508">
        <v>6507</v>
      </c>
      <c r="B6508">
        <v>423410490</v>
      </c>
      <c r="C6508">
        <v>423410490</v>
      </c>
    </row>
    <row r="6509" spans="1:3">
      <c r="A6509">
        <v>6508</v>
      </c>
      <c r="B6509">
        <v>423540640</v>
      </c>
      <c r="C6509">
        <v>423540640</v>
      </c>
    </row>
    <row r="6510" spans="1:3">
      <c r="A6510">
        <v>6509</v>
      </c>
      <c r="B6510">
        <v>423670810</v>
      </c>
      <c r="C6510">
        <v>423670810</v>
      </c>
    </row>
    <row r="6511" spans="1:3">
      <c r="A6511">
        <v>6510</v>
      </c>
      <c r="B6511">
        <v>423801000</v>
      </c>
      <c r="C6511">
        <v>423801000</v>
      </c>
    </row>
    <row r="6512" spans="1:3">
      <c r="A6512">
        <v>6511</v>
      </c>
      <c r="B6512">
        <v>423931210</v>
      </c>
      <c r="C6512">
        <v>423931210</v>
      </c>
    </row>
    <row r="6513" spans="1:3">
      <c r="A6513">
        <v>6512</v>
      </c>
      <c r="B6513">
        <v>424061440</v>
      </c>
      <c r="C6513">
        <v>424061440</v>
      </c>
    </row>
    <row r="6514" spans="1:3">
      <c r="A6514">
        <v>6513</v>
      </c>
      <c r="B6514">
        <v>424191690</v>
      </c>
      <c r="C6514">
        <v>424191690</v>
      </c>
    </row>
    <row r="6515" spans="1:3">
      <c r="A6515">
        <v>6514</v>
      </c>
      <c r="B6515">
        <v>424321960</v>
      </c>
      <c r="C6515">
        <v>424321960</v>
      </c>
    </row>
    <row r="6516" spans="1:3">
      <c r="A6516">
        <v>6515</v>
      </c>
      <c r="B6516">
        <v>424452250</v>
      </c>
      <c r="C6516">
        <v>424452250</v>
      </c>
    </row>
    <row r="6517" spans="1:3">
      <c r="A6517">
        <v>6516</v>
      </c>
      <c r="B6517">
        <v>424582560</v>
      </c>
      <c r="C6517">
        <v>424582560</v>
      </c>
    </row>
    <row r="6518" spans="1:3">
      <c r="A6518">
        <v>6517</v>
      </c>
      <c r="B6518">
        <v>424712890</v>
      </c>
      <c r="C6518">
        <v>424712890</v>
      </c>
    </row>
    <row r="6519" spans="1:3">
      <c r="A6519">
        <v>6518</v>
      </c>
      <c r="B6519">
        <v>424843240</v>
      </c>
      <c r="C6519">
        <v>424843240</v>
      </c>
    </row>
    <row r="6520" spans="1:3">
      <c r="A6520">
        <v>6519</v>
      </c>
      <c r="B6520">
        <v>424973610</v>
      </c>
      <c r="C6520">
        <v>424973610</v>
      </c>
    </row>
    <row r="6521" spans="1:3">
      <c r="A6521">
        <v>6520</v>
      </c>
      <c r="B6521">
        <v>425104000</v>
      </c>
      <c r="C6521">
        <v>425104000</v>
      </c>
    </row>
    <row r="6522" spans="1:3">
      <c r="A6522">
        <v>6521</v>
      </c>
      <c r="B6522">
        <v>425234410</v>
      </c>
      <c r="C6522">
        <v>425234410</v>
      </c>
    </row>
    <row r="6523" spans="1:3">
      <c r="A6523">
        <v>6522</v>
      </c>
      <c r="B6523">
        <v>425364840</v>
      </c>
      <c r="C6523">
        <v>425364840</v>
      </c>
    </row>
    <row r="6524" spans="1:3">
      <c r="A6524">
        <v>6523</v>
      </c>
      <c r="B6524">
        <v>425495290</v>
      </c>
      <c r="C6524">
        <v>425495290</v>
      </c>
    </row>
    <row r="6525" spans="1:3">
      <c r="A6525">
        <v>6524</v>
      </c>
      <c r="B6525">
        <v>425625760</v>
      </c>
      <c r="C6525">
        <v>425625760</v>
      </c>
    </row>
    <row r="6526" spans="1:3">
      <c r="A6526">
        <v>6525</v>
      </c>
      <c r="B6526">
        <v>425756250</v>
      </c>
      <c r="C6526">
        <v>425756250</v>
      </c>
    </row>
    <row r="6527" spans="1:3">
      <c r="A6527">
        <v>6526</v>
      </c>
      <c r="B6527">
        <v>425886760</v>
      </c>
      <c r="C6527">
        <v>425886760</v>
      </c>
    </row>
    <row r="6528" spans="1:3">
      <c r="A6528">
        <v>6527</v>
      </c>
      <c r="B6528">
        <v>426017290</v>
      </c>
      <c r="C6528">
        <v>426017290</v>
      </c>
    </row>
    <row r="6529" spans="1:3">
      <c r="A6529">
        <v>6528</v>
      </c>
      <c r="B6529">
        <v>426147840</v>
      </c>
      <c r="C6529">
        <v>426147840</v>
      </c>
    </row>
    <row r="6530" spans="1:3">
      <c r="A6530">
        <v>6529</v>
      </c>
      <c r="B6530">
        <v>426278410</v>
      </c>
      <c r="C6530">
        <v>426278410</v>
      </c>
    </row>
    <row r="6531" spans="1:3">
      <c r="A6531">
        <v>6530</v>
      </c>
      <c r="B6531">
        <v>426409000</v>
      </c>
      <c r="C6531">
        <v>426409000</v>
      </c>
    </row>
    <row r="6532" spans="1:3">
      <c r="A6532">
        <v>6531</v>
      </c>
      <c r="B6532">
        <v>426539610</v>
      </c>
      <c r="C6532">
        <v>426539610</v>
      </c>
    </row>
    <row r="6533" spans="1:3">
      <c r="A6533">
        <v>6532</v>
      </c>
      <c r="B6533">
        <v>426670240</v>
      </c>
      <c r="C6533">
        <v>426670240</v>
      </c>
    </row>
    <row r="6534" spans="1:3">
      <c r="A6534">
        <v>6533</v>
      </c>
      <c r="B6534">
        <v>426800890</v>
      </c>
      <c r="C6534">
        <v>426800890</v>
      </c>
    </row>
    <row r="6535" spans="1:3">
      <c r="A6535">
        <v>6534</v>
      </c>
      <c r="B6535">
        <v>426931560</v>
      </c>
      <c r="C6535">
        <v>426931560</v>
      </c>
    </row>
    <row r="6536" spans="1:3">
      <c r="A6536">
        <v>6535</v>
      </c>
      <c r="B6536">
        <v>427062250</v>
      </c>
      <c r="C6536">
        <v>427062250</v>
      </c>
    </row>
    <row r="6537" spans="1:3">
      <c r="A6537">
        <v>6536</v>
      </c>
      <c r="B6537">
        <v>427192960</v>
      </c>
      <c r="C6537">
        <v>427192960</v>
      </c>
    </row>
    <row r="6538" spans="1:3">
      <c r="A6538">
        <v>6537</v>
      </c>
      <c r="B6538">
        <v>427323690</v>
      </c>
      <c r="C6538">
        <v>427323690</v>
      </c>
    </row>
    <row r="6539" spans="1:3">
      <c r="A6539">
        <v>6538</v>
      </c>
      <c r="B6539">
        <v>427454440</v>
      </c>
      <c r="C6539">
        <v>427454440</v>
      </c>
    </row>
    <row r="6540" spans="1:3">
      <c r="A6540">
        <v>6539</v>
      </c>
      <c r="B6540">
        <v>427585210</v>
      </c>
      <c r="C6540">
        <v>427585210</v>
      </c>
    </row>
    <row r="6541" spans="1:3">
      <c r="A6541">
        <v>6540</v>
      </c>
      <c r="B6541">
        <v>427716000</v>
      </c>
      <c r="C6541">
        <v>427716000</v>
      </c>
    </row>
    <row r="6542" spans="1:3">
      <c r="A6542">
        <v>6541</v>
      </c>
      <c r="B6542">
        <v>427846810</v>
      </c>
      <c r="C6542">
        <v>427846810</v>
      </c>
    </row>
    <row r="6543" spans="1:3">
      <c r="A6543">
        <v>6542</v>
      </c>
      <c r="B6543">
        <v>427977640</v>
      </c>
      <c r="C6543">
        <v>427977640</v>
      </c>
    </row>
    <row r="6544" spans="1:3">
      <c r="A6544">
        <v>6543</v>
      </c>
      <c r="B6544">
        <v>428108490</v>
      </c>
      <c r="C6544">
        <v>428108490</v>
      </c>
    </row>
    <row r="6545" spans="1:3">
      <c r="A6545">
        <v>6544</v>
      </c>
      <c r="B6545">
        <v>428239360</v>
      </c>
      <c r="C6545">
        <v>428239360</v>
      </c>
    </row>
    <row r="6546" spans="1:3">
      <c r="A6546">
        <v>6545</v>
      </c>
      <c r="B6546">
        <v>428370250</v>
      </c>
      <c r="C6546">
        <v>428370250</v>
      </c>
    </row>
    <row r="6547" spans="1:3">
      <c r="A6547">
        <v>6546</v>
      </c>
      <c r="B6547">
        <v>428501160</v>
      </c>
      <c r="C6547">
        <v>428501160</v>
      </c>
    </row>
    <row r="6548" spans="1:3">
      <c r="A6548">
        <v>6547</v>
      </c>
      <c r="B6548">
        <v>428632090</v>
      </c>
      <c r="C6548">
        <v>428632090</v>
      </c>
    </row>
    <row r="6549" spans="1:3">
      <c r="A6549">
        <v>6548</v>
      </c>
      <c r="B6549">
        <v>428763040</v>
      </c>
      <c r="C6549">
        <v>428763040</v>
      </c>
    </row>
    <row r="6550" spans="1:3">
      <c r="A6550">
        <v>6549</v>
      </c>
      <c r="B6550">
        <v>428894010</v>
      </c>
      <c r="C6550">
        <v>428894010</v>
      </c>
    </row>
    <row r="6551" spans="1:3">
      <c r="A6551">
        <v>6550</v>
      </c>
      <c r="B6551">
        <v>429025000</v>
      </c>
      <c r="C6551">
        <v>429025000</v>
      </c>
    </row>
    <row r="6552" spans="1:3">
      <c r="A6552">
        <v>6551</v>
      </c>
      <c r="B6552">
        <v>429156010</v>
      </c>
      <c r="C6552">
        <v>429156010</v>
      </c>
    </row>
    <row r="6553" spans="1:3">
      <c r="A6553">
        <v>6552</v>
      </c>
      <c r="B6553">
        <v>429287040</v>
      </c>
      <c r="C6553">
        <v>429287040</v>
      </c>
    </row>
    <row r="6554" spans="1:3">
      <c r="A6554">
        <v>6553</v>
      </c>
      <c r="B6554">
        <v>429418090</v>
      </c>
      <c r="C6554">
        <v>429418090</v>
      </c>
    </row>
    <row r="6555" spans="1:3">
      <c r="A6555">
        <v>6554</v>
      </c>
      <c r="B6555">
        <v>429549160</v>
      </c>
      <c r="C6555">
        <v>429549160</v>
      </c>
    </row>
    <row r="6556" spans="1:3">
      <c r="A6556">
        <v>6555</v>
      </c>
      <c r="B6556">
        <v>429680250</v>
      </c>
      <c r="C6556">
        <v>429680250</v>
      </c>
    </row>
    <row r="6557" spans="1:3">
      <c r="A6557">
        <v>6556</v>
      </c>
      <c r="B6557">
        <v>429811360</v>
      </c>
      <c r="C6557">
        <v>429811360</v>
      </c>
    </row>
    <row r="6558" spans="1:3">
      <c r="A6558">
        <v>6557</v>
      </c>
      <c r="B6558">
        <v>429942490</v>
      </c>
      <c r="C6558">
        <v>429942490</v>
      </c>
    </row>
    <row r="6559" spans="1:3">
      <c r="A6559">
        <v>6558</v>
      </c>
      <c r="B6559">
        <v>430073640</v>
      </c>
      <c r="C6559">
        <v>430073640</v>
      </c>
    </row>
    <row r="6560" spans="1:3">
      <c r="A6560">
        <v>6559</v>
      </c>
      <c r="B6560">
        <v>430204810</v>
      </c>
      <c r="C6560">
        <v>430204810</v>
      </c>
    </row>
    <row r="6561" spans="1:3">
      <c r="A6561">
        <v>6560</v>
      </c>
      <c r="B6561">
        <v>430336000</v>
      </c>
      <c r="C6561">
        <v>430336000</v>
      </c>
    </row>
    <row r="6562" spans="1:3">
      <c r="A6562">
        <v>6561</v>
      </c>
      <c r="B6562">
        <v>430467210</v>
      </c>
      <c r="C6562">
        <v>430467210</v>
      </c>
    </row>
    <row r="6563" spans="1:3">
      <c r="A6563">
        <v>6562</v>
      </c>
      <c r="B6563">
        <v>430598440</v>
      </c>
      <c r="C6563">
        <v>430598440</v>
      </c>
    </row>
    <row r="6564" spans="1:3">
      <c r="A6564">
        <v>6563</v>
      </c>
      <c r="B6564">
        <v>430729690</v>
      </c>
      <c r="C6564">
        <v>430729690</v>
      </c>
    </row>
    <row r="6565" spans="1:3">
      <c r="A6565">
        <v>6564</v>
      </c>
      <c r="B6565">
        <v>430860960</v>
      </c>
      <c r="C6565">
        <v>430860960</v>
      </c>
    </row>
    <row r="6566" spans="1:3">
      <c r="A6566">
        <v>6565</v>
      </c>
      <c r="B6566">
        <v>430992250</v>
      </c>
      <c r="C6566">
        <v>430992250</v>
      </c>
    </row>
    <row r="6567" spans="1:3">
      <c r="A6567">
        <v>6566</v>
      </c>
      <c r="B6567">
        <v>431123560</v>
      </c>
      <c r="C6567">
        <v>431123560</v>
      </c>
    </row>
    <row r="6568" spans="1:3">
      <c r="A6568">
        <v>6567</v>
      </c>
      <c r="B6568">
        <v>431254890</v>
      </c>
      <c r="C6568">
        <v>431254890</v>
      </c>
    </row>
    <row r="6569" spans="1:3">
      <c r="A6569">
        <v>6568</v>
      </c>
      <c r="B6569">
        <v>431386240</v>
      </c>
      <c r="C6569">
        <v>431386240</v>
      </c>
    </row>
    <row r="6570" spans="1:3">
      <c r="A6570">
        <v>6569</v>
      </c>
      <c r="B6570">
        <v>431517610</v>
      </c>
      <c r="C6570">
        <v>431517610</v>
      </c>
    </row>
    <row r="6571" spans="1:3">
      <c r="A6571">
        <v>6570</v>
      </c>
      <c r="B6571">
        <v>431649000</v>
      </c>
      <c r="C6571">
        <v>431649000</v>
      </c>
    </row>
    <row r="6572" spans="1:3">
      <c r="A6572">
        <v>6571</v>
      </c>
      <c r="B6572">
        <v>431780410</v>
      </c>
      <c r="C6572">
        <v>431780410</v>
      </c>
    </row>
    <row r="6573" spans="1:3">
      <c r="A6573">
        <v>6572</v>
      </c>
      <c r="B6573">
        <v>431911840</v>
      </c>
      <c r="C6573">
        <v>431911840</v>
      </c>
    </row>
    <row r="6574" spans="1:3">
      <c r="A6574">
        <v>6573</v>
      </c>
      <c r="B6574">
        <v>432043290</v>
      </c>
      <c r="C6574">
        <v>432043290</v>
      </c>
    </row>
    <row r="6575" spans="1:3">
      <c r="A6575">
        <v>6574</v>
      </c>
      <c r="B6575">
        <v>432174760</v>
      </c>
      <c r="C6575">
        <v>432174760</v>
      </c>
    </row>
    <row r="6576" spans="1:3">
      <c r="A6576">
        <v>6575</v>
      </c>
      <c r="B6576">
        <v>432306250</v>
      </c>
      <c r="C6576">
        <v>432306250</v>
      </c>
    </row>
    <row r="6577" spans="1:3">
      <c r="A6577">
        <v>6576</v>
      </c>
      <c r="B6577">
        <v>432437760</v>
      </c>
      <c r="C6577">
        <v>432437760</v>
      </c>
    </row>
    <row r="6578" spans="1:3">
      <c r="A6578">
        <v>6577</v>
      </c>
      <c r="B6578">
        <v>432569290</v>
      </c>
      <c r="C6578">
        <v>432569290</v>
      </c>
    </row>
    <row r="6579" spans="1:3">
      <c r="A6579">
        <v>6578</v>
      </c>
      <c r="B6579">
        <v>432700840</v>
      </c>
      <c r="C6579">
        <v>432700840</v>
      </c>
    </row>
    <row r="6580" spans="1:3">
      <c r="A6580">
        <v>6579</v>
      </c>
      <c r="B6580">
        <v>432832410</v>
      </c>
      <c r="C6580">
        <v>432832410</v>
      </c>
    </row>
    <row r="6581" spans="1:3">
      <c r="A6581">
        <v>6580</v>
      </c>
      <c r="B6581">
        <v>432964000</v>
      </c>
      <c r="C6581">
        <v>432964000</v>
      </c>
    </row>
    <row r="6582" spans="1:3">
      <c r="A6582">
        <v>6581</v>
      </c>
      <c r="B6582">
        <v>433095610</v>
      </c>
      <c r="C6582">
        <v>433095610</v>
      </c>
    </row>
    <row r="6583" spans="1:3">
      <c r="A6583">
        <v>6582</v>
      </c>
      <c r="B6583">
        <v>433227240</v>
      </c>
      <c r="C6583">
        <v>433227240</v>
      </c>
    </row>
    <row r="6584" spans="1:3">
      <c r="A6584">
        <v>6583</v>
      </c>
      <c r="B6584">
        <v>433358890</v>
      </c>
      <c r="C6584">
        <v>433358890</v>
      </c>
    </row>
    <row r="6585" spans="1:3">
      <c r="A6585">
        <v>6584</v>
      </c>
      <c r="B6585">
        <v>433490560</v>
      </c>
      <c r="C6585">
        <v>433490560</v>
      </c>
    </row>
    <row r="6586" spans="1:3">
      <c r="A6586">
        <v>6585</v>
      </c>
      <c r="B6586">
        <v>433622250</v>
      </c>
      <c r="C6586">
        <v>433622250</v>
      </c>
    </row>
    <row r="6587" spans="1:3">
      <c r="A6587">
        <v>6586</v>
      </c>
      <c r="B6587">
        <v>433753960</v>
      </c>
      <c r="C6587">
        <v>433753960</v>
      </c>
    </row>
    <row r="6588" spans="1:3">
      <c r="A6588">
        <v>6587</v>
      </c>
      <c r="B6588">
        <v>433885690</v>
      </c>
      <c r="C6588">
        <v>433885690</v>
      </c>
    </row>
    <row r="6589" spans="1:3">
      <c r="A6589">
        <v>6588</v>
      </c>
      <c r="B6589">
        <v>434017440</v>
      </c>
      <c r="C6589">
        <v>434017440</v>
      </c>
    </row>
    <row r="6590" spans="1:3">
      <c r="A6590">
        <v>6589</v>
      </c>
      <c r="B6590">
        <v>434149210</v>
      </c>
      <c r="C6590">
        <v>434149210</v>
      </c>
    </row>
    <row r="6591" spans="1:3">
      <c r="A6591">
        <v>6590</v>
      </c>
      <c r="B6591">
        <v>434281000</v>
      </c>
      <c r="C6591">
        <v>434281000</v>
      </c>
    </row>
    <row r="6592" spans="1:3">
      <c r="A6592">
        <v>6591</v>
      </c>
      <c r="B6592">
        <v>434412810</v>
      </c>
      <c r="C6592">
        <v>434412810</v>
      </c>
    </row>
    <row r="6593" spans="1:3">
      <c r="A6593">
        <v>6592</v>
      </c>
      <c r="B6593">
        <v>434544640</v>
      </c>
      <c r="C6593">
        <v>434544640</v>
      </c>
    </row>
    <row r="6594" spans="1:3">
      <c r="A6594">
        <v>6593</v>
      </c>
      <c r="B6594">
        <v>434676490</v>
      </c>
      <c r="C6594">
        <v>434676490</v>
      </c>
    </row>
    <row r="6595" spans="1:3">
      <c r="A6595">
        <v>6594</v>
      </c>
      <c r="B6595">
        <v>434808360</v>
      </c>
      <c r="C6595">
        <v>434808360</v>
      </c>
    </row>
    <row r="6596" spans="1:3">
      <c r="A6596">
        <v>6595</v>
      </c>
      <c r="B6596">
        <v>434940250</v>
      </c>
      <c r="C6596">
        <v>434940250</v>
      </c>
    </row>
    <row r="6597" spans="1:3">
      <c r="A6597">
        <v>6596</v>
      </c>
      <c r="B6597">
        <v>435072160</v>
      </c>
      <c r="C6597">
        <v>435072160</v>
      </c>
    </row>
    <row r="6598" spans="1:3">
      <c r="A6598">
        <v>6597</v>
      </c>
      <c r="B6598">
        <v>435204090</v>
      </c>
      <c r="C6598">
        <v>435204090</v>
      </c>
    </row>
    <row r="6599" spans="1:3">
      <c r="A6599">
        <v>6598</v>
      </c>
      <c r="B6599">
        <v>435336040</v>
      </c>
      <c r="C6599">
        <v>435336040</v>
      </c>
    </row>
    <row r="6600" spans="1:3">
      <c r="A6600">
        <v>6599</v>
      </c>
      <c r="B6600">
        <v>435468010</v>
      </c>
      <c r="C6600">
        <v>435468010</v>
      </c>
    </row>
    <row r="6601" spans="1:3">
      <c r="A6601">
        <v>6600</v>
      </c>
      <c r="B6601">
        <v>435600000</v>
      </c>
      <c r="C6601">
        <v>435600000</v>
      </c>
    </row>
    <row r="6602" spans="1:3">
      <c r="A6602">
        <v>6601</v>
      </c>
      <c r="B6602">
        <v>435732010</v>
      </c>
      <c r="C6602">
        <v>435732010</v>
      </c>
    </row>
    <row r="6603" spans="1:3">
      <c r="A6603">
        <v>6602</v>
      </c>
      <c r="B6603">
        <v>435864040</v>
      </c>
      <c r="C6603">
        <v>435864040</v>
      </c>
    </row>
    <row r="6604" spans="1:3">
      <c r="A6604">
        <v>6603</v>
      </c>
      <c r="B6604">
        <v>435996090</v>
      </c>
      <c r="C6604">
        <v>435996090</v>
      </c>
    </row>
    <row r="6605" spans="1:3">
      <c r="A6605">
        <v>6604</v>
      </c>
      <c r="B6605">
        <v>436128160</v>
      </c>
      <c r="C6605">
        <v>436128160</v>
      </c>
    </row>
    <row r="6606" spans="1:3">
      <c r="A6606">
        <v>6605</v>
      </c>
      <c r="B6606">
        <v>436260250</v>
      </c>
      <c r="C6606">
        <v>436260250</v>
      </c>
    </row>
    <row r="6607" spans="1:3">
      <c r="A6607">
        <v>6606</v>
      </c>
      <c r="B6607">
        <v>436392360</v>
      </c>
      <c r="C6607">
        <v>436392360</v>
      </c>
    </row>
    <row r="6608" spans="1:3">
      <c r="A6608">
        <v>6607</v>
      </c>
      <c r="B6608">
        <v>436524490</v>
      </c>
      <c r="C6608">
        <v>436524490</v>
      </c>
    </row>
    <row r="6609" spans="1:3">
      <c r="A6609">
        <v>6608</v>
      </c>
      <c r="B6609">
        <v>436656640</v>
      </c>
      <c r="C6609">
        <v>436656640</v>
      </c>
    </row>
    <row r="6610" spans="1:3">
      <c r="A6610">
        <v>6609</v>
      </c>
      <c r="B6610">
        <v>436788810</v>
      </c>
      <c r="C6610">
        <v>436788810</v>
      </c>
    </row>
    <row r="6611" spans="1:3">
      <c r="A6611">
        <v>6610</v>
      </c>
      <c r="B6611">
        <v>436921000</v>
      </c>
      <c r="C6611">
        <v>436921000</v>
      </c>
    </row>
    <row r="6612" spans="1:3">
      <c r="A6612">
        <v>6611</v>
      </c>
      <c r="B6612">
        <v>437053210</v>
      </c>
      <c r="C6612">
        <v>437053210</v>
      </c>
    </row>
    <row r="6613" spans="1:3">
      <c r="A6613">
        <v>6612</v>
      </c>
      <c r="B6613">
        <v>437185440</v>
      </c>
      <c r="C6613">
        <v>437185440</v>
      </c>
    </row>
    <row r="6614" spans="1:3">
      <c r="A6614">
        <v>6613</v>
      </c>
      <c r="B6614">
        <v>437317690</v>
      </c>
      <c r="C6614">
        <v>437317690</v>
      </c>
    </row>
    <row r="6615" spans="1:3">
      <c r="A6615">
        <v>6614</v>
      </c>
      <c r="B6615">
        <v>437449960</v>
      </c>
      <c r="C6615">
        <v>437449960</v>
      </c>
    </row>
    <row r="6616" spans="1:3">
      <c r="A6616">
        <v>6615</v>
      </c>
      <c r="B6616">
        <v>437582250</v>
      </c>
      <c r="C6616">
        <v>437582250</v>
      </c>
    </row>
    <row r="6617" spans="1:3">
      <c r="A6617">
        <v>6616</v>
      </c>
      <c r="B6617">
        <v>437714560</v>
      </c>
      <c r="C6617">
        <v>437714560</v>
      </c>
    </row>
    <row r="6618" spans="1:3">
      <c r="A6618">
        <v>6617</v>
      </c>
      <c r="B6618">
        <v>437846890</v>
      </c>
      <c r="C6618">
        <v>437846890</v>
      </c>
    </row>
    <row r="6619" spans="1:3">
      <c r="A6619">
        <v>6618</v>
      </c>
      <c r="B6619">
        <v>437979240</v>
      </c>
      <c r="C6619">
        <v>437979240</v>
      </c>
    </row>
    <row r="6620" spans="1:3">
      <c r="A6620">
        <v>6619</v>
      </c>
      <c r="B6620">
        <v>438111610</v>
      </c>
      <c r="C6620">
        <v>438111610</v>
      </c>
    </row>
    <row r="6621" spans="1:3">
      <c r="A6621">
        <v>6620</v>
      </c>
      <c r="B6621">
        <v>438244000</v>
      </c>
      <c r="C6621">
        <v>438244000</v>
      </c>
    </row>
    <row r="6622" spans="1:3">
      <c r="A6622">
        <v>6621</v>
      </c>
      <c r="B6622">
        <v>438376410</v>
      </c>
      <c r="C6622">
        <v>438376410</v>
      </c>
    </row>
    <row r="6623" spans="1:3">
      <c r="A6623">
        <v>6622</v>
      </c>
      <c r="B6623">
        <v>438508840</v>
      </c>
      <c r="C6623">
        <v>438508840</v>
      </c>
    </row>
    <row r="6624" spans="1:3">
      <c r="A6624">
        <v>6623</v>
      </c>
      <c r="B6624">
        <v>438641290</v>
      </c>
      <c r="C6624">
        <v>438641290</v>
      </c>
    </row>
    <row r="6625" spans="1:3">
      <c r="A6625">
        <v>6624</v>
      </c>
      <c r="B6625">
        <v>438773760</v>
      </c>
      <c r="C6625">
        <v>438773760</v>
      </c>
    </row>
    <row r="6626" spans="1:3">
      <c r="A6626">
        <v>6625</v>
      </c>
      <c r="B6626">
        <v>438906250</v>
      </c>
      <c r="C6626">
        <v>438906250</v>
      </c>
    </row>
    <row r="6627" spans="1:3">
      <c r="A6627">
        <v>6626</v>
      </c>
      <c r="B6627">
        <v>439038760</v>
      </c>
      <c r="C6627">
        <v>439038760</v>
      </c>
    </row>
    <row r="6628" spans="1:3">
      <c r="A6628">
        <v>6627</v>
      </c>
      <c r="B6628">
        <v>439171290</v>
      </c>
      <c r="C6628">
        <v>439171290</v>
      </c>
    </row>
    <row r="6629" spans="1:3">
      <c r="A6629">
        <v>6628</v>
      </c>
      <c r="B6629">
        <v>439303840</v>
      </c>
      <c r="C6629">
        <v>439303840</v>
      </c>
    </row>
    <row r="6630" spans="1:3">
      <c r="A6630">
        <v>6629</v>
      </c>
      <c r="B6630">
        <v>439436410</v>
      </c>
      <c r="C6630">
        <v>439436410</v>
      </c>
    </row>
    <row r="6631" spans="1:3">
      <c r="A6631">
        <v>6630</v>
      </c>
      <c r="B6631">
        <v>439569000</v>
      </c>
      <c r="C6631">
        <v>439569000</v>
      </c>
    </row>
    <row r="6632" spans="1:3">
      <c r="A6632">
        <v>6631</v>
      </c>
      <c r="B6632">
        <v>439701610</v>
      </c>
      <c r="C6632">
        <v>439701610</v>
      </c>
    </row>
    <row r="6633" spans="1:3">
      <c r="A6633">
        <v>6632</v>
      </c>
      <c r="B6633">
        <v>439834240</v>
      </c>
      <c r="C6633">
        <v>439834240</v>
      </c>
    </row>
    <row r="6634" spans="1:3">
      <c r="A6634">
        <v>6633</v>
      </c>
      <c r="B6634">
        <v>439966890</v>
      </c>
      <c r="C6634">
        <v>439966890</v>
      </c>
    </row>
    <row r="6635" spans="1:3">
      <c r="A6635">
        <v>6634</v>
      </c>
      <c r="B6635">
        <v>440099560</v>
      </c>
      <c r="C6635">
        <v>440099560</v>
      </c>
    </row>
    <row r="6636" spans="1:3">
      <c r="A6636">
        <v>6635</v>
      </c>
      <c r="B6636">
        <v>440232250</v>
      </c>
      <c r="C6636">
        <v>440232250</v>
      </c>
    </row>
    <row r="6637" spans="1:3">
      <c r="A6637">
        <v>6636</v>
      </c>
      <c r="B6637">
        <v>440364960</v>
      </c>
      <c r="C6637">
        <v>440364960</v>
      </c>
    </row>
    <row r="6638" spans="1:3">
      <c r="A6638">
        <v>6637</v>
      </c>
      <c r="B6638">
        <v>440497690</v>
      </c>
      <c r="C6638">
        <v>440497690</v>
      </c>
    </row>
    <row r="6639" spans="1:3">
      <c r="A6639">
        <v>6638</v>
      </c>
      <c r="B6639">
        <v>440630440</v>
      </c>
      <c r="C6639">
        <v>440630440</v>
      </c>
    </row>
    <row r="6640" spans="1:3">
      <c r="A6640">
        <v>6639</v>
      </c>
      <c r="B6640">
        <v>440763210</v>
      </c>
      <c r="C6640">
        <v>440763210</v>
      </c>
    </row>
    <row r="6641" spans="1:3">
      <c r="A6641">
        <v>6640</v>
      </c>
      <c r="B6641">
        <v>440896000</v>
      </c>
      <c r="C6641">
        <v>440896000</v>
      </c>
    </row>
    <row r="6642" spans="1:3">
      <c r="A6642">
        <v>6641</v>
      </c>
      <c r="B6642">
        <v>441028810</v>
      </c>
      <c r="C6642">
        <v>441028810</v>
      </c>
    </row>
    <row r="6643" spans="1:3">
      <c r="A6643">
        <v>6642</v>
      </c>
      <c r="B6643">
        <v>441161640</v>
      </c>
      <c r="C6643">
        <v>441161640</v>
      </c>
    </row>
    <row r="6644" spans="1:3">
      <c r="A6644">
        <v>6643</v>
      </c>
      <c r="B6644">
        <v>441294490</v>
      </c>
      <c r="C6644">
        <v>441294490</v>
      </c>
    </row>
    <row r="6645" spans="1:3">
      <c r="A6645">
        <v>6644</v>
      </c>
      <c r="B6645">
        <v>441427360</v>
      </c>
      <c r="C6645">
        <v>441427360</v>
      </c>
    </row>
    <row r="6646" spans="1:3">
      <c r="A6646">
        <v>6645</v>
      </c>
      <c r="B6646">
        <v>441560250</v>
      </c>
      <c r="C6646">
        <v>441560250</v>
      </c>
    </row>
    <row r="6647" spans="1:3">
      <c r="A6647">
        <v>6646</v>
      </c>
      <c r="B6647">
        <v>441693160</v>
      </c>
      <c r="C6647">
        <v>441693160</v>
      </c>
    </row>
    <row r="6648" spans="1:3">
      <c r="A6648">
        <v>6647</v>
      </c>
      <c r="B6648">
        <v>441826090</v>
      </c>
      <c r="C6648">
        <v>441826090</v>
      </c>
    </row>
    <row r="6649" spans="1:3">
      <c r="A6649">
        <v>6648</v>
      </c>
      <c r="B6649">
        <v>441959040</v>
      </c>
      <c r="C6649">
        <v>441959040</v>
      </c>
    </row>
    <row r="6650" spans="1:3">
      <c r="A6650">
        <v>6649</v>
      </c>
      <c r="B6650">
        <v>442092010</v>
      </c>
      <c r="C6650">
        <v>442092010</v>
      </c>
    </row>
    <row r="6651" spans="1:3">
      <c r="A6651">
        <v>6650</v>
      </c>
      <c r="B6651">
        <v>442225000</v>
      </c>
      <c r="C6651">
        <v>442225000</v>
      </c>
    </row>
    <row r="6652" spans="1:3">
      <c r="A6652">
        <v>6651</v>
      </c>
      <c r="B6652">
        <v>442358010</v>
      </c>
      <c r="C6652">
        <v>442358010</v>
      </c>
    </row>
    <row r="6653" spans="1:3">
      <c r="A6653">
        <v>6652</v>
      </c>
      <c r="B6653">
        <v>442491040</v>
      </c>
      <c r="C6653">
        <v>442491040</v>
      </c>
    </row>
    <row r="6654" spans="1:3">
      <c r="A6654">
        <v>6653</v>
      </c>
      <c r="B6654">
        <v>442624090</v>
      </c>
      <c r="C6654">
        <v>442624090</v>
      </c>
    </row>
    <row r="6655" spans="1:3">
      <c r="A6655">
        <v>6654</v>
      </c>
      <c r="B6655">
        <v>442757160</v>
      </c>
      <c r="C6655">
        <v>442757160</v>
      </c>
    </row>
    <row r="6656" spans="1:3">
      <c r="A6656">
        <v>6655</v>
      </c>
      <c r="B6656">
        <v>442890250</v>
      </c>
      <c r="C6656">
        <v>442890250</v>
      </c>
    </row>
    <row r="6657" spans="1:3">
      <c r="A6657">
        <v>6656</v>
      </c>
      <c r="B6657">
        <v>443023360</v>
      </c>
      <c r="C6657">
        <v>443023360</v>
      </c>
    </row>
    <row r="6658" spans="1:3">
      <c r="A6658">
        <v>6657</v>
      </c>
      <c r="B6658">
        <v>443156490</v>
      </c>
      <c r="C6658">
        <v>443156490</v>
      </c>
    </row>
    <row r="6659" spans="1:3">
      <c r="A6659">
        <v>6658</v>
      </c>
      <c r="B6659">
        <v>443289640</v>
      </c>
      <c r="C6659">
        <v>443289640</v>
      </c>
    </row>
    <row r="6660" spans="1:3">
      <c r="A6660">
        <v>6659</v>
      </c>
      <c r="B6660">
        <v>443422810</v>
      </c>
      <c r="C6660">
        <v>443422810</v>
      </c>
    </row>
    <row r="6661" spans="1:3">
      <c r="A6661">
        <v>6660</v>
      </c>
      <c r="B6661">
        <v>443556000</v>
      </c>
      <c r="C6661">
        <v>443556000</v>
      </c>
    </row>
    <row r="6662" spans="1:3">
      <c r="A6662">
        <v>6661</v>
      </c>
      <c r="B6662">
        <v>443689210</v>
      </c>
      <c r="C6662">
        <v>443689210</v>
      </c>
    </row>
    <row r="6663" spans="1:3">
      <c r="A6663">
        <v>6662</v>
      </c>
      <c r="B6663">
        <v>443822440</v>
      </c>
      <c r="C6663">
        <v>443822440</v>
      </c>
    </row>
    <row r="6664" spans="1:3">
      <c r="A6664">
        <v>6663</v>
      </c>
      <c r="B6664">
        <v>443955690</v>
      </c>
      <c r="C6664">
        <v>443955690</v>
      </c>
    </row>
    <row r="6665" spans="1:3">
      <c r="A6665">
        <v>6664</v>
      </c>
      <c r="B6665">
        <v>444088960</v>
      </c>
      <c r="C6665">
        <v>444088960</v>
      </c>
    </row>
    <row r="6666" spans="1:3">
      <c r="A6666">
        <v>6665</v>
      </c>
      <c r="B6666">
        <v>444222250</v>
      </c>
      <c r="C6666">
        <v>444222250</v>
      </c>
    </row>
    <row r="6667" spans="1:3">
      <c r="A6667">
        <v>6666</v>
      </c>
      <c r="B6667">
        <v>444355560</v>
      </c>
      <c r="C6667">
        <v>444355560</v>
      </c>
    </row>
    <row r="6668" spans="1:3">
      <c r="A6668">
        <v>6667</v>
      </c>
      <c r="B6668">
        <v>444488890</v>
      </c>
      <c r="C6668">
        <v>444488890</v>
      </c>
    </row>
    <row r="6669" spans="1:3">
      <c r="A6669">
        <v>6668</v>
      </c>
      <c r="B6669">
        <v>444622240</v>
      </c>
      <c r="C6669">
        <v>444622240</v>
      </c>
    </row>
    <row r="6670" spans="1:3">
      <c r="A6670">
        <v>6669</v>
      </c>
      <c r="B6670">
        <v>444755610</v>
      </c>
      <c r="C6670">
        <v>444755610</v>
      </c>
    </row>
    <row r="6671" spans="1:3">
      <c r="A6671">
        <v>6670</v>
      </c>
      <c r="B6671">
        <v>444889000</v>
      </c>
      <c r="C6671">
        <v>444889000</v>
      </c>
    </row>
    <row r="6672" spans="1:3">
      <c r="A6672">
        <v>6671</v>
      </c>
      <c r="B6672">
        <v>445022410</v>
      </c>
      <c r="C6672">
        <v>445022410</v>
      </c>
    </row>
    <row r="6673" spans="1:3">
      <c r="A6673">
        <v>6672</v>
      </c>
      <c r="B6673">
        <v>445155840</v>
      </c>
      <c r="C6673">
        <v>445155840</v>
      </c>
    </row>
    <row r="6674" spans="1:3">
      <c r="A6674">
        <v>6673</v>
      </c>
      <c r="B6674">
        <v>445289290</v>
      </c>
      <c r="C6674">
        <v>445289290</v>
      </c>
    </row>
    <row r="6675" spans="1:3">
      <c r="A6675">
        <v>6674</v>
      </c>
      <c r="B6675">
        <v>445422760</v>
      </c>
      <c r="C6675">
        <v>445422760</v>
      </c>
    </row>
    <row r="6676" spans="1:3">
      <c r="A6676">
        <v>6675</v>
      </c>
      <c r="B6676">
        <v>445556250</v>
      </c>
      <c r="C6676">
        <v>445556250</v>
      </c>
    </row>
    <row r="6677" spans="1:3">
      <c r="A6677">
        <v>6676</v>
      </c>
      <c r="B6677">
        <v>445689760</v>
      </c>
      <c r="C6677">
        <v>445689760</v>
      </c>
    </row>
    <row r="6678" spans="1:3">
      <c r="A6678">
        <v>6677</v>
      </c>
      <c r="B6678">
        <v>445823290</v>
      </c>
      <c r="C6678">
        <v>445823290</v>
      </c>
    </row>
    <row r="6679" spans="1:3">
      <c r="A6679">
        <v>6678</v>
      </c>
      <c r="B6679">
        <v>445956840</v>
      </c>
      <c r="C6679">
        <v>445956840</v>
      </c>
    </row>
    <row r="6680" spans="1:3">
      <c r="A6680">
        <v>6679</v>
      </c>
      <c r="B6680">
        <v>446090410</v>
      </c>
      <c r="C6680">
        <v>446090410</v>
      </c>
    </row>
    <row r="6681" spans="1:3">
      <c r="A6681">
        <v>6680</v>
      </c>
      <c r="B6681">
        <v>446224000</v>
      </c>
      <c r="C6681">
        <v>446224000</v>
      </c>
    </row>
    <row r="6682" spans="1:3">
      <c r="A6682">
        <v>6681</v>
      </c>
      <c r="B6682">
        <v>446357610</v>
      </c>
      <c r="C6682">
        <v>446357610</v>
      </c>
    </row>
    <row r="6683" spans="1:3">
      <c r="A6683">
        <v>6682</v>
      </c>
      <c r="B6683">
        <v>446491240</v>
      </c>
      <c r="C6683">
        <v>446491240</v>
      </c>
    </row>
    <row r="6684" spans="1:3">
      <c r="A6684">
        <v>6683</v>
      </c>
      <c r="B6684">
        <v>446624890</v>
      </c>
      <c r="C6684">
        <v>446624890</v>
      </c>
    </row>
    <row r="6685" spans="1:3">
      <c r="A6685">
        <v>6684</v>
      </c>
      <c r="B6685">
        <v>446758560</v>
      </c>
      <c r="C6685">
        <v>446758560</v>
      </c>
    </row>
    <row r="6686" spans="1:3">
      <c r="A6686">
        <v>6685</v>
      </c>
      <c r="B6686">
        <v>446892250</v>
      </c>
      <c r="C6686">
        <v>446892250</v>
      </c>
    </row>
    <row r="6687" spans="1:3">
      <c r="A6687">
        <v>6686</v>
      </c>
      <c r="B6687">
        <v>447025960</v>
      </c>
      <c r="C6687">
        <v>447025960</v>
      </c>
    </row>
    <row r="6688" spans="1:3">
      <c r="A6688">
        <v>6687</v>
      </c>
      <c r="B6688">
        <v>447159690</v>
      </c>
      <c r="C6688">
        <v>447159690</v>
      </c>
    </row>
    <row r="6689" spans="1:3">
      <c r="A6689">
        <v>6688</v>
      </c>
      <c r="B6689">
        <v>447293440</v>
      </c>
      <c r="C6689">
        <v>447293440</v>
      </c>
    </row>
    <row r="6690" spans="1:3">
      <c r="A6690">
        <v>6689</v>
      </c>
      <c r="B6690">
        <v>447427210</v>
      </c>
      <c r="C6690">
        <v>447427210</v>
      </c>
    </row>
    <row r="6691" spans="1:3">
      <c r="A6691">
        <v>6690</v>
      </c>
      <c r="B6691">
        <v>447561000</v>
      </c>
      <c r="C6691">
        <v>447561000</v>
      </c>
    </row>
    <row r="6692" spans="1:3">
      <c r="A6692">
        <v>6691</v>
      </c>
      <c r="B6692">
        <v>447694810</v>
      </c>
      <c r="C6692">
        <v>447694810</v>
      </c>
    </row>
    <row r="6693" spans="1:3">
      <c r="A6693">
        <v>6692</v>
      </c>
      <c r="B6693">
        <v>447828640</v>
      </c>
      <c r="C6693">
        <v>447828640</v>
      </c>
    </row>
    <row r="6694" spans="1:3">
      <c r="A6694">
        <v>6693</v>
      </c>
      <c r="B6694">
        <v>447962490</v>
      </c>
      <c r="C6694">
        <v>447962490</v>
      </c>
    </row>
    <row r="6695" spans="1:3">
      <c r="A6695">
        <v>6694</v>
      </c>
      <c r="B6695">
        <v>448096360</v>
      </c>
      <c r="C6695">
        <v>448096360</v>
      </c>
    </row>
    <row r="6696" spans="1:3">
      <c r="A6696">
        <v>6695</v>
      </c>
      <c r="B6696">
        <v>448230250</v>
      </c>
      <c r="C6696">
        <v>448230250</v>
      </c>
    </row>
    <row r="6697" spans="1:3">
      <c r="A6697">
        <v>6696</v>
      </c>
      <c r="B6697">
        <v>448364160</v>
      </c>
      <c r="C6697">
        <v>448364160</v>
      </c>
    </row>
    <row r="6698" spans="1:3">
      <c r="A6698">
        <v>6697</v>
      </c>
      <c r="B6698">
        <v>448498090</v>
      </c>
      <c r="C6698">
        <v>448498090</v>
      </c>
    </row>
    <row r="6699" spans="1:3">
      <c r="A6699">
        <v>6698</v>
      </c>
      <c r="B6699">
        <v>448632040</v>
      </c>
      <c r="C6699">
        <v>448632040</v>
      </c>
    </row>
    <row r="6700" spans="1:3">
      <c r="A6700">
        <v>6699</v>
      </c>
      <c r="B6700">
        <v>448766010</v>
      </c>
      <c r="C6700">
        <v>448766010</v>
      </c>
    </row>
    <row r="6701" spans="1:3">
      <c r="A6701">
        <v>6700</v>
      </c>
      <c r="B6701">
        <v>448900000</v>
      </c>
      <c r="C6701">
        <v>448900000</v>
      </c>
    </row>
    <row r="6702" spans="1:3">
      <c r="A6702">
        <v>6701</v>
      </c>
      <c r="B6702">
        <v>449034010</v>
      </c>
      <c r="C6702">
        <v>449034010</v>
      </c>
    </row>
    <row r="6703" spans="1:3">
      <c r="A6703">
        <v>6702</v>
      </c>
      <c r="B6703">
        <v>449168040</v>
      </c>
      <c r="C6703">
        <v>449168040</v>
      </c>
    </row>
    <row r="6704" spans="1:3">
      <c r="A6704">
        <v>6703</v>
      </c>
      <c r="B6704">
        <v>449302090</v>
      </c>
      <c r="C6704">
        <v>449302090</v>
      </c>
    </row>
    <row r="6705" spans="1:3">
      <c r="A6705">
        <v>6704</v>
      </c>
      <c r="B6705">
        <v>449436160</v>
      </c>
      <c r="C6705">
        <v>449436160</v>
      </c>
    </row>
    <row r="6706" spans="1:3">
      <c r="A6706">
        <v>6705</v>
      </c>
      <c r="B6706">
        <v>449570250</v>
      </c>
      <c r="C6706">
        <v>449570250</v>
      </c>
    </row>
    <row r="6707" spans="1:3">
      <c r="A6707">
        <v>6706</v>
      </c>
      <c r="B6707">
        <v>449704360</v>
      </c>
      <c r="C6707">
        <v>449704360</v>
      </c>
    </row>
    <row r="6708" spans="1:3">
      <c r="A6708">
        <v>6707</v>
      </c>
      <c r="B6708">
        <v>449838490</v>
      </c>
      <c r="C6708">
        <v>449838490</v>
      </c>
    </row>
    <row r="6709" spans="1:3">
      <c r="A6709">
        <v>6708</v>
      </c>
      <c r="B6709">
        <v>449972640</v>
      </c>
      <c r="C6709">
        <v>449972640</v>
      </c>
    </row>
    <row r="6710" spans="1:3">
      <c r="A6710">
        <v>6709</v>
      </c>
      <c r="B6710">
        <v>450106810</v>
      </c>
      <c r="C6710">
        <v>450106810</v>
      </c>
    </row>
    <row r="6711" spans="1:3">
      <c r="A6711">
        <v>6710</v>
      </c>
      <c r="B6711">
        <v>450241000</v>
      </c>
      <c r="C6711">
        <v>450241000</v>
      </c>
    </row>
    <row r="6712" spans="1:3">
      <c r="A6712">
        <v>6711</v>
      </c>
      <c r="B6712">
        <v>450375210</v>
      </c>
      <c r="C6712">
        <v>450375210</v>
      </c>
    </row>
    <row r="6713" spans="1:3">
      <c r="A6713">
        <v>6712</v>
      </c>
      <c r="B6713">
        <v>450509440</v>
      </c>
      <c r="C6713">
        <v>450509440</v>
      </c>
    </row>
    <row r="6714" spans="1:3">
      <c r="A6714">
        <v>6713</v>
      </c>
      <c r="B6714">
        <v>450643690</v>
      </c>
      <c r="C6714">
        <v>450643690</v>
      </c>
    </row>
    <row r="6715" spans="1:3">
      <c r="A6715">
        <v>6714</v>
      </c>
      <c r="B6715">
        <v>450777960</v>
      </c>
      <c r="C6715">
        <v>450777960</v>
      </c>
    </row>
    <row r="6716" spans="1:3">
      <c r="A6716">
        <v>6715</v>
      </c>
      <c r="B6716">
        <v>450912250</v>
      </c>
      <c r="C6716">
        <v>450912250</v>
      </c>
    </row>
    <row r="6717" spans="1:3">
      <c r="A6717">
        <v>6716</v>
      </c>
      <c r="B6717">
        <v>451046560</v>
      </c>
      <c r="C6717">
        <v>451046560</v>
      </c>
    </row>
    <row r="6718" spans="1:3">
      <c r="A6718">
        <v>6717</v>
      </c>
      <c r="B6718">
        <v>451180890</v>
      </c>
      <c r="C6718">
        <v>451180890</v>
      </c>
    </row>
    <row r="6719" spans="1:3">
      <c r="A6719">
        <v>6718</v>
      </c>
      <c r="B6719">
        <v>451315240</v>
      </c>
      <c r="C6719">
        <v>451315240</v>
      </c>
    </row>
    <row r="6720" spans="1:3">
      <c r="A6720">
        <v>6719</v>
      </c>
      <c r="B6720">
        <v>451449610</v>
      </c>
      <c r="C6720">
        <v>451449610</v>
      </c>
    </row>
    <row r="6721" spans="1:3">
      <c r="A6721">
        <v>6720</v>
      </c>
      <c r="B6721">
        <v>451584000</v>
      </c>
      <c r="C6721">
        <v>451584000</v>
      </c>
    </row>
    <row r="6722" spans="1:3">
      <c r="A6722">
        <v>6721</v>
      </c>
      <c r="B6722">
        <v>451718410</v>
      </c>
      <c r="C6722">
        <v>451718410</v>
      </c>
    </row>
    <row r="6723" spans="1:3">
      <c r="A6723">
        <v>6722</v>
      </c>
      <c r="B6723">
        <v>451852840</v>
      </c>
      <c r="C6723">
        <v>451852840</v>
      </c>
    </row>
    <row r="6724" spans="1:3">
      <c r="A6724">
        <v>6723</v>
      </c>
      <c r="B6724">
        <v>451987290</v>
      </c>
      <c r="C6724">
        <v>451987290</v>
      </c>
    </row>
    <row r="6725" spans="1:3">
      <c r="A6725">
        <v>6724</v>
      </c>
      <c r="B6725">
        <v>452121760</v>
      </c>
      <c r="C6725">
        <v>452121760</v>
      </c>
    </row>
    <row r="6726" spans="1:3">
      <c r="A6726">
        <v>6725</v>
      </c>
      <c r="B6726">
        <v>452256250</v>
      </c>
      <c r="C6726">
        <v>452256250</v>
      </c>
    </row>
    <row r="6727" spans="1:3">
      <c r="A6727">
        <v>6726</v>
      </c>
      <c r="B6727">
        <v>452390760</v>
      </c>
      <c r="C6727">
        <v>452390760</v>
      </c>
    </row>
    <row r="6728" spans="1:3">
      <c r="A6728">
        <v>6727</v>
      </c>
      <c r="B6728">
        <v>452525290</v>
      </c>
      <c r="C6728">
        <v>452525290</v>
      </c>
    </row>
    <row r="6729" spans="1:3">
      <c r="A6729">
        <v>6728</v>
      </c>
      <c r="B6729">
        <v>452659840</v>
      </c>
      <c r="C6729">
        <v>452659840</v>
      </c>
    </row>
    <row r="6730" spans="1:3">
      <c r="A6730">
        <v>6729</v>
      </c>
      <c r="B6730">
        <v>452794410</v>
      </c>
      <c r="C6730">
        <v>452794410</v>
      </c>
    </row>
    <row r="6731" spans="1:3">
      <c r="A6731">
        <v>6730</v>
      </c>
      <c r="B6731">
        <v>452929000</v>
      </c>
      <c r="C6731">
        <v>452929000</v>
      </c>
    </row>
    <row r="6732" spans="1:3">
      <c r="A6732">
        <v>6731</v>
      </c>
      <c r="B6732">
        <v>453063610</v>
      </c>
      <c r="C6732">
        <v>453063610</v>
      </c>
    </row>
    <row r="6733" spans="1:3">
      <c r="A6733">
        <v>6732</v>
      </c>
      <c r="B6733">
        <v>453198240</v>
      </c>
      <c r="C6733">
        <v>453198240</v>
      </c>
    </row>
    <row r="6734" spans="1:3">
      <c r="A6734">
        <v>6733</v>
      </c>
      <c r="B6734">
        <v>453332890</v>
      </c>
      <c r="C6734">
        <v>453332890</v>
      </c>
    </row>
    <row r="6735" spans="1:3">
      <c r="A6735">
        <v>6734</v>
      </c>
      <c r="B6735">
        <v>453467560</v>
      </c>
      <c r="C6735">
        <v>453467560</v>
      </c>
    </row>
    <row r="6736" spans="1:3">
      <c r="A6736">
        <v>6735</v>
      </c>
      <c r="B6736">
        <v>453602250</v>
      </c>
      <c r="C6736">
        <v>453602250</v>
      </c>
    </row>
    <row r="6737" spans="1:3">
      <c r="A6737">
        <v>6736</v>
      </c>
      <c r="B6737">
        <v>453736960</v>
      </c>
      <c r="C6737">
        <v>453736960</v>
      </c>
    </row>
    <row r="6738" spans="1:3">
      <c r="A6738">
        <v>6737</v>
      </c>
      <c r="B6738">
        <v>453871690</v>
      </c>
      <c r="C6738">
        <v>453871690</v>
      </c>
    </row>
    <row r="6739" spans="1:3">
      <c r="A6739">
        <v>6738</v>
      </c>
      <c r="B6739">
        <v>454006440</v>
      </c>
      <c r="C6739">
        <v>454006440</v>
      </c>
    </row>
    <row r="6740" spans="1:3">
      <c r="A6740">
        <v>6739</v>
      </c>
      <c r="B6740">
        <v>454141210</v>
      </c>
      <c r="C6740">
        <v>454141210</v>
      </c>
    </row>
    <row r="6741" spans="1:3">
      <c r="A6741">
        <v>6740</v>
      </c>
      <c r="B6741">
        <v>454276000</v>
      </c>
      <c r="C6741">
        <v>454276000</v>
      </c>
    </row>
    <row r="6742" spans="1:3">
      <c r="A6742">
        <v>6741</v>
      </c>
      <c r="B6742">
        <v>454410810</v>
      </c>
      <c r="C6742">
        <v>454410810</v>
      </c>
    </row>
    <row r="6743" spans="1:3">
      <c r="A6743">
        <v>6742</v>
      </c>
      <c r="B6743">
        <v>454545640</v>
      </c>
      <c r="C6743">
        <v>454545640</v>
      </c>
    </row>
    <row r="6744" spans="1:3">
      <c r="A6744">
        <v>6743</v>
      </c>
      <c r="B6744">
        <v>454680490</v>
      </c>
      <c r="C6744">
        <v>454680490</v>
      </c>
    </row>
    <row r="6745" spans="1:3">
      <c r="A6745">
        <v>6744</v>
      </c>
      <c r="B6745">
        <v>454815360</v>
      </c>
      <c r="C6745">
        <v>454815360</v>
      </c>
    </row>
    <row r="6746" spans="1:3">
      <c r="A6746">
        <v>6745</v>
      </c>
      <c r="B6746">
        <v>454950250</v>
      </c>
      <c r="C6746">
        <v>454950250</v>
      </c>
    </row>
    <row r="6747" spans="1:3">
      <c r="A6747">
        <v>6746</v>
      </c>
      <c r="B6747">
        <v>455085160</v>
      </c>
      <c r="C6747">
        <v>455085160</v>
      </c>
    </row>
    <row r="6748" spans="1:3">
      <c r="A6748">
        <v>6747</v>
      </c>
      <c r="B6748">
        <v>455220090</v>
      </c>
      <c r="C6748">
        <v>455220090</v>
      </c>
    </row>
    <row r="6749" spans="1:3">
      <c r="A6749">
        <v>6748</v>
      </c>
      <c r="B6749">
        <v>455355040</v>
      </c>
      <c r="C6749">
        <v>455355040</v>
      </c>
    </row>
    <row r="6750" spans="1:3">
      <c r="A6750">
        <v>6749</v>
      </c>
      <c r="B6750">
        <v>455490010</v>
      </c>
      <c r="C6750">
        <v>455490010</v>
      </c>
    </row>
    <row r="6751" spans="1:3">
      <c r="A6751">
        <v>6750</v>
      </c>
      <c r="B6751">
        <v>455625000</v>
      </c>
      <c r="C6751">
        <v>455625000</v>
      </c>
    </row>
    <row r="6752" spans="1:3">
      <c r="A6752">
        <v>6751</v>
      </c>
      <c r="B6752">
        <v>455760010</v>
      </c>
      <c r="C6752">
        <v>455760010</v>
      </c>
    </row>
    <row r="6753" spans="1:3">
      <c r="A6753">
        <v>6752</v>
      </c>
      <c r="B6753">
        <v>455895040</v>
      </c>
      <c r="C6753">
        <v>455895040</v>
      </c>
    </row>
    <row r="6754" spans="1:3">
      <c r="A6754">
        <v>6753</v>
      </c>
      <c r="B6754">
        <v>456030090</v>
      </c>
      <c r="C6754">
        <v>456030090</v>
      </c>
    </row>
    <row r="6755" spans="1:3">
      <c r="A6755">
        <v>6754</v>
      </c>
      <c r="B6755">
        <v>456165160</v>
      </c>
      <c r="C6755">
        <v>456165160</v>
      </c>
    </row>
    <row r="6756" spans="1:3">
      <c r="A6756">
        <v>6755</v>
      </c>
      <c r="B6756">
        <v>456300250</v>
      </c>
      <c r="C6756">
        <v>456300250</v>
      </c>
    </row>
    <row r="6757" spans="1:3">
      <c r="A6757">
        <v>6756</v>
      </c>
      <c r="B6757">
        <v>456435360</v>
      </c>
      <c r="C6757">
        <v>456435360</v>
      </c>
    </row>
    <row r="6758" spans="1:3">
      <c r="A6758">
        <v>6757</v>
      </c>
      <c r="B6758">
        <v>456570490</v>
      </c>
      <c r="C6758">
        <v>456570490</v>
      </c>
    </row>
    <row r="6759" spans="1:3">
      <c r="A6759">
        <v>6758</v>
      </c>
      <c r="B6759">
        <v>456705640</v>
      </c>
      <c r="C6759">
        <v>456705640</v>
      </c>
    </row>
    <row r="6760" spans="1:3">
      <c r="A6760">
        <v>6759</v>
      </c>
      <c r="B6760">
        <v>456840810</v>
      </c>
      <c r="C6760">
        <v>456840810</v>
      </c>
    </row>
    <row r="6761" spans="1:3">
      <c r="A6761">
        <v>6760</v>
      </c>
      <c r="B6761">
        <v>456976000</v>
      </c>
      <c r="C6761">
        <v>456976000</v>
      </c>
    </row>
    <row r="6762" spans="1:3">
      <c r="A6762">
        <v>6761</v>
      </c>
      <c r="B6762">
        <v>457111210</v>
      </c>
      <c r="C6762">
        <v>457111210</v>
      </c>
    </row>
    <row r="6763" spans="1:3">
      <c r="A6763">
        <v>6762</v>
      </c>
      <c r="B6763">
        <v>457246440</v>
      </c>
      <c r="C6763">
        <v>457246440</v>
      </c>
    </row>
    <row r="6764" spans="1:3">
      <c r="A6764">
        <v>6763</v>
      </c>
      <c r="B6764">
        <v>457381690</v>
      </c>
      <c r="C6764">
        <v>457381690</v>
      </c>
    </row>
    <row r="6765" spans="1:3">
      <c r="A6765">
        <v>6764</v>
      </c>
      <c r="B6765">
        <v>457516960</v>
      </c>
      <c r="C6765">
        <v>457516960</v>
      </c>
    </row>
    <row r="6766" spans="1:3">
      <c r="A6766">
        <v>6765</v>
      </c>
      <c r="B6766">
        <v>457652250</v>
      </c>
      <c r="C6766">
        <v>457652250</v>
      </c>
    </row>
    <row r="6767" spans="1:3">
      <c r="A6767">
        <v>6766</v>
      </c>
      <c r="B6767">
        <v>457787560</v>
      </c>
      <c r="C6767">
        <v>457787560</v>
      </c>
    </row>
    <row r="6768" spans="1:3">
      <c r="A6768">
        <v>6767</v>
      </c>
      <c r="B6768">
        <v>457922890</v>
      </c>
      <c r="C6768">
        <v>457922890</v>
      </c>
    </row>
    <row r="6769" spans="1:3">
      <c r="A6769">
        <v>6768</v>
      </c>
      <c r="B6769">
        <v>458058240</v>
      </c>
      <c r="C6769">
        <v>458058240</v>
      </c>
    </row>
    <row r="6770" spans="1:3">
      <c r="A6770">
        <v>6769</v>
      </c>
      <c r="B6770">
        <v>458193610</v>
      </c>
      <c r="C6770">
        <v>458193610</v>
      </c>
    </row>
    <row r="6771" spans="1:3">
      <c r="A6771">
        <v>6770</v>
      </c>
      <c r="B6771">
        <v>458329000</v>
      </c>
      <c r="C6771">
        <v>458329000</v>
      </c>
    </row>
    <row r="6772" spans="1:3">
      <c r="A6772">
        <v>6771</v>
      </c>
      <c r="B6772">
        <v>458464410</v>
      </c>
      <c r="C6772">
        <v>458464410</v>
      </c>
    </row>
    <row r="6773" spans="1:3">
      <c r="A6773">
        <v>6772</v>
      </c>
      <c r="B6773">
        <v>458599840</v>
      </c>
      <c r="C6773">
        <v>458599840</v>
      </c>
    </row>
    <row r="6774" spans="1:3">
      <c r="A6774">
        <v>6773</v>
      </c>
      <c r="B6774">
        <v>458735290</v>
      </c>
      <c r="C6774">
        <v>458735290</v>
      </c>
    </row>
    <row r="6775" spans="1:3">
      <c r="A6775">
        <v>6774</v>
      </c>
      <c r="B6775">
        <v>458870760</v>
      </c>
      <c r="C6775">
        <v>458870760</v>
      </c>
    </row>
    <row r="6776" spans="1:3">
      <c r="A6776">
        <v>6775</v>
      </c>
      <c r="B6776">
        <v>459006250</v>
      </c>
      <c r="C6776">
        <v>459006250</v>
      </c>
    </row>
    <row r="6777" spans="1:3">
      <c r="A6777">
        <v>6776</v>
      </c>
      <c r="B6777">
        <v>459141760</v>
      </c>
      <c r="C6777">
        <v>459141760</v>
      </c>
    </row>
    <row r="6778" spans="1:3">
      <c r="A6778">
        <v>6777</v>
      </c>
      <c r="B6778">
        <v>459277290</v>
      </c>
      <c r="C6778">
        <v>459277290</v>
      </c>
    </row>
    <row r="6779" spans="1:3">
      <c r="A6779">
        <v>6778</v>
      </c>
      <c r="B6779">
        <v>459412840</v>
      </c>
      <c r="C6779">
        <v>459412840</v>
      </c>
    </row>
    <row r="6780" spans="1:3">
      <c r="A6780">
        <v>6779</v>
      </c>
      <c r="B6780">
        <v>459548410</v>
      </c>
      <c r="C6780">
        <v>459548410</v>
      </c>
    </row>
    <row r="6781" spans="1:3">
      <c r="A6781">
        <v>6780</v>
      </c>
      <c r="B6781">
        <v>459684000</v>
      </c>
      <c r="C6781">
        <v>459684000</v>
      </c>
    </row>
    <row r="6782" spans="1:3">
      <c r="A6782">
        <v>6781</v>
      </c>
      <c r="B6782">
        <v>459819610</v>
      </c>
      <c r="C6782">
        <v>459819610</v>
      </c>
    </row>
    <row r="6783" spans="1:3">
      <c r="A6783">
        <v>6782</v>
      </c>
      <c r="B6783">
        <v>459955240</v>
      </c>
      <c r="C6783">
        <v>459955240</v>
      </c>
    </row>
    <row r="6784" spans="1:3">
      <c r="A6784">
        <v>6783</v>
      </c>
      <c r="B6784">
        <v>460090890</v>
      </c>
      <c r="C6784">
        <v>460090890</v>
      </c>
    </row>
    <row r="6785" spans="1:3">
      <c r="A6785">
        <v>6784</v>
      </c>
      <c r="B6785">
        <v>460226560</v>
      </c>
      <c r="C6785">
        <v>460226560</v>
      </c>
    </row>
    <row r="6786" spans="1:3">
      <c r="A6786">
        <v>6785</v>
      </c>
      <c r="B6786">
        <v>460362250</v>
      </c>
      <c r="C6786">
        <v>460362250</v>
      </c>
    </row>
    <row r="6787" spans="1:3">
      <c r="A6787">
        <v>6786</v>
      </c>
      <c r="B6787">
        <v>460497960</v>
      </c>
      <c r="C6787">
        <v>460497960</v>
      </c>
    </row>
    <row r="6788" spans="1:3">
      <c r="A6788">
        <v>6787</v>
      </c>
      <c r="B6788">
        <v>460633690</v>
      </c>
      <c r="C6788">
        <v>460633690</v>
      </c>
    </row>
    <row r="6789" spans="1:3">
      <c r="A6789">
        <v>6788</v>
      </c>
      <c r="B6789">
        <v>460769440</v>
      </c>
      <c r="C6789">
        <v>460769440</v>
      </c>
    </row>
    <row r="6790" spans="1:3">
      <c r="A6790">
        <v>6789</v>
      </c>
      <c r="B6790">
        <v>460905210</v>
      </c>
      <c r="C6790">
        <v>460905210</v>
      </c>
    </row>
    <row r="6791" spans="1:3">
      <c r="A6791">
        <v>6790</v>
      </c>
      <c r="B6791">
        <v>461041000</v>
      </c>
      <c r="C6791">
        <v>461041000</v>
      </c>
    </row>
    <row r="6792" spans="1:3">
      <c r="A6792">
        <v>6791</v>
      </c>
      <c r="B6792">
        <v>461176810</v>
      </c>
      <c r="C6792">
        <v>461176810</v>
      </c>
    </row>
    <row r="6793" spans="1:3">
      <c r="A6793">
        <v>6792</v>
      </c>
      <c r="B6793">
        <v>461312640</v>
      </c>
      <c r="C6793">
        <v>461312640</v>
      </c>
    </row>
    <row r="6794" spans="1:3">
      <c r="A6794">
        <v>6793</v>
      </c>
      <c r="B6794">
        <v>461448490</v>
      </c>
      <c r="C6794">
        <v>461448490</v>
      </c>
    </row>
    <row r="6795" spans="1:3">
      <c r="A6795">
        <v>6794</v>
      </c>
      <c r="B6795">
        <v>461584360</v>
      </c>
      <c r="C6795">
        <v>461584360</v>
      </c>
    </row>
    <row r="6796" spans="1:3">
      <c r="A6796">
        <v>6795</v>
      </c>
      <c r="B6796">
        <v>461720250</v>
      </c>
      <c r="C6796">
        <v>461720250</v>
      </c>
    </row>
    <row r="6797" spans="1:3">
      <c r="A6797">
        <v>6796</v>
      </c>
      <c r="B6797">
        <v>461856160</v>
      </c>
      <c r="C6797">
        <v>461856160</v>
      </c>
    </row>
    <row r="6798" spans="1:3">
      <c r="A6798">
        <v>6797</v>
      </c>
      <c r="B6798">
        <v>461992090</v>
      </c>
      <c r="C6798">
        <v>461992090</v>
      </c>
    </row>
    <row r="6799" spans="1:3">
      <c r="A6799">
        <v>6798</v>
      </c>
      <c r="B6799">
        <v>462128040</v>
      </c>
      <c r="C6799">
        <v>462128040</v>
      </c>
    </row>
    <row r="6800" spans="1:3">
      <c r="A6800">
        <v>6799</v>
      </c>
      <c r="B6800">
        <v>462264010</v>
      </c>
      <c r="C6800">
        <v>462264010</v>
      </c>
    </row>
    <row r="6801" spans="1:3">
      <c r="A6801">
        <v>6800</v>
      </c>
      <c r="B6801">
        <v>462400000</v>
      </c>
      <c r="C6801">
        <v>462400000</v>
      </c>
    </row>
    <row r="6802" spans="1:3">
      <c r="A6802">
        <v>6801</v>
      </c>
      <c r="B6802">
        <v>462536010</v>
      </c>
      <c r="C6802">
        <v>462536010</v>
      </c>
    </row>
    <row r="6803" spans="1:3">
      <c r="A6803">
        <v>6802</v>
      </c>
      <c r="B6803">
        <v>462672040</v>
      </c>
      <c r="C6803">
        <v>462672040</v>
      </c>
    </row>
    <row r="6804" spans="1:3">
      <c r="A6804">
        <v>6803</v>
      </c>
      <c r="B6804">
        <v>462808090</v>
      </c>
      <c r="C6804">
        <v>462808090</v>
      </c>
    </row>
    <row r="6805" spans="1:3">
      <c r="A6805">
        <v>6804</v>
      </c>
      <c r="B6805">
        <v>462944160</v>
      </c>
      <c r="C6805">
        <v>462944160</v>
      </c>
    </row>
    <row r="6806" spans="1:3">
      <c r="A6806">
        <v>6805</v>
      </c>
      <c r="B6806">
        <v>463080250</v>
      </c>
      <c r="C6806">
        <v>463080250</v>
      </c>
    </row>
    <row r="6807" spans="1:3">
      <c r="A6807">
        <v>6806</v>
      </c>
      <c r="B6807">
        <v>463216360</v>
      </c>
      <c r="C6807">
        <v>463216360</v>
      </c>
    </row>
    <row r="6808" spans="1:3">
      <c r="A6808">
        <v>6807</v>
      </c>
      <c r="B6808">
        <v>463352490</v>
      </c>
      <c r="C6808">
        <v>463352490</v>
      </c>
    </row>
    <row r="6809" spans="1:3">
      <c r="A6809">
        <v>6808</v>
      </c>
      <c r="B6809">
        <v>463488640</v>
      </c>
      <c r="C6809">
        <v>463488640</v>
      </c>
    </row>
    <row r="6810" spans="1:3">
      <c r="A6810">
        <v>6809</v>
      </c>
      <c r="B6810">
        <v>463624810</v>
      </c>
      <c r="C6810">
        <v>463624810</v>
      </c>
    </row>
    <row r="6811" spans="1:3">
      <c r="A6811">
        <v>6810</v>
      </c>
      <c r="B6811">
        <v>463761000</v>
      </c>
      <c r="C6811">
        <v>463761000</v>
      </c>
    </row>
    <row r="6812" spans="1:3">
      <c r="A6812">
        <v>6811</v>
      </c>
      <c r="B6812">
        <v>463897210</v>
      </c>
      <c r="C6812">
        <v>463897210</v>
      </c>
    </row>
    <row r="6813" spans="1:3">
      <c r="A6813">
        <v>6812</v>
      </c>
      <c r="B6813">
        <v>464033440</v>
      </c>
      <c r="C6813">
        <v>464033440</v>
      </c>
    </row>
    <row r="6814" spans="1:3">
      <c r="A6814">
        <v>6813</v>
      </c>
      <c r="B6814">
        <v>464169690</v>
      </c>
      <c r="C6814">
        <v>464169690</v>
      </c>
    </row>
    <row r="6815" spans="1:3">
      <c r="A6815">
        <v>6814</v>
      </c>
      <c r="B6815">
        <v>464305960</v>
      </c>
      <c r="C6815">
        <v>464305960</v>
      </c>
    </row>
    <row r="6816" spans="1:3">
      <c r="A6816">
        <v>6815</v>
      </c>
      <c r="B6816">
        <v>464442250</v>
      </c>
      <c r="C6816">
        <v>464442250</v>
      </c>
    </row>
    <row r="6817" spans="1:3">
      <c r="A6817">
        <v>6816</v>
      </c>
      <c r="B6817">
        <v>464578560</v>
      </c>
      <c r="C6817">
        <v>464578560</v>
      </c>
    </row>
    <row r="6818" spans="1:3">
      <c r="A6818">
        <v>6817</v>
      </c>
      <c r="B6818">
        <v>464714890</v>
      </c>
      <c r="C6818">
        <v>464714890</v>
      </c>
    </row>
    <row r="6819" spans="1:3">
      <c r="A6819">
        <v>6818</v>
      </c>
      <c r="B6819">
        <v>464851240</v>
      </c>
      <c r="C6819">
        <v>464851240</v>
      </c>
    </row>
    <row r="6820" spans="1:3">
      <c r="A6820">
        <v>6819</v>
      </c>
      <c r="B6820">
        <v>464987610</v>
      </c>
      <c r="C6820">
        <v>464987610</v>
      </c>
    </row>
    <row r="6821" spans="1:3">
      <c r="A6821">
        <v>6820</v>
      </c>
      <c r="B6821">
        <v>465124000</v>
      </c>
      <c r="C6821">
        <v>465124000</v>
      </c>
    </row>
    <row r="6822" spans="1:3">
      <c r="A6822">
        <v>6821</v>
      </c>
      <c r="B6822">
        <v>465260410</v>
      </c>
      <c r="C6822">
        <v>465260410</v>
      </c>
    </row>
    <row r="6823" spans="1:3">
      <c r="A6823">
        <v>6822</v>
      </c>
      <c r="B6823">
        <v>465396840</v>
      </c>
      <c r="C6823">
        <v>465396840</v>
      </c>
    </row>
    <row r="6824" spans="1:3">
      <c r="A6824">
        <v>6823</v>
      </c>
      <c r="B6824">
        <v>465533290</v>
      </c>
      <c r="C6824">
        <v>465533290</v>
      </c>
    </row>
    <row r="6825" spans="1:3">
      <c r="A6825">
        <v>6824</v>
      </c>
      <c r="B6825">
        <v>465669760</v>
      </c>
      <c r="C6825">
        <v>465669760</v>
      </c>
    </row>
    <row r="6826" spans="1:3">
      <c r="A6826">
        <v>6825</v>
      </c>
      <c r="B6826">
        <v>465806250</v>
      </c>
      <c r="C6826">
        <v>465806250</v>
      </c>
    </row>
    <row r="6827" spans="1:3">
      <c r="A6827">
        <v>6826</v>
      </c>
      <c r="B6827">
        <v>465942760</v>
      </c>
      <c r="C6827">
        <v>465942760</v>
      </c>
    </row>
    <row r="6828" spans="1:3">
      <c r="A6828">
        <v>6827</v>
      </c>
      <c r="B6828">
        <v>466079290</v>
      </c>
      <c r="C6828">
        <v>466079290</v>
      </c>
    </row>
    <row r="6829" spans="1:3">
      <c r="A6829">
        <v>6828</v>
      </c>
      <c r="B6829">
        <v>466215840</v>
      </c>
      <c r="C6829">
        <v>466215840</v>
      </c>
    </row>
    <row r="6830" spans="1:3">
      <c r="A6830">
        <v>6829</v>
      </c>
      <c r="B6830">
        <v>466352410</v>
      </c>
      <c r="C6830">
        <v>466352410</v>
      </c>
    </row>
    <row r="6831" spans="1:3">
      <c r="A6831">
        <v>6830</v>
      </c>
      <c r="B6831">
        <v>466489000</v>
      </c>
      <c r="C6831">
        <v>466489000</v>
      </c>
    </row>
    <row r="6832" spans="1:3">
      <c r="A6832">
        <v>6831</v>
      </c>
      <c r="B6832">
        <v>466625610</v>
      </c>
      <c r="C6832">
        <v>466625610</v>
      </c>
    </row>
    <row r="6833" spans="1:3">
      <c r="A6833">
        <v>6832</v>
      </c>
      <c r="B6833">
        <v>466762240</v>
      </c>
      <c r="C6833">
        <v>466762240</v>
      </c>
    </row>
    <row r="6834" spans="1:3">
      <c r="A6834">
        <v>6833</v>
      </c>
      <c r="B6834">
        <v>466898890</v>
      </c>
      <c r="C6834">
        <v>466898890</v>
      </c>
    </row>
    <row r="6835" spans="1:3">
      <c r="A6835">
        <v>6834</v>
      </c>
      <c r="B6835">
        <v>467035560</v>
      </c>
      <c r="C6835">
        <v>467035560</v>
      </c>
    </row>
    <row r="6836" spans="1:3">
      <c r="A6836">
        <v>6835</v>
      </c>
      <c r="B6836">
        <v>467172250</v>
      </c>
      <c r="C6836">
        <v>467172250</v>
      </c>
    </row>
    <row r="6837" spans="1:3">
      <c r="A6837">
        <v>6836</v>
      </c>
      <c r="B6837">
        <v>467308960</v>
      </c>
      <c r="C6837">
        <v>467308960</v>
      </c>
    </row>
    <row r="6838" spans="1:3">
      <c r="A6838">
        <v>6837</v>
      </c>
      <c r="B6838">
        <v>467445690</v>
      </c>
      <c r="C6838">
        <v>467445690</v>
      </c>
    </row>
    <row r="6839" spans="1:3">
      <c r="A6839">
        <v>6838</v>
      </c>
      <c r="B6839">
        <v>467582440</v>
      </c>
      <c r="C6839">
        <v>467582440</v>
      </c>
    </row>
    <row r="6840" spans="1:3">
      <c r="A6840">
        <v>6839</v>
      </c>
      <c r="B6840">
        <v>467719210</v>
      </c>
      <c r="C6840">
        <v>467719210</v>
      </c>
    </row>
    <row r="6841" spans="1:3">
      <c r="A6841">
        <v>6840</v>
      </c>
      <c r="B6841">
        <v>467856000</v>
      </c>
      <c r="C6841">
        <v>467856000</v>
      </c>
    </row>
    <row r="6842" spans="1:3">
      <c r="A6842">
        <v>6841</v>
      </c>
      <c r="B6842">
        <v>467992810</v>
      </c>
      <c r="C6842">
        <v>467992810</v>
      </c>
    </row>
    <row r="6843" spans="1:3">
      <c r="A6843">
        <v>6842</v>
      </c>
      <c r="B6843">
        <v>468129640</v>
      </c>
      <c r="C6843">
        <v>468129640</v>
      </c>
    </row>
    <row r="6844" spans="1:3">
      <c r="A6844">
        <v>6843</v>
      </c>
      <c r="B6844">
        <v>468266490</v>
      </c>
      <c r="C6844">
        <v>468266490</v>
      </c>
    </row>
    <row r="6845" spans="1:3">
      <c r="A6845">
        <v>6844</v>
      </c>
      <c r="B6845">
        <v>468403360</v>
      </c>
      <c r="C6845">
        <v>468403360</v>
      </c>
    </row>
    <row r="6846" spans="1:3">
      <c r="A6846">
        <v>6845</v>
      </c>
      <c r="B6846">
        <v>468540250</v>
      </c>
      <c r="C6846">
        <v>468540250</v>
      </c>
    </row>
    <row r="6847" spans="1:3">
      <c r="A6847">
        <v>6846</v>
      </c>
      <c r="B6847">
        <v>468677160</v>
      </c>
      <c r="C6847">
        <v>468677160</v>
      </c>
    </row>
    <row r="6848" spans="1:3">
      <c r="A6848">
        <v>6847</v>
      </c>
      <c r="B6848">
        <v>468814090</v>
      </c>
      <c r="C6848">
        <v>468814090</v>
      </c>
    </row>
    <row r="6849" spans="1:3">
      <c r="A6849">
        <v>6848</v>
      </c>
      <c r="B6849">
        <v>468951040</v>
      </c>
      <c r="C6849">
        <v>468951040</v>
      </c>
    </row>
    <row r="6850" spans="1:3">
      <c r="A6850">
        <v>6849</v>
      </c>
      <c r="B6850">
        <v>469088010</v>
      </c>
      <c r="C6850">
        <v>469088010</v>
      </c>
    </row>
    <row r="6851" spans="1:3">
      <c r="A6851">
        <v>6850</v>
      </c>
      <c r="B6851">
        <v>469225000</v>
      </c>
      <c r="C6851">
        <v>469225000</v>
      </c>
    </row>
    <row r="6852" spans="1:3">
      <c r="A6852">
        <v>6851</v>
      </c>
      <c r="B6852">
        <v>469362010</v>
      </c>
      <c r="C6852">
        <v>469362010</v>
      </c>
    </row>
    <row r="6853" spans="1:3">
      <c r="A6853">
        <v>6852</v>
      </c>
      <c r="B6853">
        <v>469499040</v>
      </c>
      <c r="C6853">
        <v>469499040</v>
      </c>
    </row>
    <row r="6854" spans="1:3">
      <c r="A6854">
        <v>6853</v>
      </c>
      <c r="B6854">
        <v>469636090</v>
      </c>
      <c r="C6854">
        <v>469636090</v>
      </c>
    </row>
    <row r="6855" spans="1:3">
      <c r="A6855">
        <v>6854</v>
      </c>
      <c r="B6855">
        <v>469773160</v>
      </c>
      <c r="C6855">
        <v>469773160</v>
      </c>
    </row>
    <row r="6856" spans="1:3">
      <c r="A6856">
        <v>6855</v>
      </c>
      <c r="B6856">
        <v>469910250</v>
      </c>
      <c r="C6856">
        <v>469910250</v>
      </c>
    </row>
    <row r="6857" spans="1:3">
      <c r="A6857">
        <v>6856</v>
      </c>
      <c r="B6857">
        <v>470047360</v>
      </c>
      <c r="C6857">
        <v>470047360</v>
      </c>
    </row>
    <row r="6858" spans="1:3">
      <c r="A6858">
        <v>6857</v>
      </c>
      <c r="B6858">
        <v>470184490</v>
      </c>
      <c r="C6858">
        <v>470184490</v>
      </c>
    </row>
    <row r="6859" spans="1:3">
      <c r="A6859">
        <v>6858</v>
      </c>
      <c r="B6859">
        <v>470321640</v>
      </c>
      <c r="C6859">
        <v>470321640</v>
      </c>
    </row>
    <row r="6860" spans="1:3">
      <c r="A6860">
        <v>6859</v>
      </c>
      <c r="B6860">
        <v>470458810</v>
      </c>
      <c r="C6860">
        <v>470458810</v>
      </c>
    </row>
    <row r="6861" spans="1:3">
      <c r="A6861">
        <v>6860</v>
      </c>
      <c r="B6861">
        <v>470596000</v>
      </c>
      <c r="C6861">
        <v>470596000</v>
      </c>
    </row>
    <row r="6862" spans="1:3">
      <c r="A6862">
        <v>6861</v>
      </c>
      <c r="B6862">
        <v>470733210</v>
      </c>
      <c r="C6862">
        <v>470733210</v>
      </c>
    </row>
    <row r="6863" spans="1:3">
      <c r="A6863">
        <v>6862</v>
      </c>
      <c r="B6863">
        <v>470870440</v>
      </c>
      <c r="C6863">
        <v>470870440</v>
      </c>
    </row>
    <row r="6864" spans="1:3">
      <c r="A6864">
        <v>6863</v>
      </c>
      <c r="B6864">
        <v>471007690</v>
      </c>
      <c r="C6864">
        <v>471007690</v>
      </c>
    </row>
    <row r="6865" spans="1:3">
      <c r="A6865">
        <v>6864</v>
      </c>
      <c r="B6865">
        <v>471144960</v>
      </c>
      <c r="C6865">
        <v>471144960</v>
      </c>
    </row>
    <row r="6866" spans="1:3">
      <c r="A6866">
        <v>6865</v>
      </c>
      <c r="B6866">
        <v>471282250</v>
      </c>
      <c r="C6866">
        <v>471282250</v>
      </c>
    </row>
    <row r="6867" spans="1:3">
      <c r="A6867">
        <v>6866</v>
      </c>
      <c r="B6867">
        <v>471419560</v>
      </c>
      <c r="C6867">
        <v>471419560</v>
      </c>
    </row>
    <row r="6868" spans="1:3">
      <c r="A6868">
        <v>6867</v>
      </c>
      <c r="B6868">
        <v>471556890</v>
      </c>
      <c r="C6868">
        <v>471556890</v>
      </c>
    </row>
    <row r="6869" spans="1:3">
      <c r="A6869">
        <v>6868</v>
      </c>
      <c r="B6869">
        <v>471694240</v>
      </c>
      <c r="C6869">
        <v>471694240</v>
      </c>
    </row>
    <row r="6870" spans="1:3">
      <c r="A6870">
        <v>6869</v>
      </c>
      <c r="B6870">
        <v>471831610</v>
      </c>
      <c r="C6870">
        <v>471831610</v>
      </c>
    </row>
    <row r="6871" spans="1:3">
      <c r="A6871">
        <v>6870</v>
      </c>
      <c r="B6871">
        <v>471969000</v>
      </c>
      <c r="C6871">
        <v>471969000</v>
      </c>
    </row>
    <row r="6872" spans="1:3">
      <c r="A6872">
        <v>6871</v>
      </c>
      <c r="B6872">
        <v>472106410</v>
      </c>
      <c r="C6872">
        <v>472106410</v>
      </c>
    </row>
    <row r="6873" spans="1:3">
      <c r="A6873">
        <v>6872</v>
      </c>
      <c r="B6873">
        <v>472243840</v>
      </c>
      <c r="C6873">
        <v>472243840</v>
      </c>
    </row>
    <row r="6874" spans="1:3">
      <c r="A6874">
        <v>6873</v>
      </c>
      <c r="B6874">
        <v>472381290</v>
      </c>
      <c r="C6874">
        <v>472381290</v>
      </c>
    </row>
    <row r="6875" spans="1:3">
      <c r="A6875">
        <v>6874</v>
      </c>
      <c r="B6875">
        <v>472518760</v>
      </c>
      <c r="C6875">
        <v>472518760</v>
      </c>
    </row>
    <row r="6876" spans="1:3">
      <c r="A6876">
        <v>6875</v>
      </c>
      <c r="B6876">
        <v>472656250</v>
      </c>
      <c r="C6876">
        <v>472656250</v>
      </c>
    </row>
    <row r="6877" spans="1:3">
      <c r="A6877">
        <v>6876</v>
      </c>
      <c r="B6877">
        <v>472793760</v>
      </c>
      <c r="C6877">
        <v>472793760</v>
      </c>
    </row>
    <row r="6878" spans="1:3">
      <c r="A6878">
        <v>6877</v>
      </c>
      <c r="B6878">
        <v>472931290</v>
      </c>
      <c r="C6878">
        <v>472931290</v>
      </c>
    </row>
    <row r="6879" spans="1:3">
      <c r="A6879">
        <v>6878</v>
      </c>
      <c r="B6879">
        <v>473068840</v>
      </c>
      <c r="C6879">
        <v>473068840</v>
      </c>
    </row>
    <row r="6880" spans="1:3">
      <c r="A6880">
        <v>6879</v>
      </c>
      <c r="B6880">
        <v>473206410</v>
      </c>
      <c r="C6880">
        <v>473206410</v>
      </c>
    </row>
    <row r="6881" spans="1:3">
      <c r="A6881">
        <v>6880</v>
      </c>
      <c r="B6881">
        <v>473344000</v>
      </c>
      <c r="C6881">
        <v>473344000</v>
      </c>
    </row>
    <row r="6882" spans="1:3">
      <c r="A6882">
        <v>6881</v>
      </c>
      <c r="B6882">
        <v>473481610</v>
      </c>
      <c r="C6882">
        <v>473481610</v>
      </c>
    </row>
    <row r="6883" spans="1:3">
      <c r="A6883">
        <v>6882</v>
      </c>
      <c r="B6883">
        <v>473619240</v>
      </c>
      <c r="C6883">
        <v>473619240</v>
      </c>
    </row>
    <row r="6884" spans="1:3">
      <c r="A6884">
        <v>6883</v>
      </c>
      <c r="B6884">
        <v>473756890</v>
      </c>
      <c r="C6884">
        <v>473756890</v>
      </c>
    </row>
    <row r="6885" spans="1:3">
      <c r="A6885">
        <v>6884</v>
      </c>
      <c r="B6885">
        <v>473894560</v>
      </c>
      <c r="C6885">
        <v>473894560</v>
      </c>
    </row>
    <row r="6886" spans="1:3">
      <c r="A6886">
        <v>6885</v>
      </c>
      <c r="B6886">
        <v>474032250</v>
      </c>
      <c r="C6886">
        <v>474032250</v>
      </c>
    </row>
    <row r="6887" spans="1:3">
      <c r="A6887">
        <v>6886</v>
      </c>
      <c r="B6887">
        <v>474169960</v>
      </c>
      <c r="C6887">
        <v>474169960</v>
      </c>
    </row>
    <row r="6888" spans="1:3">
      <c r="A6888">
        <v>6887</v>
      </c>
      <c r="B6888">
        <v>474307690</v>
      </c>
      <c r="C6888">
        <v>474307690</v>
      </c>
    </row>
    <row r="6889" spans="1:3">
      <c r="A6889">
        <v>6888</v>
      </c>
      <c r="B6889">
        <v>474445440</v>
      </c>
      <c r="C6889">
        <v>474445440</v>
      </c>
    </row>
    <row r="6890" spans="1:3">
      <c r="A6890">
        <v>6889</v>
      </c>
      <c r="B6890">
        <v>474583210</v>
      </c>
      <c r="C6890">
        <v>474583210</v>
      </c>
    </row>
    <row r="6891" spans="1:3">
      <c r="A6891">
        <v>6890</v>
      </c>
      <c r="B6891">
        <v>474721000</v>
      </c>
      <c r="C6891">
        <v>474721000</v>
      </c>
    </row>
    <row r="6892" spans="1:3">
      <c r="A6892">
        <v>6891</v>
      </c>
      <c r="B6892">
        <v>474858810</v>
      </c>
      <c r="C6892">
        <v>474858810</v>
      </c>
    </row>
    <row r="6893" spans="1:3">
      <c r="A6893">
        <v>6892</v>
      </c>
      <c r="B6893">
        <v>474996640</v>
      </c>
      <c r="C6893">
        <v>474996640</v>
      </c>
    </row>
    <row r="6894" spans="1:3">
      <c r="A6894">
        <v>6893</v>
      </c>
      <c r="B6894">
        <v>475134490</v>
      </c>
      <c r="C6894">
        <v>475134490</v>
      </c>
    </row>
    <row r="6895" spans="1:3">
      <c r="A6895">
        <v>6894</v>
      </c>
      <c r="B6895">
        <v>475272360</v>
      </c>
      <c r="C6895">
        <v>475272360</v>
      </c>
    </row>
    <row r="6896" spans="1:3">
      <c r="A6896">
        <v>6895</v>
      </c>
      <c r="B6896">
        <v>475410250</v>
      </c>
      <c r="C6896">
        <v>475410250</v>
      </c>
    </row>
    <row r="6897" spans="1:3">
      <c r="A6897">
        <v>6896</v>
      </c>
      <c r="B6897">
        <v>475548160</v>
      </c>
      <c r="C6897">
        <v>475548160</v>
      </c>
    </row>
    <row r="6898" spans="1:3">
      <c r="A6898">
        <v>6897</v>
      </c>
      <c r="B6898">
        <v>475686090</v>
      </c>
      <c r="C6898">
        <v>475686090</v>
      </c>
    </row>
    <row r="6899" spans="1:3">
      <c r="A6899">
        <v>6898</v>
      </c>
      <c r="B6899">
        <v>475824040</v>
      </c>
      <c r="C6899">
        <v>475824040</v>
      </c>
    </row>
    <row r="6900" spans="1:3">
      <c r="A6900">
        <v>6899</v>
      </c>
      <c r="B6900">
        <v>475962010</v>
      </c>
      <c r="C6900">
        <v>475962010</v>
      </c>
    </row>
    <row r="6901" spans="1:3">
      <c r="A6901">
        <v>6900</v>
      </c>
      <c r="B6901">
        <v>476100000</v>
      </c>
      <c r="C6901">
        <v>476100000</v>
      </c>
    </row>
    <row r="6902" spans="1:3">
      <c r="A6902">
        <v>6901</v>
      </c>
      <c r="B6902">
        <v>476238010</v>
      </c>
      <c r="C6902">
        <v>476238010</v>
      </c>
    </row>
    <row r="6903" spans="1:3">
      <c r="A6903">
        <v>6902</v>
      </c>
      <c r="B6903">
        <v>476376040</v>
      </c>
      <c r="C6903">
        <v>476376040</v>
      </c>
    </row>
    <row r="6904" spans="1:3">
      <c r="A6904">
        <v>6903</v>
      </c>
      <c r="B6904">
        <v>476514090</v>
      </c>
      <c r="C6904">
        <v>476514090</v>
      </c>
    </row>
    <row r="6905" spans="1:3">
      <c r="A6905">
        <v>6904</v>
      </c>
      <c r="B6905">
        <v>476652160</v>
      </c>
      <c r="C6905">
        <v>476652160</v>
      </c>
    </row>
    <row r="6906" spans="1:3">
      <c r="A6906">
        <v>6905</v>
      </c>
      <c r="B6906">
        <v>476790250</v>
      </c>
      <c r="C6906">
        <v>476790250</v>
      </c>
    </row>
    <row r="6907" spans="1:3">
      <c r="A6907">
        <v>6906</v>
      </c>
      <c r="B6907">
        <v>476928360</v>
      </c>
      <c r="C6907">
        <v>476928360</v>
      </c>
    </row>
    <row r="6908" spans="1:3">
      <c r="A6908">
        <v>6907</v>
      </c>
      <c r="B6908">
        <v>477066490</v>
      </c>
      <c r="C6908">
        <v>477066490</v>
      </c>
    </row>
    <row r="6909" spans="1:3">
      <c r="A6909">
        <v>6908</v>
      </c>
      <c r="B6909">
        <v>477204640</v>
      </c>
      <c r="C6909">
        <v>477204640</v>
      </c>
    </row>
    <row r="6910" spans="1:3">
      <c r="A6910">
        <v>6909</v>
      </c>
      <c r="B6910">
        <v>477342810</v>
      </c>
      <c r="C6910">
        <v>477342810</v>
      </c>
    </row>
    <row r="6911" spans="1:3">
      <c r="A6911">
        <v>6910</v>
      </c>
      <c r="B6911">
        <v>477481000</v>
      </c>
      <c r="C6911">
        <v>477481000</v>
      </c>
    </row>
    <row r="6912" spans="1:3">
      <c r="A6912">
        <v>6911</v>
      </c>
      <c r="B6912">
        <v>477619210</v>
      </c>
      <c r="C6912">
        <v>477619210</v>
      </c>
    </row>
    <row r="6913" spans="1:3">
      <c r="A6913">
        <v>6912</v>
      </c>
      <c r="B6913">
        <v>477757440</v>
      </c>
      <c r="C6913">
        <v>477757440</v>
      </c>
    </row>
    <row r="6914" spans="1:3">
      <c r="A6914">
        <v>6913</v>
      </c>
      <c r="B6914">
        <v>477895690</v>
      </c>
      <c r="C6914">
        <v>477895690</v>
      </c>
    </row>
    <row r="6915" spans="1:3">
      <c r="A6915">
        <v>6914</v>
      </c>
      <c r="B6915">
        <v>478033960</v>
      </c>
      <c r="C6915">
        <v>478033960</v>
      </c>
    </row>
    <row r="6916" spans="1:3">
      <c r="A6916">
        <v>6915</v>
      </c>
      <c r="B6916">
        <v>478172250</v>
      </c>
      <c r="C6916">
        <v>478172250</v>
      </c>
    </row>
    <row r="6917" spans="1:3">
      <c r="A6917">
        <v>6916</v>
      </c>
      <c r="B6917">
        <v>478310560</v>
      </c>
      <c r="C6917">
        <v>478310560</v>
      </c>
    </row>
    <row r="6918" spans="1:3">
      <c r="A6918">
        <v>6917</v>
      </c>
      <c r="B6918">
        <v>478448890</v>
      </c>
      <c r="C6918">
        <v>478448890</v>
      </c>
    </row>
    <row r="6919" spans="1:3">
      <c r="A6919">
        <v>6918</v>
      </c>
      <c r="B6919">
        <v>478587240</v>
      </c>
      <c r="C6919">
        <v>478587240</v>
      </c>
    </row>
    <row r="6920" spans="1:3">
      <c r="A6920">
        <v>6919</v>
      </c>
      <c r="B6920">
        <v>478725610</v>
      </c>
      <c r="C6920">
        <v>478725610</v>
      </c>
    </row>
    <row r="6921" spans="1:3">
      <c r="A6921">
        <v>6920</v>
      </c>
      <c r="B6921">
        <v>478864000</v>
      </c>
      <c r="C6921">
        <v>478864000</v>
      </c>
    </row>
    <row r="6922" spans="1:3">
      <c r="A6922">
        <v>6921</v>
      </c>
      <c r="B6922">
        <v>479002410</v>
      </c>
      <c r="C6922">
        <v>479002410</v>
      </c>
    </row>
    <row r="6923" spans="1:3">
      <c r="A6923">
        <v>6922</v>
      </c>
      <c r="B6923">
        <v>479140840</v>
      </c>
      <c r="C6923">
        <v>479140840</v>
      </c>
    </row>
    <row r="6924" spans="1:3">
      <c r="A6924">
        <v>6923</v>
      </c>
      <c r="B6924">
        <v>479279290</v>
      </c>
      <c r="C6924">
        <v>479279290</v>
      </c>
    </row>
    <row r="6925" spans="1:3">
      <c r="A6925">
        <v>6924</v>
      </c>
      <c r="B6925">
        <v>479417760</v>
      </c>
      <c r="C6925">
        <v>479417760</v>
      </c>
    </row>
    <row r="6926" spans="1:3">
      <c r="A6926">
        <v>6925</v>
      </c>
      <c r="B6926">
        <v>479556250</v>
      </c>
      <c r="C6926">
        <v>479556250</v>
      </c>
    </row>
    <row r="6927" spans="1:3">
      <c r="A6927">
        <v>6926</v>
      </c>
      <c r="B6927">
        <v>479694760</v>
      </c>
      <c r="C6927">
        <v>479694760</v>
      </c>
    </row>
    <row r="6928" spans="1:3">
      <c r="A6928">
        <v>6927</v>
      </c>
      <c r="B6928">
        <v>479833290</v>
      </c>
      <c r="C6928">
        <v>479833290</v>
      </c>
    </row>
    <row r="6929" spans="1:3">
      <c r="A6929">
        <v>6928</v>
      </c>
      <c r="B6929">
        <v>479971840</v>
      </c>
      <c r="C6929">
        <v>479971840</v>
      </c>
    </row>
    <row r="6930" spans="1:3">
      <c r="A6930">
        <v>6929</v>
      </c>
      <c r="B6930">
        <v>480110410</v>
      </c>
      <c r="C6930">
        <v>480110410</v>
      </c>
    </row>
    <row r="6931" spans="1:3">
      <c r="A6931">
        <v>6930</v>
      </c>
      <c r="B6931">
        <v>480249000</v>
      </c>
      <c r="C6931">
        <v>480249000</v>
      </c>
    </row>
    <row r="6932" spans="1:3">
      <c r="A6932">
        <v>6931</v>
      </c>
      <c r="B6932">
        <v>480387610</v>
      </c>
      <c r="C6932">
        <v>480387610</v>
      </c>
    </row>
    <row r="6933" spans="1:3">
      <c r="A6933">
        <v>6932</v>
      </c>
      <c r="B6933">
        <v>480526240</v>
      </c>
      <c r="C6933">
        <v>480526240</v>
      </c>
    </row>
    <row r="6934" spans="1:3">
      <c r="A6934">
        <v>6933</v>
      </c>
      <c r="B6934">
        <v>480664890</v>
      </c>
      <c r="C6934">
        <v>480664890</v>
      </c>
    </row>
    <row r="6935" spans="1:3">
      <c r="A6935">
        <v>6934</v>
      </c>
      <c r="B6935">
        <v>480803560</v>
      </c>
      <c r="C6935">
        <v>480803560</v>
      </c>
    </row>
    <row r="6936" spans="1:3">
      <c r="A6936">
        <v>6935</v>
      </c>
      <c r="B6936">
        <v>480942250</v>
      </c>
      <c r="C6936">
        <v>480942250</v>
      </c>
    </row>
    <row r="6937" spans="1:3">
      <c r="A6937">
        <v>6936</v>
      </c>
      <c r="B6937">
        <v>481080960</v>
      </c>
      <c r="C6937">
        <v>481080960</v>
      </c>
    </row>
    <row r="6938" spans="1:3">
      <c r="A6938">
        <v>6937</v>
      </c>
      <c r="B6938">
        <v>481219690</v>
      </c>
      <c r="C6938">
        <v>481219690</v>
      </c>
    </row>
    <row r="6939" spans="1:3">
      <c r="A6939">
        <v>6938</v>
      </c>
      <c r="B6939">
        <v>481358440</v>
      </c>
      <c r="C6939">
        <v>481358440</v>
      </c>
    </row>
    <row r="6940" spans="1:3">
      <c r="A6940">
        <v>6939</v>
      </c>
      <c r="B6940">
        <v>481497210</v>
      </c>
      <c r="C6940">
        <v>481497210</v>
      </c>
    </row>
    <row r="6941" spans="1:3">
      <c r="A6941">
        <v>6940</v>
      </c>
      <c r="B6941">
        <v>481636000</v>
      </c>
      <c r="C6941">
        <v>481636000</v>
      </c>
    </row>
    <row r="6942" spans="1:3">
      <c r="A6942">
        <v>6941</v>
      </c>
      <c r="B6942">
        <v>481774810</v>
      </c>
      <c r="C6942">
        <v>481774810</v>
      </c>
    </row>
    <row r="6943" spans="1:3">
      <c r="A6943">
        <v>6942</v>
      </c>
      <c r="B6943">
        <v>481913640</v>
      </c>
      <c r="C6943">
        <v>481913640</v>
      </c>
    </row>
    <row r="6944" spans="1:3">
      <c r="A6944">
        <v>6943</v>
      </c>
      <c r="B6944">
        <v>482052490</v>
      </c>
      <c r="C6944">
        <v>482052490</v>
      </c>
    </row>
    <row r="6945" spans="1:3">
      <c r="A6945">
        <v>6944</v>
      </c>
      <c r="B6945">
        <v>482191360</v>
      </c>
      <c r="C6945">
        <v>482191360</v>
      </c>
    </row>
    <row r="6946" spans="1:3">
      <c r="A6946">
        <v>6945</v>
      </c>
      <c r="B6946">
        <v>482330250</v>
      </c>
      <c r="C6946">
        <v>482330250</v>
      </c>
    </row>
    <row r="6947" spans="1:3">
      <c r="A6947">
        <v>6946</v>
      </c>
      <c r="B6947">
        <v>482469160</v>
      </c>
      <c r="C6947">
        <v>482469160</v>
      </c>
    </row>
    <row r="6948" spans="1:3">
      <c r="A6948">
        <v>6947</v>
      </c>
      <c r="B6948">
        <v>482608090</v>
      </c>
      <c r="C6948">
        <v>482608090</v>
      </c>
    </row>
    <row r="6949" spans="1:3">
      <c r="A6949">
        <v>6948</v>
      </c>
      <c r="B6949">
        <v>482747040</v>
      </c>
      <c r="C6949">
        <v>482747040</v>
      </c>
    </row>
    <row r="6950" spans="1:3">
      <c r="A6950">
        <v>6949</v>
      </c>
      <c r="B6950">
        <v>482886010</v>
      </c>
      <c r="C6950">
        <v>482886010</v>
      </c>
    </row>
    <row r="6951" spans="1:3">
      <c r="A6951">
        <v>6950</v>
      </c>
      <c r="B6951">
        <v>483025000</v>
      </c>
      <c r="C6951">
        <v>483025000</v>
      </c>
    </row>
    <row r="6952" spans="1:3">
      <c r="A6952">
        <v>6951</v>
      </c>
      <c r="B6952">
        <v>483164010</v>
      </c>
      <c r="C6952">
        <v>483164010</v>
      </c>
    </row>
    <row r="6953" spans="1:3">
      <c r="A6953">
        <v>6952</v>
      </c>
      <c r="B6953">
        <v>483303040</v>
      </c>
      <c r="C6953">
        <v>483303040</v>
      </c>
    </row>
    <row r="6954" spans="1:3">
      <c r="A6954">
        <v>6953</v>
      </c>
      <c r="B6954">
        <v>483442090</v>
      </c>
      <c r="C6954">
        <v>483442090</v>
      </c>
    </row>
    <row r="6955" spans="1:3">
      <c r="A6955">
        <v>6954</v>
      </c>
      <c r="B6955">
        <v>483581160</v>
      </c>
      <c r="C6955">
        <v>483581160</v>
      </c>
    </row>
    <row r="6956" spans="1:3">
      <c r="A6956">
        <v>6955</v>
      </c>
      <c r="B6956">
        <v>483720250</v>
      </c>
      <c r="C6956">
        <v>483720250</v>
      </c>
    </row>
    <row r="6957" spans="1:3">
      <c r="A6957">
        <v>6956</v>
      </c>
      <c r="B6957">
        <v>483859360</v>
      </c>
      <c r="C6957">
        <v>483859360</v>
      </c>
    </row>
    <row r="6958" spans="1:3">
      <c r="A6958">
        <v>6957</v>
      </c>
      <c r="B6958">
        <v>483998490</v>
      </c>
      <c r="C6958">
        <v>483998490</v>
      </c>
    </row>
    <row r="6959" spans="1:3">
      <c r="A6959">
        <v>6958</v>
      </c>
      <c r="B6959">
        <v>484137640</v>
      </c>
      <c r="C6959">
        <v>484137640</v>
      </c>
    </row>
    <row r="6960" spans="1:3">
      <c r="A6960">
        <v>6959</v>
      </c>
      <c r="B6960">
        <v>484276810</v>
      </c>
      <c r="C6960">
        <v>484276810</v>
      </c>
    </row>
    <row r="6961" spans="1:3">
      <c r="A6961">
        <v>6960</v>
      </c>
      <c r="B6961">
        <v>484416000</v>
      </c>
      <c r="C6961">
        <v>484416000</v>
      </c>
    </row>
    <row r="6962" spans="1:3">
      <c r="A6962">
        <v>6961</v>
      </c>
      <c r="B6962">
        <v>484555210</v>
      </c>
      <c r="C6962">
        <v>484555210</v>
      </c>
    </row>
    <row r="6963" spans="1:3">
      <c r="A6963">
        <v>6962</v>
      </c>
      <c r="B6963">
        <v>484694440</v>
      </c>
      <c r="C6963">
        <v>484694440</v>
      </c>
    </row>
    <row r="6964" spans="1:3">
      <c r="A6964">
        <v>6963</v>
      </c>
      <c r="B6964">
        <v>484833690</v>
      </c>
      <c r="C6964">
        <v>484833690</v>
      </c>
    </row>
    <row r="6965" spans="1:3">
      <c r="A6965">
        <v>6964</v>
      </c>
      <c r="B6965">
        <v>484972960</v>
      </c>
      <c r="C6965">
        <v>484972960</v>
      </c>
    </row>
    <row r="6966" spans="1:3">
      <c r="A6966">
        <v>6965</v>
      </c>
      <c r="B6966">
        <v>485112250</v>
      </c>
      <c r="C6966">
        <v>485112250</v>
      </c>
    </row>
    <row r="6967" spans="1:3">
      <c r="A6967">
        <v>6966</v>
      </c>
      <c r="B6967">
        <v>485251560</v>
      </c>
      <c r="C6967">
        <v>485251560</v>
      </c>
    </row>
    <row r="6968" spans="1:3">
      <c r="A6968">
        <v>6967</v>
      </c>
      <c r="B6968">
        <v>485390890</v>
      </c>
      <c r="C6968">
        <v>485390890</v>
      </c>
    </row>
    <row r="6969" spans="1:3">
      <c r="A6969">
        <v>6968</v>
      </c>
      <c r="B6969">
        <v>485530240</v>
      </c>
      <c r="C6969">
        <v>485530240</v>
      </c>
    </row>
    <row r="6970" spans="1:3">
      <c r="A6970">
        <v>6969</v>
      </c>
      <c r="B6970">
        <v>485669610</v>
      </c>
      <c r="C6970">
        <v>485669610</v>
      </c>
    </row>
    <row r="6971" spans="1:3">
      <c r="A6971">
        <v>6970</v>
      </c>
      <c r="B6971">
        <v>485809000</v>
      </c>
      <c r="C6971">
        <v>485809000</v>
      </c>
    </row>
    <row r="6972" spans="1:3">
      <c r="A6972">
        <v>6971</v>
      </c>
      <c r="B6972">
        <v>485948410</v>
      </c>
      <c r="C6972">
        <v>485948410</v>
      </c>
    </row>
    <row r="6973" spans="1:3">
      <c r="A6973">
        <v>6972</v>
      </c>
      <c r="B6973">
        <v>486087840</v>
      </c>
      <c r="C6973">
        <v>486087840</v>
      </c>
    </row>
    <row r="6974" spans="1:3">
      <c r="A6974">
        <v>6973</v>
      </c>
      <c r="B6974">
        <v>486227290</v>
      </c>
      <c r="C6974">
        <v>486227290</v>
      </c>
    </row>
    <row r="6975" spans="1:3">
      <c r="A6975">
        <v>6974</v>
      </c>
      <c r="B6975">
        <v>486366760</v>
      </c>
      <c r="C6975">
        <v>486366760</v>
      </c>
    </row>
    <row r="6976" spans="1:3">
      <c r="A6976">
        <v>6975</v>
      </c>
      <c r="B6976">
        <v>486506250</v>
      </c>
      <c r="C6976">
        <v>486506250</v>
      </c>
    </row>
    <row r="6977" spans="1:3">
      <c r="A6977">
        <v>6976</v>
      </c>
      <c r="B6977">
        <v>486645760</v>
      </c>
      <c r="C6977">
        <v>486645760</v>
      </c>
    </row>
    <row r="6978" spans="1:3">
      <c r="A6978">
        <v>6977</v>
      </c>
      <c r="B6978">
        <v>486785290</v>
      </c>
      <c r="C6978">
        <v>486785290</v>
      </c>
    </row>
    <row r="6979" spans="1:3">
      <c r="A6979">
        <v>6978</v>
      </c>
      <c r="B6979">
        <v>486924840</v>
      </c>
      <c r="C6979">
        <v>486924840</v>
      </c>
    </row>
    <row r="6980" spans="1:3">
      <c r="A6980">
        <v>6979</v>
      </c>
      <c r="B6980">
        <v>487064410</v>
      </c>
      <c r="C6980">
        <v>487064410</v>
      </c>
    </row>
    <row r="6981" spans="1:3">
      <c r="A6981">
        <v>6980</v>
      </c>
      <c r="B6981">
        <v>487204000</v>
      </c>
      <c r="C6981">
        <v>487204000</v>
      </c>
    </row>
    <row r="6982" spans="1:3">
      <c r="A6982">
        <v>6981</v>
      </c>
      <c r="B6982">
        <v>487343610</v>
      </c>
      <c r="C6982">
        <v>487343610</v>
      </c>
    </row>
    <row r="6983" spans="1:3">
      <c r="A6983">
        <v>6982</v>
      </c>
      <c r="B6983">
        <v>487483240</v>
      </c>
      <c r="C6983">
        <v>487483240</v>
      </c>
    </row>
    <row r="6984" spans="1:3">
      <c r="A6984">
        <v>6983</v>
      </c>
      <c r="B6984">
        <v>487622890</v>
      </c>
      <c r="C6984">
        <v>487622890</v>
      </c>
    </row>
    <row r="6985" spans="1:3">
      <c r="A6985">
        <v>6984</v>
      </c>
      <c r="B6985">
        <v>487762560</v>
      </c>
      <c r="C6985">
        <v>487762560</v>
      </c>
    </row>
    <row r="6986" spans="1:3">
      <c r="A6986">
        <v>6985</v>
      </c>
      <c r="B6986">
        <v>487902250</v>
      </c>
      <c r="C6986">
        <v>487902250</v>
      </c>
    </row>
    <row r="6987" spans="1:3">
      <c r="A6987">
        <v>6986</v>
      </c>
      <c r="B6987">
        <v>488041960</v>
      </c>
      <c r="C6987">
        <v>488041960</v>
      </c>
    </row>
    <row r="6988" spans="1:3">
      <c r="A6988">
        <v>6987</v>
      </c>
      <c r="B6988">
        <v>488181690</v>
      </c>
      <c r="C6988">
        <v>488181690</v>
      </c>
    </row>
    <row r="6989" spans="1:3">
      <c r="A6989">
        <v>6988</v>
      </c>
      <c r="B6989">
        <v>488321440</v>
      </c>
      <c r="C6989">
        <v>488321440</v>
      </c>
    </row>
    <row r="6990" spans="1:3">
      <c r="A6990">
        <v>6989</v>
      </c>
      <c r="B6990">
        <v>488461210</v>
      </c>
      <c r="C6990">
        <v>488461210</v>
      </c>
    </row>
    <row r="6991" spans="1:3">
      <c r="A6991">
        <v>6990</v>
      </c>
      <c r="B6991">
        <v>488601000</v>
      </c>
      <c r="C6991">
        <v>488601000</v>
      </c>
    </row>
    <row r="6992" spans="1:3">
      <c r="A6992">
        <v>6991</v>
      </c>
      <c r="B6992">
        <v>488740810</v>
      </c>
      <c r="C6992">
        <v>488740810</v>
      </c>
    </row>
    <row r="6993" spans="1:3">
      <c r="A6993">
        <v>6992</v>
      </c>
      <c r="B6993">
        <v>488880640</v>
      </c>
      <c r="C6993">
        <v>488880640</v>
      </c>
    </row>
    <row r="6994" spans="1:3">
      <c r="A6994">
        <v>6993</v>
      </c>
      <c r="B6994">
        <v>489020490</v>
      </c>
      <c r="C6994">
        <v>489020490</v>
      </c>
    </row>
    <row r="6995" spans="1:3">
      <c r="A6995">
        <v>6994</v>
      </c>
      <c r="B6995">
        <v>489160360</v>
      </c>
      <c r="C6995">
        <v>489160360</v>
      </c>
    </row>
    <row r="6996" spans="1:3">
      <c r="A6996">
        <v>6995</v>
      </c>
      <c r="B6996">
        <v>489300250</v>
      </c>
      <c r="C6996">
        <v>489300250</v>
      </c>
    </row>
    <row r="6997" spans="1:3">
      <c r="A6997">
        <v>6996</v>
      </c>
      <c r="B6997">
        <v>489440160</v>
      </c>
      <c r="C6997">
        <v>489440160</v>
      </c>
    </row>
    <row r="6998" spans="1:3">
      <c r="A6998">
        <v>6997</v>
      </c>
      <c r="B6998">
        <v>489580090</v>
      </c>
      <c r="C6998">
        <v>489580090</v>
      </c>
    </row>
    <row r="6999" spans="1:3">
      <c r="A6999">
        <v>6998</v>
      </c>
      <c r="B6999">
        <v>489720040</v>
      </c>
      <c r="C6999">
        <v>489720040</v>
      </c>
    </row>
    <row r="7000" spans="1:3">
      <c r="A7000">
        <v>6999</v>
      </c>
      <c r="B7000">
        <v>489860010</v>
      </c>
      <c r="C7000">
        <v>489860010</v>
      </c>
    </row>
    <row r="7001" spans="1:3">
      <c r="A7001">
        <v>7000</v>
      </c>
      <c r="B7001">
        <v>490000000</v>
      </c>
      <c r="C7001">
        <v>490000000</v>
      </c>
    </row>
    <row r="7002" spans="1:3">
      <c r="A7002">
        <v>7001</v>
      </c>
      <c r="B7002">
        <v>490140010</v>
      </c>
      <c r="C7002">
        <v>490140010</v>
      </c>
    </row>
    <row r="7003" spans="1:3">
      <c r="A7003">
        <v>7002</v>
      </c>
      <c r="B7003">
        <v>490280040</v>
      </c>
      <c r="C7003">
        <v>490280040</v>
      </c>
    </row>
    <row r="7004" spans="1:3">
      <c r="A7004">
        <v>7003</v>
      </c>
      <c r="B7004">
        <v>490420090</v>
      </c>
      <c r="C7004">
        <v>490420090</v>
      </c>
    </row>
    <row r="7005" spans="1:3">
      <c r="A7005">
        <v>7004</v>
      </c>
      <c r="B7005">
        <v>490560160</v>
      </c>
      <c r="C7005">
        <v>490560160</v>
      </c>
    </row>
    <row r="7006" spans="1:3">
      <c r="A7006">
        <v>7005</v>
      </c>
      <c r="B7006">
        <v>490700250</v>
      </c>
      <c r="C7006">
        <v>490700250</v>
      </c>
    </row>
    <row r="7007" spans="1:3">
      <c r="A7007">
        <v>7006</v>
      </c>
      <c r="B7007">
        <v>490840360</v>
      </c>
      <c r="C7007">
        <v>490840360</v>
      </c>
    </row>
    <row r="7008" spans="1:3">
      <c r="A7008">
        <v>7007</v>
      </c>
      <c r="B7008">
        <v>490980490</v>
      </c>
      <c r="C7008">
        <v>490980490</v>
      </c>
    </row>
    <row r="7009" spans="1:3">
      <c r="A7009">
        <v>7008</v>
      </c>
      <c r="B7009">
        <v>491120640</v>
      </c>
      <c r="C7009">
        <v>491120640</v>
      </c>
    </row>
    <row r="7010" spans="1:3">
      <c r="A7010">
        <v>7009</v>
      </c>
      <c r="B7010">
        <v>491260810</v>
      </c>
      <c r="C7010">
        <v>491260810</v>
      </c>
    </row>
    <row r="7011" spans="1:3">
      <c r="A7011">
        <v>7010</v>
      </c>
      <c r="B7011">
        <v>491401000</v>
      </c>
      <c r="C7011">
        <v>491401000</v>
      </c>
    </row>
    <row r="7012" spans="1:3">
      <c r="A7012">
        <v>7011</v>
      </c>
      <c r="B7012">
        <v>491541210</v>
      </c>
      <c r="C7012">
        <v>491541210</v>
      </c>
    </row>
    <row r="7013" spans="1:3">
      <c r="A7013">
        <v>7012</v>
      </c>
      <c r="B7013">
        <v>491681440</v>
      </c>
      <c r="C7013">
        <v>491681440</v>
      </c>
    </row>
    <row r="7014" spans="1:3">
      <c r="A7014">
        <v>7013</v>
      </c>
      <c r="B7014">
        <v>491821690</v>
      </c>
      <c r="C7014">
        <v>491821690</v>
      </c>
    </row>
    <row r="7015" spans="1:3">
      <c r="A7015">
        <v>7014</v>
      </c>
      <c r="B7015">
        <v>491961960</v>
      </c>
      <c r="C7015">
        <v>491961960</v>
      </c>
    </row>
    <row r="7016" spans="1:3">
      <c r="A7016">
        <v>7015</v>
      </c>
      <c r="B7016">
        <v>492102250</v>
      </c>
      <c r="C7016">
        <v>492102250</v>
      </c>
    </row>
    <row r="7017" spans="1:3">
      <c r="A7017">
        <v>7016</v>
      </c>
      <c r="B7017">
        <v>492242560</v>
      </c>
      <c r="C7017">
        <v>492242560</v>
      </c>
    </row>
    <row r="7018" spans="1:3">
      <c r="A7018">
        <v>7017</v>
      </c>
      <c r="B7018">
        <v>492382890</v>
      </c>
      <c r="C7018">
        <v>492382890</v>
      </c>
    </row>
    <row r="7019" spans="1:3">
      <c r="A7019">
        <v>7018</v>
      </c>
      <c r="B7019">
        <v>492523240</v>
      </c>
      <c r="C7019">
        <v>492523240</v>
      </c>
    </row>
    <row r="7020" spans="1:3">
      <c r="A7020">
        <v>7019</v>
      </c>
      <c r="B7020">
        <v>492663610</v>
      </c>
      <c r="C7020">
        <v>492663610</v>
      </c>
    </row>
    <row r="7021" spans="1:3">
      <c r="A7021">
        <v>7020</v>
      </c>
      <c r="B7021">
        <v>492804000</v>
      </c>
      <c r="C7021">
        <v>492804000</v>
      </c>
    </row>
    <row r="7022" spans="1:3">
      <c r="A7022">
        <v>7021</v>
      </c>
      <c r="B7022">
        <v>492944410</v>
      </c>
      <c r="C7022">
        <v>492944410</v>
      </c>
    </row>
    <row r="7023" spans="1:3">
      <c r="A7023">
        <v>7022</v>
      </c>
      <c r="B7023">
        <v>493084840</v>
      </c>
      <c r="C7023">
        <v>493084840</v>
      </c>
    </row>
    <row r="7024" spans="1:3">
      <c r="A7024">
        <v>7023</v>
      </c>
      <c r="B7024">
        <v>493225290</v>
      </c>
      <c r="C7024">
        <v>493225290</v>
      </c>
    </row>
    <row r="7025" spans="1:3">
      <c r="A7025">
        <v>7024</v>
      </c>
      <c r="B7025">
        <v>493365760</v>
      </c>
      <c r="C7025">
        <v>493365760</v>
      </c>
    </row>
    <row r="7026" spans="1:3">
      <c r="A7026">
        <v>7025</v>
      </c>
      <c r="B7026">
        <v>493506250</v>
      </c>
      <c r="C7026">
        <v>493506250</v>
      </c>
    </row>
    <row r="7027" spans="1:3">
      <c r="A7027">
        <v>7026</v>
      </c>
      <c r="B7027">
        <v>493646760</v>
      </c>
      <c r="C7027">
        <v>493646760</v>
      </c>
    </row>
    <row r="7028" spans="1:3">
      <c r="A7028">
        <v>7027</v>
      </c>
      <c r="B7028">
        <v>493787290</v>
      </c>
      <c r="C7028">
        <v>493787290</v>
      </c>
    </row>
    <row r="7029" spans="1:3">
      <c r="A7029">
        <v>7028</v>
      </c>
      <c r="B7029">
        <v>493927840</v>
      </c>
      <c r="C7029">
        <v>493927840</v>
      </c>
    </row>
    <row r="7030" spans="1:3">
      <c r="A7030">
        <v>7029</v>
      </c>
      <c r="B7030">
        <v>494068410</v>
      </c>
      <c r="C7030">
        <v>494068410</v>
      </c>
    </row>
    <row r="7031" spans="1:3">
      <c r="A7031">
        <v>7030</v>
      </c>
      <c r="B7031">
        <v>494209000</v>
      </c>
      <c r="C7031">
        <v>494209000</v>
      </c>
    </row>
    <row r="7032" spans="1:3">
      <c r="A7032">
        <v>7031</v>
      </c>
      <c r="B7032">
        <v>494349610</v>
      </c>
      <c r="C7032">
        <v>494349610</v>
      </c>
    </row>
    <row r="7033" spans="1:3">
      <c r="A7033">
        <v>7032</v>
      </c>
      <c r="B7033">
        <v>494490240</v>
      </c>
      <c r="C7033">
        <v>494490240</v>
      </c>
    </row>
    <row r="7034" spans="1:3">
      <c r="A7034">
        <v>7033</v>
      </c>
      <c r="B7034">
        <v>494630890</v>
      </c>
      <c r="C7034">
        <v>494630890</v>
      </c>
    </row>
    <row r="7035" spans="1:3">
      <c r="A7035">
        <v>7034</v>
      </c>
      <c r="B7035">
        <v>494771560</v>
      </c>
      <c r="C7035">
        <v>494771560</v>
      </c>
    </row>
    <row r="7036" spans="1:3">
      <c r="A7036">
        <v>7035</v>
      </c>
      <c r="B7036">
        <v>494912250</v>
      </c>
      <c r="C7036">
        <v>494912250</v>
      </c>
    </row>
    <row r="7037" spans="1:3">
      <c r="A7037">
        <v>7036</v>
      </c>
      <c r="B7037">
        <v>495052960</v>
      </c>
      <c r="C7037">
        <v>495052960</v>
      </c>
    </row>
    <row r="7038" spans="1:3">
      <c r="A7038">
        <v>7037</v>
      </c>
      <c r="B7038">
        <v>495193690</v>
      </c>
      <c r="C7038">
        <v>495193690</v>
      </c>
    </row>
    <row r="7039" spans="1:3">
      <c r="A7039">
        <v>7038</v>
      </c>
      <c r="B7039">
        <v>495334440</v>
      </c>
      <c r="C7039">
        <v>495334440</v>
      </c>
    </row>
    <row r="7040" spans="1:3">
      <c r="A7040">
        <v>7039</v>
      </c>
      <c r="B7040">
        <v>495475210</v>
      </c>
      <c r="C7040">
        <v>495475210</v>
      </c>
    </row>
    <row r="7041" spans="1:3">
      <c r="A7041">
        <v>7040</v>
      </c>
      <c r="B7041">
        <v>495616000</v>
      </c>
      <c r="C7041">
        <v>495616000</v>
      </c>
    </row>
    <row r="7042" spans="1:3">
      <c r="A7042">
        <v>7041</v>
      </c>
      <c r="B7042">
        <v>495756810</v>
      </c>
      <c r="C7042">
        <v>495756810</v>
      </c>
    </row>
    <row r="7043" spans="1:3">
      <c r="A7043">
        <v>7042</v>
      </c>
      <c r="B7043">
        <v>495897640</v>
      </c>
      <c r="C7043">
        <v>495897640</v>
      </c>
    </row>
    <row r="7044" spans="1:3">
      <c r="A7044">
        <v>7043</v>
      </c>
      <c r="B7044">
        <v>496038490</v>
      </c>
      <c r="C7044">
        <v>496038490</v>
      </c>
    </row>
    <row r="7045" spans="1:3">
      <c r="A7045">
        <v>7044</v>
      </c>
      <c r="B7045">
        <v>496179360</v>
      </c>
      <c r="C7045">
        <v>496179360</v>
      </c>
    </row>
    <row r="7046" spans="1:3">
      <c r="A7046">
        <v>7045</v>
      </c>
      <c r="B7046">
        <v>496320250</v>
      </c>
      <c r="C7046">
        <v>496320250</v>
      </c>
    </row>
    <row r="7047" spans="1:3">
      <c r="A7047">
        <v>7046</v>
      </c>
      <c r="B7047">
        <v>496461160</v>
      </c>
      <c r="C7047">
        <v>496461160</v>
      </c>
    </row>
    <row r="7048" spans="1:3">
      <c r="A7048">
        <v>7047</v>
      </c>
      <c r="B7048">
        <v>496602090</v>
      </c>
      <c r="C7048">
        <v>496602090</v>
      </c>
    </row>
    <row r="7049" spans="1:3">
      <c r="A7049">
        <v>7048</v>
      </c>
      <c r="B7049">
        <v>496743040</v>
      </c>
      <c r="C7049">
        <v>496743040</v>
      </c>
    </row>
    <row r="7050" spans="1:3">
      <c r="A7050">
        <v>7049</v>
      </c>
      <c r="B7050">
        <v>496884010</v>
      </c>
      <c r="C7050">
        <v>496884010</v>
      </c>
    </row>
    <row r="7051" spans="1:3">
      <c r="A7051">
        <v>7050</v>
      </c>
      <c r="B7051">
        <v>497025000</v>
      </c>
      <c r="C7051">
        <v>497025000</v>
      </c>
    </row>
    <row r="7052" spans="1:3">
      <c r="A7052">
        <v>7051</v>
      </c>
      <c r="B7052">
        <v>497166010</v>
      </c>
      <c r="C7052">
        <v>497166010</v>
      </c>
    </row>
    <row r="7053" spans="1:3">
      <c r="A7053">
        <v>7052</v>
      </c>
      <c r="B7053">
        <v>497307040</v>
      </c>
      <c r="C7053">
        <v>497307040</v>
      </c>
    </row>
    <row r="7054" spans="1:3">
      <c r="A7054">
        <v>7053</v>
      </c>
      <c r="B7054">
        <v>497448090</v>
      </c>
      <c r="C7054">
        <v>497448090</v>
      </c>
    </row>
    <row r="7055" spans="1:3">
      <c r="A7055">
        <v>7054</v>
      </c>
      <c r="B7055">
        <v>497589160</v>
      </c>
      <c r="C7055">
        <v>497589160</v>
      </c>
    </row>
    <row r="7056" spans="1:3">
      <c r="A7056">
        <v>7055</v>
      </c>
      <c r="B7056">
        <v>497730250</v>
      </c>
      <c r="C7056">
        <v>497730250</v>
      </c>
    </row>
    <row r="7057" spans="1:3">
      <c r="A7057">
        <v>7056</v>
      </c>
      <c r="B7057">
        <v>497871360</v>
      </c>
      <c r="C7057">
        <v>497871360</v>
      </c>
    </row>
    <row r="7058" spans="1:3">
      <c r="A7058">
        <v>7057</v>
      </c>
      <c r="B7058">
        <v>498012490</v>
      </c>
      <c r="C7058">
        <v>498012490</v>
      </c>
    </row>
    <row r="7059" spans="1:3">
      <c r="A7059">
        <v>7058</v>
      </c>
      <c r="B7059">
        <v>498153640</v>
      </c>
      <c r="C7059">
        <v>498153640</v>
      </c>
    </row>
    <row r="7060" spans="1:3">
      <c r="A7060">
        <v>7059</v>
      </c>
      <c r="B7060">
        <v>498294810</v>
      </c>
      <c r="C7060">
        <v>498294810</v>
      </c>
    </row>
    <row r="7061" spans="1:3">
      <c r="A7061">
        <v>7060</v>
      </c>
      <c r="B7061">
        <v>498436000</v>
      </c>
      <c r="C7061">
        <v>498436000</v>
      </c>
    </row>
    <row r="7062" spans="1:3">
      <c r="A7062">
        <v>7061</v>
      </c>
      <c r="B7062">
        <v>498577210</v>
      </c>
      <c r="C7062">
        <v>498577210</v>
      </c>
    </row>
    <row r="7063" spans="1:3">
      <c r="A7063">
        <v>7062</v>
      </c>
      <c r="B7063">
        <v>498718440</v>
      </c>
      <c r="C7063">
        <v>498718440</v>
      </c>
    </row>
    <row r="7064" spans="1:3">
      <c r="A7064">
        <v>7063</v>
      </c>
      <c r="B7064">
        <v>498859690</v>
      </c>
      <c r="C7064">
        <v>498859690</v>
      </c>
    </row>
    <row r="7065" spans="1:3">
      <c r="A7065">
        <v>7064</v>
      </c>
      <c r="B7065">
        <v>499000960</v>
      </c>
      <c r="C7065">
        <v>499000960</v>
      </c>
    </row>
    <row r="7066" spans="1:3">
      <c r="A7066">
        <v>7065</v>
      </c>
      <c r="B7066">
        <v>499142250</v>
      </c>
      <c r="C7066">
        <v>499142250</v>
      </c>
    </row>
    <row r="7067" spans="1:3">
      <c r="A7067">
        <v>7066</v>
      </c>
      <c r="B7067">
        <v>499283560</v>
      </c>
      <c r="C7067">
        <v>499283560</v>
      </c>
    </row>
    <row r="7068" spans="1:3">
      <c r="A7068">
        <v>7067</v>
      </c>
      <c r="B7068">
        <v>499424890</v>
      </c>
      <c r="C7068">
        <v>499424890</v>
      </c>
    </row>
    <row r="7069" spans="1:3">
      <c r="A7069">
        <v>7068</v>
      </c>
      <c r="B7069">
        <v>499566240</v>
      </c>
      <c r="C7069">
        <v>499566240</v>
      </c>
    </row>
    <row r="7070" spans="1:3">
      <c r="A7070">
        <v>7069</v>
      </c>
      <c r="B7070">
        <v>499707610</v>
      </c>
      <c r="C7070">
        <v>499707610</v>
      </c>
    </row>
    <row r="7071" spans="1:3">
      <c r="A7071">
        <v>7070</v>
      </c>
      <c r="B7071">
        <v>499849000</v>
      </c>
      <c r="C7071">
        <v>499849000</v>
      </c>
    </row>
    <row r="7072" spans="1:3">
      <c r="A7072">
        <v>7071</v>
      </c>
      <c r="B7072">
        <v>499990410</v>
      </c>
      <c r="C7072">
        <v>499990410</v>
      </c>
    </row>
    <row r="7073" spans="1:3">
      <c r="A7073">
        <v>7072</v>
      </c>
      <c r="B7073">
        <v>500131840</v>
      </c>
      <c r="C7073">
        <v>500131840</v>
      </c>
    </row>
    <row r="7074" spans="1:3">
      <c r="A7074">
        <v>7073</v>
      </c>
      <c r="B7074">
        <v>500273290</v>
      </c>
      <c r="C7074">
        <v>500273290</v>
      </c>
    </row>
    <row r="7075" spans="1:3">
      <c r="A7075">
        <v>7074</v>
      </c>
      <c r="B7075">
        <v>500414760</v>
      </c>
      <c r="C7075">
        <v>500414760</v>
      </c>
    </row>
    <row r="7076" spans="1:3">
      <c r="A7076">
        <v>7075</v>
      </c>
      <c r="B7076">
        <v>500556250</v>
      </c>
      <c r="C7076">
        <v>500556250</v>
      </c>
    </row>
    <row r="7077" spans="1:3">
      <c r="A7077">
        <v>7076</v>
      </c>
      <c r="B7077">
        <v>500697760</v>
      </c>
      <c r="C7077">
        <v>500697760</v>
      </c>
    </row>
    <row r="7078" spans="1:3">
      <c r="A7078">
        <v>7077</v>
      </c>
      <c r="B7078">
        <v>500839290</v>
      </c>
      <c r="C7078">
        <v>500839290</v>
      </c>
    </row>
    <row r="7079" spans="1:3">
      <c r="A7079">
        <v>7078</v>
      </c>
      <c r="B7079">
        <v>500980840</v>
      </c>
      <c r="C7079">
        <v>500980840</v>
      </c>
    </row>
    <row r="7080" spans="1:3">
      <c r="A7080">
        <v>7079</v>
      </c>
      <c r="B7080">
        <v>501122410</v>
      </c>
      <c r="C7080">
        <v>501122410</v>
      </c>
    </row>
    <row r="7081" spans="1:3">
      <c r="A7081">
        <v>7080</v>
      </c>
      <c r="B7081">
        <v>501264000</v>
      </c>
      <c r="C7081">
        <v>501264000</v>
      </c>
    </row>
    <row r="7082" spans="1:3">
      <c r="A7082">
        <v>7081</v>
      </c>
      <c r="B7082">
        <v>501405610</v>
      </c>
      <c r="C7082">
        <v>501405610</v>
      </c>
    </row>
    <row r="7083" spans="1:3">
      <c r="A7083">
        <v>7082</v>
      </c>
      <c r="B7083">
        <v>501547240</v>
      </c>
      <c r="C7083">
        <v>501547240</v>
      </c>
    </row>
    <row r="7084" spans="1:3">
      <c r="A7084">
        <v>7083</v>
      </c>
      <c r="B7084">
        <v>501688890</v>
      </c>
      <c r="C7084">
        <v>501688890</v>
      </c>
    </row>
    <row r="7085" spans="1:3">
      <c r="A7085">
        <v>7084</v>
      </c>
      <c r="B7085">
        <v>501830560</v>
      </c>
      <c r="C7085">
        <v>501830560</v>
      </c>
    </row>
    <row r="7086" spans="1:3">
      <c r="A7086">
        <v>7085</v>
      </c>
      <c r="B7086">
        <v>501972250</v>
      </c>
      <c r="C7086">
        <v>501972250</v>
      </c>
    </row>
    <row r="7087" spans="1:3">
      <c r="A7087">
        <v>7086</v>
      </c>
      <c r="B7087">
        <v>502113960</v>
      </c>
      <c r="C7087">
        <v>502113960</v>
      </c>
    </row>
    <row r="7088" spans="1:3">
      <c r="A7088">
        <v>7087</v>
      </c>
      <c r="B7088">
        <v>502255690</v>
      </c>
      <c r="C7088">
        <v>502255690</v>
      </c>
    </row>
    <row r="7089" spans="1:3">
      <c r="A7089">
        <v>7088</v>
      </c>
      <c r="B7089">
        <v>502397440</v>
      </c>
      <c r="C7089">
        <v>502397440</v>
      </c>
    </row>
    <row r="7090" spans="1:3">
      <c r="A7090">
        <v>7089</v>
      </c>
      <c r="B7090">
        <v>502539210</v>
      </c>
      <c r="C7090">
        <v>502539210</v>
      </c>
    </row>
    <row r="7091" spans="1:3">
      <c r="A7091">
        <v>7090</v>
      </c>
      <c r="B7091">
        <v>502681000</v>
      </c>
      <c r="C7091">
        <v>502681000</v>
      </c>
    </row>
    <row r="7092" spans="1:3">
      <c r="A7092">
        <v>7091</v>
      </c>
      <c r="B7092">
        <v>502822810</v>
      </c>
      <c r="C7092">
        <v>502822810</v>
      </c>
    </row>
    <row r="7093" spans="1:3">
      <c r="A7093">
        <v>7092</v>
      </c>
      <c r="B7093">
        <v>502964640</v>
      </c>
      <c r="C7093">
        <v>502964640</v>
      </c>
    </row>
    <row r="7094" spans="1:3">
      <c r="A7094">
        <v>7093</v>
      </c>
      <c r="B7094">
        <v>503106490</v>
      </c>
      <c r="C7094">
        <v>503106490</v>
      </c>
    </row>
    <row r="7095" spans="1:3">
      <c r="A7095">
        <v>7094</v>
      </c>
      <c r="B7095">
        <v>503248360</v>
      </c>
      <c r="C7095">
        <v>503248360</v>
      </c>
    </row>
    <row r="7096" spans="1:3">
      <c r="A7096">
        <v>7095</v>
      </c>
      <c r="B7096">
        <v>503390250</v>
      </c>
      <c r="C7096">
        <v>503390250</v>
      </c>
    </row>
    <row r="7097" spans="1:3">
      <c r="A7097">
        <v>7096</v>
      </c>
      <c r="B7097">
        <v>503532160</v>
      </c>
      <c r="C7097">
        <v>503532160</v>
      </c>
    </row>
    <row r="7098" spans="1:3">
      <c r="A7098">
        <v>7097</v>
      </c>
      <c r="B7098">
        <v>503674090</v>
      </c>
      <c r="C7098">
        <v>503674090</v>
      </c>
    </row>
    <row r="7099" spans="1:3">
      <c r="A7099">
        <v>7098</v>
      </c>
      <c r="B7099">
        <v>503816040</v>
      </c>
      <c r="C7099">
        <v>503816040</v>
      </c>
    </row>
    <row r="7100" spans="1:3">
      <c r="A7100">
        <v>7099</v>
      </c>
      <c r="B7100">
        <v>503958010</v>
      </c>
      <c r="C7100">
        <v>503958010</v>
      </c>
    </row>
    <row r="7101" spans="1:3">
      <c r="A7101">
        <v>7100</v>
      </c>
      <c r="B7101">
        <v>504100000</v>
      </c>
      <c r="C7101">
        <v>504100000</v>
      </c>
    </row>
    <row r="7102" spans="1:3">
      <c r="A7102">
        <v>7101</v>
      </c>
      <c r="B7102">
        <v>504242010</v>
      </c>
      <c r="C7102">
        <v>504242010</v>
      </c>
    </row>
    <row r="7103" spans="1:3">
      <c r="A7103">
        <v>7102</v>
      </c>
      <c r="B7103">
        <v>504384040</v>
      </c>
      <c r="C7103">
        <v>504384040</v>
      </c>
    </row>
    <row r="7104" spans="1:3">
      <c r="A7104">
        <v>7103</v>
      </c>
      <c r="B7104">
        <v>504526090</v>
      </c>
      <c r="C7104">
        <v>504526090</v>
      </c>
    </row>
    <row r="7105" spans="1:3">
      <c r="A7105">
        <v>7104</v>
      </c>
      <c r="B7105">
        <v>504668160</v>
      </c>
      <c r="C7105">
        <v>504668160</v>
      </c>
    </row>
    <row r="7106" spans="1:3">
      <c r="A7106">
        <v>7105</v>
      </c>
      <c r="B7106">
        <v>504810250</v>
      </c>
      <c r="C7106">
        <v>504810250</v>
      </c>
    </row>
    <row r="7107" spans="1:3">
      <c r="A7107">
        <v>7106</v>
      </c>
      <c r="B7107">
        <v>504952360</v>
      </c>
      <c r="C7107">
        <v>504952360</v>
      </c>
    </row>
    <row r="7108" spans="1:3">
      <c r="A7108">
        <v>7107</v>
      </c>
      <c r="B7108">
        <v>505094490</v>
      </c>
      <c r="C7108">
        <v>505094490</v>
      </c>
    </row>
    <row r="7109" spans="1:3">
      <c r="A7109">
        <v>7108</v>
      </c>
      <c r="B7109">
        <v>505236640</v>
      </c>
      <c r="C7109">
        <v>505236640</v>
      </c>
    </row>
    <row r="7110" spans="1:3">
      <c r="A7110">
        <v>7109</v>
      </c>
      <c r="B7110">
        <v>505378810</v>
      </c>
      <c r="C7110">
        <v>505378810</v>
      </c>
    </row>
    <row r="7111" spans="1:3">
      <c r="A7111">
        <v>7110</v>
      </c>
      <c r="B7111">
        <v>505521000</v>
      </c>
      <c r="C7111">
        <v>505521000</v>
      </c>
    </row>
    <row r="7112" spans="1:3">
      <c r="A7112">
        <v>7111</v>
      </c>
      <c r="B7112">
        <v>505663210</v>
      </c>
      <c r="C7112">
        <v>505663210</v>
      </c>
    </row>
    <row r="7113" spans="1:3">
      <c r="A7113">
        <v>7112</v>
      </c>
      <c r="B7113">
        <v>505805440</v>
      </c>
      <c r="C7113">
        <v>505805440</v>
      </c>
    </row>
    <row r="7114" spans="1:3">
      <c r="A7114">
        <v>7113</v>
      </c>
      <c r="B7114">
        <v>505947690</v>
      </c>
      <c r="C7114">
        <v>505947690</v>
      </c>
    </row>
    <row r="7115" spans="1:3">
      <c r="A7115">
        <v>7114</v>
      </c>
      <c r="B7115">
        <v>506089960</v>
      </c>
      <c r="C7115">
        <v>506089960</v>
      </c>
    </row>
    <row r="7116" spans="1:3">
      <c r="A7116">
        <v>7115</v>
      </c>
      <c r="B7116">
        <v>506232250</v>
      </c>
      <c r="C7116">
        <v>506232250</v>
      </c>
    </row>
    <row r="7117" spans="1:3">
      <c r="A7117">
        <v>7116</v>
      </c>
      <c r="B7117">
        <v>506374560</v>
      </c>
      <c r="C7117">
        <v>506374560</v>
      </c>
    </row>
    <row r="7118" spans="1:3">
      <c r="A7118">
        <v>7117</v>
      </c>
      <c r="B7118">
        <v>506516890</v>
      </c>
      <c r="C7118">
        <v>506516890</v>
      </c>
    </row>
    <row r="7119" spans="1:3">
      <c r="A7119">
        <v>7118</v>
      </c>
      <c r="B7119">
        <v>506659240</v>
      </c>
      <c r="C7119">
        <v>506659240</v>
      </c>
    </row>
    <row r="7120" spans="1:3">
      <c r="A7120">
        <v>7119</v>
      </c>
      <c r="B7120">
        <v>506801610</v>
      </c>
      <c r="C7120">
        <v>506801610</v>
      </c>
    </row>
    <row r="7121" spans="1:3">
      <c r="A7121">
        <v>7120</v>
      </c>
      <c r="B7121">
        <v>506944000</v>
      </c>
      <c r="C7121">
        <v>506944000</v>
      </c>
    </row>
    <row r="7122" spans="1:3">
      <c r="A7122">
        <v>7121</v>
      </c>
      <c r="B7122">
        <v>507086410</v>
      </c>
      <c r="C7122">
        <v>507086410</v>
      </c>
    </row>
    <row r="7123" spans="1:3">
      <c r="A7123">
        <v>7122</v>
      </c>
      <c r="B7123">
        <v>507228840</v>
      </c>
      <c r="C7123">
        <v>507228840</v>
      </c>
    </row>
    <row r="7124" spans="1:3">
      <c r="A7124">
        <v>7123</v>
      </c>
      <c r="B7124">
        <v>507371290</v>
      </c>
      <c r="C7124">
        <v>507371290</v>
      </c>
    </row>
    <row r="7125" spans="1:3">
      <c r="A7125">
        <v>7124</v>
      </c>
      <c r="B7125">
        <v>507513760</v>
      </c>
      <c r="C7125">
        <v>507513760</v>
      </c>
    </row>
    <row r="7126" spans="1:3">
      <c r="A7126">
        <v>7125</v>
      </c>
      <c r="B7126">
        <v>507656250</v>
      </c>
      <c r="C7126">
        <v>507656250</v>
      </c>
    </row>
    <row r="7127" spans="1:3">
      <c r="A7127">
        <v>7126</v>
      </c>
      <c r="B7127">
        <v>507798760</v>
      </c>
      <c r="C7127">
        <v>507798760</v>
      </c>
    </row>
    <row r="7128" spans="1:3">
      <c r="A7128">
        <v>7127</v>
      </c>
      <c r="B7128">
        <v>507941290</v>
      </c>
      <c r="C7128">
        <v>507941290</v>
      </c>
    </row>
    <row r="7129" spans="1:3">
      <c r="A7129">
        <v>7128</v>
      </c>
      <c r="B7129">
        <v>508083840</v>
      </c>
      <c r="C7129">
        <v>508083840</v>
      </c>
    </row>
    <row r="7130" spans="1:3">
      <c r="A7130">
        <v>7129</v>
      </c>
      <c r="B7130">
        <v>508226410</v>
      </c>
      <c r="C7130">
        <v>508226410</v>
      </c>
    </row>
    <row r="7131" spans="1:3">
      <c r="A7131">
        <v>7130</v>
      </c>
      <c r="B7131">
        <v>508369000</v>
      </c>
      <c r="C7131">
        <v>508369000</v>
      </c>
    </row>
    <row r="7132" spans="1:3">
      <c r="A7132">
        <v>7131</v>
      </c>
      <c r="B7132">
        <v>508511610</v>
      </c>
      <c r="C7132">
        <v>508511610</v>
      </c>
    </row>
    <row r="7133" spans="1:3">
      <c r="A7133">
        <v>7132</v>
      </c>
      <c r="B7133">
        <v>508654240</v>
      </c>
      <c r="C7133">
        <v>508654240</v>
      </c>
    </row>
    <row r="7134" spans="1:3">
      <c r="A7134">
        <v>7133</v>
      </c>
      <c r="B7134">
        <v>508796890</v>
      </c>
      <c r="C7134">
        <v>508796890</v>
      </c>
    </row>
    <row r="7135" spans="1:3">
      <c r="A7135">
        <v>7134</v>
      </c>
      <c r="B7135">
        <v>508939560</v>
      </c>
      <c r="C7135">
        <v>508939560</v>
      </c>
    </row>
    <row r="7136" spans="1:3">
      <c r="A7136">
        <v>7135</v>
      </c>
      <c r="B7136">
        <v>509082250</v>
      </c>
      <c r="C7136">
        <v>509082250</v>
      </c>
    </row>
    <row r="7137" spans="1:3">
      <c r="A7137">
        <v>7136</v>
      </c>
      <c r="B7137">
        <v>509224960</v>
      </c>
      <c r="C7137">
        <v>509224960</v>
      </c>
    </row>
    <row r="7138" spans="1:3">
      <c r="A7138">
        <v>7137</v>
      </c>
      <c r="B7138">
        <v>509367690</v>
      </c>
      <c r="C7138">
        <v>509367690</v>
      </c>
    </row>
    <row r="7139" spans="1:3">
      <c r="A7139">
        <v>7138</v>
      </c>
      <c r="B7139">
        <v>509510440</v>
      </c>
      <c r="C7139">
        <v>509510440</v>
      </c>
    </row>
    <row r="7140" spans="1:3">
      <c r="A7140">
        <v>7139</v>
      </c>
      <c r="B7140">
        <v>509653210</v>
      </c>
      <c r="C7140">
        <v>509653210</v>
      </c>
    </row>
    <row r="7141" spans="1:3">
      <c r="A7141">
        <v>7140</v>
      </c>
      <c r="B7141">
        <v>509796000</v>
      </c>
      <c r="C7141">
        <v>509796000</v>
      </c>
    </row>
    <row r="7142" spans="1:3">
      <c r="A7142">
        <v>7141</v>
      </c>
      <c r="B7142">
        <v>509938810</v>
      </c>
      <c r="C7142">
        <v>509938810</v>
      </c>
    </row>
    <row r="7143" spans="1:3">
      <c r="A7143">
        <v>7142</v>
      </c>
      <c r="B7143">
        <v>510081640</v>
      </c>
      <c r="C7143">
        <v>510081640</v>
      </c>
    </row>
    <row r="7144" spans="1:3">
      <c r="A7144">
        <v>7143</v>
      </c>
      <c r="B7144">
        <v>510224490</v>
      </c>
      <c r="C7144">
        <v>510224490</v>
      </c>
    </row>
    <row r="7145" spans="1:3">
      <c r="A7145">
        <v>7144</v>
      </c>
      <c r="B7145">
        <v>510367360</v>
      </c>
      <c r="C7145">
        <v>510367360</v>
      </c>
    </row>
    <row r="7146" spans="1:3">
      <c r="A7146">
        <v>7145</v>
      </c>
      <c r="B7146">
        <v>510510250</v>
      </c>
      <c r="C7146">
        <v>510510250</v>
      </c>
    </row>
    <row r="7147" spans="1:3">
      <c r="A7147">
        <v>7146</v>
      </c>
      <c r="B7147">
        <v>510653160</v>
      </c>
      <c r="C7147">
        <v>510653160</v>
      </c>
    </row>
    <row r="7148" spans="1:3">
      <c r="A7148">
        <v>7147</v>
      </c>
      <c r="B7148">
        <v>510796090</v>
      </c>
      <c r="C7148">
        <v>510796090</v>
      </c>
    </row>
    <row r="7149" spans="1:3">
      <c r="A7149">
        <v>7148</v>
      </c>
      <c r="B7149">
        <v>510939040</v>
      </c>
      <c r="C7149">
        <v>510939040</v>
      </c>
    </row>
    <row r="7150" spans="1:3">
      <c r="A7150">
        <v>7149</v>
      </c>
      <c r="B7150">
        <v>511082010</v>
      </c>
      <c r="C7150">
        <v>511082010</v>
      </c>
    </row>
    <row r="7151" spans="1:3">
      <c r="A7151">
        <v>7150</v>
      </c>
      <c r="B7151">
        <v>511225000</v>
      </c>
      <c r="C7151">
        <v>511225000</v>
      </c>
    </row>
    <row r="7152" spans="1:3">
      <c r="A7152">
        <v>7151</v>
      </c>
      <c r="B7152">
        <v>511368010</v>
      </c>
      <c r="C7152">
        <v>511368010</v>
      </c>
    </row>
    <row r="7153" spans="1:3">
      <c r="A7153">
        <v>7152</v>
      </c>
      <c r="B7153">
        <v>511511040</v>
      </c>
      <c r="C7153">
        <v>511511040</v>
      </c>
    </row>
    <row r="7154" spans="1:3">
      <c r="A7154">
        <v>7153</v>
      </c>
      <c r="B7154">
        <v>511654090</v>
      </c>
      <c r="C7154">
        <v>511654090</v>
      </c>
    </row>
    <row r="7155" spans="1:3">
      <c r="A7155">
        <v>7154</v>
      </c>
      <c r="B7155">
        <v>511797160</v>
      </c>
      <c r="C7155">
        <v>511797160</v>
      </c>
    </row>
    <row r="7156" spans="1:3">
      <c r="A7156">
        <v>7155</v>
      </c>
      <c r="B7156">
        <v>511940250</v>
      </c>
      <c r="C7156">
        <v>511940250</v>
      </c>
    </row>
    <row r="7157" spans="1:3">
      <c r="A7157">
        <v>7156</v>
      </c>
      <c r="B7157">
        <v>512083360</v>
      </c>
      <c r="C7157">
        <v>512083360</v>
      </c>
    </row>
    <row r="7158" spans="1:3">
      <c r="A7158">
        <v>7157</v>
      </c>
      <c r="B7158">
        <v>512226490</v>
      </c>
      <c r="C7158">
        <v>512226490</v>
      </c>
    </row>
    <row r="7159" spans="1:3">
      <c r="A7159">
        <v>7158</v>
      </c>
      <c r="B7159">
        <v>512369640</v>
      </c>
      <c r="C7159">
        <v>512369640</v>
      </c>
    </row>
    <row r="7160" spans="1:3">
      <c r="A7160">
        <v>7159</v>
      </c>
      <c r="B7160">
        <v>512512810</v>
      </c>
      <c r="C7160">
        <v>512512810</v>
      </c>
    </row>
    <row r="7161" spans="1:3">
      <c r="A7161">
        <v>7160</v>
      </c>
      <c r="B7161">
        <v>512656000</v>
      </c>
      <c r="C7161">
        <v>512656000</v>
      </c>
    </row>
    <row r="7162" spans="1:3">
      <c r="A7162">
        <v>7161</v>
      </c>
      <c r="B7162">
        <v>512799210</v>
      </c>
      <c r="C7162">
        <v>512799210</v>
      </c>
    </row>
    <row r="7163" spans="1:3">
      <c r="A7163">
        <v>7162</v>
      </c>
      <c r="B7163">
        <v>512942440</v>
      </c>
      <c r="C7163">
        <v>512942440</v>
      </c>
    </row>
    <row r="7164" spans="1:3">
      <c r="A7164">
        <v>7163</v>
      </c>
      <c r="B7164">
        <v>513085690</v>
      </c>
      <c r="C7164">
        <v>513085690</v>
      </c>
    </row>
    <row r="7165" spans="1:3">
      <c r="A7165">
        <v>7164</v>
      </c>
      <c r="B7165">
        <v>513228960</v>
      </c>
      <c r="C7165">
        <v>513228960</v>
      </c>
    </row>
    <row r="7166" spans="1:3">
      <c r="A7166">
        <v>7165</v>
      </c>
      <c r="B7166">
        <v>513372250</v>
      </c>
      <c r="C7166">
        <v>513372250</v>
      </c>
    </row>
    <row r="7167" spans="1:3">
      <c r="A7167">
        <v>7166</v>
      </c>
      <c r="B7167">
        <v>513515560</v>
      </c>
      <c r="C7167">
        <v>513515560</v>
      </c>
    </row>
    <row r="7168" spans="1:3">
      <c r="A7168">
        <v>7167</v>
      </c>
      <c r="B7168">
        <v>513658890</v>
      </c>
      <c r="C7168">
        <v>513658890</v>
      </c>
    </row>
    <row r="7169" spans="1:3">
      <c r="A7169">
        <v>7168</v>
      </c>
      <c r="B7169">
        <v>513802240</v>
      </c>
      <c r="C7169">
        <v>513802240</v>
      </c>
    </row>
    <row r="7170" spans="1:3">
      <c r="A7170">
        <v>7169</v>
      </c>
      <c r="B7170">
        <v>513945610</v>
      </c>
      <c r="C7170">
        <v>513945610</v>
      </c>
    </row>
    <row r="7171" spans="1:3">
      <c r="A7171">
        <v>7170</v>
      </c>
      <c r="B7171">
        <v>514089000</v>
      </c>
      <c r="C7171">
        <v>514089000</v>
      </c>
    </row>
    <row r="7172" spans="1:3">
      <c r="A7172">
        <v>7171</v>
      </c>
      <c r="B7172">
        <v>514232410</v>
      </c>
      <c r="C7172">
        <v>514232410</v>
      </c>
    </row>
    <row r="7173" spans="1:3">
      <c r="A7173">
        <v>7172</v>
      </c>
      <c r="B7173">
        <v>514375840</v>
      </c>
      <c r="C7173">
        <v>514375840</v>
      </c>
    </row>
    <row r="7174" spans="1:3">
      <c r="A7174">
        <v>7173</v>
      </c>
      <c r="B7174">
        <v>514519290</v>
      </c>
      <c r="C7174">
        <v>514519290</v>
      </c>
    </row>
    <row r="7175" spans="1:3">
      <c r="A7175">
        <v>7174</v>
      </c>
      <c r="B7175">
        <v>514662760</v>
      </c>
      <c r="C7175">
        <v>514662760</v>
      </c>
    </row>
    <row r="7176" spans="1:3">
      <c r="A7176">
        <v>7175</v>
      </c>
      <c r="B7176">
        <v>514806250</v>
      </c>
      <c r="C7176">
        <v>514806250</v>
      </c>
    </row>
    <row r="7177" spans="1:3">
      <c r="A7177">
        <v>7176</v>
      </c>
      <c r="B7177">
        <v>514949760</v>
      </c>
      <c r="C7177">
        <v>514949760</v>
      </c>
    </row>
    <row r="7178" spans="1:3">
      <c r="A7178">
        <v>7177</v>
      </c>
      <c r="B7178">
        <v>515093290</v>
      </c>
      <c r="C7178">
        <v>515093290</v>
      </c>
    </row>
    <row r="7179" spans="1:3">
      <c r="A7179">
        <v>7178</v>
      </c>
      <c r="B7179">
        <v>515236840</v>
      </c>
      <c r="C7179">
        <v>515236840</v>
      </c>
    </row>
    <row r="7180" spans="1:3">
      <c r="A7180">
        <v>7179</v>
      </c>
      <c r="B7180">
        <v>515380410</v>
      </c>
      <c r="C7180">
        <v>515380410</v>
      </c>
    </row>
    <row r="7181" spans="1:3">
      <c r="A7181">
        <v>7180</v>
      </c>
      <c r="B7181">
        <v>515524000</v>
      </c>
      <c r="C7181">
        <v>515524000</v>
      </c>
    </row>
    <row r="7182" spans="1:3">
      <c r="A7182">
        <v>7181</v>
      </c>
      <c r="B7182">
        <v>515667610</v>
      </c>
      <c r="C7182">
        <v>515667610</v>
      </c>
    </row>
    <row r="7183" spans="1:3">
      <c r="A7183">
        <v>7182</v>
      </c>
      <c r="B7183">
        <v>515811240</v>
      </c>
      <c r="C7183">
        <v>515811240</v>
      </c>
    </row>
    <row r="7184" spans="1:3">
      <c r="A7184">
        <v>7183</v>
      </c>
      <c r="B7184">
        <v>515954890</v>
      </c>
      <c r="C7184">
        <v>515954890</v>
      </c>
    </row>
    <row r="7185" spans="1:3">
      <c r="A7185">
        <v>7184</v>
      </c>
      <c r="B7185">
        <v>516098560</v>
      </c>
      <c r="C7185">
        <v>516098560</v>
      </c>
    </row>
    <row r="7186" spans="1:3">
      <c r="A7186">
        <v>7185</v>
      </c>
      <c r="B7186">
        <v>516242250</v>
      </c>
      <c r="C7186">
        <v>516242250</v>
      </c>
    </row>
    <row r="7187" spans="1:3">
      <c r="A7187">
        <v>7186</v>
      </c>
      <c r="B7187">
        <v>516385960</v>
      </c>
      <c r="C7187">
        <v>516385960</v>
      </c>
    </row>
    <row r="7188" spans="1:3">
      <c r="A7188">
        <v>7187</v>
      </c>
      <c r="B7188">
        <v>516529690</v>
      </c>
      <c r="C7188">
        <v>516529690</v>
      </c>
    </row>
    <row r="7189" spans="1:3">
      <c r="A7189">
        <v>7188</v>
      </c>
      <c r="B7189">
        <v>516673440</v>
      </c>
      <c r="C7189">
        <v>516673440</v>
      </c>
    </row>
    <row r="7190" spans="1:3">
      <c r="A7190">
        <v>7189</v>
      </c>
      <c r="B7190">
        <v>516817210</v>
      </c>
      <c r="C7190">
        <v>516817210</v>
      </c>
    </row>
    <row r="7191" spans="1:3">
      <c r="A7191">
        <v>7190</v>
      </c>
      <c r="B7191">
        <v>516961000</v>
      </c>
      <c r="C7191">
        <v>516961000</v>
      </c>
    </row>
    <row r="7192" spans="1:3">
      <c r="A7192">
        <v>7191</v>
      </c>
      <c r="B7192">
        <v>517104810</v>
      </c>
      <c r="C7192">
        <v>517104810</v>
      </c>
    </row>
    <row r="7193" spans="1:3">
      <c r="A7193">
        <v>7192</v>
      </c>
      <c r="B7193">
        <v>517248640</v>
      </c>
      <c r="C7193">
        <v>517248640</v>
      </c>
    </row>
    <row r="7194" spans="1:3">
      <c r="A7194">
        <v>7193</v>
      </c>
      <c r="B7194">
        <v>517392490</v>
      </c>
      <c r="C7194">
        <v>517392490</v>
      </c>
    </row>
    <row r="7195" spans="1:3">
      <c r="A7195">
        <v>7194</v>
      </c>
      <c r="B7195">
        <v>517536360</v>
      </c>
      <c r="C7195">
        <v>517536360</v>
      </c>
    </row>
    <row r="7196" spans="1:3">
      <c r="A7196">
        <v>7195</v>
      </c>
      <c r="B7196">
        <v>517680250</v>
      </c>
      <c r="C7196">
        <v>517680250</v>
      </c>
    </row>
    <row r="7197" spans="1:3">
      <c r="A7197">
        <v>7196</v>
      </c>
      <c r="B7197">
        <v>517824160</v>
      </c>
      <c r="C7197">
        <v>517824160</v>
      </c>
    </row>
    <row r="7198" spans="1:3">
      <c r="A7198">
        <v>7197</v>
      </c>
      <c r="B7198">
        <v>517968090</v>
      </c>
      <c r="C7198">
        <v>517968090</v>
      </c>
    </row>
    <row r="7199" spans="1:3">
      <c r="A7199">
        <v>7198</v>
      </c>
      <c r="B7199">
        <v>518112040</v>
      </c>
      <c r="C7199">
        <v>518112040</v>
      </c>
    </row>
    <row r="7200" spans="1:3">
      <c r="A7200">
        <v>7199</v>
      </c>
      <c r="B7200">
        <v>518256010</v>
      </c>
      <c r="C7200">
        <v>518256010</v>
      </c>
    </row>
    <row r="7201" spans="1:3">
      <c r="A7201">
        <v>7200</v>
      </c>
      <c r="B7201">
        <v>518400000</v>
      </c>
      <c r="C7201">
        <v>518400000</v>
      </c>
    </row>
    <row r="7202" spans="1:3">
      <c r="A7202">
        <v>7201</v>
      </c>
      <c r="B7202">
        <v>518544010</v>
      </c>
      <c r="C7202">
        <v>518544010</v>
      </c>
    </row>
    <row r="7203" spans="1:3">
      <c r="A7203">
        <v>7202</v>
      </c>
      <c r="B7203">
        <v>518688040</v>
      </c>
      <c r="C7203">
        <v>518688040</v>
      </c>
    </row>
    <row r="7204" spans="1:3">
      <c r="A7204">
        <v>7203</v>
      </c>
      <c r="B7204">
        <v>518832090</v>
      </c>
      <c r="C7204">
        <v>518832090</v>
      </c>
    </row>
    <row r="7205" spans="1:3">
      <c r="A7205">
        <v>7204</v>
      </c>
      <c r="B7205">
        <v>518976160</v>
      </c>
      <c r="C7205">
        <v>518976160</v>
      </c>
    </row>
    <row r="7206" spans="1:3">
      <c r="A7206">
        <v>7205</v>
      </c>
      <c r="B7206">
        <v>519120250</v>
      </c>
      <c r="C7206">
        <v>519120250</v>
      </c>
    </row>
    <row r="7207" spans="1:3">
      <c r="A7207">
        <v>7206</v>
      </c>
      <c r="B7207">
        <v>519264360</v>
      </c>
      <c r="C7207">
        <v>519264360</v>
      </c>
    </row>
    <row r="7208" spans="1:3">
      <c r="A7208">
        <v>7207</v>
      </c>
      <c r="B7208">
        <v>519408490</v>
      </c>
      <c r="C7208">
        <v>519408490</v>
      </c>
    </row>
    <row r="7209" spans="1:3">
      <c r="A7209">
        <v>7208</v>
      </c>
      <c r="B7209">
        <v>519552640</v>
      </c>
      <c r="C7209">
        <v>519552640</v>
      </c>
    </row>
    <row r="7210" spans="1:3">
      <c r="A7210">
        <v>7209</v>
      </c>
      <c r="B7210">
        <v>519696810</v>
      </c>
      <c r="C7210">
        <v>519696810</v>
      </c>
    </row>
    <row r="7211" spans="1:3">
      <c r="A7211">
        <v>7210</v>
      </c>
      <c r="B7211">
        <v>519841000</v>
      </c>
      <c r="C7211">
        <v>519841000</v>
      </c>
    </row>
    <row r="7212" spans="1:3">
      <c r="A7212">
        <v>7211</v>
      </c>
      <c r="B7212">
        <v>519985210</v>
      </c>
      <c r="C7212">
        <v>519985210</v>
      </c>
    </row>
    <row r="7213" spans="1:3">
      <c r="A7213">
        <v>7212</v>
      </c>
      <c r="B7213">
        <v>520129440</v>
      </c>
      <c r="C7213">
        <v>520129440</v>
      </c>
    </row>
    <row r="7214" spans="1:3">
      <c r="A7214">
        <v>7213</v>
      </c>
      <c r="B7214">
        <v>520273690</v>
      </c>
      <c r="C7214">
        <v>520273690</v>
      </c>
    </row>
    <row r="7215" spans="1:3">
      <c r="A7215">
        <v>7214</v>
      </c>
      <c r="B7215">
        <v>520417960</v>
      </c>
      <c r="C7215">
        <v>520417960</v>
      </c>
    </row>
    <row r="7216" spans="1:3">
      <c r="A7216">
        <v>7215</v>
      </c>
      <c r="B7216">
        <v>520562250</v>
      </c>
      <c r="C7216">
        <v>520562250</v>
      </c>
    </row>
    <row r="7217" spans="1:3">
      <c r="A7217">
        <v>7216</v>
      </c>
      <c r="B7217">
        <v>520706560</v>
      </c>
      <c r="C7217">
        <v>520706560</v>
      </c>
    </row>
    <row r="7218" spans="1:3">
      <c r="A7218">
        <v>7217</v>
      </c>
      <c r="B7218">
        <v>520850890</v>
      </c>
      <c r="C7218">
        <v>520850890</v>
      </c>
    </row>
    <row r="7219" spans="1:3">
      <c r="A7219">
        <v>7218</v>
      </c>
      <c r="B7219">
        <v>520995240</v>
      </c>
      <c r="C7219">
        <v>520995240</v>
      </c>
    </row>
    <row r="7220" spans="1:3">
      <c r="A7220">
        <v>7219</v>
      </c>
      <c r="B7220">
        <v>521139610</v>
      </c>
      <c r="C7220">
        <v>521139610</v>
      </c>
    </row>
    <row r="7221" spans="1:3">
      <c r="A7221">
        <v>7220</v>
      </c>
      <c r="B7221">
        <v>521284000</v>
      </c>
      <c r="C7221">
        <v>521284000</v>
      </c>
    </row>
    <row r="7222" spans="1:3">
      <c r="A7222">
        <v>7221</v>
      </c>
      <c r="B7222">
        <v>521428410</v>
      </c>
      <c r="C7222">
        <v>521428410</v>
      </c>
    </row>
    <row r="7223" spans="1:3">
      <c r="A7223">
        <v>7222</v>
      </c>
      <c r="B7223">
        <v>521572840</v>
      </c>
      <c r="C7223">
        <v>521572840</v>
      </c>
    </row>
    <row r="7224" spans="1:3">
      <c r="A7224">
        <v>7223</v>
      </c>
      <c r="B7224">
        <v>521717290</v>
      </c>
      <c r="C7224">
        <v>521717290</v>
      </c>
    </row>
    <row r="7225" spans="1:3">
      <c r="A7225">
        <v>7224</v>
      </c>
      <c r="B7225">
        <v>521861760</v>
      </c>
      <c r="C7225">
        <v>521861760</v>
      </c>
    </row>
    <row r="7226" spans="1:3">
      <c r="A7226">
        <v>7225</v>
      </c>
      <c r="B7226">
        <v>522006250</v>
      </c>
      <c r="C7226">
        <v>522006250</v>
      </c>
    </row>
    <row r="7227" spans="1:3">
      <c r="A7227">
        <v>7226</v>
      </c>
      <c r="B7227">
        <v>522150760</v>
      </c>
      <c r="C7227">
        <v>522150760</v>
      </c>
    </row>
    <row r="7228" spans="1:3">
      <c r="A7228">
        <v>7227</v>
      </c>
      <c r="B7228">
        <v>522295290</v>
      </c>
      <c r="C7228">
        <v>522295290</v>
      </c>
    </row>
    <row r="7229" spans="1:3">
      <c r="A7229">
        <v>7228</v>
      </c>
      <c r="B7229">
        <v>522439840</v>
      </c>
      <c r="C7229">
        <v>522439840</v>
      </c>
    </row>
    <row r="7230" spans="1:3">
      <c r="A7230">
        <v>7229</v>
      </c>
      <c r="B7230">
        <v>522584410</v>
      </c>
      <c r="C7230">
        <v>522584410</v>
      </c>
    </row>
    <row r="7231" spans="1:3">
      <c r="A7231">
        <v>7230</v>
      </c>
      <c r="B7231">
        <v>522729000</v>
      </c>
      <c r="C7231">
        <v>522729000</v>
      </c>
    </row>
    <row r="7232" spans="1:3">
      <c r="A7232">
        <v>7231</v>
      </c>
      <c r="B7232">
        <v>522873610</v>
      </c>
      <c r="C7232">
        <v>522873610</v>
      </c>
    </row>
    <row r="7233" spans="1:3">
      <c r="A7233">
        <v>7232</v>
      </c>
      <c r="B7233">
        <v>523018240</v>
      </c>
      <c r="C7233">
        <v>523018240</v>
      </c>
    </row>
    <row r="7234" spans="1:3">
      <c r="A7234">
        <v>7233</v>
      </c>
      <c r="B7234">
        <v>523162890</v>
      </c>
      <c r="C7234">
        <v>523162890</v>
      </c>
    </row>
    <row r="7235" spans="1:3">
      <c r="A7235">
        <v>7234</v>
      </c>
      <c r="B7235">
        <v>523307560</v>
      </c>
      <c r="C7235">
        <v>523307560</v>
      </c>
    </row>
    <row r="7236" spans="1:3">
      <c r="A7236">
        <v>7235</v>
      </c>
      <c r="B7236">
        <v>523452250</v>
      </c>
      <c r="C7236">
        <v>523452250</v>
      </c>
    </row>
    <row r="7237" spans="1:3">
      <c r="A7237">
        <v>7236</v>
      </c>
      <c r="B7237">
        <v>523596960</v>
      </c>
      <c r="C7237">
        <v>523596960</v>
      </c>
    </row>
    <row r="7238" spans="1:3">
      <c r="A7238">
        <v>7237</v>
      </c>
      <c r="B7238">
        <v>523741690</v>
      </c>
      <c r="C7238">
        <v>523741690</v>
      </c>
    </row>
    <row r="7239" spans="1:3">
      <c r="A7239">
        <v>7238</v>
      </c>
      <c r="B7239">
        <v>523886440</v>
      </c>
      <c r="C7239">
        <v>523886440</v>
      </c>
    </row>
    <row r="7240" spans="1:3">
      <c r="A7240">
        <v>7239</v>
      </c>
      <c r="B7240">
        <v>524031210</v>
      </c>
      <c r="C7240">
        <v>524031210</v>
      </c>
    </row>
    <row r="7241" spans="1:3">
      <c r="A7241">
        <v>7240</v>
      </c>
      <c r="B7241">
        <v>524176000</v>
      </c>
      <c r="C7241">
        <v>524176000</v>
      </c>
    </row>
    <row r="7242" spans="1:3">
      <c r="A7242">
        <v>7241</v>
      </c>
      <c r="B7242">
        <v>524320810</v>
      </c>
      <c r="C7242">
        <v>524320810</v>
      </c>
    </row>
    <row r="7243" spans="1:3">
      <c r="A7243">
        <v>7242</v>
      </c>
      <c r="B7243">
        <v>524465640</v>
      </c>
      <c r="C7243">
        <v>524465640</v>
      </c>
    </row>
    <row r="7244" spans="1:3">
      <c r="A7244">
        <v>7243</v>
      </c>
      <c r="B7244">
        <v>524610490</v>
      </c>
      <c r="C7244">
        <v>524610490</v>
      </c>
    </row>
    <row r="7245" spans="1:3">
      <c r="A7245">
        <v>7244</v>
      </c>
      <c r="B7245">
        <v>524755360</v>
      </c>
      <c r="C7245">
        <v>524755360</v>
      </c>
    </row>
    <row r="7246" spans="1:3">
      <c r="A7246">
        <v>7245</v>
      </c>
      <c r="B7246">
        <v>524900250</v>
      </c>
      <c r="C7246">
        <v>524900250</v>
      </c>
    </row>
    <row r="7247" spans="1:3">
      <c r="A7247">
        <v>7246</v>
      </c>
      <c r="B7247">
        <v>525045160</v>
      </c>
      <c r="C7247">
        <v>525045160</v>
      </c>
    </row>
    <row r="7248" spans="1:3">
      <c r="A7248">
        <v>7247</v>
      </c>
      <c r="B7248">
        <v>525190090</v>
      </c>
      <c r="C7248">
        <v>525190090</v>
      </c>
    </row>
    <row r="7249" spans="1:3">
      <c r="A7249">
        <v>7248</v>
      </c>
      <c r="B7249">
        <v>525335040</v>
      </c>
      <c r="C7249">
        <v>525335040</v>
      </c>
    </row>
    <row r="7250" spans="1:3">
      <c r="A7250">
        <v>7249</v>
      </c>
      <c r="B7250">
        <v>525480010</v>
      </c>
      <c r="C7250">
        <v>525480010</v>
      </c>
    </row>
    <row r="7251" spans="1:3">
      <c r="A7251">
        <v>7250</v>
      </c>
      <c r="B7251">
        <v>525625000</v>
      </c>
      <c r="C7251">
        <v>525625000</v>
      </c>
    </row>
    <row r="7252" spans="1:3">
      <c r="A7252">
        <v>7251</v>
      </c>
      <c r="B7252">
        <v>525770010</v>
      </c>
      <c r="C7252">
        <v>525770010</v>
      </c>
    </row>
    <row r="7253" spans="1:3">
      <c r="A7253">
        <v>7252</v>
      </c>
      <c r="B7253">
        <v>525915040</v>
      </c>
      <c r="C7253">
        <v>525915040</v>
      </c>
    </row>
    <row r="7254" spans="1:3">
      <c r="A7254">
        <v>7253</v>
      </c>
      <c r="B7254">
        <v>526060090</v>
      </c>
      <c r="C7254">
        <v>526060090</v>
      </c>
    </row>
    <row r="7255" spans="1:3">
      <c r="A7255">
        <v>7254</v>
      </c>
      <c r="B7255">
        <v>526205160</v>
      </c>
      <c r="C7255">
        <v>526205160</v>
      </c>
    </row>
    <row r="7256" spans="1:3">
      <c r="A7256">
        <v>7255</v>
      </c>
      <c r="B7256">
        <v>526350250</v>
      </c>
      <c r="C7256">
        <v>526350250</v>
      </c>
    </row>
    <row r="7257" spans="1:3">
      <c r="A7257">
        <v>7256</v>
      </c>
      <c r="B7257">
        <v>526495360</v>
      </c>
      <c r="C7257">
        <v>526495360</v>
      </c>
    </row>
    <row r="7258" spans="1:3">
      <c r="A7258">
        <v>7257</v>
      </c>
      <c r="B7258">
        <v>526640490</v>
      </c>
      <c r="C7258">
        <v>526640490</v>
      </c>
    </row>
    <row r="7259" spans="1:3">
      <c r="A7259">
        <v>7258</v>
      </c>
      <c r="B7259">
        <v>526785640</v>
      </c>
      <c r="C7259">
        <v>526785640</v>
      </c>
    </row>
    <row r="7260" spans="1:3">
      <c r="A7260">
        <v>7259</v>
      </c>
      <c r="B7260">
        <v>526930810</v>
      </c>
      <c r="C7260">
        <v>526930810</v>
      </c>
    </row>
    <row r="7261" spans="1:3">
      <c r="A7261">
        <v>7260</v>
      </c>
      <c r="B7261">
        <v>527076000</v>
      </c>
      <c r="C7261">
        <v>527076000</v>
      </c>
    </row>
    <row r="7262" spans="1:3">
      <c r="A7262">
        <v>7261</v>
      </c>
      <c r="B7262">
        <v>527221210</v>
      </c>
      <c r="C7262">
        <v>527221210</v>
      </c>
    </row>
    <row r="7263" spans="1:3">
      <c r="A7263">
        <v>7262</v>
      </c>
      <c r="B7263">
        <v>527366440</v>
      </c>
      <c r="C7263">
        <v>527366440</v>
      </c>
    </row>
    <row r="7264" spans="1:3">
      <c r="A7264">
        <v>7263</v>
      </c>
      <c r="B7264">
        <v>527511690</v>
      </c>
      <c r="C7264">
        <v>527511690</v>
      </c>
    </row>
    <row r="7265" spans="1:3">
      <c r="A7265">
        <v>7264</v>
      </c>
      <c r="B7265">
        <v>527656960</v>
      </c>
      <c r="C7265">
        <v>527656960</v>
      </c>
    </row>
    <row r="7266" spans="1:3">
      <c r="A7266">
        <v>7265</v>
      </c>
      <c r="B7266">
        <v>527802250</v>
      </c>
      <c r="C7266">
        <v>527802250</v>
      </c>
    </row>
    <row r="7267" spans="1:3">
      <c r="A7267">
        <v>7266</v>
      </c>
      <c r="B7267">
        <v>527947560</v>
      </c>
      <c r="C7267">
        <v>527947560</v>
      </c>
    </row>
    <row r="7268" spans="1:3">
      <c r="A7268">
        <v>7267</v>
      </c>
      <c r="B7268">
        <v>528092890</v>
      </c>
      <c r="C7268">
        <v>528092890</v>
      </c>
    </row>
    <row r="7269" spans="1:3">
      <c r="A7269">
        <v>7268</v>
      </c>
      <c r="B7269">
        <v>528238240</v>
      </c>
      <c r="C7269">
        <v>528238240</v>
      </c>
    </row>
    <row r="7270" spans="1:3">
      <c r="A7270">
        <v>7269</v>
      </c>
      <c r="B7270">
        <v>528383610</v>
      </c>
      <c r="C7270">
        <v>528383610</v>
      </c>
    </row>
    <row r="7271" spans="1:3">
      <c r="A7271">
        <v>7270</v>
      </c>
      <c r="B7271">
        <v>528529000</v>
      </c>
      <c r="C7271">
        <v>528529000</v>
      </c>
    </row>
    <row r="7272" spans="1:3">
      <c r="A7272">
        <v>7271</v>
      </c>
      <c r="B7272">
        <v>528674410</v>
      </c>
      <c r="C7272">
        <v>528674410</v>
      </c>
    </row>
    <row r="7273" spans="1:3">
      <c r="A7273">
        <v>7272</v>
      </c>
      <c r="B7273">
        <v>528819840</v>
      </c>
      <c r="C7273">
        <v>528819840</v>
      </c>
    </row>
    <row r="7274" spans="1:3">
      <c r="A7274">
        <v>7273</v>
      </c>
      <c r="B7274">
        <v>528965290</v>
      </c>
      <c r="C7274">
        <v>528965290</v>
      </c>
    </row>
    <row r="7275" spans="1:3">
      <c r="A7275">
        <v>7274</v>
      </c>
      <c r="B7275">
        <v>529110760</v>
      </c>
      <c r="C7275">
        <v>529110760</v>
      </c>
    </row>
    <row r="7276" spans="1:3">
      <c r="A7276">
        <v>7275</v>
      </c>
      <c r="B7276">
        <v>529256250</v>
      </c>
      <c r="C7276">
        <v>529256250</v>
      </c>
    </row>
    <row r="7277" spans="1:3">
      <c r="A7277">
        <v>7276</v>
      </c>
      <c r="B7277">
        <v>529401760</v>
      </c>
      <c r="C7277">
        <v>529401760</v>
      </c>
    </row>
    <row r="7278" spans="1:3">
      <c r="A7278">
        <v>7277</v>
      </c>
      <c r="B7278">
        <v>529547290</v>
      </c>
      <c r="C7278">
        <v>529547290</v>
      </c>
    </row>
    <row r="7279" spans="1:3">
      <c r="A7279">
        <v>7278</v>
      </c>
      <c r="B7279">
        <v>529692840</v>
      </c>
      <c r="C7279">
        <v>529692840</v>
      </c>
    </row>
    <row r="7280" spans="1:3">
      <c r="A7280">
        <v>7279</v>
      </c>
      <c r="B7280">
        <v>529838410</v>
      </c>
      <c r="C7280">
        <v>529838410</v>
      </c>
    </row>
    <row r="7281" spans="1:3">
      <c r="A7281">
        <v>7280</v>
      </c>
      <c r="B7281">
        <v>529984000</v>
      </c>
      <c r="C7281">
        <v>529984000</v>
      </c>
    </row>
    <row r="7282" spans="1:3">
      <c r="A7282">
        <v>7281</v>
      </c>
      <c r="B7282">
        <v>530129610</v>
      </c>
      <c r="C7282">
        <v>530129610</v>
      </c>
    </row>
    <row r="7283" spans="1:3">
      <c r="A7283">
        <v>7282</v>
      </c>
      <c r="B7283">
        <v>530275240</v>
      </c>
      <c r="C7283">
        <v>530275240</v>
      </c>
    </row>
    <row r="7284" spans="1:3">
      <c r="A7284">
        <v>7283</v>
      </c>
      <c r="B7284">
        <v>530420890</v>
      </c>
      <c r="C7284">
        <v>530420890</v>
      </c>
    </row>
    <row r="7285" spans="1:3">
      <c r="A7285">
        <v>7284</v>
      </c>
      <c r="B7285">
        <v>530566560</v>
      </c>
      <c r="C7285">
        <v>530566560</v>
      </c>
    </row>
    <row r="7286" spans="1:3">
      <c r="A7286">
        <v>7285</v>
      </c>
      <c r="B7286">
        <v>530712250</v>
      </c>
      <c r="C7286">
        <v>530712250</v>
      </c>
    </row>
    <row r="7287" spans="1:3">
      <c r="A7287">
        <v>7286</v>
      </c>
      <c r="B7287">
        <v>530857960</v>
      </c>
      <c r="C7287">
        <v>530857960</v>
      </c>
    </row>
    <row r="7288" spans="1:3">
      <c r="A7288">
        <v>7287</v>
      </c>
      <c r="B7288">
        <v>531003690</v>
      </c>
      <c r="C7288">
        <v>531003690</v>
      </c>
    </row>
    <row r="7289" spans="1:3">
      <c r="A7289">
        <v>7288</v>
      </c>
      <c r="B7289">
        <v>531149440</v>
      </c>
      <c r="C7289">
        <v>531149440</v>
      </c>
    </row>
    <row r="7290" spans="1:3">
      <c r="A7290">
        <v>7289</v>
      </c>
      <c r="B7290">
        <v>531295210</v>
      </c>
      <c r="C7290">
        <v>531295210</v>
      </c>
    </row>
    <row r="7291" spans="1:3">
      <c r="A7291">
        <v>7290</v>
      </c>
      <c r="B7291">
        <v>531441000</v>
      </c>
      <c r="C7291">
        <v>531441000</v>
      </c>
    </row>
    <row r="7292" spans="1:3">
      <c r="A7292">
        <v>7291</v>
      </c>
      <c r="B7292">
        <v>531586810</v>
      </c>
      <c r="C7292">
        <v>531586810</v>
      </c>
    </row>
    <row r="7293" spans="1:3">
      <c r="A7293">
        <v>7292</v>
      </c>
      <c r="B7293">
        <v>531732640</v>
      </c>
      <c r="C7293">
        <v>531732640</v>
      </c>
    </row>
    <row r="7294" spans="1:3">
      <c r="A7294">
        <v>7293</v>
      </c>
      <c r="B7294">
        <v>531878490</v>
      </c>
      <c r="C7294">
        <v>531878490</v>
      </c>
    </row>
    <row r="7295" spans="1:3">
      <c r="A7295">
        <v>7294</v>
      </c>
      <c r="B7295">
        <v>532024360</v>
      </c>
      <c r="C7295">
        <v>532024360</v>
      </c>
    </row>
    <row r="7296" spans="1:3">
      <c r="A7296">
        <v>7295</v>
      </c>
      <c r="B7296">
        <v>532170250</v>
      </c>
      <c r="C7296">
        <v>532170250</v>
      </c>
    </row>
    <row r="7297" spans="1:3">
      <c r="A7297">
        <v>7296</v>
      </c>
      <c r="B7297">
        <v>532316160</v>
      </c>
      <c r="C7297">
        <v>532316160</v>
      </c>
    </row>
    <row r="7298" spans="1:3">
      <c r="A7298">
        <v>7297</v>
      </c>
      <c r="B7298">
        <v>532462090</v>
      </c>
      <c r="C7298">
        <v>532462090</v>
      </c>
    </row>
    <row r="7299" spans="1:3">
      <c r="A7299">
        <v>7298</v>
      </c>
      <c r="B7299">
        <v>532608040</v>
      </c>
      <c r="C7299">
        <v>532608040</v>
      </c>
    </row>
    <row r="7300" spans="1:3">
      <c r="A7300">
        <v>7299</v>
      </c>
      <c r="B7300">
        <v>532754010</v>
      </c>
      <c r="C7300">
        <v>532754010</v>
      </c>
    </row>
    <row r="7301" spans="1:3">
      <c r="A7301">
        <v>7300</v>
      </c>
      <c r="B7301">
        <v>532900000</v>
      </c>
      <c r="C7301">
        <v>532900000</v>
      </c>
    </row>
    <row r="7302" spans="1:3">
      <c r="A7302">
        <v>7301</v>
      </c>
      <c r="B7302">
        <v>533046010</v>
      </c>
      <c r="C7302">
        <v>533046010</v>
      </c>
    </row>
    <row r="7303" spans="1:3">
      <c r="A7303">
        <v>7302</v>
      </c>
      <c r="B7303">
        <v>533192040</v>
      </c>
      <c r="C7303">
        <v>533192040</v>
      </c>
    </row>
    <row r="7304" spans="1:3">
      <c r="A7304">
        <v>7303</v>
      </c>
      <c r="B7304">
        <v>533338090</v>
      </c>
      <c r="C7304">
        <v>533338090</v>
      </c>
    </row>
    <row r="7305" spans="1:3">
      <c r="A7305">
        <v>7304</v>
      </c>
      <c r="B7305">
        <v>533484160</v>
      </c>
      <c r="C7305">
        <v>533484160</v>
      </c>
    </row>
    <row r="7306" spans="1:3">
      <c r="A7306">
        <v>7305</v>
      </c>
      <c r="B7306">
        <v>533630250</v>
      </c>
      <c r="C7306">
        <v>533630250</v>
      </c>
    </row>
    <row r="7307" spans="1:3">
      <c r="A7307">
        <v>7306</v>
      </c>
      <c r="B7307">
        <v>533776360</v>
      </c>
      <c r="C7307">
        <v>533776360</v>
      </c>
    </row>
    <row r="7308" spans="1:3">
      <c r="A7308">
        <v>7307</v>
      </c>
      <c r="B7308">
        <v>533922490</v>
      </c>
      <c r="C7308">
        <v>533922490</v>
      </c>
    </row>
    <row r="7309" spans="1:3">
      <c r="A7309">
        <v>7308</v>
      </c>
      <c r="B7309">
        <v>534068640</v>
      </c>
      <c r="C7309">
        <v>534068640</v>
      </c>
    </row>
    <row r="7310" spans="1:3">
      <c r="A7310">
        <v>7309</v>
      </c>
      <c r="B7310">
        <v>534214810</v>
      </c>
      <c r="C7310">
        <v>534214810</v>
      </c>
    </row>
    <row r="7311" spans="1:3">
      <c r="A7311">
        <v>7310</v>
      </c>
      <c r="B7311">
        <v>534361000</v>
      </c>
      <c r="C7311">
        <v>534361000</v>
      </c>
    </row>
    <row r="7312" spans="1:3">
      <c r="A7312">
        <v>7311</v>
      </c>
      <c r="B7312">
        <v>534507210</v>
      </c>
      <c r="C7312">
        <v>534507210</v>
      </c>
    </row>
    <row r="7313" spans="1:3">
      <c r="A7313">
        <v>7312</v>
      </c>
      <c r="B7313">
        <v>534653440</v>
      </c>
      <c r="C7313">
        <v>534653440</v>
      </c>
    </row>
    <row r="7314" spans="1:3">
      <c r="A7314">
        <v>7313</v>
      </c>
      <c r="B7314">
        <v>534799690</v>
      </c>
      <c r="C7314">
        <v>534799690</v>
      </c>
    </row>
    <row r="7315" spans="1:3">
      <c r="A7315">
        <v>7314</v>
      </c>
      <c r="B7315">
        <v>534945960</v>
      </c>
      <c r="C7315">
        <v>534945960</v>
      </c>
    </row>
    <row r="7316" spans="1:3">
      <c r="A7316">
        <v>7315</v>
      </c>
      <c r="B7316">
        <v>535092250</v>
      </c>
      <c r="C7316">
        <v>535092250</v>
      </c>
    </row>
    <row r="7317" spans="1:3">
      <c r="A7317">
        <v>7316</v>
      </c>
      <c r="B7317">
        <v>535238560</v>
      </c>
      <c r="C7317">
        <v>535238560</v>
      </c>
    </row>
    <row r="7318" spans="1:3">
      <c r="A7318">
        <v>7317</v>
      </c>
      <c r="B7318">
        <v>535384890</v>
      </c>
      <c r="C7318">
        <v>535384890</v>
      </c>
    </row>
    <row r="7319" spans="1:3">
      <c r="A7319">
        <v>7318</v>
      </c>
      <c r="B7319">
        <v>535531240</v>
      </c>
      <c r="C7319">
        <v>535531240</v>
      </c>
    </row>
    <row r="7320" spans="1:3">
      <c r="A7320">
        <v>7319</v>
      </c>
      <c r="B7320">
        <v>535677610</v>
      </c>
      <c r="C7320">
        <v>535677610</v>
      </c>
    </row>
    <row r="7321" spans="1:3">
      <c r="A7321">
        <v>7320</v>
      </c>
      <c r="B7321">
        <v>535824000</v>
      </c>
      <c r="C7321">
        <v>535824000</v>
      </c>
    </row>
    <row r="7322" spans="1:3">
      <c r="A7322">
        <v>7321</v>
      </c>
      <c r="B7322">
        <v>535970410</v>
      </c>
      <c r="C7322">
        <v>535970410</v>
      </c>
    </row>
    <row r="7323" spans="1:3">
      <c r="A7323">
        <v>7322</v>
      </c>
      <c r="B7323">
        <v>536116840</v>
      </c>
      <c r="C7323">
        <v>536116840</v>
      </c>
    </row>
    <row r="7324" spans="1:3">
      <c r="A7324">
        <v>7323</v>
      </c>
      <c r="B7324">
        <v>536263290</v>
      </c>
      <c r="C7324">
        <v>536263290</v>
      </c>
    </row>
    <row r="7325" spans="1:3">
      <c r="A7325">
        <v>7324</v>
      </c>
      <c r="B7325">
        <v>536409760</v>
      </c>
      <c r="C7325">
        <v>536409760</v>
      </c>
    </row>
    <row r="7326" spans="1:3">
      <c r="A7326">
        <v>7325</v>
      </c>
      <c r="B7326">
        <v>536556250</v>
      </c>
      <c r="C7326">
        <v>536556250</v>
      </c>
    </row>
    <row r="7327" spans="1:3">
      <c r="A7327">
        <v>7326</v>
      </c>
      <c r="B7327">
        <v>536702760</v>
      </c>
      <c r="C7327">
        <v>536702760</v>
      </c>
    </row>
    <row r="7328" spans="1:3">
      <c r="A7328">
        <v>7327</v>
      </c>
      <c r="B7328">
        <v>536849290</v>
      </c>
      <c r="C7328">
        <v>536849290</v>
      </c>
    </row>
    <row r="7329" spans="1:3">
      <c r="A7329">
        <v>7328</v>
      </c>
      <c r="B7329">
        <v>536995840</v>
      </c>
      <c r="C7329">
        <v>536995840</v>
      </c>
    </row>
    <row r="7330" spans="1:3">
      <c r="A7330">
        <v>7329</v>
      </c>
      <c r="B7330">
        <v>537142410</v>
      </c>
      <c r="C7330">
        <v>537142410</v>
      </c>
    </row>
    <row r="7331" spans="1:3">
      <c r="A7331">
        <v>7330</v>
      </c>
      <c r="B7331">
        <v>537289000</v>
      </c>
      <c r="C7331">
        <v>537289000</v>
      </c>
    </row>
    <row r="7332" spans="1:3">
      <c r="A7332">
        <v>7331</v>
      </c>
      <c r="B7332">
        <v>537435610</v>
      </c>
      <c r="C7332">
        <v>537435610</v>
      </c>
    </row>
    <row r="7333" spans="1:3">
      <c r="A7333">
        <v>7332</v>
      </c>
      <c r="B7333">
        <v>537582240</v>
      </c>
      <c r="C7333">
        <v>537582240</v>
      </c>
    </row>
    <row r="7334" spans="1:3">
      <c r="A7334">
        <v>7333</v>
      </c>
      <c r="B7334">
        <v>537728890</v>
      </c>
      <c r="C7334">
        <v>537728890</v>
      </c>
    </row>
    <row r="7335" spans="1:3">
      <c r="A7335">
        <v>7334</v>
      </c>
      <c r="B7335">
        <v>537875560</v>
      </c>
      <c r="C7335">
        <v>537875560</v>
      </c>
    </row>
    <row r="7336" spans="1:3">
      <c r="A7336">
        <v>7335</v>
      </c>
      <c r="B7336">
        <v>538022250</v>
      </c>
      <c r="C7336">
        <v>538022250</v>
      </c>
    </row>
    <row r="7337" spans="1:3">
      <c r="A7337">
        <v>7336</v>
      </c>
      <c r="B7337">
        <v>538168960</v>
      </c>
      <c r="C7337">
        <v>538168960</v>
      </c>
    </row>
    <row r="7338" spans="1:3">
      <c r="A7338">
        <v>7337</v>
      </c>
      <c r="B7338">
        <v>538315690</v>
      </c>
      <c r="C7338">
        <v>538315690</v>
      </c>
    </row>
    <row r="7339" spans="1:3">
      <c r="A7339">
        <v>7338</v>
      </c>
      <c r="B7339">
        <v>538462440</v>
      </c>
      <c r="C7339">
        <v>538462440</v>
      </c>
    </row>
    <row r="7340" spans="1:3">
      <c r="A7340">
        <v>7339</v>
      </c>
      <c r="B7340">
        <v>538609210</v>
      </c>
      <c r="C7340">
        <v>538609210</v>
      </c>
    </row>
    <row r="7341" spans="1:3">
      <c r="A7341">
        <v>7340</v>
      </c>
      <c r="B7341">
        <v>538756000</v>
      </c>
      <c r="C7341">
        <v>538756000</v>
      </c>
    </row>
    <row r="7342" spans="1:3">
      <c r="A7342">
        <v>7341</v>
      </c>
      <c r="B7342">
        <v>538902810</v>
      </c>
      <c r="C7342">
        <v>538902810</v>
      </c>
    </row>
    <row r="7343" spans="1:3">
      <c r="A7343">
        <v>7342</v>
      </c>
      <c r="B7343">
        <v>539049640</v>
      </c>
      <c r="C7343">
        <v>539049640</v>
      </c>
    </row>
    <row r="7344" spans="1:3">
      <c r="A7344">
        <v>7343</v>
      </c>
      <c r="B7344">
        <v>539196490</v>
      </c>
      <c r="C7344">
        <v>539196490</v>
      </c>
    </row>
    <row r="7345" spans="1:3">
      <c r="A7345">
        <v>7344</v>
      </c>
      <c r="B7345">
        <v>539343360</v>
      </c>
      <c r="C7345">
        <v>539343360</v>
      </c>
    </row>
    <row r="7346" spans="1:3">
      <c r="A7346">
        <v>7345</v>
      </c>
      <c r="B7346">
        <v>539490250</v>
      </c>
      <c r="C7346">
        <v>539490250</v>
      </c>
    </row>
    <row r="7347" spans="1:3">
      <c r="A7347">
        <v>7346</v>
      </c>
      <c r="B7347">
        <v>539637160</v>
      </c>
      <c r="C7347">
        <v>539637160</v>
      </c>
    </row>
    <row r="7348" spans="1:3">
      <c r="A7348">
        <v>7347</v>
      </c>
      <c r="B7348">
        <v>539784090</v>
      </c>
      <c r="C7348">
        <v>539784090</v>
      </c>
    </row>
    <row r="7349" spans="1:3">
      <c r="A7349">
        <v>7348</v>
      </c>
      <c r="B7349">
        <v>539931040</v>
      </c>
      <c r="C7349">
        <v>539931040</v>
      </c>
    </row>
    <row r="7350" spans="1:3">
      <c r="A7350">
        <v>7349</v>
      </c>
      <c r="B7350">
        <v>540078010</v>
      </c>
      <c r="C7350">
        <v>540078010</v>
      </c>
    </row>
    <row r="7351" spans="1:3">
      <c r="A7351">
        <v>7350</v>
      </c>
      <c r="B7351">
        <v>540225000</v>
      </c>
      <c r="C7351">
        <v>540225000</v>
      </c>
    </row>
    <row r="7352" spans="1:3">
      <c r="A7352">
        <v>7351</v>
      </c>
      <c r="B7352">
        <v>540372010</v>
      </c>
      <c r="C7352">
        <v>540372010</v>
      </c>
    </row>
    <row r="7353" spans="1:3">
      <c r="A7353">
        <v>7352</v>
      </c>
      <c r="B7353">
        <v>540519040</v>
      </c>
      <c r="C7353">
        <v>540519040</v>
      </c>
    </row>
    <row r="7354" spans="1:3">
      <c r="A7354">
        <v>7353</v>
      </c>
      <c r="B7354">
        <v>540666090</v>
      </c>
      <c r="C7354">
        <v>540666090</v>
      </c>
    </row>
    <row r="7355" spans="1:3">
      <c r="A7355">
        <v>7354</v>
      </c>
      <c r="B7355">
        <v>540813160</v>
      </c>
      <c r="C7355">
        <v>540813160</v>
      </c>
    </row>
    <row r="7356" spans="1:3">
      <c r="A7356">
        <v>7355</v>
      </c>
      <c r="B7356">
        <v>540960250</v>
      </c>
      <c r="C7356">
        <v>540960250</v>
      </c>
    </row>
    <row r="7357" spans="1:3">
      <c r="A7357">
        <v>7356</v>
      </c>
      <c r="B7357">
        <v>541107360</v>
      </c>
      <c r="C7357">
        <v>541107360</v>
      </c>
    </row>
    <row r="7358" spans="1:3">
      <c r="A7358">
        <v>7357</v>
      </c>
      <c r="B7358">
        <v>541254490</v>
      </c>
      <c r="C7358">
        <v>541254490</v>
      </c>
    </row>
    <row r="7359" spans="1:3">
      <c r="A7359">
        <v>7358</v>
      </c>
      <c r="B7359">
        <v>541401640</v>
      </c>
      <c r="C7359">
        <v>541401640</v>
      </c>
    </row>
    <row r="7360" spans="1:3">
      <c r="A7360">
        <v>7359</v>
      </c>
      <c r="B7360">
        <v>541548810</v>
      </c>
      <c r="C7360">
        <v>541548810</v>
      </c>
    </row>
    <row r="7361" spans="1:3">
      <c r="A7361">
        <v>7360</v>
      </c>
      <c r="B7361">
        <v>541696000</v>
      </c>
      <c r="C7361">
        <v>541696000</v>
      </c>
    </row>
    <row r="7362" spans="1:3">
      <c r="A7362">
        <v>7361</v>
      </c>
      <c r="B7362">
        <v>541843210</v>
      </c>
      <c r="C7362">
        <v>541843210</v>
      </c>
    </row>
    <row r="7363" spans="1:3">
      <c r="A7363">
        <v>7362</v>
      </c>
      <c r="B7363">
        <v>541990440</v>
      </c>
      <c r="C7363">
        <v>541990440</v>
      </c>
    </row>
    <row r="7364" spans="1:3">
      <c r="A7364">
        <v>7363</v>
      </c>
      <c r="B7364">
        <v>542137690</v>
      </c>
      <c r="C7364">
        <v>542137690</v>
      </c>
    </row>
    <row r="7365" spans="1:3">
      <c r="A7365">
        <v>7364</v>
      </c>
      <c r="B7365">
        <v>542284960</v>
      </c>
      <c r="C7365">
        <v>542284960</v>
      </c>
    </row>
    <row r="7366" spans="1:3">
      <c r="A7366">
        <v>7365</v>
      </c>
      <c r="B7366">
        <v>542432250</v>
      </c>
      <c r="C7366">
        <v>542432250</v>
      </c>
    </row>
    <row r="7367" spans="1:3">
      <c r="A7367">
        <v>7366</v>
      </c>
      <c r="B7367">
        <v>542579560</v>
      </c>
      <c r="C7367">
        <v>542579560</v>
      </c>
    </row>
    <row r="7368" spans="1:3">
      <c r="A7368">
        <v>7367</v>
      </c>
      <c r="B7368">
        <v>542726890</v>
      </c>
      <c r="C7368">
        <v>542726890</v>
      </c>
    </row>
    <row r="7369" spans="1:3">
      <c r="A7369">
        <v>7368</v>
      </c>
      <c r="B7369">
        <v>542874240</v>
      </c>
      <c r="C7369">
        <v>542874240</v>
      </c>
    </row>
    <row r="7370" spans="1:3">
      <c r="A7370">
        <v>7369</v>
      </c>
      <c r="B7370">
        <v>543021610</v>
      </c>
      <c r="C7370">
        <v>543021610</v>
      </c>
    </row>
    <row r="7371" spans="1:3">
      <c r="A7371">
        <v>7370</v>
      </c>
      <c r="B7371">
        <v>543169000</v>
      </c>
      <c r="C7371">
        <v>543169000</v>
      </c>
    </row>
    <row r="7372" spans="1:3">
      <c r="A7372">
        <v>7371</v>
      </c>
      <c r="B7372">
        <v>543316410</v>
      </c>
      <c r="C7372">
        <v>543316410</v>
      </c>
    </row>
    <row r="7373" spans="1:3">
      <c r="A7373">
        <v>7372</v>
      </c>
      <c r="B7373">
        <v>543463840</v>
      </c>
      <c r="C7373">
        <v>543463840</v>
      </c>
    </row>
    <row r="7374" spans="1:3">
      <c r="A7374">
        <v>7373</v>
      </c>
      <c r="B7374">
        <v>543611290</v>
      </c>
      <c r="C7374">
        <v>543611290</v>
      </c>
    </row>
    <row r="7375" spans="1:3">
      <c r="A7375">
        <v>7374</v>
      </c>
      <c r="B7375">
        <v>543758760</v>
      </c>
      <c r="C7375">
        <v>543758760</v>
      </c>
    </row>
    <row r="7376" spans="1:3">
      <c r="A7376">
        <v>7375</v>
      </c>
      <c r="B7376">
        <v>543906250</v>
      </c>
      <c r="C7376">
        <v>543906250</v>
      </c>
    </row>
    <row r="7377" spans="1:3">
      <c r="A7377">
        <v>7376</v>
      </c>
      <c r="B7377">
        <v>544053760</v>
      </c>
      <c r="C7377">
        <v>544053760</v>
      </c>
    </row>
    <row r="7378" spans="1:3">
      <c r="A7378">
        <v>7377</v>
      </c>
      <c r="B7378">
        <v>544201290</v>
      </c>
      <c r="C7378">
        <v>544201290</v>
      </c>
    </row>
    <row r="7379" spans="1:3">
      <c r="A7379">
        <v>7378</v>
      </c>
      <c r="B7379">
        <v>544348840</v>
      </c>
      <c r="C7379">
        <v>544348840</v>
      </c>
    </row>
    <row r="7380" spans="1:3">
      <c r="A7380">
        <v>7379</v>
      </c>
      <c r="B7380">
        <v>544496410</v>
      </c>
      <c r="C7380">
        <v>544496410</v>
      </c>
    </row>
    <row r="7381" spans="1:3">
      <c r="A7381">
        <v>7380</v>
      </c>
      <c r="B7381">
        <v>544644000</v>
      </c>
      <c r="C7381">
        <v>544644000</v>
      </c>
    </row>
    <row r="7382" spans="1:3">
      <c r="A7382">
        <v>7381</v>
      </c>
      <c r="B7382">
        <v>544791610</v>
      </c>
      <c r="C7382">
        <v>544791610</v>
      </c>
    </row>
    <row r="7383" spans="1:3">
      <c r="A7383">
        <v>7382</v>
      </c>
      <c r="B7383">
        <v>544939240</v>
      </c>
      <c r="C7383">
        <v>544939240</v>
      </c>
    </row>
    <row r="7384" spans="1:3">
      <c r="A7384">
        <v>7383</v>
      </c>
      <c r="B7384">
        <v>545086890</v>
      </c>
      <c r="C7384">
        <v>545086890</v>
      </c>
    </row>
    <row r="7385" spans="1:3">
      <c r="A7385">
        <v>7384</v>
      </c>
      <c r="B7385">
        <v>545234560</v>
      </c>
      <c r="C7385">
        <v>545234560</v>
      </c>
    </row>
    <row r="7386" spans="1:3">
      <c r="A7386">
        <v>7385</v>
      </c>
      <c r="B7386">
        <v>545382250</v>
      </c>
      <c r="C7386">
        <v>545382250</v>
      </c>
    </row>
    <row r="7387" spans="1:3">
      <c r="A7387">
        <v>7386</v>
      </c>
      <c r="B7387">
        <v>545529960</v>
      </c>
      <c r="C7387">
        <v>545529960</v>
      </c>
    </row>
    <row r="7388" spans="1:3">
      <c r="A7388">
        <v>7387</v>
      </c>
      <c r="B7388">
        <v>545677690</v>
      </c>
      <c r="C7388">
        <v>545677690</v>
      </c>
    </row>
    <row r="7389" spans="1:3">
      <c r="A7389">
        <v>7388</v>
      </c>
      <c r="B7389">
        <v>545825440</v>
      </c>
      <c r="C7389">
        <v>545825440</v>
      </c>
    </row>
    <row r="7390" spans="1:3">
      <c r="A7390">
        <v>7389</v>
      </c>
      <c r="B7390">
        <v>545973210</v>
      </c>
      <c r="C7390">
        <v>545973210</v>
      </c>
    </row>
    <row r="7391" spans="1:3">
      <c r="A7391">
        <v>7390</v>
      </c>
      <c r="B7391">
        <v>546121000</v>
      </c>
      <c r="C7391">
        <v>546121000</v>
      </c>
    </row>
    <row r="7392" spans="1:3">
      <c r="A7392">
        <v>7391</v>
      </c>
      <c r="B7392">
        <v>546268810</v>
      </c>
      <c r="C7392">
        <v>546268810</v>
      </c>
    </row>
    <row r="7393" spans="1:3">
      <c r="A7393">
        <v>7392</v>
      </c>
      <c r="B7393">
        <v>546416640</v>
      </c>
      <c r="C7393">
        <v>546416640</v>
      </c>
    </row>
    <row r="7394" spans="1:3">
      <c r="A7394">
        <v>7393</v>
      </c>
      <c r="B7394">
        <v>546564490</v>
      </c>
      <c r="C7394">
        <v>546564490</v>
      </c>
    </row>
    <row r="7395" spans="1:3">
      <c r="A7395">
        <v>7394</v>
      </c>
      <c r="B7395">
        <v>546712360</v>
      </c>
      <c r="C7395">
        <v>546712360</v>
      </c>
    </row>
    <row r="7396" spans="1:3">
      <c r="A7396">
        <v>7395</v>
      </c>
      <c r="B7396">
        <v>546860250</v>
      </c>
      <c r="C7396">
        <v>546860250</v>
      </c>
    </row>
    <row r="7397" spans="1:3">
      <c r="A7397">
        <v>7396</v>
      </c>
      <c r="B7397">
        <v>547008160</v>
      </c>
      <c r="C7397">
        <v>547008160</v>
      </c>
    </row>
    <row r="7398" spans="1:3">
      <c r="A7398">
        <v>7397</v>
      </c>
      <c r="B7398">
        <v>547156090</v>
      </c>
      <c r="C7398">
        <v>547156090</v>
      </c>
    </row>
    <row r="7399" spans="1:3">
      <c r="A7399">
        <v>7398</v>
      </c>
      <c r="B7399">
        <v>547304040</v>
      </c>
      <c r="C7399">
        <v>547304040</v>
      </c>
    </row>
    <row r="7400" spans="1:3">
      <c r="A7400">
        <v>7399</v>
      </c>
      <c r="B7400">
        <v>547452010</v>
      </c>
      <c r="C7400">
        <v>547452010</v>
      </c>
    </row>
    <row r="7401" spans="1:3">
      <c r="A7401">
        <v>7400</v>
      </c>
      <c r="B7401">
        <v>547600000</v>
      </c>
      <c r="C7401">
        <v>547600000</v>
      </c>
    </row>
    <row r="7402" spans="1:3">
      <c r="A7402">
        <v>7401</v>
      </c>
      <c r="B7402">
        <v>547748010</v>
      </c>
      <c r="C7402">
        <v>547748010</v>
      </c>
    </row>
    <row r="7403" spans="1:3">
      <c r="A7403">
        <v>7402</v>
      </c>
      <c r="B7403">
        <v>547896040</v>
      </c>
      <c r="C7403">
        <v>547896040</v>
      </c>
    </row>
    <row r="7404" spans="1:3">
      <c r="A7404">
        <v>7403</v>
      </c>
      <c r="B7404">
        <v>548044090</v>
      </c>
      <c r="C7404">
        <v>548044090</v>
      </c>
    </row>
    <row r="7405" spans="1:3">
      <c r="A7405">
        <v>7404</v>
      </c>
      <c r="B7405">
        <v>548192160</v>
      </c>
      <c r="C7405">
        <v>548192160</v>
      </c>
    </row>
    <row r="7406" spans="1:3">
      <c r="A7406">
        <v>7405</v>
      </c>
      <c r="B7406">
        <v>548340250</v>
      </c>
      <c r="C7406">
        <v>548340250</v>
      </c>
    </row>
    <row r="7407" spans="1:3">
      <c r="A7407">
        <v>7406</v>
      </c>
      <c r="B7407">
        <v>548488360</v>
      </c>
      <c r="C7407">
        <v>548488360</v>
      </c>
    </row>
    <row r="7408" spans="1:3">
      <c r="A7408">
        <v>7407</v>
      </c>
      <c r="B7408">
        <v>548636490</v>
      </c>
      <c r="C7408">
        <v>548636490</v>
      </c>
    </row>
    <row r="7409" spans="1:3">
      <c r="A7409">
        <v>7408</v>
      </c>
      <c r="B7409">
        <v>548784640</v>
      </c>
      <c r="C7409">
        <v>548784640</v>
      </c>
    </row>
    <row r="7410" spans="1:3">
      <c r="A7410">
        <v>7409</v>
      </c>
      <c r="B7410">
        <v>548932810</v>
      </c>
      <c r="C7410">
        <v>548932810</v>
      </c>
    </row>
    <row r="7411" spans="1:3">
      <c r="A7411">
        <v>7410</v>
      </c>
      <c r="B7411">
        <v>549081000</v>
      </c>
      <c r="C7411">
        <v>549081000</v>
      </c>
    </row>
    <row r="7412" spans="1:3">
      <c r="A7412">
        <v>7411</v>
      </c>
      <c r="B7412">
        <v>549229210</v>
      </c>
      <c r="C7412">
        <v>549229210</v>
      </c>
    </row>
    <row r="7413" spans="1:3">
      <c r="A7413">
        <v>7412</v>
      </c>
      <c r="B7413">
        <v>549377440</v>
      </c>
      <c r="C7413">
        <v>549377440</v>
      </c>
    </row>
    <row r="7414" spans="1:3">
      <c r="A7414">
        <v>7413</v>
      </c>
      <c r="B7414">
        <v>549525690</v>
      </c>
      <c r="C7414">
        <v>549525690</v>
      </c>
    </row>
    <row r="7415" spans="1:3">
      <c r="A7415">
        <v>7414</v>
      </c>
      <c r="B7415">
        <v>549673960</v>
      </c>
      <c r="C7415">
        <v>549673960</v>
      </c>
    </row>
    <row r="7416" spans="1:3">
      <c r="A7416">
        <v>7415</v>
      </c>
      <c r="B7416">
        <v>549822250</v>
      </c>
      <c r="C7416">
        <v>549822250</v>
      </c>
    </row>
    <row r="7417" spans="1:3">
      <c r="A7417">
        <v>7416</v>
      </c>
      <c r="B7417">
        <v>549970560</v>
      </c>
      <c r="C7417">
        <v>549970560</v>
      </c>
    </row>
    <row r="7418" spans="1:3">
      <c r="A7418">
        <v>7417</v>
      </c>
      <c r="B7418">
        <v>550118890</v>
      </c>
      <c r="C7418">
        <v>550118890</v>
      </c>
    </row>
    <row r="7419" spans="1:3">
      <c r="A7419">
        <v>7418</v>
      </c>
      <c r="B7419">
        <v>550267240</v>
      </c>
      <c r="C7419">
        <v>550267240</v>
      </c>
    </row>
    <row r="7420" spans="1:3">
      <c r="A7420">
        <v>7419</v>
      </c>
      <c r="B7420">
        <v>550415610</v>
      </c>
      <c r="C7420">
        <v>550415610</v>
      </c>
    </row>
    <row r="7421" spans="1:3">
      <c r="A7421">
        <v>7420</v>
      </c>
      <c r="B7421">
        <v>550564000</v>
      </c>
      <c r="C7421">
        <v>550564000</v>
      </c>
    </row>
    <row r="7422" spans="1:3">
      <c r="A7422">
        <v>7421</v>
      </c>
      <c r="B7422">
        <v>550712410</v>
      </c>
      <c r="C7422">
        <v>550712410</v>
      </c>
    </row>
    <row r="7423" spans="1:3">
      <c r="A7423">
        <v>7422</v>
      </c>
      <c r="B7423">
        <v>550860840</v>
      </c>
      <c r="C7423">
        <v>550860840</v>
      </c>
    </row>
    <row r="7424" spans="1:3">
      <c r="A7424">
        <v>7423</v>
      </c>
      <c r="B7424">
        <v>551009290</v>
      </c>
      <c r="C7424">
        <v>551009290</v>
      </c>
    </row>
    <row r="7425" spans="1:3">
      <c r="A7425">
        <v>7424</v>
      </c>
      <c r="B7425">
        <v>551157760</v>
      </c>
      <c r="C7425">
        <v>551157760</v>
      </c>
    </row>
    <row r="7426" spans="1:3">
      <c r="A7426">
        <v>7425</v>
      </c>
      <c r="B7426">
        <v>551306250</v>
      </c>
      <c r="C7426">
        <v>551306250</v>
      </c>
    </row>
    <row r="7427" spans="1:3">
      <c r="A7427">
        <v>7426</v>
      </c>
      <c r="B7427">
        <v>551454760</v>
      </c>
      <c r="C7427">
        <v>551454760</v>
      </c>
    </row>
    <row r="7428" spans="1:3">
      <c r="A7428">
        <v>7427</v>
      </c>
      <c r="B7428">
        <v>551603290</v>
      </c>
      <c r="C7428">
        <v>551603290</v>
      </c>
    </row>
    <row r="7429" spans="1:3">
      <c r="A7429">
        <v>7428</v>
      </c>
      <c r="B7429">
        <v>551751840</v>
      </c>
      <c r="C7429">
        <v>551751840</v>
      </c>
    </row>
    <row r="7430" spans="1:3">
      <c r="A7430">
        <v>7429</v>
      </c>
      <c r="B7430">
        <v>551900410</v>
      </c>
      <c r="C7430">
        <v>551900410</v>
      </c>
    </row>
    <row r="7431" spans="1:3">
      <c r="A7431">
        <v>7430</v>
      </c>
      <c r="B7431">
        <v>552049000</v>
      </c>
      <c r="C7431">
        <v>552049000</v>
      </c>
    </row>
    <row r="7432" spans="1:3">
      <c r="A7432">
        <v>7431</v>
      </c>
      <c r="B7432">
        <v>552197610</v>
      </c>
      <c r="C7432">
        <v>552197610</v>
      </c>
    </row>
    <row r="7433" spans="1:3">
      <c r="A7433">
        <v>7432</v>
      </c>
      <c r="B7433">
        <v>552346240</v>
      </c>
      <c r="C7433">
        <v>552346240</v>
      </c>
    </row>
    <row r="7434" spans="1:3">
      <c r="A7434">
        <v>7433</v>
      </c>
      <c r="B7434">
        <v>552494890</v>
      </c>
      <c r="C7434">
        <v>552494890</v>
      </c>
    </row>
    <row r="7435" spans="1:3">
      <c r="A7435">
        <v>7434</v>
      </c>
      <c r="B7435">
        <v>552643560</v>
      </c>
      <c r="C7435">
        <v>552643560</v>
      </c>
    </row>
    <row r="7436" spans="1:3">
      <c r="A7436">
        <v>7435</v>
      </c>
      <c r="B7436">
        <v>552792250</v>
      </c>
      <c r="C7436">
        <v>552792250</v>
      </c>
    </row>
    <row r="7437" spans="1:3">
      <c r="A7437">
        <v>7436</v>
      </c>
      <c r="B7437">
        <v>552940960</v>
      </c>
      <c r="C7437">
        <v>552940960</v>
      </c>
    </row>
    <row r="7438" spans="1:3">
      <c r="A7438">
        <v>7437</v>
      </c>
      <c r="B7438">
        <v>553089690</v>
      </c>
      <c r="C7438">
        <v>553089690</v>
      </c>
    </row>
    <row r="7439" spans="1:3">
      <c r="A7439">
        <v>7438</v>
      </c>
      <c r="B7439">
        <v>553238440</v>
      </c>
      <c r="C7439">
        <v>553238440</v>
      </c>
    </row>
    <row r="7440" spans="1:3">
      <c r="A7440">
        <v>7439</v>
      </c>
      <c r="B7440">
        <v>553387210</v>
      </c>
      <c r="C7440">
        <v>553387210</v>
      </c>
    </row>
    <row r="7441" spans="1:3">
      <c r="A7441">
        <v>7440</v>
      </c>
      <c r="B7441">
        <v>553536000</v>
      </c>
      <c r="C7441">
        <v>553536000</v>
      </c>
    </row>
    <row r="7442" spans="1:3">
      <c r="A7442">
        <v>7441</v>
      </c>
      <c r="B7442">
        <v>553684810</v>
      </c>
      <c r="C7442">
        <v>553684810</v>
      </c>
    </row>
    <row r="7443" spans="1:3">
      <c r="A7443">
        <v>7442</v>
      </c>
      <c r="B7443">
        <v>553833640</v>
      </c>
      <c r="C7443">
        <v>553833640</v>
      </c>
    </row>
    <row r="7444" spans="1:3">
      <c r="A7444">
        <v>7443</v>
      </c>
      <c r="B7444">
        <v>553982490</v>
      </c>
      <c r="C7444">
        <v>553982490</v>
      </c>
    </row>
    <row r="7445" spans="1:3">
      <c r="A7445">
        <v>7444</v>
      </c>
      <c r="B7445">
        <v>554131360</v>
      </c>
      <c r="C7445">
        <v>554131360</v>
      </c>
    </row>
    <row r="7446" spans="1:3">
      <c r="A7446">
        <v>7445</v>
      </c>
      <c r="B7446">
        <v>554280250</v>
      </c>
      <c r="C7446">
        <v>554280250</v>
      </c>
    </row>
    <row r="7447" spans="1:3">
      <c r="A7447">
        <v>7446</v>
      </c>
      <c r="B7447">
        <v>554429160</v>
      </c>
      <c r="C7447">
        <v>554429160</v>
      </c>
    </row>
    <row r="7448" spans="1:3">
      <c r="A7448">
        <v>7447</v>
      </c>
      <c r="B7448">
        <v>554578090</v>
      </c>
      <c r="C7448">
        <v>554578090</v>
      </c>
    </row>
    <row r="7449" spans="1:3">
      <c r="A7449">
        <v>7448</v>
      </c>
      <c r="B7449">
        <v>554727040</v>
      </c>
      <c r="C7449">
        <v>554727040</v>
      </c>
    </row>
    <row r="7450" spans="1:3">
      <c r="A7450">
        <v>7449</v>
      </c>
      <c r="B7450">
        <v>554876010</v>
      </c>
      <c r="C7450">
        <v>554876010</v>
      </c>
    </row>
    <row r="7451" spans="1:3">
      <c r="A7451">
        <v>7450</v>
      </c>
      <c r="B7451">
        <v>555025000</v>
      </c>
      <c r="C7451">
        <v>555025000</v>
      </c>
    </row>
    <row r="7452" spans="1:3">
      <c r="A7452">
        <v>7451</v>
      </c>
      <c r="B7452">
        <v>555174010</v>
      </c>
      <c r="C7452">
        <v>555174010</v>
      </c>
    </row>
    <row r="7453" spans="1:3">
      <c r="A7453">
        <v>7452</v>
      </c>
      <c r="B7453">
        <v>555323040</v>
      </c>
      <c r="C7453">
        <v>555323040</v>
      </c>
    </row>
    <row r="7454" spans="1:3">
      <c r="A7454">
        <v>7453</v>
      </c>
      <c r="B7454">
        <v>555472090</v>
      </c>
      <c r="C7454">
        <v>555472090</v>
      </c>
    </row>
    <row r="7455" spans="1:3">
      <c r="A7455">
        <v>7454</v>
      </c>
      <c r="B7455">
        <v>555621160</v>
      </c>
      <c r="C7455">
        <v>555621160</v>
      </c>
    </row>
    <row r="7456" spans="1:3">
      <c r="A7456">
        <v>7455</v>
      </c>
      <c r="B7456">
        <v>555770250</v>
      </c>
      <c r="C7456">
        <v>555770250</v>
      </c>
    </row>
    <row r="7457" spans="1:3">
      <c r="A7457">
        <v>7456</v>
      </c>
      <c r="B7457">
        <v>555919360</v>
      </c>
      <c r="C7457">
        <v>555919360</v>
      </c>
    </row>
    <row r="7458" spans="1:3">
      <c r="A7458">
        <v>7457</v>
      </c>
      <c r="B7458">
        <v>556068490</v>
      </c>
      <c r="C7458">
        <v>556068490</v>
      </c>
    </row>
    <row r="7459" spans="1:3">
      <c r="A7459">
        <v>7458</v>
      </c>
      <c r="B7459">
        <v>556217640</v>
      </c>
      <c r="C7459">
        <v>556217640</v>
      </c>
    </row>
    <row r="7460" spans="1:3">
      <c r="A7460">
        <v>7459</v>
      </c>
      <c r="B7460">
        <v>556366810</v>
      </c>
      <c r="C7460">
        <v>556366810</v>
      </c>
    </row>
    <row r="7461" spans="1:3">
      <c r="A7461">
        <v>7460</v>
      </c>
      <c r="B7461">
        <v>556516000</v>
      </c>
      <c r="C7461">
        <v>556516000</v>
      </c>
    </row>
    <row r="7462" spans="1:3">
      <c r="A7462">
        <v>7461</v>
      </c>
      <c r="B7462">
        <v>556665210</v>
      </c>
      <c r="C7462">
        <v>556665210</v>
      </c>
    </row>
    <row r="7463" spans="1:3">
      <c r="A7463">
        <v>7462</v>
      </c>
      <c r="B7463">
        <v>556814440</v>
      </c>
      <c r="C7463">
        <v>556814440</v>
      </c>
    </row>
    <row r="7464" spans="1:3">
      <c r="A7464">
        <v>7463</v>
      </c>
      <c r="B7464">
        <v>556963690</v>
      </c>
      <c r="C7464">
        <v>556963690</v>
      </c>
    </row>
    <row r="7465" spans="1:3">
      <c r="A7465">
        <v>7464</v>
      </c>
      <c r="B7465">
        <v>557112960</v>
      </c>
      <c r="C7465">
        <v>557112960</v>
      </c>
    </row>
    <row r="7466" spans="1:3">
      <c r="A7466">
        <v>7465</v>
      </c>
      <c r="B7466">
        <v>557262250</v>
      </c>
      <c r="C7466">
        <v>557262250</v>
      </c>
    </row>
    <row r="7467" spans="1:3">
      <c r="A7467">
        <v>7466</v>
      </c>
      <c r="B7467">
        <v>557411560</v>
      </c>
      <c r="C7467">
        <v>557411560</v>
      </c>
    </row>
    <row r="7468" spans="1:3">
      <c r="A7468">
        <v>7467</v>
      </c>
      <c r="B7468">
        <v>557560890</v>
      </c>
      <c r="C7468">
        <v>557560890</v>
      </c>
    </row>
    <row r="7469" spans="1:3">
      <c r="A7469">
        <v>7468</v>
      </c>
      <c r="B7469">
        <v>557710240</v>
      </c>
      <c r="C7469">
        <v>557710240</v>
      </c>
    </row>
    <row r="7470" spans="1:3">
      <c r="A7470">
        <v>7469</v>
      </c>
      <c r="B7470">
        <v>557859610</v>
      </c>
      <c r="C7470">
        <v>557859610</v>
      </c>
    </row>
    <row r="7471" spans="1:3">
      <c r="A7471">
        <v>7470</v>
      </c>
      <c r="B7471">
        <v>558009000</v>
      </c>
      <c r="C7471">
        <v>558009000</v>
      </c>
    </row>
    <row r="7472" spans="1:3">
      <c r="A7472">
        <v>7471</v>
      </c>
      <c r="B7472">
        <v>558158410</v>
      </c>
      <c r="C7472">
        <v>558158410</v>
      </c>
    </row>
    <row r="7473" spans="1:3">
      <c r="A7473">
        <v>7472</v>
      </c>
      <c r="B7473">
        <v>558307840</v>
      </c>
      <c r="C7473">
        <v>558307840</v>
      </c>
    </row>
    <row r="7474" spans="1:3">
      <c r="A7474">
        <v>7473</v>
      </c>
      <c r="B7474">
        <v>558457290</v>
      </c>
      <c r="C7474">
        <v>558457290</v>
      </c>
    </row>
    <row r="7475" spans="1:3">
      <c r="A7475">
        <v>7474</v>
      </c>
      <c r="B7475">
        <v>558606760</v>
      </c>
      <c r="C7475">
        <v>558606760</v>
      </c>
    </row>
    <row r="7476" spans="1:3">
      <c r="A7476">
        <v>7475</v>
      </c>
      <c r="B7476">
        <v>558756250</v>
      </c>
      <c r="C7476">
        <v>558756250</v>
      </c>
    </row>
    <row r="7477" spans="1:3">
      <c r="A7477">
        <v>7476</v>
      </c>
      <c r="B7477">
        <v>558905760</v>
      </c>
      <c r="C7477">
        <v>558905760</v>
      </c>
    </row>
    <row r="7478" spans="1:3">
      <c r="A7478">
        <v>7477</v>
      </c>
      <c r="B7478">
        <v>559055290</v>
      </c>
      <c r="C7478">
        <v>559055290</v>
      </c>
    </row>
    <row r="7479" spans="1:3">
      <c r="A7479">
        <v>7478</v>
      </c>
      <c r="B7479">
        <v>559204840</v>
      </c>
      <c r="C7479">
        <v>559204840</v>
      </c>
    </row>
    <row r="7480" spans="1:3">
      <c r="A7480">
        <v>7479</v>
      </c>
      <c r="B7480">
        <v>559354410</v>
      </c>
      <c r="C7480">
        <v>559354410</v>
      </c>
    </row>
    <row r="7481" spans="1:3">
      <c r="A7481">
        <v>7480</v>
      </c>
      <c r="B7481">
        <v>559504000</v>
      </c>
      <c r="C7481">
        <v>559504000</v>
      </c>
    </row>
    <row r="7482" spans="1:3">
      <c r="A7482">
        <v>7481</v>
      </c>
      <c r="B7482">
        <v>559653610</v>
      </c>
      <c r="C7482">
        <v>559653610</v>
      </c>
    </row>
    <row r="7483" spans="1:3">
      <c r="A7483">
        <v>7482</v>
      </c>
      <c r="B7483">
        <v>559803240</v>
      </c>
      <c r="C7483">
        <v>559803240</v>
      </c>
    </row>
    <row r="7484" spans="1:3">
      <c r="A7484">
        <v>7483</v>
      </c>
      <c r="B7484">
        <v>559952890</v>
      </c>
      <c r="C7484">
        <v>559952890</v>
      </c>
    </row>
    <row r="7485" spans="1:3">
      <c r="A7485">
        <v>7484</v>
      </c>
      <c r="B7485">
        <v>560102560</v>
      </c>
      <c r="C7485">
        <v>560102560</v>
      </c>
    </row>
    <row r="7486" spans="1:3">
      <c r="A7486">
        <v>7485</v>
      </c>
      <c r="B7486">
        <v>560252250</v>
      </c>
      <c r="C7486">
        <v>560252250</v>
      </c>
    </row>
    <row r="7487" spans="1:3">
      <c r="A7487">
        <v>7486</v>
      </c>
      <c r="B7487">
        <v>560401960</v>
      </c>
      <c r="C7487">
        <v>560401960</v>
      </c>
    </row>
    <row r="7488" spans="1:3">
      <c r="A7488">
        <v>7487</v>
      </c>
      <c r="B7488">
        <v>560551690</v>
      </c>
      <c r="C7488">
        <v>560551690</v>
      </c>
    </row>
    <row r="7489" spans="1:3">
      <c r="A7489">
        <v>7488</v>
      </c>
      <c r="B7489">
        <v>560701440</v>
      </c>
      <c r="C7489">
        <v>560701440</v>
      </c>
    </row>
    <row r="7490" spans="1:3">
      <c r="A7490">
        <v>7489</v>
      </c>
      <c r="B7490">
        <v>560851210</v>
      </c>
      <c r="C7490">
        <v>560851210</v>
      </c>
    </row>
    <row r="7491" spans="1:3">
      <c r="A7491">
        <v>7490</v>
      </c>
      <c r="B7491">
        <v>561001000</v>
      </c>
      <c r="C7491">
        <v>561001000</v>
      </c>
    </row>
    <row r="7492" spans="1:3">
      <c r="A7492">
        <v>7491</v>
      </c>
      <c r="B7492">
        <v>561150810</v>
      </c>
      <c r="C7492">
        <v>561150810</v>
      </c>
    </row>
    <row r="7493" spans="1:3">
      <c r="A7493">
        <v>7492</v>
      </c>
      <c r="B7493">
        <v>561300640</v>
      </c>
      <c r="C7493">
        <v>561300640</v>
      </c>
    </row>
    <row r="7494" spans="1:3">
      <c r="A7494">
        <v>7493</v>
      </c>
      <c r="B7494">
        <v>561450490</v>
      </c>
      <c r="C7494">
        <v>561450490</v>
      </c>
    </row>
    <row r="7495" spans="1:3">
      <c r="A7495">
        <v>7494</v>
      </c>
      <c r="B7495">
        <v>561600360</v>
      </c>
      <c r="C7495">
        <v>561600360</v>
      </c>
    </row>
    <row r="7496" spans="1:3">
      <c r="A7496">
        <v>7495</v>
      </c>
      <c r="B7496">
        <v>561750250</v>
      </c>
      <c r="C7496">
        <v>561750250</v>
      </c>
    </row>
    <row r="7497" spans="1:3">
      <c r="A7497">
        <v>7496</v>
      </c>
      <c r="B7497">
        <v>561900160</v>
      </c>
      <c r="C7497">
        <v>561900160</v>
      </c>
    </row>
    <row r="7498" spans="1:3">
      <c r="A7498">
        <v>7497</v>
      </c>
      <c r="B7498">
        <v>562050090</v>
      </c>
      <c r="C7498">
        <v>562050090</v>
      </c>
    </row>
    <row r="7499" spans="1:3">
      <c r="A7499">
        <v>7498</v>
      </c>
      <c r="B7499">
        <v>562200040</v>
      </c>
      <c r="C7499">
        <v>562200040</v>
      </c>
    </row>
    <row r="7500" spans="1:3">
      <c r="A7500">
        <v>7499</v>
      </c>
      <c r="B7500">
        <v>562350010</v>
      </c>
      <c r="C7500">
        <v>562350010</v>
      </c>
    </row>
    <row r="7501" spans="1:3">
      <c r="A7501">
        <v>7500</v>
      </c>
      <c r="B7501">
        <v>562500000</v>
      </c>
      <c r="C7501">
        <v>562500000</v>
      </c>
    </row>
    <row r="7502" spans="1:3">
      <c r="A7502">
        <v>7501</v>
      </c>
      <c r="B7502">
        <v>562650010</v>
      </c>
      <c r="C7502">
        <v>562650010</v>
      </c>
    </row>
    <row r="7503" spans="1:3">
      <c r="A7503">
        <v>7502</v>
      </c>
      <c r="B7503">
        <v>562800040</v>
      </c>
      <c r="C7503">
        <v>562800040</v>
      </c>
    </row>
    <row r="7504" spans="1:3">
      <c r="A7504">
        <v>7503</v>
      </c>
      <c r="B7504">
        <v>562950090</v>
      </c>
      <c r="C7504">
        <v>562950090</v>
      </c>
    </row>
    <row r="7505" spans="1:3">
      <c r="A7505">
        <v>7504</v>
      </c>
      <c r="B7505">
        <v>563100160</v>
      </c>
      <c r="C7505">
        <v>563100160</v>
      </c>
    </row>
    <row r="7506" spans="1:3">
      <c r="A7506">
        <v>7505</v>
      </c>
      <c r="B7506">
        <v>563250250</v>
      </c>
      <c r="C7506">
        <v>563250250</v>
      </c>
    </row>
    <row r="7507" spans="1:3">
      <c r="A7507">
        <v>7506</v>
      </c>
      <c r="B7507">
        <v>563400360</v>
      </c>
      <c r="C7507">
        <v>563400360</v>
      </c>
    </row>
    <row r="7508" spans="1:3">
      <c r="A7508">
        <v>7507</v>
      </c>
      <c r="B7508">
        <v>563550490</v>
      </c>
      <c r="C7508">
        <v>563550490</v>
      </c>
    </row>
    <row r="7509" spans="1:3">
      <c r="A7509">
        <v>7508</v>
      </c>
      <c r="B7509">
        <v>563700640</v>
      </c>
      <c r="C7509">
        <v>563700640</v>
      </c>
    </row>
    <row r="7510" spans="1:3">
      <c r="A7510">
        <v>7509</v>
      </c>
      <c r="B7510">
        <v>563850810</v>
      </c>
      <c r="C7510">
        <v>563850810</v>
      </c>
    </row>
    <row r="7511" spans="1:3">
      <c r="A7511">
        <v>7510</v>
      </c>
      <c r="B7511">
        <v>564001000</v>
      </c>
      <c r="C7511">
        <v>564001000</v>
      </c>
    </row>
    <row r="7512" spans="1:3">
      <c r="A7512">
        <v>7511</v>
      </c>
      <c r="B7512">
        <v>564151210</v>
      </c>
      <c r="C7512">
        <v>564151210</v>
      </c>
    </row>
    <row r="7513" spans="1:3">
      <c r="A7513">
        <v>7512</v>
      </c>
      <c r="B7513">
        <v>564301440</v>
      </c>
      <c r="C7513">
        <v>564301440</v>
      </c>
    </row>
    <row r="7514" spans="1:3">
      <c r="A7514">
        <v>7513</v>
      </c>
      <c r="B7514">
        <v>564451690</v>
      </c>
      <c r="C7514">
        <v>564451690</v>
      </c>
    </row>
    <row r="7515" spans="1:3">
      <c r="A7515">
        <v>7514</v>
      </c>
      <c r="B7515">
        <v>564601960</v>
      </c>
      <c r="C7515">
        <v>564601960</v>
      </c>
    </row>
    <row r="7516" spans="1:3">
      <c r="A7516">
        <v>7515</v>
      </c>
      <c r="B7516">
        <v>564752250</v>
      </c>
      <c r="C7516">
        <v>564752250</v>
      </c>
    </row>
    <row r="7517" spans="1:3">
      <c r="A7517">
        <v>7516</v>
      </c>
      <c r="B7517">
        <v>564902560</v>
      </c>
      <c r="C7517">
        <v>564902560</v>
      </c>
    </row>
    <row r="7518" spans="1:3">
      <c r="A7518">
        <v>7517</v>
      </c>
      <c r="B7518">
        <v>565052890</v>
      </c>
      <c r="C7518">
        <v>565052890</v>
      </c>
    </row>
    <row r="7519" spans="1:3">
      <c r="A7519">
        <v>7518</v>
      </c>
      <c r="B7519">
        <v>565203240</v>
      </c>
      <c r="C7519">
        <v>565203240</v>
      </c>
    </row>
    <row r="7520" spans="1:3">
      <c r="A7520">
        <v>7519</v>
      </c>
      <c r="B7520">
        <v>565353610</v>
      </c>
      <c r="C7520">
        <v>565353610</v>
      </c>
    </row>
    <row r="7521" spans="1:3">
      <c r="A7521">
        <v>7520</v>
      </c>
      <c r="B7521">
        <v>565504000</v>
      </c>
      <c r="C7521">
        <v>565504000</v>
      </c>
    </row>
    <row r="7522" spans="1:3">
      <c r="A7522">
        <v>7521</v>
      </c>
      <c r="B7522">
        <v>565654410</v>
      </c>
      <c r="C7522">
        <v>565654410</v>
      </c>
    </row>
    <row r="7523" spans="1:3">
      <c r="A7523">
        <v>7522</v>
      </c>
      <c r="B7523">
        <v>565804840</v>
      </c>
      <c r="C7523">
        <v>565804840</v>
      </c>
    </row>
    <row r="7524" spans="1:3">
      <c r="A7524">
        <v>7523</v>
      </c>
      <c r="B7524">
        <v>565955290</v>
      </c>
      <c r="C7524">
        <v>565955290</v>
      </c>
    </row>
    <row r="7525" spans="1:3">
      <c r="A7525">
        <v>7524</v>
      </c>
      <c r="B7525">
        <v>566105760</v>
      </c>
      <c r="C7525">
        <v>566105760</v>
      </c>
    </row>
    <row r="7526" spans="1:3">
      <c r="A7526">
        <v>7525</v>
      </c>
      <c r="B7526">
        <v>566256250</v>
      </c>
      <c r="C7526">
        <v>566256250</v>
      </c>
    </row>
    <row r="7527" spans="1:3">
      <c r="A7527">
        <v>7526</v>
      </c>
      <c r="B7527">
        <v>566406760</v>
      </c>
      <c r="C7527">
        <v>566406760</v>
      </c>
    </row>
    <row r="7528" spans="1:3">
      <c r="A7528">
        <v>7527</v>
      </c>
      <c r="B7528">
        <v>566557290</v>
      </c>
      <c r="C7528">
        <v>566557290</v>
      </c>
    </row>
    <row r="7529" spans="1:3">
      <c r="A7529">
        <v>7528</v>
      </c>
      <c r="B7529">
        <v>566707840</v>
      </c>
      <c r="C7529">
        <v>566707840</v>
      </c>
    </row>
    <row r="7530" spans="1:3">
      <c r="A7530">
        <v>7529</v>
      </c>
      <c r="B7530">
        <v>566858410</v>
      </c>
      <c r="C7530">
        <v>566858410</v>
      </c>
    </row>
    <row r="7531" spans="1:3">
      <c r="A7531">
        <v>7530</v>
      </c>
      <c r="B7531">
        <v>567009000</v>
      </c>
      <c r="C7531">
        <v>567009000</v>
      </c>
    </row>
    <row r="7532" spans="1:3">
      <c r="A7532">
        <v>7531</v>
      </c>
      <c r="B7532">
        <v>567159610</v>
      </c>
      <c r="C7532">
        <v>567159610</v>
      </c>
    </row>
    <row r="7533" spans="1:3">
      <c r="A7533">
        <v>7532</v>
      </c>
      <c r="B7533">
        <v>567310240</v>
      </c>
      <c r="C7533">
        <v>567310240</v>
      </c>
    </row>
    <row r="7534" spans="1:3">
      <c r="A7534">
        <v>7533</v>
      </c>
      <c r="B7534">
        <v>567460890</v>
      </c>
      <c r="C7534">
        <v>567460890</v>
      </c>
    </row>
    <row r="7535" spans="1:3">
      <c r="A7535">
        <v>7534</v>
      </c>
      <c r="B7535">
        <v>567611560</v>
      </c>
      <c r="C7535">
        <v>567611560</v>
      </c>
    </row>
    <row r="7536" spans="1:3">
      <c r="A7536">
        <v>7535</v>
      </c>
      <c r="B7536">
        <v>567762250</v>
      </c>
      <c r="C7536">
        <v>567762250</v>
      </c>
    </row>
    <row r="7537" spans="1:3">
      <c r="A7537">
        <v>7536</v>
      </c>
      <c r="B7537">
        <v>567912960</v>
      </c>
      <c r="C7537">
        <v>567912960</v>
      </c>
    </row>
    <row r="7538" spans="1:3">
      <c r="A7538">
        <v>7537</v>
      </c>
      <c r="B7538">
        <v>568063690</v>
      </c>
      <c r="C7538">
        <v>568063690</v>
      </c>
    </row>
    <row r="7539" spans="1:3">
      <c r="A7539">
        <v>7538</v>
      </c>
      <c r="B7539">
        <v>568214440</v>
      </c>
      <c r="C7539">
        <v>568214440</v>
      </c>
    </row>
    <row r="7540" spans="1:3">
      <c r="A7540">
        <v>7539</v>
      </c>
      <c r="B7540">
        <v>568365210</v>
      </c>
      <c r="C7540">
        <v>568365210</v>
      </c>
    </row>
    <row r="7541" spans="1:3">
      <c r="A7541">
        <v>7540</v>
      </c>
      <c r="B7541">
        <v>568516000</v>
      </c>
      <c r="C7541">
        <v>568516000</v>
      </c>
    </row>
    <row r="7542" spans="1:3">
      <c r="A7542">
        <v>7541</v>
      </c>
      <c r="B7542">
        <v>568666810</v>
      </c>
      <c r="C7542">
        <v>568666810</v>
      </c>
    </row>
    <row r="7543" spans="1:3">
      <c r="A7543">
        <v>7542</v>
      </c>
      <c r="B7543">
        <v>568817640</v>
      </c>
      <c r="C7543">
        <v>568817640</v>
      </c>
    </row>
    <row r="7544" spans="1:3">
      <c r="A7544">
        <v>7543</v>
      </c>
      <c r="B7544">
        <v>568968490</v>
      </c>
      <c r="C7544">
        <v>568968490</v>
      </c>
    </row>
    <row r="7545" spans="1:3">
      <c r="A7545">
        <v>7544</v>
      </c>
      <c r="B7545">
        <v>569119360</v>
      </c>
      <c r="C7545">
        <v>569119360</v>
      </c>
    </row>
    <row r="7546" spans="1:3">
      <c r="A7546">
        <v>7545</v>
      </c>
      <c r="B7546">
        <v>569270250</v>
      </c>
      <c r="C7546">
        <v>569270250</v>
      </c>
    </row>
    <row r="7547" spans="1:3">
      <c r="A7547">
        <v>7546</v>
      </c>
      <c r="B7547">
        <v>569421160</v>
      </c>
      <c r="C7547">
        <v>569421160</v>
      </c>
    </row>
    <row r="7548" spans="1:3">
      <c r="A7548">
        <v>7547</v>
      </c>
      <c r="B7548">
        <v>569572090</v>
      </c>
      <c r="C7548">
        <v>569572090</v>
      </c>
    </row>
    <row r="7549" spans="1:3">
      <c r="A7549">
        <v>7548</v>
      </c>
      <c r="B7549">
        <v>569723040</v>
      </c>
      <c r="C7549">
        <v>569723040</v>
      </c>
    </row>
    <row r="7550" spans="1:3">
      <c r="A7550">
        <v>7549</v>
      </c>
      <c r="B7550">
        <v>569874010</v>
      </c>
      <c r="C7550">
        <v>569874010</v>
      </c>
    </row>
    <row r="7551" spans="1:3">
      <c r="A7551">
        <v>7550</v>
      </c>
      <c r="B7551">
        <v>570025000</v>
      </c>
      <c r="C7551">
        <v>570025000</v>
      </c>
    </row>
    <row r="7552" spans="1:3">
      <c r="A7552">
        <v>7551</v>
      </c>
      <c r="B7552">
        <v>570176010</v>
      </c>
      <c r="C7552">
        <v>570176010</v>
      </c>
    </row>
    <row r="7553" spans="1:3">
      <c r="A7553">
        <v>7552</v>
      </c>
      <c r="B7553">
        <v>570327040</v>
      </c>
      <c r="C7553">
        <v>570327040</v>
      </c>
    </row>
    <row r="7554" spans="1:3">
      <c r="A7554">
        <v>7553</v>
      </c>
      <c r="B7554">
        <v>570478090</v>
      </c>
      <c r="C7554">
        <v>570478090</v>
      </c>
    </row>
    <row r="7555" spans="1:3">
      <c r="A7555">
        <v>7554</v>
      </c>
      <c r="B7555">
        <v>570629160</v>
      </c>
      <c r="C7555">
        <v>570629160</v>
      </c>
    </row>
    <row r="7556" spans="1:3">
      <c r="A7556">
        <v>7555</v>
      </c>
      <c r="B7556">
        <v>570780250</v>
      </c>
      <c r="C7556">
        <v>570780250</v>
      </c>
    </row>
    <row r="7557" spans="1:3">
      <c r="A7557">
        <v>7556</v>
      </c>
      <c r="B7557">
        <v>570931360</v>
      </c>
      <c r="C7557">
        <v>570931360</v>
      </c>
    </row>
    <row r="7558" spans="1:3">
      <c r="A7558">
        <v>7557</v>
      </c>
      <c r="B7558">
        <v>571082490</v>
      </c>
      <c r="C7558">
        <v>571082490</v>
      </c>
    </row>
    <row r="7559" spans="1:3">
      <c r="A7559">
        <v>7558</v>
      </c>
      <c r="B7559">
        <v>571233640</v>
      </c>
      <c r="C7559">
        <v>571233640</v>
      </c>
    </row>
    <row r="7560" spans="1:3">
      <c r="A7560">
        <v>7559</v>
      </c>
      <c r="B7560">
        <v>571384810</v>
      </c>
      <c r="C7560">
        <v>571384810</v>
      </c>
    </row>
    <row r="7561" spans="1:3">
      <c r="A7561">
        <v>7560</v>
      </c>
      <c r="B7561">
        <v>571536000</v>
      </c>
      <c r="C7561">
        <v>571536000</v>
      </c>
    </row>
    <row r="7562" spans="1:3">
      <c r="A7562">
        <v>7561</v>
      </c>
      <c r="B7562">
        <v>571687210</v>
      </c>
      <c r="C7562">
        <v>571687210</v>
      </c>
    </row>
    <row r="7563" spans="1:3">
      <c r="A7563">
        <v>7562</v>
      </c>
      <c r="B7563">
        <v>571838440</v>
      </c>
      <c r="C7563">
        <v>571838440</v>
      </c>
    </row>
    <row r="7564" spans="1:3">
      <c r="A7564">
        <v>7563</v>
      </c>
      <c r="B7564">
        <v>571989690</v>
      </c>
      <c r="C7564">
        <v>571989690</v>
      </c>
    </row>
    <row r="7565" spans="1:3">
      <c r="A7565">
        <v>7564</v>
      </c>
      <c r="B7565">
        <v>572140960</v>
      </c>
      <c r="C7565">
        <v>572140960</v>
      </c>
    </row>
    <row r="7566" spans="1:3">
      <c r="A7566">
        <v>7565</v>
      </c>
      <c r="B7566">
        <v>572292250</v>
      </c>
      <c r="C7566">
        <v>572292250</v>
      </c>
    </row>
    <row r="7567" spans="1:3">
      <c r="A7567">
        <v>7566</v>
      </c>
      <c r="B7567">
        <v>572443560</v>
      </c>
      <c r="C7567">
        <v>572443560</v>
      </c>
    </row>
    <row r="7568" spans="1:3">
      <c r="A7568">
        <v>7567</v>
      </c>
      <c r="B7568">
        <v>572594890</v>
      </c>
      <c r="C7568">
        <v>572594890</v>
      </c>
    </row>
    <row r="7569" spans="1:3">
      <c r="A7569">
        <v>7568</v>
      </c>
      <c r="B7569">
        <v>572746240</v>
      </c>
      <c r="C7569">
        <v>572746240</v>
      </c>
    </row>
    <row r="7570" spans="1:3">
      <c r="A7570">
        <v>7569</v>
      </c>
      <c r="B7570">
        <v>572897610</v>
      </c>
      <c r="C7570">
        <v>572897610</v>
      </c>
    </row>
    <row r="7571" spans="1:3">
      <c r="A7571">
        <v>7570</v>
      </c>
      <c r="B7571">
        <v>573049000</v>
      </c>
      <c r="C7571">
        <v>573049000</v>
      </c>
    </row>
    <row r="7572" spans="1:3">
      <c r="A7572">
        <v>7571</v>
      </c>
      <c r="B7572">
        <v>573200410</v>
      </c>
      <c r="C7572">
        <v>573200410</v>
      </c>
    </row>
    <row r="7573" spans="1:3">
      <c r="A7573">
        <v>7572</v>
      </c>
      <c r="B7573">
        <v>573351840</v>
      </c>
      <c r="C7573">
        <v>573351840</v>
      </c>
    </row>
    <row r="7574" spans="1:3">
      <c r="A7574">
        <v>7573</v>
      </c>
      <c r="B7574">
        <v>573503290</v>
      </c>
      <c r="C7574">
        <v>573503290</v>
      </c>
    </row>
    <row r="7575" spans="1:3">
      <c r="A7575">
        <v>7574</v>
      </c>
      <c r="B7575">
        <v>573654760</v>
      </c>
      <c r="C7575">
        <v>573654760</v>
      </c>
    </row>
    <row r="7576" spans="1:3">
      <c r="A7576">
        <v>7575</v>
      </c>
      <c r="B7576">
        <v>573806250</v>
      </c>
      <c r="C7576">
        <v>573806250</v>
      </c>
    </row>
    <row r="7577" spans="1:3">
      <c r="A7577">
        <v>7576</v>
      </c>
      <c r="B7577">
        <v>573957760</v>
      </c>
      <c r="C7577">
        <v>573957760</v>
      </c>
    </row>
    <row r="7578" spans="1:3">
      <c r="A7578">
        <v>7577</v>
      </c>
      <c r="B7578">
        <v>574109290</v>
      </c>
      <c r="C7578">
        <v>574109290</v>
      </c>
    </row>
    <row r="7579" spans="1:3">
      <c r="A7579">
        <v>7578</v>
      </c>
      <c r="B7579">
        <v>574260840</v>
      </c>
      <c r="C7579">
        <v>574260840</v>
      </c>
    </row>
    <row r="7580" spans="1:3">
      <c r="A7580">
        <v>7579</v>
      </c>
      <c r="B7580">
        <v>574412410</v>
      </c>
      <c r="C7580">
        <v>574412410</v>
      </c>
    </row>
    <row r="7581" spans="1:3">
      <c r="A7581">
        <v>7580</v>
      </c>
      <c r="B7581">
        <v>574564000</v>
      </c>
      <c r="C7581">
        <v>574564000</v>
      </c>
    </row>
    <row r="7582" spans="1:3">
      <c r="A7582">
        <v>7581</v>
      </c>
      <c r="B7582">
        <v>574715610</v>
      </c>
      <c r="C7582">
        <v>574715610</v>
      </c>
    </row>
    <row r="7583" spans="1:3">
      <c r="A7583">
        <v>7582</v>
      </c>
      <c r="B7583">
        <v>574867240</v>
      </c>
      <c r="C7583">
        <v>574867240</v>
      </c>
    </row>
    <row r="7584" spans="1:3">
      <c r="A7584">
        <v>7583</v>
      </c>
      <c r="B7584">
        <v>575018890</v>
      </c>
      <c r="C7584">
        <v>575018890</v>
      </c>
    </row>
    <row r="7585" spans="1:3">
      <c r="A7585">
        <v>7584</v>
      </c>
      <c r="B7585">
        <v>575170560</v>
      </c>
      <c r="C7585">
        <v>575170560</v>
      </c>
    </row>
    <row r="7586" spans="1:3">
      <c r="A7586">
        <v>7585</v>
      </c>
      <c r="B7586">
        <v>575322250</v>
      </c>
      <c r="C7586">
        <v>575322250</v>
      </c>
    </row>
    <row r="7587" spans="1:3">
      <c r="A7587">
        <v>7586</v>
      </c>
      <c r="B7587">
        <v>575473960</v>
      </c>
      <c r="C7587">
        <v>575473960</v>
      </c>
    </row>
    <row r="7588" spans="1:3">
      <c r="A7588">
        <v>7587</v>
      </c>
      <c r="B7588">
        <v>575625690</v>
      </c>
      <c r="C7588">
        <v>575625690</v>
      </c>
    </row>
    <row r="7589" spans="1:3">
      <c r="A7589">
        <v>7588</v>
      </c>
      <c r="B7589">
        <v>575777440</v>
      </c>
      <c r="C7589">
        <v>575777440</v>
      </c>
    </row>
    <row r="7590" spans="1:3">
      <c r="A7590">
        <v>7589</v>
      </c>
      <c r="B7590">
        <v>575929210</v>
      </c>
      <c r="C7590">
        <v>575929210</v>
      </c>
    </row>
    <row r="7591" spans="1:3">
      <c r="A7591">
        <v>7590</v>
      </c>
      <c r="B7591">
        <v>576081000</v>
      </c>
      <c r="C7591">
        <v>576081000</v>
      </c>
    </row>
    <row r="7592" spans="1:3">
      <c r="A7592">
        <v>7591</v>
      </c>
      <c r="B7592">
        <v>576232810</v>
      </c>
      <c r="C7592">
        <v>576232810</v>
      </c>
    </row>
    <row r="7593" spans="1:3">
      <c r="A7593">
        <v>7592</v>
      </c>
      <c r="B7593">
        <v>576384640</v>
      </c>
      <c r="C7593">
        <v>576384640</v>
      </c>
    </row>
    <row r="7594" spans="1:3">
      <c r="A7594">
        <v>7593</v>
      </c>
      <c r="B7594">
        <v>576536490</v>
      </c>
      <c r="C7594">
        <v>576536490</v>
      </c>
    </row>
    <row r="7595" spans="1:3">
      <c r="A7595">
        <v>7594</v>
      </c>
      <c r="B7595">
        <v>576688360</v>
      </c>
      <c r="C7595">
        <v>576688360</v>
      </c>
    </row>
    <row r="7596" spans="1:3">
      <c r="A7596">
        <v>7595</v>
      </c>
      <c r="B7596">
        <v>576840250</v>
      </c>
      <c r="C7596">
        <v>576840250</v>
      </c>
    </row>
    <row r="7597" spans="1:3">
      <c r="A7597">
        <v>7596</v>
      </c>
      <c r="B7597">
        <v>576992160</v>
      </c>
      <c r="C7597">
        <v>576992160</v>
      </c>
    </row>
    <row r="7598" spans="1:3">
      <c r="A7598">
        <v>7597</v>
      </c>
      <c r="B7598">
        <v>577144090</v>
      </c>
      <c r="C7598">
        <v>577144090</v>
      </c>
    </row>
    <row r="7599" spans="1:3">
      <c r="A7599">
        <v>7598</v>
      </c>
      <c r="B7599">
        <v>577296040</v>
      </c>
      <c r="C7599">
        <v>577296040</v>
      </c>
    </row>
    <row r="7600" spans="1:3">
      <c r="A7600">
        <v>7599</v>
      </c>
      <c r="B7600">
        <v>577448010</v>
      </c>
      <c r="C7600">
        <v>577448010</v>
      </c>
    </row>
    <row r="7601" spans="1:3">
      <c r="A7601">
        <v>7600</v>
      </c>
      <c r="B7601">
        <v>577600000</v>
      </c>
      <c r="C7601">
        <v>577600000</v>
      </c>
    </row>
    <row r="7602" spans="1:3">
      <c r="A7602">
        <v>7601</v>
      </c>
      <c r="B7602">
        <v>577752010</v>
      </c>
      <c r="C7602">
        <v>577752010</v>
      </c>
    </row>
    <row r="7603" spans="1:3">
      <c r="A7603">
        <v>7602</v>
      </c>
      <c r="B7603">
        <v>577904040</v>
      </c>
      <c r="C7603">
        <v>577904040</v>
      </c>
    </row>
    <row r="7604" spans="1:3">
      <c r="A7604">
        <v>7603</v>
      </c>
      <c r="B7604">
        <v>578056090</v>
      </c>
      <c r="C7604">
        <v>578056090</v>
      </c>
    </row>
    <row r="7605" spans="1:3">
      <c r="A7605">
        <v>7604</v>
      </c>
      <c r="B7605">
        <v>578208160</v>
      </c>
      <c r="C7605">
        <v>578208160</v>
      </c>
    </row>
    <row r="7606" spans="1:3">
      <c r="A7606">
        <v>7605</v>
      </c>
      <c r="B7606">
        <v>578360250</v>
      </c>
      <c r="C7606">
        <v>578360250</v>
      </c>
    </row>
    <row r="7607" spans="1:3">
      <c r="A7607">
        <v>7606</v>
      </c>
      <c r="B7607">
        <v>578512360</v>
      </c>
      <c r="C7607">
        <v>578512360</v>
      </c>
    </row>
    <row r="7608" spans="1:3">
      <c r="A7608">
        <v>7607</v>
      </c>
      <c r="B7608">
        <v>578664490</v>
      </c>
      <c r="C7608">
        <v>578664490</v>
      </c>
    </row>
    <row r="7609" spans="1:3">
      <c r="A7609">
        <v>7608</v>
      </c>
      <c r="B7609">
        <v>578816640</v>
      </c>
      <c r="C7609">
        <v>578816640</v>
      </c>
    </row>
    <row r="7610" spans="1:3">
      <c r="A7610">
        <v>7609</v>
      </c>
      <c r="B7610">
        <v>578968810</v>
      </c>
      <c r="C7610">
        <v>578968810</v>
      </c>
    </row>
    <row r="7611" spans="1:3">
      <c r="A7611">
        <v>7610</v>
      </c>
      <c r="B7611">
        <v>579121000</v>
      </c>
      <c r="C7611">
        <v>579121000</v>
      </c>
    </row>
    <row r="7612" spans="1:3">
      <c r="A7612">
        <v>7611</v>
      </c>
      <c r="B7612">
        <v>579273210</v>
      </c>
      <c r="C7612">
        <v>579273210</v>
      </c>
    </row>
    <row r="7613" spans="1:3">
      <c r="A7613">
        <v>7612</v>
      </c>
      <c r="B7613">
        <v>579425440</v>
      </c>
      <c r="C7613">
        <v>579425440</v>
      </c>
    </row>
    <row r="7614" spans="1:3">
      <c r="A7614">
        <v>7613</v>
      </c>
      <c r="B7614">
        <v>579577690</v>
      </c>
      <c r="C7614">
        <v>579577690</v>
      </c>
    </row>
    <row r="7615" spans="1:3">
      <c r="A7615">
        <v>7614</v>
      </c>
      <c r="B7615">
        <v>579729960</v>
      </c>
      <c r="C7615">
        <v>579729960</v>
      </c>
    </row>
    <row r="7616" spans="1:3">
      <c r="A7616">
        <v>7615</v>
      </c>
      <c r="B7616">
        <v>579882250</v>
      </c>
      <c r="C7616">
        <v>579882250</v>
      </c>
    </row>
    <row r="7617" spans="1:3">
      <c r="A7617">
        <v>7616</v>
      </c>
      <c r="B7617">
        <v>580034560</v>
      </c>
      <c r="C7617">
        <v>580034560</v>
      </c>
    </row>
    <row r="7618" spans="1:3">
      <c r="A7618">
        <v>7617</v>
      </c>
      <c r="B7618">
        <v>580186890</v>
      </c>
      <c r="C7618">
        <v>580186890</v>
      </c>
    </row>
    <row r="7619" spans="1:3">
      <c r="A7619">
        <v>7618</v>
      </c>
      <c r="B7619">
        <v>580339240</v>
      </c>
      <c r="C7619">
        <v>580339240</v>
      </c>
    </row>
    <row r="7620" spans="1:3">
      <c r="A7620">
        <v>7619</v>
      </c>
      <c r="B7620">
        <v>580491610</v>
      </c>
      <c r="C7620">
        <v>580491610</v>
      </c>
    </row>
    <row r="7621" spans="1:3">
      <c r="A7621">
        <v>7620</v>
      </c>
      <c r="B7621">
        <v>580644000</v>
      </c>
      <c r="C7621">
        <v>580644000</v>
      </c>
    </row>
    <row r="7622" spans="1:3">
      <c r="A7622">
        <v>7621</v>
      </c>
      <c r="B7622">
        <v>580796410</v>
      </c>
      <c r="C7622">
        <v>580796410</v>
      </c>
    </row>
    <row r="7623" spans="1:3">
      <c r="A7623">
        <v>7622</v>
      </c>
      <c r="B7623">
        <v>580948840</v>
      </c>
      <c r="C7623">
        <v>580948840</v>
      </c>
    </row>
    <row r="7624" spans="1:3">
      <c r="A7624">
        <v>7623</v>
      </c>
      <c r="B7624">
        <v>581101290</v>
      </c>
      <c r="C7624">
        <v>581101290</v>
      </c>
    </row>
    <row r="7625" spans="1:3">
      <c r="A7625">
        <v>7624</v>
      </c>
      <c r="B7625">
        <v>581253760</v>
      </c>
      <c r="C7625">
        <v>581253760</v>
      </c>
    </row>
    <row r="7626" spans="1:3">
      <c r="A7626">
        <v>7625</v>
      </c>
      <c r="B7626">
        <v>581406250</v>
      </c>
      <c r="C7626">
        <v>581406250</v>
      </c>
    </row>
    <row r="7627" spans="1:3">
      <c r="A7627">
        <v>7626</v>
      </c>
      <c r="B7627">
        <v>581558760</v>
      </c>
      <c r="C7627">
        <v>581558760</v>
      </c>
    </row>
    <row r="7628" spans="1:3">
      <c r="A7628">
        <v>7627</v>
      </c>
      <c r="B7628">
        <v>581711290</v>
      </c>
      <c r="C7628">
        <v>581711290</v>
      </c>
    </row>
    <row r="7629" spans="1:3">
      <c r="A7629">
        <v>7628</v>
      </c>
      <c r="B7629">
        <v>581863840</v>
      </c>
      <c r="C7629">
        <v>581863840</v>
      </c>
    </row>
    <row r="7630" spans="1:3">
      <c r="A7630">
        <v>7629</v>
      </c>
      <c r="B7630">
        <v>582016410</v>
      </c>
      <c r="C7630">
        <v>582016410</v>
      </c>
    </row>
    <row r="7631" spans="1:3">
      <c r="A7631">
        <v>7630</v>
      </c>
      <c r="B7631">
        <v>582169000</v>
      </c>
      <c r="C7631">
        <v>582169000</v>
      </c>
    </row>
    <row r="7632" spans="1:3">
      <c r="A7632">
        <v>7631</v>
      </c>
      <c r="B7632">
        <v>582321610</v>
      </c>
      <c r="C7632">
        <v>582321610</v>
      </c>
    </row>
    <row r="7633" spans="1:3">
      <c r="A7633">
        <v>7632</v>
      </c>
      <c r="B7633">
        <v>582474240</v>
      </c>
      <c r="C7633">
        <v>582474240</v>
      </c>
    </row>
    <row r="7634" spans="1:3">
      <c r="A7634">
        <v>7633</v>
      </c>
      <c r="B7634">
        <v>582626890</v>
      </c>
      <c r="C7634">
        <v>582626890</v>
      </c>
    </row>
    <row r="7635" spans="1:3">
      <c r="A7635">
        <v>7634</v>
      </c>
      <c r="B7635">
        <v>582779560</v>
      </c>
      <c r="C7635">
        <v>582779560</v>
      </c>
    </row>
    <row r="7636" spans="1:3">
      <c r="A7636">
        <v>7635</v>
      </c>
      <c r="B7636">
        <v>582932250</v>
      </c>
      <c r="C7636">
        <v>582932250</v>
      </c>
    </row>
    <row r="7637" spans="1:3">
      <c r="A7637">
        <v>7636</v>
      </c>
      <c r="B7637">
        <v>583084960</v>
      </c>
      <c r="C7637">
        <v>583084960</v>
      </c>
    </row>
    <row r="7638" spans="1:3">
      <c r="A7638">
        <v>7637</v>
      </c>
      <c r="B7638">
        <v>583237690</v>
      </c>
      <c r="C7638">
        <v>583237690</v>
      </c>
    </row>
    <row r="7639" spans="1:3">
      <c r="A7639">
        <v>7638</v>
      </c>
      <c r="B7639">
        <v>583390440</v>
      </c>
      <c r="C7639">
        <v>583390440</v>
      </c>
    </row>
    <row r="7640" spans="1:3">
      <c r="A7640">
        <v>7639</v>
      </c>
      <c r="B7640">
        <v>583543210</v>
      </c>
      <c r="C7640">
        <v>583543210</v>
      </c>
    </row>
    <row r="7641" spans="1:3">
      <c r="A7641">
        <v>7640</v>
      </c>
      <c r="B7641">
        <v>583696000</v>
      </c>
      <c r="C7641">
        <v>583696000</v>
      </c>
    </row>
    <row r="7642" spans="1:3">
      <c r="A7642">
        <v>7641</v>
      </c>
      <c r="B7642">
        <v>583848810</v>
      </c>
      <c r="C7642">
        <v>583848810</v>
      </c>
    </row>
    <row r="7643" spans="1:3">
      <c r="A7643">
        <v>7642</v>
      </c>
      <c r="B7643">
        <v>584001640</v>
      </c>
      <c r="C7643">
        <v>584001640</v>
      </c>
    </row>
    <row r="7644" spans="1:3">
      <c r="A7644">
        <v>7643</v>
      </c>
      <c r="B7644">
        <v>584154490</v>
      </c>
      <c r="C7644">
        <v>584154490</v>
      </c>
    </row>
    <row r="7645" spans="1:3">
      <c r="A7645">
        <v>7644</v>
      </c>
      <c r="B7645">
        <v>584307360</v>
      </c>
      <c r="C7645">
        <v>584307360</v>
      </c>
    </row>
    <row r="7646" spans="1:3">
      <c r="A7646">
        <v>7645</v>
      </c>
      <c r="B7646">
        <v>584460250</v>
      </c>
      <c r="C7646">
        <v>584460250</v>
      </c>
    </row>
    <row r="7647" spans="1:3">
      <c r="A7647">
        <v>7646</v>
      </c>
      <c r="B7647">
        <v>584613160</v>
      </c>
      <c r="C7647">
        <v>584613160</v>
      </c>
    </row>
    <row r="7648" spans="1:3">
      <c r="A7648">
        <v>7647</v>
      </c>
      <c r="B7648">
        <v>584766090</v>
      </c>
      <c r="C7648">
        <v>584766090</v>
      </c>
    </row>
    <row r="7649" spans="1:3">
      <c r="A7649">
        <v>7648</v>
      </c>
      <c r="B7649">
        <v>584919040</v>
      </c>
      <c r="C7649">
        <v>584919040</v>
      </c>
    </row>
    <row r="7650" spans="1:3">
      <c r="A7650">
        <v>7649</v>
      </c>
      <c r="B7650">
        <v>585072010</v>
      </c>
      <c r="C7650">
        <v>585072010</v>
      </c>
    </row>
    <row r="7651" spans="1:3">
      <c r="A7651">
        <v>7650</v>
      </c>
      <c r="B7651">
        <v>585225000</v>
      </c>
      <c r="C7651">
        <v>585225000</v>
      </c>
    </row>
    <row r="7652" spans="1:3">
      <c r="A7652">
        <v>7651</v>
      </c>
      <c r="B7652">
        <v>585378010</v>
      </c>
      <c r="C7652">
        <v>585378010</v>
      </c>
    </row>
    <row r="7653" spans="1:3">
      <c r="A7653">
        <v>7652</v>
      </c>
      <c r="B7653">
        <v>585531040</v>
      </c>
      <c r="C7653">
        <v>585531040</v>
      </c>
    </row>
    <row r="7654" spans="1:3">
      <c r="A7654">
        <v>7653</v>
      </c>
      <c r="B7654">
        <v>585684090</v>
      </c>
      <c r="C7654">
        <v>585684090</v>
      </c>
    </row>
    <row r="7655" spans="1:3">
      <c r="A7655">
        <v>7654</v>
      </c>
      <c r="B7655">
        <v>585837160</v>
      </c>
      <c r="C7655">
        <v>585837160</v>
      </c>
    </row>
    <row r="7656" spans="1:3">
      <c r="A7656">
        <v>7655</v>
      </c>
      <c r="B7656">
        <v>585990250</v>
      </c>
      <c r="C7656">
        <v>585990250</v>
      </c>
    </row>
    <row r="7657" spans="1:3">
      <c r="A7657">
        <v>7656</v>
      </c>
      <c r="B7657">
        <v>586143360</v>
      </c>
      <c r="C7657">
        <v>586143360</v>
      </c>
    </row>
    <row r="7658" spans="1:3">
      <c r="A7658">
        <v>7657</v>
      </c>
      <c r="B7658">
        <v>586296490</v>
      </c>
      <c r="C7658">
        <v>586296490</v>
      </c>
    </row>
    <row r="7659" spans="1:3">
      <c r="A7659">
        <v>7658</v>
      </c>
      <c r="B7659">
        <v>586449640</v>
      </c>
      <c r="C7659">
        <v>586449640</v>
      </c>
    </row>
    <row r="7660" spans="1:3">
      <c r="A7660">
        <v>7659</v>
      </c>
      <c r="B7660">
        <v>586602810</v>
      </c>
      <c r="C7660">
        <v>586602810</v>
      </c>
    </row>
    <row r="7661" spans="1:3">
      <c r="A7661">
        <v>7660</v>
      </c>
      <c r="B7661">
        <v>586756000</v>
      </c>
      <c r="C7661">
        <v>586756000</v>
      </c>
    </row>
    <row r="7662" spans="1:3">
      <c r="A7662">
        <v>7661</v>
      </c>
      <c r="B7662">
        <v>586909210</v>
      </c>
      <c r="C7662">
        <v>586909210</v>
      </c>
    </row>
    <row r="7663" spans="1:3">
      <c r="A7663">
        <v>7662</v>
      </c>
      <c r="B7663">
        <v>587062440</v>
      </c>
      <c r="C7663">
        <v>587062440</v>
      </c>
    </row>
    <row r="7664" spans="1:3">
      <c r="A7664">
        <v>7663</v>
      </c>
      <c r="B7664">
        <v>587215690</v>
      </c>
      <c r="C7664">
        <v>587215690</v>
      </c>
    </row>
    <row r="7665" spans="1:3">
      <c r="A7665">
        <v>7664</v>
      </c>
      <c r="B7665">
        <v>587368960</v>
      </c>
      <c r="C7665">
        <v>587368960</v>
      </c>
    </row>
    <row r="7666" spans="1:3">
      <c r="A7666">
        <v>7665</v>
      </c>
      <c r="B7666">
        <v>587522250</v>
      </c>
      <c r="C7666">
        <v>587522250</v>
      </c>
    </row>
    <row r="7667" spans="1:3">
      <c r="A7667">
        <v>7666</v>
      </c>
      <c r="B7667">
        <v>587675560</v>
      </c>
      <c r="C7667">
        <v>587675560</v>
      </c>
    </row>
    <row r="7668" spans="1:3">
      <c r="A7668">
        <v>7667</v>
      </c>
      <c r="B7668">
        <v>587828890</v>
      </c>
      <c r="C7668">
        <v>587828890</v>
      </c>
    </row>
    <row r="7669" spans="1:3">
      <c r="A7669">
        <v>7668</v>
      </c>
      <c r="B7669">
        <v>587982240</v>
      </c>
      <c r="C7669">
        <v>587982240</v>
      </c>
    </row>
    <row r="7670" spans="1:3">
      <c r="A7670">
        <v>7669</v>
      </c>
      <c r="B7670">
        <v>588135610</v>
      </c>
      <c r="C7670">
        <v>588135610</v>
      </c>
    </row>
    <row r="7671" spans="1:3">
      <c r="A7671">
        <v>7670</v>
      </c>
      <c r="B7671">
        <v>588289000</v>
      </c>
      <c r="C7671">
        <v>588289000</v>
      </c>
    </row>
    <row r="7672" spans="1:3">
      <c r="A7672">
        <v>7671</v>
      </c>
      <c r="B7672">
        <v>588442410</v>
      </c>
      <c r="C7672">
        <v>588442410</v>
      </c>
    </row>
    <row r="7673" spans="1:3">
      <c r="A7673">
        <v>7672</v>
      </c>
      <c r="B7673">
        <v>588595840</v>
      </c>
      <c r="C7673">
        <v>588595840</v>
      </c>
    </row>
    <row r="7674" spans="1:3">
      <c r="A7674">
        <v>7673</v>
      </c>
      <c r="B7674">
        <v>588749290</v>
      </c>
      <c r="C7674">
        <v>588749290</v>
      </c>
    </row>
    <row r="7675" spans="1:3">
      <c r="A7675">
        <v>7674</v>
      </c>
      <c r="B7675">
        <v>588902760</v>
      </c>
      <c r="C7675">
        <v>588902760</v>
      </c>
    </row>
    <row r="7676" spans="1:3">
      <c r="A7676">
        <v>7675</v>
      </c>
      <c r="B7676">
        <v>589056250</v>
      </c>
      <c r="C7676">
        <v>589056250</v>
      </c>
    </row>
    <row r="7677" spans="1:3">
      <c r="A7677">
        <v>7676</v>
      </c>
      <c r="B7677">
        <v>589209760</v>
      </c>
      <c r="C7677">
        <v>589209760</v>
      </c>
    </row>
    <row r="7678" spans="1:3">
      <c r="A7678">
        <v>7677</v>
      </c>
      <c r="B7678">
        <v>589363290</v>
      </c>
      <c r="C7678">
        <v>589363290</v>
      </c>
    </row>
    <row r="7679" spans="1:3">
      <c r="A7679">
        <v>7678</v>
      </c>
      <c r="B7679">
        <v>589516840</v>
      </c>
      <c r="C7679">
        <v>589516840</v>
      </c>
    </row>
    <row r="7680" spans="1:3">
      <c r="A7680">
        <v>7679</v>
      </c>
      <c r="B7680">
        <v>589670410</v>
      </c>
      <c r="C7680">
        <v>589670410</v>
      </c>
    </row>
    <row r="7681" spans="1:3">
      <c r="A7681">
        <v>7680</v>
      </c>
      <c r="B7681">
        <v>589824000</v>
      </c>
      <c r="C7681">
        <v>589824000</v>
      </c>
    </row>
    <row r="7682" spans="1:3">
      <c r="A7682">
        <v>7681</v>
      </c>
      <c r="B7682">
        <v>589977610</v>
      </c>
      <c r="C7682">
        <v>589977610</v>
      </c>
    </row>
    <row r="7683" spans="1:3">
      <c r="A7683">
        <v>7682</v>
      </c>
      <c r="B7683">
        <v>590131240</v>
      </c>
      <c r="C7683">
        <v>590131240</v>
      </c>
    </row>
    <row r="7684" spans="1:3">
      <c r="A7684">
        <v>7683</v>
      </c>
      <c r="B7684">
        <v>590284890</v>
      </c>
      <c r="C7684">
        <v>590284890</v>
      </c>
    </row>
    <row r="7685" spans="1:3">
      <c r="A7685">
        <v>7684</v>
      </c>
      <c r="B7685">
        <v>590438560</v>
      </c>
      <c r="C7685">
        <v>590438560</v>
      </c>
    </row>
    <row r="7686" spans="1:3">
      <c r="A7686">
        <v>7685</v>
      </c>
      <c r="B7686">
        <v>590592250</v>
      </c>
      <c r="C7686">
        <v>590592250</v>
      </c>
    </row>
    <row r="7687" spans="1:3">
      <c r="A7687">
        <v>7686</v>
      </c>
      <c r="B7687">
        <v>590745960</v>
      </c>
      <c r="C7687">
        <v>590745960</v>
      </c>
    </row>
    <row r="7688" spans="1:3">
      <c r="A7688">
        <v>7687</v>
      </c>
      <c r="B7688">
        <v>590899690</v>
      </c>
      <c r="C7688">
        <v>590899690</v>
      </c>
    </row>
    <row r="7689" spans="1:3">
      <c r="A7689">
        <v>7688</v>
      </c>
      <c r="B7689">
        <v>591053440</v>
      </c>
      <c r="C7689">
        <v>591053440</v>
      </c>
    </row>
    <row r="7690" spans="1:3">
      <c r="A7690">
        <v>7689</v>
      </c>
      <c r="B7690">
        <v>591207210</v>
      </c>
      <c r="C7690">
        <v>591207210</v>
      </c>
    </row>
    <row r="7691" spans="1:3">
      <c r="A7691">
        <v>7690</v>
      </c>
      <c r="B7691">
        <v>591361000</v>
      </c>
      <c r="C7691">
        <v>591361000</v>
      </c>
    </row>
    <row r="7692" spans="1:3">
      <c r="A7692">
        <v>7691</v>
      </c>
      <c r="B7692">
        <v>591514810</v>
      </c>
      <c r="C7692">
        <v>591514810</v>
      </c>
    </row>
    <row r="7693" spans="1:3">
      <c r="A7693">
        <v>7692</v>
      </c>
      <c r="B7693">
        <v>591668640</v>
      </c>
      <c r="C7693">
        <v>591668640</v>
      </c>
    </row>
    <row r="7694" spans="1:3">
      <c r="A7694">
        <v>7693</v>
      </c>
      <c r="B7694">
        <v>591822490</v>
      </c>
      <c r="C7694">
        <v>591822490</v>
      </c>
    </row>
    <row r="7695" spans="1:3">
      <c r="A7695">
        <v>7694</v>
      </c>
      <c r="B7695">
        <v>591976360</v>
      </c>
      <c r="C7695">
        <v>591976360</v>
      </c>
    </row>
    <row r="7696" spans="1:3">
      <c r="A7696">
        <v>7695</v>
      </c>
      <c r="B7696">
        <v>592130250</v>
      </c>
      <c r="C7696">
        <v>592130250</v>
      </c>
    </row>
    <row r="7697" spans="1:3">
      <c r="A7697">
        <v>7696</v>
      </c>
      <c r="B7697">
        <v>592284160</v>
      </c>
      <c r="C7697">
        <v>592284160</v>
      </c>
    </row>
    <row r="7698" spans="1:3">
      <c r="A7698">
        <v>7697</v>
      </c>
      <c r="B7698">
        <v>592438090</v>
      </c>
      <c r="C7698">
        <v>592438090</v>
      </c>
    </row>
    <row r="7699" spans="1:3">
      <c r="A7699">
        <v>7698</v>
      </c>
      <c r="B7699">
        <v>592592040</v>
      </c>
      <c r="C7699">
        <v>592592040</v>
      </c>
    </row>
    <row r="7700" spans="1:3">
      <c r="A7700">
        <v>7699</v>
      </c>
      <c r="B7700">
        <v>592746010</v>
      </c>
      <c r="C7700">
        <v>592746010</v>
      </c>
    </row>
    <row r="7701" spans="1:3">
      <c r="A7701">
        <v>7700</v>
      </c>
      <c r="B7701">
        <v>592900000</v>
      </c>
      <c r="C7701">
        <v>592900000</v>
      </c>
    </row>
    <row r="7702" spans="1:3">
      <c r="A7702">
        <v>7701</v>
      </c>
      <c r="B7702">
        <v>593054010</v>
      </c>
      <c r="C7702">
        <v>593054010</v>
      </c>
    </row>
    <row r="7703" spans="1:3">
      <c r="A7703">
        <v>7702</v>
      </c>
      <c r="B7703">
        <v>593208040</v>
      </c>
      <c r="C7703">
        <v>593208040</v>
      </c>
    </row>
    <row r="7704" spans="1:3">
      <c r="A7704">
        <v>7703</v>
      </c>
      <c r="B7704">
        <v>593362090</v>
      </c>
      <c r="C7704">
        <v>593362090</v>
      </c>
    </row>
    <row r="7705" spans="1:3">
      <c r="A7705">
        <v>7704</v>
      </c>
      <c r="B7705">
        <v>593516160</v>
      </c>
      <c r="C7705">
        <v>593516160</v>
      </c>
    </row>
    <row r="7706" spans="1:3">
      <c r="A7706">
        <v>7705</v>
      </c>
      <c r="B7706">
        <v>593670250</v>
      </c>
      <c r="C7706">
        <v>593670250</v>
      </c>
    </row>
    <row r="7707" spans="1:3">
      <c r="A7707">
        <v>7706</v>
      </c>
      <c r="B7707">
        <v>593824360</v>
      </c>
      <c r="C7707">
        <v>593824360</v>
      </c>
    </row>
    <row r="7708" spans="1:3">
      <c r="A7708">
        <v>7707</v>
      </c>
      <c r="B7708">
        <v>593978490</v>
      </c>
      <c r="C7708">
        <v>593978490</v>
      </c>
    </row>
    <row r="7709" spans="1:3">
      <c r="A7709">
        <v>7708</v>
      </c>
      <c r="B7709">
        <v>594132640</v>
      </c>
      <c r="C7709">
        <v>594132640</v>
      </c>
    </row>
    <row r="7710" spans="1:3">
      <c r="A7710">
        <v>7709</v>
      </c>
      <c r="B7710">
        <v>594286810</v>
      </c>
      <c r="C7710">
        <v>594286810</v>
      </c>
    </row>
    <row r="7711" spans="1:3">
      <c r="A7711">
        <v>7710</v>
      </c>
      <c r="B7711">
        <v>594441000</v>
      </c>
      <c r="C7711">
        <v>594441000</v>
      </c>
    </row>
    <row r="7712" spans="1:3">
      <c r="A7712">
        <v>7711</v>
      </c>
      <c r="B7712">
        <v>594595210</v>
      </c>
      <c r="C7712">
        <v>594595210</v>
      </c>
    </row>
    <row r="7713" spans="1:3">
      <c r="A7713">
        <v>7712</v>
      </c>
      <c r="B7713">
        <v>594749440</v>
      </c>
      <c r="C7713">
        <v>594749440</v>
      </c>
    </row>
    <row r="7714" spans="1:3">
      <c r="A7714">
        <v>7713</v>
      </c>
      <c r="B7714">
        <v>594903690</v>
      </c>
      <c r="C7714">
        <v>594903690</v>
      </c>
    </row>
    <row r="7715" spans="1:3">
      <c r="A7715">
        <v>7714</v>
      </c>
      <c r="B7715">
        <v>595057960</v>
      </c>
      <c r="C7715">
        <v>595057960</v>
      </c>
    </row>
    <row r="7716" spans="1:3">
      <c r="A7716">
        <v>7715</v>
      </c>
      <c r="B7716">
        <v>595212250</v>
      </c>
      <c r="C7716">
        <v>595212250</v>
      </c>
    </row>
    <row r="7717" spans="1:3">
      <c r="A7717">
        <v>7716</v>
      </c>
      <c r="B7717">
        <v>595366560</v>
      </c>
      <c r="C7717">
        <v>595366560</v>
      </c>
    </row>
    <row r="7718" spans="1:3">
      <c r="A7718">
        <v>7717</v>
      </c>
      <c r="B7718">
        <v>595520890</v>
      </c>
      <c r="C7718">
        <v>595520890</v>
      </c>
    </row>
    <row r="7719" spans="1:3">
      <c r="A7719">
        <v>7718</v>
      </c>
      <c r="B7719">
        <v>595675240</v>
      </c>
      <c r="C7719">
        <v>595675240</v>
      </c>
    </row>
    <row r="7720" spans="1:3">
      <c r="A7720">
        <v>7719</v>
      </c>
      <c r="B7720">
        <v>595829610</v>
      </c>
      <c r="C7720">
        <v>595829610</v>
      </c>
    </row>
    <row r="7721" spans="1:3">
      <c r="A7721">
        <v>7720</v>
      </c>
      <c r="B7721">
        <v>595984000</v>
      </c>
      <c r="C7721">
        <v>595984000</v>
      </c>
    </row>
    <row r="7722" spans="1:3">
      <c r="A7722">
        <v>7721</v>
      </c>
      <c r="B7722">
        <v>596138410</v>
      </c>
      <c r="C7722">
        <v>596138410</v>
      </c>
    </row>
    <row r="7723" spans="1:3">
      <c r="A7723">
        <v>7722</v>
      </c>
      <c r="B7723">
        <v>596292840</v>
      </c>
      <c r="C7723">
        <v>596292840</v>
      </c>
    </row>
    <row r="7724" spans="1:3">
      <c r="A7724">
        <v>7723</v>
      </c>
      <c r="B7724">
        <v>596447290</v>
      </c>
      <c r="C7724">
        <v>596447290</v>
      </c>
    </row>
    <row r="7725" spans="1:3">
      <c r="A7725">
        <v>7724</v>
      </c>
      <c r="B7725">
        <v>596601760</v>
      </c>
      <c r="C7725">
        <v>596601760</v>
      </c>
    </row>
    <row r="7726" spans="1:3">
      <c r="A7726">
        <v>7725</v>
      </c>
      <c r="B7726">
        <v>596756250</v>
      </c>
      <c r="C7726">
        <v>596756250</v>
      </c>
    </row>
    <row r="7727" spans="1:3">
      <c r="A7727">
        <v>7726</v>
      </c>
      <c r="B7727">
        <v>596910760</v>
      </c>
      <c r="C7727">
        <v>596910760</v>
      </c>
    </row>
    <row r="7728" spans="1:3">
      <c r="A7728">
        <v>7727</v>
      </c>
      <c r="B7728">
        <v>597065290</v>
      </c>
      <c r="C7728">
        <v>597065290</v>
      </c>
    </row>
    <row r="7729" spans="1:3">
      <c r="A7729">
        <v>7728</v>
      </c>
      <c r="B7729">
        <v>597219840</v>
      </c>
      <c r="C7729">
        <v>597219840</v>
      </c>
    </row>
    <row r="7730" spans="1:3">
      <c r="A7730">
        <v>7729</v>
      </c>
      <c r="B7730">
        <v>597374410</v>
      </c>
      <c r="C7730">
        <v>597374410</v>
      </c>
    </row>
    <row r="7731" spans="1:3">
      <c r="A7731">
        <v>7730</v>
      </c>
      <c r="B7731">
        <v>597529000</v>
      </c>
      <c r="C7731">
        <v>597529000</v>
      </c>
    </row>
    <row r="7732" spans="1:3">
      <c r="A7732">
        <v>7731</v>
      </c>
      <c r="B7732">
        <v>597683610</v>
      </c>
      <c r="C7732">
        <v>597683610</v>
      </c>
    </row>
    <row r="7733" spans="1:3">
      <c r="A7733">
        <v>7732</v>
      </c>
      <c r="B7733">
        <v>597838240</v>
      </c>
      <c r="C7733">
        <v>597838240</v>
      </c>
    </row>
    <row r="7734" spans="1:3">
      <c r="A7734">
        <v>7733</v>
      </c>
      <c r="B7734">
        <v>597992890</v>
      </c>
      <c r="C7734">
        <v>597992890</v>
      </c>
    </row>
    <row r="7735" spans="1:3">
      <c r="A7735">
        <v>7734</v>
      </c>
      <c r="B7735">
        <v>598147560</v>
      </c>
      <c r="C7735">
        <v>598147560</v>
      </c>
    </row>
    <row r="7736" spans="1:3">
      <c r="A7736">
        <v>7735</v>
      </c>
      <c r="B7736">
        <v>598302250</v>
      </c>
      <c r="C7736">
        <v>598302250</v>
      </c>
    </row>
    <row r="7737" spans="1:3">
      <c r="A7737">
        <v>7736</v>
      </c>
      <c r="B7737">
        <v>598456960</v>
      </c>
      <c r="C7737">
        <v>598456960</v>
      </c>
    </row>
    <row r="7738" spans="1:3">
      <c r="A7738">
        <v>7737</v>
      </c>
      <c r="B7738">
        <v>598611690</v>
      </c>
      <c r="C7738">
        <v>598611690</v>
      </c>
    </row>
    <row r="7739" spans="1:3">
      <c r="A7739">
        <v>7738</v>
      </c>
      <c r="B7739">
        <v>598766440</v>
      </c>
      <c r="C7739">
        <v>598766440</v>
      </c>
    </row>
    <row r="7740" spans="1:3">
      <c r="A7740">
        <v>7739</v>
      </c>
      <c r="B7740">
        <v>598921210</v>
      </c>
      <c r="C7740">
        <v>598921210</v>
      </c>
    </row>
    <row r="7741" spans="1:3">
      <c r="A7741">
        <v>7740</v>
      </c>
      <c r="B7741">
        <v>599076000</v>
      </c>
      <c r="C7741">
        <v>599076000</v>
      </c>
    </row>
    <row r="7742" spans="1:3">
      <c r="A7742">
        <v>7741</v>
      </c>
      <c r="B7742">
        <v>599230810</v>
      </c>
      <c r="C7742">
        <v>599230810</v>
      </c>
    </row>
    <row r="7743" spans="1:3">
      <c r="A7743">
        <v>7742</v>
      </c>
      <c r="B7743">
        <v>599385640</v>
      </c>
      <c r="C7743">
        <v>599385640</v>
      </c>
    </row>
    <row r="7744" spans="1:3">
      <c r="A7744">
        <v>7743</v>
      </c>
      <c r="B7744">
        <v>599540490</v>
      </c>
      <c r="C7744">
        <v>599540490</v>
      </c>
    </row>
    <row r="7745" spans="1:3">
      <c r="A7745">
        <v>7744</v>
      </c>
      <c r="B7745">
        <v>599695360</v>
      </c>
      <c r="C7745">
        <v>599695360</v>
      </c>
    </row>
    <row r="7746" spans="1:3">
      <c r="A7746">
        <v>7745</v>
      </c>
      <c r="B7746">
        <v>599850250</v>
      </c>
      <c r="C7746">
        <v>599850250</v>
      </c>
    </row>
    <row r="7747" spans="1:3">
      <c r="A7747">
        <v>7746</v>
      </c>
      <c r="B7747">
        <v>600005160</v>
      </c>
      <c r="C7747">
        <v>600005160</v>
      </c>
    </row>
    <row r="7748" spans="1:3">
      <c r="A7748">
        <v>7747</v>
      </c>
      <c r="B7748">
        <v>600160090</v>
      </c>
      <c r="C7748">
        <v>600160090</v>
      </c>
    </row>
    <row r="7749" spans="1:3">
      <c r="A7749">
        <v>7748</v>
      </c>
      <c r="B7749">
        <v>600315040</v>
      </c>
      <c r="C7749">
        <v>600315040</v>
      </c>
    </row>
    <row r="7750" spans="1:3">
      <c r="A7750">
        <v>7749</v>
      </c>
      <c r="B7750">
        <v>600470010</v>
      </c>
      <c r="C7750">
        <v>600470010</v>
      </c>
    </row>
    <row r="7751" spans="1:3">
      <c r="A7751">
        <v>7750</v>
      </c>
      <c r="B7751">
        <v>600625000</v>
      </c>
      <c r="C7751">
        <v>600625000</v>
      </c>
    </row>
    <row r="7752" spans="1:3">
      <c r="A7752">
        <v>7751</v>
      </c>
      <c r="B7752">
        <v>600780010</v>
      </c>
      <c r="C7752">
        <v>600780010</v>
      </c>
    </row>
    <row r="7753" spans="1:3">
      <c r="A7753">
        <v>7752</v>
      </c>
      <c r="B7753">
        <v>600935040</v>
      </c>
      <c r="C7753">
        <v>600935040</v>
      </c>
    </row>
    <row r="7754" spans="1:3">
      <c r="A7754">
        <v>7753</v>
      </c>
      <c r="B7754">
        <v>601090090</v>
      </c>
      <c r="C7754">
        <v>601090090</v>
      </c>
    </row>
    <row r="7755" spans="1:3">
      <c r="A7755">
        <v>7754</v>
      </c>
      <c r="B7755">
        <v>601245160</v>
      </c>
      <c r="C7755">
        <v>601245160</v>
      </c>
    </row>
    <row r="7756" spans="1:3">
      <c r="A7756">
        <v>7755</v>
      </c>
      <c r="B7756">
        <v>601400250</v>
      </c>
      <c r="C7756">
        <v>601400250</v>
      </c>
    </row>
    <row r="7757" spans="1:3">
      <c r="A7757">
        <v>7756</v>
      </c>
      <c r="B7757">
        <v>601555360</v>
      </c>
      <c r="C7757">
        <v>601555360</v>
      </c>
    </row>
    <row r="7758" spans="1:3">
      <c r="A7758">
        <v>7757</v>
      </c>
      <c r="B7758">
        <v>601710490</v>
      </c>
      <c r="C7758">
        <v>601710490</v>
      </c>
    </row>
    <row r="7759" spans="1:3">
      <c r="A7759">
        <v>7758</v>
      </c>
      <c r="B7759">
        <v>601865640</v>
      </c>
      <c r="C7759">
        <v>601865640</v>
      </c>
    </row>
    <row r="7760" spans="1:3">
      <c r="A7760">
        <v>7759</v>
      </c>
      <c r="B7760">
        <v>602020810</v>
      </c>
      <c r="C7760">
        <v>602020810</v>
      </c>
    </row>
    <row r="7761" spans="1:3">
      <c r="A7761">
        <v>7760</v>
      </c>
      <c r="B7761">
        <v>602176000</v>
      </c>
      <c r="C7761">
        <v>602176000</v>
      </c>
    </row>
    <row r="7762" spans="1:3">
      <c r="A7762">
        <v>7761</v>
      </c>
      <c r="B7762">
        <v>602331210</v>
      </c>
      <c r="C7762">
        <v>602331210</v>
      </c>
    </row>
    <row r="7763" spans="1:3">
      <c r="A7763">
        <v>7762</v>
      </c>
      <c r="B7763">
        <v>602486440</v>
      </c>
      <c r="C7763">
        <v>602486440</v>
      </c>
    </row>
    <row r="7764" spans="1:3">
      <c r="A7764">
        <v>7763</v>
      </c>
      <c r="B7764">
        <v>602641690</v>
      </c>
      <c r="C7764">
        <v>602641690</v>
      </c>
    </row>
    <row r="7765" spans="1:3">
      <c r="A7765">
        <v>7764</v>
      </c>
      <c r="B7765">
        <v>602796960</v>
      </c>
      <c r="C7765">
        <v>602796960</v>
      </c>
    </row>
    <row r="7766" spans="1:3">
      <c r="A7766">
        <v>7765</v>
      </c>
      <c r="B7766">
        <v>602952250</v>
      </c>
      <c r="C7766">
        <v>602952250</v>
      </c>
    </row>
    <row r="7767" spans="1:3">
      <c r="A7767">
        <v>7766</v>
      </c>
      <c r="B7767">
        <v>603107560</v>
      </c>
      <c r="C7767">
        <v>603107560</v>
      </c>
    </row>
    <row r="7768" spans="1:3">
      <c r="A7768">
        <v>7767</v>
      </c>
      <c r="B7768">
        <v>603262890</v>
      </c>
      <c r="C7768">
        <v>603262890</v>
      </c>
    </row>
    <row r="7769" spans="1:3">
      <c r="A7769">
        <v>7768</v>
      </c>
      <c r="B7769">
        <v>603418240</v>
      </c>
      <c r="C7769">
        <v>603418240</v>
      </c>
    </row>
    <row r="7770" spans="1:3">
      <c r="A7770">
        <v>7769</v>
      </c>
      <c r="B7770">
        <v>603573610</v>
      </c>
      <c r="C7770">
        <v>603573610</v>
      </c>
    </row>
    <row r="7771" spans="1:3">
      <c r="A7771">
        <v>7770</v>
      </c>
      <c r="B7771">
        <v>603729000</v>
      </c>
      <c r="C7771">
        <v>603729000</v>
      </c>
    </row>
    <row r="7772" spans="1:3">
      <c r="A7772">
        <v>7771</v>
      </c>
      <c r="B7772">
        <v>603884410</v>
      </c>
      <c r="C7772">
        <v>603884410</v>
      </c>
    </row>
    <row r="7773" spans="1:3">
      <c r="A7773">
        <v>7772</v>
      </c>
      <c r="B7773">
        <v>604039840</v>
      </c>
      <c r="C7773">
        <v>604039840</v>
      </c>
    </row>
    <row r="7774" spans="1:3">
      <c r="A7774">
        <v>7773</v>
      </c>
      <c r="B7774">
        <v>604195290</v>
      </c>
      <c r="C7774">
        <v>604195290</v>
      </c>
    </row>
    <row r="7775" spans="1:3">
      <c r="A7775">
        <v>7774</v>
      </c>
      <c r="B7775">
        <v>604350760</v>
      </c>
      <c r="C7775">
        <v>604350760</v>
      </c>
    </row>
    <row r="7776" spans="1:3">
      <c r="A7776">
        <v>7775</v>
      </c>
      <c r="B7776">
        <v>604506250</v>
      </c>
      <c r="C7776">
        <v>604506250</v>
      </c>
    </row>
    <row r="7777" spans="1:3">
      <c r="A7777">
        <v>7776</v>
      </c>
      <c r="B7777">
        <v>604661760</v>
      </c>
      <c r="C7777">
        <v>604661760</v>
      </c>
    </row>
    <row r="7778" spans="1:3">
      <c r="A7778">
        <v>7777</v>
      </c>
      <c r="B7778">
        <v>604817290</v>
      </c>
      <c r="C7778">
        <v>604817290</v>
      </c>
    </row>
    <row r="7779" spans="1:3">
      <c r="A7779">
        <v>7778</v>
      </c>
      <c r="B7779">
        <v>604972840</v>
      </c>
      <c r="C7779">
        <v>604972840</v>
      </c>
    </row>
    <row r="7780" spans="1:3">
      <c r="A7780">
        <v>7779</v>
      </c>
      <c r="B7780">
        <v>605128410</v>
      </c>
      <c r="C7780">
        <v>605128410</v>
      </c>
    </row>
    <row r="7781" spans="1:3">
      <c r="A7781">
        <v>7780</v>
      </c>
      <c r="B7781">
        <v>605284000</v>
      </c>
      <c r="C7781">
        <v>605284000</v>
      </c>
    </row>
    <row r="7782" spans="1:3">
      <c r="A7782">
        <v>7781</v>
      </c>
      <c r="B7782">
        <v>605439610</v>
      </c>
      <c r="C7782">
        <v>605439610</v>
      </c>
    </row>
    <row r="7783" spans="1:3">
      <c r="A7783">
        <v>7782</v>
      </c>
      <c r="B7783">
        <v>605595240</v>
      </c>
      <c r="C7783">
        <v>605595240</v>
      </c>
    </row>
    <row r="7784" spans="1:3">
      <c r="A7784">
        <v>7783</v>
      </c>
      <c r="B7784">
        <v>605750890</v>
      </c>
      <c r="C7784">
        <v>605750890</v>
      </c>
    </row>
    <row r="7785" spans="1:3">
      <c r="A7785">
        <v>7784</v>
      </c>
      <c r="B7785">
        <v>605906560</v>
      </c>
      <c r="C7785">
        <v>605906560</v>
      </c>
    </row>
    <row r="7786" spans="1:3">
      <c r="A7786">
        <v>7785</v>
      </c>
      <c r="B7786">
        <v>606062250</v>
      </c>
      <c r="C7786">
        <v>606062250</v>
      </c>
    </row>
    <row r="7787" spans="1:3">
      <c r="A7787">
        <v>7786</v>
      </c>
      <c r="B7787">
        <v>606217960</v>
      </c>
      <c r="C7787">
        <v>606217960</v>
      </c>
    </row>
    <row r="7788" spans="1:3">
      <c r="A7788">
        <v>7787</v>
      </c>
      <c r="B7788">
        <v>606373690</v>
      </c>
      <c r="C7788">
        <v>606373690</v>
      </c>
    </row>
    <row r="7789" spans="1:3">
      <c r="A7789">
        <v>7788</v>
      </c>
      <c r="B7789">
        <v>606529440</v>
      </c>
      <c r="C7789">
        <v>606529440</v>
      </c>
    </row>
    <row r="7790" spans="1:3">
      <c r="A7790">
        <v>7789</v>
      </c>
      <c r="B7790">
        <v>606685210</v>
      </c>
      <c r="C7790">
        <v>606685210</v>
      </c>
    </row>
    <row r="7791" spans="1:3">
      <c r="A7791">
        <v>7790</v>
      </c>
      <c r="B7791">
        <v>606841000</v>
      </c>
      <c r="C7791">
        <v>606841000</v>
      </c>
    </row>
    <row r="7792" spans="1:3">
      <c r="A7792">
        <v>7791</v>
      </c>
      <c r="B7792">
        <v>606996810</v>
      </c>
      <c r="C7792">
        <v>606996810</v>
      </c>
    </row>
    <row r="7793" spans="1:3">
      <c r="A7793">
        <v>7792</v>
      </c>
      <c r="B7793">
        <v>607152640</v>
      </c>
      <c r="C7793">
        <v>607152640</v>
      </c>
    </row>
    <row r="7794" spans="1:3">
      <c r="A7794">
        <v>7793</v>
      </c>
      <c r="B7794">
        <v>607308490</v>
      </c>
      <c r="C7794">
        <v>607308490</v>
      </c>
    </row>
    <row r="7795" spans="1:3">
      <c r="A7795">
        <v>7794</v>
      </c>
      <c r="B7795">
        <v>607464360</v>
      </c>
      <c r="C7795">
        <v>607464360</v>
      </c>
    </row>
    <row r="7796" spans="1:3">
      <c r="A7796">
        <v>7795</v>
      </c>
      <c r="B7796">
        <v>607620250</v>
      </c>
      <c r="C7796">
        <v>607620250</v>
      </c>
    </row>
    <row r="7797" spans="1:3">
      <c r="A7797">
        <v>7796</v>
      </c>
      <c r="B7797">
        <v>607776160</v>
      </c>
      <c r="C7797">
        <v>607776160</v>
      </c>
    </row>
    <row r="7798" spans="1:3">
      <c r="A7798">
        <v>7797</v>
      </c>
      <c r="B7798">
        <v>607932090</v>
      </c>
      <c r="C7798">
        <v>607932090</v>
      </c>
    </row>
    <row r="7799" spans="1:3">
      <c r="A7799">
        <v>7798</v>
      </c>
      <c r="B7799">
        <v>608088040</v>
      </c>
      <c r="C7799">
        <v>608088040</v>
      </c>
    </row>
    <row r="7800" spans="1:3">
      <c r="A7800">
        <v>7799</v>
      </c>
      <c r="B7800">
        <v>608244010</v>
      </c>
      <c r="C7800">
        <v>608244010</v>
      </c>
    </row>
    <row r="7801" spans="1:3">
      <c r="A7801">
        <v>7800</v>
      </c>
      <c r="B7801">
        <v>608400000</v>
      </c>
      <c r="C7801">
        <v>608400000</v>
      </c>
    </row>
    <row r="7802" spans="1:3">
      <c r="A7802">
        <v>7801</v>
      </c>
      <c r="B7802">
        <v>608556010</v>
      </c>
      <c r="C7802">
        <v>608556010</v>
      </c>
    </row>
    <row r="7803" spans="1:3">
      <c r="A7803">
        <v>7802</v>
      </c>
      <c r="B7803">
        <v>608712040</v>
      </c>
      <c r="C7803">
        <v>608712040</v>
      </c>
    </row>
    <row r="7804" spans="1:3">
      <c r="A7804">
        <v>7803</v>
      </c>
      <c r="B7804">
        <v>608868090</v>
      </c>
      <c r="C7804">
        <v>608868090</v>
      </c>
    </row>
    <row r="7805" spans="1:3">
      <c r="A7805">
        <v>7804</v>
      </c>
      <c r="B7805">
        <v>609024160</v>
      </c>
      <c r="C7805">
        <v>609024160</v>
      </c>
    </row>
    <row r="7806" spans="1:3">
      <c r="A7806">
        <v>7805</v>
      </c>
      <c r="B7806">
        <v>609180250</v>
      </c>
      <c r="C7806">
        <v>609180250</v>
      </c>
    </row>
    <row r="7807" spans="1:3">
      <c r="A7807">
        <v>7806</v>
      </c>
      <c r="B7807">
        <v>609336360</v>
      </c>
      <c r="C7807">
        <v>609336360</v>
      </c>
    </row>
    <row r="7808" spans="1:3">
      <c r="A7808">
        <v>7807</v>
      </c>
      <c r="B7808">
        <v>609492490</v>
      </c>
      <c r="C7808">
        <v>609492490</v>
      </c>
    </row>
    <row r="7809" spans="1:3">
      <c r="A7809">
        <v>7808</v>
      </c>
      <c r="B7809">
        <v>609648640</v>
      </c>
      <c r="C7809">
        <v>609648640</v>
      </c>
    </row>
    <row r="7810" spans="1:3">
      <c r="A7810">
        <v>7809</v>
      </c>
      <c r="B7810">
        <v>609804810</v>
      </c>
      <c r="C7810">
        <v>609804810</v>
      </c>
    </row>
    <row r="7811" spans="1:3">
      <c r="A7811">
        <v>7810</v>
      </c>
      <c r="B7811">
        <v>609961000</v>
      </c>
      <c r="C7811">
        <v>609961000</v>
      </c>
    </row>
    <row r="7812" spans="1:3">
      <c r="A7812">
        <v>7811</v>
      </c>
      <c r="B7812">
        <v>610117210</v>
      </c>
      <c r="C7812">
        <v>610117210</v>
      </c>
    </row>
    <row r="7813" spans="1:3">
      <c r="A7813">
        <v>7812</v>
      </c>
      <c r="B7813">
        <v>610273440</v>
      </c>
      <c r="C7813">
        <v>610273440</v>
      </c>
    </row>
    <row r="7814" spans="1:3">
      <c r="A7814">
        <v>7813</v>
      </c>
      <c r="B7814">
        <v>610429690</v>
      </c>
      <c r="C7814">
        <v>610429690</v>
      </c>
    </row>
    <row r="7815" spans="1:3">
      <c r="A7815">
        <v>7814</v>
      </c>
      <c r="B7815">
        <v>610585960</v>
      </c>
      <c r="C7815">
        <v>610585960</v>
      </c>
    </row>
    <row r="7816" spans="1:3">
      <c r="A7816">
        <v>7815</v>
      </c>
      <c r="B7816">
        <v>610742250</v>
      </c>
      <c r="C7816">
        <v>610742250</v>
      </c>
    </row>
    <row r="7817" spans="1:3">
      <c r="A7817">
        <v>7816</v>
      </c>
      <c r="B7817">
        <v>610898560</v>
      </c>
      <c r="C7817">
        <v>610898560</v>
      </c>
    </row>
    <row r="7818" spans="1:3">
      <c r="A7818">
        <v>7817</v>
      </c>
      <c r="B7818">
        <v>611054890</v>
      </c>
      <c r="C7818">
        <v>611054890</v>
      </c>
    </row>
    <row r="7819" spans="1:3">
      <c r="A7819">
        <v>7818</v>
      </c>
      <c r="B7819">
        <v>611211240</v>
      </c>
      <c r="C7819">
        <v>611211240</v>
      </c>
    </row>
    <row r="7820" spans="1:3">
      <c r="A7820">
        <v>7819</v>
      </c>
      <c r="B7820">
        <v>611367610</v>
      </c>
      <c r="C7820">
        <v>611367610</v>
      </c>
    </row>
    <row r="7821" spans="1:3">
      <c r="A7821">
        <v>7820</v>
      </c>
      <c r="B7821">
        <v>611524000</v>
      </c>
      <c r="C7821">
        <v>611524000</v>
      </c>
    </row>
    <row r="7822" spans="1:3">
      <c r="A7822">
        <v>7821</v>
      </c>
      <c r="B7822">
        <v>611680410</v>
      </c>
      <c r="C7822">
        <v>611680410</v>
      </c>
    </row>
    <row r="7823" spans="1:3">
      <c r="A7823">
        <v>7822</v>
      </c>
      <c r="B7823">
        <v>611836840</v>
      </c>
      <c r="C7823">
        <v>611836840</v>
      </c>
    </row>
    <row r="7824" spans="1:3">
      <c r="A7824">
        <v>7823</v>
      </c>
      <c r="B7824">
        <v>611993290</v>
      </c>
      <c r="C7824">
        <v>611993290</v>
      </c>
    </row>
    <row r="7825" spans="1:3">
      <c r="A7825">
        <v>7824</v>
      </c>
      <c r="B7825">
        <v>612149760</v>
      </c>
      <c r="C7825">
        <v>612149760</v>
      </c>
    </row>
    <row r="7826" spans="1:3">
      <c r="A7826">
        <v>7825</v>
      </c>
      <c r="B7826">
        <v>612306250</v>
      </c>
      <c r="C7826">
        <v>612306250</v>
      </c>
    </row>
    <row r="7827" spans="1:3">
      <c r="A7827">
        <v>7826</v>
      </c>
      <c r="B7827">
        <v>612462760</v>
      </c>
      <c r="C7827">
        <v>612462760</v>
      </c>
    </row>
    <row r="7828" spans="1:3">
      <c r="A7828">
        <v>7827</v>
      </c>
      <c r="B7828">
        <v>612619290</v>
      </c>
      <c r="C7828">
        <v>612619290</v>
      </c>
    </row>
    <row r="7829" spans="1:3">
      <c r="A7829">
        <v>7828</v>
      </c>
      <c r="B7829">
        <v>612775840</v>
      </c>
      <c r="C7829">
        <v>612775840</v>
      </c>
    </row>
    <row r="7830" spans="1:3">
      <c r="A7830">
        <v>7829</v>
      </c>
      <c r="B7830">
        <v>612932410</v>
      </c>
      <c r="C7830">
        <v>612932410</v>
      </c>
    </row>
    <row r="7831" spans="1:3">
      <c r="A7831">
        <v>7830</v>
      </c>
      <c r="B7831">
        <v>613089000</v>
      </c>
      <c r="C7831">
        <v>613089000</v>
      </c>
    </row>
    <row r="7832" spans="1:3">
      <c r="A7832">
        <v>7831</v>
      </c>
      <c r="B7832">
        <v>613245610</v>
      </c>
      <c r="C7832">
        <v>613245610</v>
      </c>
    </row>
    <row r="7833" spans="1:3">
      <c r="A7833">
        <v>7832</v>
      </c>
      <c r="B7833">
        <v>613402240</v>
      </c>
      <c r="C7833">
        <v>613402240</v>
      </c>
    </row>
    <row r="7834" spans="1:3">
      <c r="A7834">
        <v>7833</v>
      </c>
      <c r="B7834">
        <v>613558890</v>
      </c>
      <c r="C7834">
        <v>613558890</v>
      </c>
    </row>
    <row r="7835" spans="1:3">
      <c r="A7835">
        <v>7834</v>
      </c>
      <c r="B7835">
        <v>613715560</v>
      </c>
      <c r="C7835">
        <v>613715560</v>
      </c>
    </row>
    <row r="7836" spans="1:3">
      <c r="A7836">
        <v>7835</v>
      </c>
      <c r="B7836">
        <v>613872250</v>
      </c>
      <c r="C7836">
        <v>613872250</v>
      </c>
    </row>
    <row r="7837" spans="1:3">
      <c r="A7837">
        <v>7836</v>
      </c>
      <c r="B7837">
        <v>614028960</v>
      </c>
      <c r="C7837">
        <v>614028960</v>
      </c>
    </row>
    <row r="7838" spans="1:3">
      <c r="A7838">
        <v>7837</v>
      </c>
      <c r="B7838">
        <v>614185690</v>
      </c>
      <c r="C7838">
        <v>614185690</v>
      </c>
    </row>
    <row r="7839" spans="1:3">
      <c r="A7839">
        <v>7838</v>
      </c>
      <c r="B7839">
        <v>614342440</v>
      </c>
      <c r="C7839">
        <v>614342440</v>
      </c>
    </row>
    <row r="7840" spans="1:3">
      <c r="A7840">
        <v>7839</v>
      </c>
      <c r="B7840">
        <v>614499210</v>
      </c>
      <c r="C7840">
        <v>614499210</v>
      </c>
    </row>
    <row r="7841" spans="1:3">
      <c r="A7841">
        <v>7840</v>
      </c>
      <c r="B7841">
        <v>614656000</v>
      </c>
      <c r="C7841">
        <v>614656000</v>
      </c>
    </row>
    <row r="7842" spans="1:3">
      <c r="A7842">
        <v>7841</v>
      </c>
      <c r="B7842">
        <v>614812810</v>
      </c>
      <c r="C7842">
        <v>614812810</v>
      </c>
    </row>
    <row r="7843" spans="1:3">
      <c r="A7843">
        <v>7842</v>
      </c>
      <c r="B7843">
        <v>614969640</v>
      </c>
      <c r="C7843">
        <v>614969640</v>
      </c>
    </row>
    <row r="7844" spans="1:3">
      <c r="A7844">
        <v>7843</v>
      </c>
      <c r="B7844">
        <v>615126490</v>
      </c>
      <c r="C7844">
        <v>615126490</v>
      </c>
    </row>
    <row r="7845" spans="1:3">
      <c r="A7845">
        <v>7844</v>
      </c>
      <c r="B7845">
        <v>615283360</v>
      </c>
      <c r="C7845">
        <v>615283360</v>
      </c>
    </row>
    <row r="7846" spans="1:3">
      <c r="A7846">
        <v>7845</v>
      </c>
      <c r="B7846">
        <v>615440250</v>
      </c>
      <c r="C7846">
        <v>615440250</v>
      </c>
    </row>
    <row r="7847" spans="1:3">
      <c r="A7847">
        <v>7846</v>
      </c>
      <c r="B7847">
        <v>615597160</v>
      </c>
      <c r="C7847">
        <v>615597160</v>
      </c>
    </row>
    <row r="7848" spans="1:3">
      <c r="A7848">
        <v>7847</v>
      </c>
      <c r="B7848">
        <v>615754090</v>
      </c>
      <c r="C7848">
        <v>615754090</v>
      </c>
    </row>
    <row r="7849" spans="1:3">
      <c r="A7849">
        <v>7848</v>
      </c>
      <c r="B7849">
        <v>615911040</v>
      </c>
      <c r="C7849">
        <v>615911040</v>
      </c>
    </row>
    <row r="7850" spans="1:3">
      <c r="A7850">
        <v>7849</v>
      </c>
      <c r="B7850">
        <v>616068010</v>
      </c>
      <c r="C7850">
        <v>616068010</v>
      </c>
    </row>
    <row r="7851" spans="1:3">
      <c r="A7851">
        <v>7850</v>
      </c>
      <c r="B7851">
        <v>616225000</v>
      </c>
      <c r="C7851">
        <v>616225000</v>
      </c>
    </row>
    <row r="7852" spans="1:3">
      <c r="A7852">
        <v>7851</v>
      </c>
      <c r="B7852">
        <v>616382010</v>
      </c>
      <c r="C7852">
        <v>616382010</v>
      </c>
    </row>
    <row r="7853" spans="1:3">
      <c r="A7853">
        <v>7852</v>
      </c>
      <c r="B7853">
        <v>616539040</v>
      </c>
      <c r="C7853">
        <v>616539040</v>
      </c>
    </row>
    <row r="7854" spans="1:3">
      <c r="A7854">
        <v>7853</v>
      </c>
      <c r="B7854">
        <v>616696090</v>
      </c>
      <c r="C7854">
        <v>616696090</v>
      </c>
    </row>
    <row r="7855" spans="1:3">
      <c r="A7855">
        <v>7854</v>
      </c>
      <c r="B7855">
        <v>616853160</v>
      </c>
      <c r="C7855">
        <v>616853160</v>
      </c>
    </row>
    <row r="7856" spans="1:3">
      <c r="A7856">
        <v>7855</v>
      </c>
      <c r="B7856">
        <v>617010250</v>
      </c>
      <c r="C7856">
        <v>617010250</v>
      </c>
    </row>
    <row r="7857" spans="1:3">
      <c r="A7857">
        <v>7856</v>
      </c>
      <c r="B7857">
        <v>617167360</v>
      </c>
      <c r="C7857">
        <v>617167360</v>
      </c>
    </row>
    <row r="7858" spans="1:3">
      <c r="A7858">
        <v>7857</v>
      </c>
      <c r="B7858">
        <v>617324490</v>
      </c>
      <c r="C7858">
        <v>617324490</v>
      </c>
    </row>
    <row r="7859" spans="1:3">
      <c r="A7859">
        <v>7858</v>
      </c>
      <c r="B7859">
        <v>617481640</v>
      </c>
      <c r="C7859">
        <v>617481640</v>
      </c>
    </row>
    <row r="7860" spans="1:3">
      <c r="A7860">
        <v>7859</v>
      </c>
      <c r="B7860">
        <v>617638810</v>
      </c>
      <c r="C7860">
        <v>617638810</v>
      </c>
    </row>
    <row r="7861" spans="1:3">
      <c r="A7861">
        <v>7860</v>
      </c>
      <c r="B7861">
        <v>617796000</v>
      </c>
      <c r="C7861">
        <v>617796000</v>
      </c>
    </row>
    <row r="7862" spans="1:3">
      <c r="A7862">
        <v>7861</v>
      </c>
      <c r="B7862">
        <v>617953210</v>
      </c>
      <c r="C7862">
        <v>617953210</v>
      </c>
    </row>
    <row r="7863" spans="1:3">
      <c r="A7863">
        <v>7862</v>
      </c>
      <c r="B7863">
        <v>618110440</v>
      </c>
      <c r="C7863">
        <v>618110440</v>
      </c>
    </row>
    <row r="7864" spans="1:3">
      <c r="A7864">
        <v>7863</v>
      </c>
      <c r="B7864">
        <v>618267690</v>
      </c>
      <c r="C7864">
        <v>618267690</v>
      </c>
    </row>
    <row r="7865" spans="1:3">
      <c r="A7865">
        <v>7864</v>
      </c>
      <c r="B7865">
        <v>618424960</v>
      </c>
      <c r="C7865">
        <v>618424960</v>
      </c>
    </row>
    <row r="7866" spans="1:3">
      <c r="A7866">
        <v>7865</v>
      </c>
      <c r="B7866">
        <v>618582250</v>
      </c>
      <c r="C7866">
        <v>618582250</v>
      </c>
    </row>
    <row r="7867" spans="1:3">
      <c r="A7867">
        <v>7866</v>
      </c>
      <c r="B7867">
        <v>618739560</v>
      </c>
      <c r="C7867">
        <v>618739560</v>
      </c>
    </row>
    <row r="7868" spans="1:3">
      <c r="A7868">
        <v>7867</v>
      </c>
      <c r="B7868">
        <v>618896890</v>
      </c>
      <c r="C7868">
        <v>618896890</v>
      </c>
    </row>
    <row r="7869" spans="1:3">
      <c r="A7869">
        <v>7868</v>
      </c>
      <c r="B7869">
        <v>619054240</v>
      </c>
      <c r="C7869">
        <v>619054240</v>
      </c>
    </row>
    <row r="7870" spans="1:3">
      <c r="A7870">
        <v>7869</v>
      </c>
      <c r="B7870">
        <v>619211610</v>
      </c>
      <c r="C7870">
        <v>619211610</v>
      </c>
    </row>
    <row r="7871" spans="1:3">
      <c r="A7871">
        <v>7870</v>
      </c>
      <c r="B7871">
        <v>619369000</v>
      </c>
      <c r="C7871">
        <v>619369000</v>
      </c>
    </row>
    <row r="7872" spans="1:3">
      <c r="A7872">
        <v>7871</v>
      </c>
      <c r="B7872">
        <v>619526410</v>
      </c>
      <c r="C7872">
        <v>619526410</v>
      </c>
    </row>
    <row r="7873" spans="1:3">
      <c r="A7873">
        <v>7872</v>
      </c>
      <c r="B7873">
        <v>619683840</v>
      </c>
      <c r="C7873">
        <v>619683840</v>
      </c>
    </row>
    <row r="7874" spans="1:3">
      <c r="A7874">
        <v>7873</v>
      </c>
      <c r="B7874">
        <v>619841290</v>
      </c>
      <c r="C7874">
        <v>619841290</v>
      </c>
    </row>
    <row r="7875" spans="1:3">
      <c r="A7875">
        <v>7874</v>
      </c>
      <c r="B7875">
        <v>619998760</v>
      </c>
      <c r="C7875">
        <v>619998760</v>
      </c>
    </row>
    <row r="7876" spans="1:3">
      <c r="A7876">
        <v>7875</v>
      </c>
      <c r="B7876">
        <v>620156250</v>
      </c>
      <c r="C7876">
        <v>620156250</v>
      </c>
    </row>
    <row r="7877" spans="1:3">
      <c r="A7877">
        <v>7876</v>
      </c>
      <c r="B7877">
        <v>620313760</v>
      </c>
      <c r="C7877">
        <v>620313760</v>
      </c>
    </row>
    <row r="7878" spans="1:3">
      <c r="A7878">
        <v>7877</v>
      </c>
      <c r="B7878">
        <v>620471290</v>
      </c>
      <c r="C7878">
        <v>620471290</v>
      </c>
    </row>
    <row r="7879" spans="1:3">
      <c r="A7879">
        <v>7878</v>
      </c>
      <c r="B7879">
        <v>620628840</v>
      </c>
      <c r="C7879">
        <v>620628840</v>
      </c>
    </row>
    <row r="7880" spans="1:3">
      <c r="A7880">
        <v>7879</v>
      </c>
      <c r="B7880">
        <v>620786410</v>
      </c>
      <c r="C7880">
        <v>620786410</v>
      </c>
    </row>
    <row r="7881" spans="1:3">
      <c r="A7881">
        <v>7880</v>
      </c>
      <c r="B7881">
        <v>620944000</v>
      </c>
      <c r="C7881">
        <v>620944000</v>
      </c>
    </row>
    <row r="7882" spans="1:3">
      <c r="A7882">
        <v>7881</v>
      </c>
      <c r="B7882">
        <v>621101610</v>
      </c>
      <c r="C7882">
        <v>621101610</v>
      </c>
    </row>
    <row r="7883" spans="1:3">
      <c r="A7883">
        <v>7882</v>
      </c>
      <c r="B7883">
        <v>621259240</v>
      </c>
      <c r="C7883">
        <v>621259240</v>
      </c>
    </row>
    <row r="7884" spans="1:3">
      <c r="A7884">
        <v>7883</v>
      </c>
      <c r="B7884">
        <v>621416890</v>
      </c>
      <c r="C7884">
        <v>621416890</v>
      </c>
    </row>
    <row r="7885" spans="1:3">
      <c r="A7885">
        <v>7884</v>
      </c>
      <c r="B7885">
        <v>621574560</v>
      </c>
      <c r="C7885">
        <v>621574560</v>
      </c>
    </row>
    <row r="7886" spans="1:3">
      <c r="A7886">
        <v>7885</v>
      </c>
      <c r="B7886">
        <v>621732250</v>
      </c>
      <c r="C7886">
        <v>621732250</v>
      </c>
    </row>
    <row r="7887" spans="1:3">
      <c r="A7887">
        <v>7886</v>
      </c>
      <c r="B7887">
        <v>621889960</v>
      </c>
      <c r="C7887">
        <v>621889960</v>
      </c>
    </row>
    <row r="7888" spans="1:3">
      <c r="A7888">
        <v>7887</v>
      </c>
      <c r="B7888">
        <v>622047690</v>
      </c>
      <c r="C7888">
        <v>622047690</v>
      </c>
    </row>
    <row r="7889" spans="1:3">
      <c r="A7889">
        <v>7888</v>
      </c>
      <c r="B7889">
        <v>622205440</v>
      </c>
      <c r="C7889">
        <v>622205440</v>
      </c>
    </row>
    <row r="7890" spans="1:3">
      <c r="A7890">
        <v>7889</v>
      </c>
      <c r="B7890">
        <v>622363210</v>
      </c>
      <c r="C7890">
        <v>622363210</v>
      </c>
    </row>
    <row r="7891" spans="1:3">
      <c r="A7891">
        <v>7890</v>
      </c>
      <c r="B7891">
        <v>622521000</v>
      </c>
      <c r="C7891">
        <v>622521000</v>
      </c>
    </row>
    <row r="7892" spans="1:3">
      <c r="A7892">
        <v>7891</v>
      </c>
      <c r="B7892">
        <v>622678810</v>
      </c>
      <c r="C7892">
        <v>622678810</v>
      </c>
    </row>
    <row r="7893" spans="1:3">
      <c r="A7893">
        <v>7892</v>
      </c>
      <c r="B7893">
        <v>622836640</v>
      </c>
      <c r="C7893">
        <v>622836640</v>
      </c>
    </row>
    <row r="7894" spans="1:3">
      <c r="A7894">
        <v>7893</v>
      </c>
      <c r="B7894">
        <v>622994490</v>
      </c>
      <c r="C7894">
        <v>622994490</v>
      </c>
    </row>
    <row r="7895" spans="1:3">
      <c r="A7895">
        <v>7894</v>
      </c>
      <c r="B7895">
        <v>623152360</v>
      </c>
      <c r="C7895">
        <v>623152360</v>
      </c>
    </row>
    <row r="7896" spans="1:3">
      <c r="A7896">
        <v>7895</v>
      </c>
      <c r="B7896">
        <v>623310250</v>
      </c>
      <c r="C7896">
        <v>623310250</v>
      </c>
    </row>
    <row r="7897" spans="1:3">
      <c r="A7897">
        <v>7896</v>
      </c>
      <c r="B7897">
        <v>623468160</v>
      </c>
      <c r="C7897">
        <v>623468160</v>
      </c>
    </row>
    <row r="7898" spans="1:3">
      <c r="A7898">
        <v>7897</v>
      </c>
      <c r="B7898">
        <v>623626090</v>
      </c>
      <c r="C7898">
        <v>623626090</v>
      </c>
    </row>
    <row r="7899" spans="1:3">
      <c r="A7899">
        <v>7898</v>
      </c>
      <c r="B7899">
        <v>623784040</v>
      </c>
      <c r="C7899">
        <v>623784040</v>
      </c>
    </row>
    <row r="7900" spans="1:3">
      <c r="A7900">
        <v>7899</v>
      </c>
      <c r="B7900">
        <v>623942010</v>
      </c>
      <c r="C7900">
        <v>623942010</v>
      </c>
    </row>
    <row r="7901" spans="1:3">
      <c r="A7901">
        <v>7900</v>
      </c>
      <c r="B7901">
        <v>624100000</v>
      </c>
      <c r="C7901">
        <v>624100000</v>
      </c>
    </row>
    <row r="7902" spans="1:3">
      <c r="A7902">
        <v>7901</v>
      </c>
      <c r="B7902">
        <v>624258010</v>
      </c>
      <c r="C7902">
        <v>624258010</v>
      </c>
    </row>
    <row r="7903" spans="1:3">
      <c r="A7903">
        <v>7902</v>
      </c>
      <c r="B7903">
        <v>624416040</v>
      </c>
      <c r="C7903">
        <v>624416040</v>
      </c>
    </row>
    <row r="7904" spans="1:3">
      <c r="A7904">
        <v>7903</v>
      </c>
      <c r="B7904">
        <v>624574090</v>
      </c>
      <c r="C7904">
        <v>624574090</v>
      </c>
    </row>
    <row r="7905" spans="1:3">
      <c r="A7905">
        <v>7904</v>
      </c>
      <c r="B7905">
        <v>624732160</v>
      </c>
      <c r="C7905">
        <v>624732160</v>
      </c>
    </row>
    <row r="7906" spans="1:3">
      <c r="A7906">
        <v>7905</v>
      </c>
      <c r="B7906">
        <v>624890250</v>
      </c>
      <c r="C7906">
        <v>624890250</v>
      </c>
    </row>
    <row r="7907" spans="1:3">
      <c r="A7907">
        <v>7906</v>
      </c>
      <c r="B7907">
        <v>625048360</v>
      </c>
      <c r="C7907">
        <v>625048360</v>
      </c>
    </row>
    <row r="7908" spans="1:3">
      <c r="A7908">
        <v>7907</v>
      </c>
      <c r="B7908">
        <v>625206490</v>
      </c>
      <c r="C7908">
        <v>625206490</v>
      </c>
    </row>
    <row r="7909" spans="1:3">
      <c r="A7909">
        <v>7908</v>
      </c>
      <c r="B7909">
        <v>625364640</v>
      </c>
      <c r="C7909">
        <v>625364640</v>
      </c>
    </row>
    <row r="7910" spans="1:3">
      <c r="A7910">
        <v>7909</v>
      </c>
      <c r="B7910">
        <v>625522810</v>
      </c>
      <c r="C7910">
        <v>625522810</v>
      </c>
    </row>
    <row r="7911" spans="1:3">
      <c r="A7911">
        <v>7910</v>
      </c>
      <c r="B7911">
        <v>625681000</v>
      </c>
      <c r="C7911">
        <v>625681000</v>
      </c>
    </row>
    <row r="7912" spans="1:3">
      <c r="A7912">
        <v>7911</v>
      </c>
      <c r="B7912">
        <v>625839210</v>
      </c>
      <c r="C7912">
        <v>625839210</v>
      </c>
    </row>
    <row r="7913" spans="1:3">
      <c r="A7913">
        <v>7912</v>
      </c>
      <c r="B7913">
        <v>625997440</v>
      </c>
      <c r="C7913">
        <v>625997440</v>
      </c>
    </row>
    <row r="7914" spans="1:3">
      <c r="A7914">
        <v>7913</v>
      </c>
      <c r="B7914">
        <v>626155690</v>
      </c>
      <c r="C7914">
        <v>626155690</v>
      </c>
    </row>
    <row r="7915" spans="1:3">
      <c r="A7915">
        <v>7914</v>
      </c>
      <c r="B7915">
        <v>626313960</v>
      </c>
      <c r="C7915">
        <v>626313960</v>
      </c>
    </row>
    <row r="7916" spans="1:3">
      <c r="A7916">
        <v>7915</v>
      </c>
      <c r="B7916">
        <v>626472250</v>
      </c>
      <c r="C7916">
        <v>626472250</v>
      </c>
    </row>
    <row r="7917" spans="1:3">
      <c r="A7917">
        <v>7916</v>
      </c>
      <c r="B7917">
        <v>626630560</v>
      </c>
      <c r="C7917">
        <v>626630560</v>
      </c>
    </row>
    <row r="7918" spans="1:3">
      <c r="A7918">
        <v>7917</v>
      </c>
      <c r="B7918">
        <v>626788890</v>
      </c>
      <c r="C7918">
        <v>626788890</v>
      </c>
    </row>
    <row r="7919" spans="1:3">
      <c r="A7919">
        <v>7918</v>
      </c>
      <c r="B7919">
        <v>626947240</v>
      </c>
      <c r="C7919">
        <v>626947240</v>
      </c>
    </row>
    <row r="7920" spans="1:3">
      <c r="A7920">
        <v>7919</v>
      </c>
      <c r="B7920">
        <v>627105610</v>
      </c>
      <c r="C7920">
        <v>627105610</v>
      </c>
    </row>
    <row r="7921" spans="1:3">
      <c r="A7921">
        <v>7920</v>
      </c>
      <c r="B7921">
        <v>627264000</v>
      </c>
      <c r="C7921">
        <v>627264000</v>
      </c>
    </row>
    <row r="7922" spans="1:3">
      <c r="A7922">
        <v>7921</v>
      </c>
      <c r="B7922">
        <v>627422410</v>
      </c>
      <c r="C7922">
        <v>627422410</v>
      </c>
    </row>
    <row r="7923" spans="1:3">
      <c r="A7923">
        <v>7922</v>
      </c>
      <c r="B7923">
        <v>627580840</v>
      </c>
      <c r="C7923">
        <v>627580840</v>
      </c>
    </row>
    <row r="7924" spans="1:3">
      <c r="A7924">
        <v>7923</v>
      </c>
      <c r="B7924">
        <v>627739290</v>
      </c>
      <c r="C7924">
        <v>627739290</v>
      </c>
    </row>
    <row r="7925" spans="1:3">
      <c r="A7925">
        <v>7924</v>
      </c>
      <c r="B7925">
        <v>627897760</v>
      </c>
      <c r="C7925">
        <v>627897760</v>
      </c>
    </row>
    <row r="7926" spans="1:3">
      <c r="A7926">
        <v>7925</v>
      </c>
      <c r="B7926">
        <v>628056250</v>
      </c>
      <c r="C7926">
        <v>628056250</v>
      </c>
    </row>
    <row r="7927" spans="1:3">
      <c r="A7927">
        <v>7926</v>
      </c>
      <c r="B7927">
        <v>628214760</v>
      </c>
      <c r="C7927">
        <v>628214760</v>
      </c>
    </row>
    <row r="7928" spans="1:3">
      <c r="A7928">
        <v>7927</v>
      </c>
      <c r="B7928">
        <v>628373290</v>
      </c>
      <c r="C7928">
        <v>628373290</v>
      </c>
    </row>
    <row r="7929" spans="1:3">
      <c r="A7929">
        <v>7928</v>
      </c>
      <c r="B7929">
        <v>628531840</v>
      </c>
      <c r="C7929">
        <v>628531840</v>
      </c>
    </row>
    <row r="7930" spans="1:3">
      <c r="A7930">
        <v>7929</v>
      </c>
      <c r="B7930">
        <v>628690410</v>
      </c>
      <c r="C7930">
        <v>628690410</v>
      </c>
    </row>
    <row r="7931" spans="1:3">
      <c r="A7931">
        <v>7930</v>
      </c>
      <c r="B7931">
        <v>628849000</v>
      </c>
      <c r="C7931">
        <v>628849000</v>
      </c>
    </row>
    <row r="7932" spans="1:3">
      <c r="A7932">
        <v>7931</v>
      </c>
      <c r="B7932">
        <v>629007610</v>
      </c>
      <c r="C7932">
        <v>629007610</v>
      </c>
    </row>
    <row r="7933" spans="1:3">
      <c r="A7933">
        <v>7932</v>
      </c>
      <c r="B7933">
        <v>629166240</v>
      </c>
      <c r="C7933">
        <v>629166240</v>
      </c>
    </row>
    <row r="7934" spans="1:3">
      <c r="A7934">
        <v>7933</v>
      </c>
      <c r="B7934">
        <v>629324890</v>
      </c>
      <c r="C7934">
        <v>629324890</v>
      </c>
    </row>
    <row r="7935" spans="1:3">
      <c r="A7935">
        <v>7934</v>
      </c>
      <c r="B7935">
        <v>629483560</v>
      </c>
      <c r="C7935">
        <v>629483560</v>
      </c>
    </row>
    <row r="7936" spans="1:3">
      <c r="A7936">
        <v>7935</v>
      </c>
      <c r="B7936">
        <v>629642250</v>
      </c>
      <c r="C7936">
        <v>629642250</v>
      </c>
    </row>
    <row r="7937" spans="1:3">
      <c r="A7937">
        <v>7936</v>
      </c>
      <c r="B7937">
        <v>629800960</v>
      </c>
      <c r="C7937">
        <v>629800960</v>
      </c>
    </row>
    <row r="7938" spans="1:3">
      <c r="A7938">
        <v>7937</v>
      </c>
      <c r="B7938">
        <v>629959690</v>
      </c>
      <c r="C7938">
        <v>629959690</v>
      </c>
    </row>
    <row r="7939" spans="1:3">
      <c r="A7939">
        <v>7938</v>
      </c>
      <c r="B7939">
        <v>630118440</v>
      </c>
      <c r="C7939">
        <v>630118440</v>
      </c>
    </row>
    <row r="7940" spans="1:3">
      <c r="A7940">
        <v>7939</v>
      </c>
      <c r="B7940">
        <v>630277210</v>
      </c>
      <c r="C7940">
        <v>630277210</v>
      </c>
    </row>
    <row r="7941" spans="1:3">
      <c r="A7941">
        <v>7940</v>
      </c>
      <c r="B7941">
        <v>630436000</v>
      </c>
      <c r="C7941">
        <v>630436000</v>
      </c>
    </row>
    <row r="7942" spans="1:3">
      <c r="A7942">
        <v>7941</v>
      </c>
      <c r="B7942">
        <v>630594810</v>
      </c>
      <c r="C7942">
        <v>630594810</v>
      </c>
    </row>
    <row r="7943" spans="1:3">
      <c r="A7943">
        <v>7942</v>
      </c>
      <c r="B7943">
        <v>630753640</v>
      </c>
      <c r="C7943">
        <v>630753640</v>
      </c>
    </row>
    <row r="7944" spans="1:3">
      <c r="A7944">
        <v>7943</v>
      </c>
      <c r="B7944">
        <v>630912490</v>
      </c>
      <c r="C7944">
        <v>630912490</v>
      </c>
    </row>
    <row r="7945" spans="1:3">
      <c r="A7945">
        <v>7944</v>
      </c>
      <c r="B7945">
        <v>631071360</v>
      </c>
      <c r="C7945">
        <v>631071360</v>
      </c>
    </row>
    <row r="7946" spans="1:3">
      <c r="A7946">
        <v>7945</v>
      </c>
      <c r="B7946">
        <v>631230250</v>
      </c>
      <c r="C7946">
        <v>631230250</v>
      </c>
    </row>
    <row r="7947" spans="1:3">
      <c r="A7947">
        <v>7946</v>
      </c>
      <c r="B7947">
        <v>631389160</v>
      </c>
      <c r="C7947">
        <v>631389160</v>
      </c>
    </row>
    <row r="7948" spans="1:3">
      <c r="A7948">
        <v>7947</v>
      </c>
      <c r="B7948">
        <v>631548090</v>
      </c>
      <c r="C7948">
        <v>631548090</v>
      </c>
    </row>
    <row r="7949" spans="1:3">
      <c r="A7949">
        <v>7948</v>
      </c>
      <c r="B7949">
        <v>631707040</v>
      </c>
      <c r="C7949">
        <v>631707040</v>
      </c>
    </row>
    <row r="7950" spans="1:3">
      <c r="A7950">
        <v>7949</v>
      </c>
      <c r="B7950">
        <v>631866010</v>
      </c>
      <c r="C7950">
        <v>631866010</v>
      </c>
    </row>
    <row r="7951" spans="1:3">
      <c r="A7951">
        <v>7950</v>
      </c>
      <c r="B7951">
        <v>632025000</v>
      </c>
      <c r="C7951">
        <v>632025000</v>
      </c>
    </row>
    <row r="7952" spans="1:3">
      <c r="A7952">
        <v>7951</v>
      </c>
      <c r="B7952">
        <v>632184010</v>
      </c>
      <c r="C7952">
        <v>632184010</v>
      </c>
    </row>
    <row r="7953" spans="1:3">
      <c r="A7953">
        <v>7952</v>
      </c>
      <c r="B7953">
        <v>632343040</v>
      </c>
      <c r="C7953">
        <v>632343040</v>
      </c>
    </row>
    <row r="7954" spans="1:3">
      <c r="A7954">
        <v>7953</v>
      </c>
      <c r="B7954">
        <v>632502090</v>
      </c>
      <c r="C7954">
        <v>632502090</v>
      </c>
    </row>
    <row r="7955" spans="1:3">
      <c r="A7955">
        <v>7954</v>
      </c>
      <c r="B7955">
        <v>632661160</v>
      </c>
      <c r="C7955">
        <v>632661160</v>
      </c>
    </row>
    <row r="7956" spans="1:3">
      <c r="A7956">
        <v>7955</v>
      </c>
      <c r="B7956">
        <v>632820250</v>
      </c>
      <c r="C7956">
        <v>632820250</v>
      </c>
    </row>
    <row r="7957" spans="1:3">
      <c r="A7957">
        <v>7956</v>
      </c>
      <c r="B7957">
        <v>632979360</v>
      </c>
      <c r="C7957">
        <v>632979360</v>
      </c>
    </row>
    <row r="7958" spans="1:3">
      <c r="A7958">
        <v>7957</v>
      </c>
      <c r="B7958">
        <v>633138490</v>
      </c>
      <c r="C7958">
        <v>633138490</v>
      </c>
    </row>
    <row r="7959" spans="1:3">
      <c r="A7959">
        <v>7958</v>
      </c>
      <c r="B7959">
        <v>633297640</v>
      </c>
      <c r="C7959">
        <v>633297640</v>
      </c>
    </row>
    <row r="7960" spans="1:3">
      <c r="A7960">
        <v>7959</v>
      </c>
      <c r="B7960">
        <v>633456810</v>
      </c>
      <c r="C7960">
        <v>633456810</v>
      </c>
    </row>
    <row r="7961" spans="1:3">
      <c r="A7961">
        <v>7960</v>
      </c>
      <c r="B7961">
        <v>633616000</v>
      </c>
      <c r="C7961">
        <v>633616000</v>
      </c>
    </row>
    <row r="7962" spans="1:3">
      <c r="A7962">
        <v>7961</v>
      </c>
      <c r="B7962">
        <v>633775210</v>
      </c>
      <c r="C7962">
        <v>633775210</v>
      </c>
    </row>
    <row r="7963" spans="1:3">
      <c r="A7963">
        <v>7962</v>
      </c>
      <c r="B7963">
        <v>633934440</v>
      </c>
      <c r="C7963">
        <v>633934440</v>
      </c>
    </row>
    <row r="7964" spans="1:3">
      <c r="A7964">
        <v>7963</v>
      </c>
      <c r="B7964">
        <v>634093690</v>
      </c>
      <c r="C7964">
        <v>634093690</v>
      </c>
    </row>
    <row r="7965" spans="1:3">
      <c r="A7965">
        <v>7964</v>
      </c>
      <c r="B7965">
        <v>634252960</v>
      </c>
      <c r="C7965">
        <v>634252960</v>
      </c>
    </row>
    <row r="7966" spans="1:3">
      <c r="A7966">
        <v>7965</v>
      </c>
      <c r="B7966">
        <v>634412250</v>
      </c>
      <c r="C7966">
        <v>634412250</v>
      </c>
    </row>
    <row r="7967" spans="1:3">
      <c r="A7967">
        <v>7966</v>
      </c>
      <c r="B7967">
        <v>634571560</v>
      </c>
      <c r="C7967">
        <v>634571560</v>
      </c>
    </row>
    <row r="7968" spans="1:3">
      <c r="A7968">
        <v>7967</v>
      </c>
      <c r="B7968">
        <v>634730890</v>
      </c>
      <c r="C7968">
        <v>634730890</v>
      </c>
    </row>
    <row r="7969" spans="1:3">
      <c r="A7969">
        <v>7968</v>
      </c>
      <c r="B7969">
        <v>634890240</v>
      </c>
      <c r="C7969">
        <v>634890240</v>
      </c>
    </row>
    <row r="7970" spans="1:3">
      <c r="A7970">
        <v>7969</v>
      </c>
      <c r="B7970">
        <v>635049610</v>
      </c>
      <c r="C7970">
        <v>635049610</v>
      </c>
    </row>
    <row r="7971" spans="1:3">
      <c r="A7971">
        <v>7970</v>
      </c>
      <c r="B7971">
        <v>635209000</v>
      </c>
      <c r="C7971">
        <v>635209000</v>
      </c>
    </row>
    <row r="7972" spans="1:3">
      <c r="A7972">
        <v>7971</v>
      </c>
      <c r="B7972">
        <v>635368410</v>
      </c>
      <c r="C7972">
        <v>635368410</v>
      </c>
    </row>
    <row r="7973" spans="1:3">
      <c r="A7973">
        <v>7972</v>
      </c>
      <c r="B7973">
        <v>635527840</v>
      </c>
      <c r="C7973">
        <v>635527840</v>
      </c>
    </row>
    <row r="7974" spans="1:3">
      <c r="A7974">
        <v>7973</v>
      </c>
      <c r="B7974">
        <v>635687290</v>
      </c>
      <c r="C7974">
        <v>635687290</v>
      </c>
    </row>
    <row r="7975" spans="1:3">
      <c r="A7975">
        <v>7974</v>
      </c>
      <c r="B7975">
        <v>635846760</v>
      </c>
      <c r="C7975">
        <v>635846760</v>
      </c>
    </row>
    <row r="7976" spans="1:3">
      <c r="A7976">
        <v>7975</v>
      </c>
      <c r="B7976">
        <v>636006250</v>
      </c>
      <c r="C7976">
        <v>636006250</v>
      </c>
    </row>
    <row r="7977" spans="1:3">
      <c r="A7977">
        <v>7976</v>
      </c>
      <c r="B7977">
        <v>636165760</v>
      </c>
      <c r="C7977">
        <v>636165760</v>
      </c>
    </row>
    <row r="7978" spans="1:3">
      <c r="A7978">
        <v>7977</v>
      </c>
      <c r="B7978">
        <v>636325290</v>
      </c>
      <c r="C7978">
        <v>636325290</v>
      </c>
    </row>
    <row r="7979" spans="1:3">
      <c r="A7979">
        <v>7978</v>
      </c>
      <c r="B7979">
        <v>636484840</v>
      </c>
      <c r="C7979">
        <v>636484840</v>
      </c>
    </row>
    <row r="7980" spans="1:3">
      <c r="A7980">
        <v>7979</v>
      </c>
      <c r="B7980">
        <v>636644410</v>
      </c>
      <c r="C7980">
        <v>636644410</v>
      </c>
    </row>
    <row r="7981" spans="1:3">
      <c r="A7981">
        <v>7980</v>
      </c>
      <c r="B7981">
        <v>636804000</v>
      </c>
      <c r="C7981">
        <v>636804000</v>
      </c>
    </row>
    <row r="7982" spans="1:3">
      <c r="A7982">
        <v>7981</v>
      </c>
      <c r="B7982">
        <v>636963610</v>
      </c>
      <c r="C7982">
        <v>636963610</v>
      </c>
    </row>
    <row r="7983" spans="1:3">
      <c r="A7983">
        <v>7982</v>
      </c>
      <c r="B7983">
        <v>637123240</v>
      </c>
      <c r="C7983">
        <v>637123240</v>
      </c>
    </row>
    <row r="7984" spans="1:3">
      <c r="A7984">
        <v>7983</v>
      </c>
      <c r="B7984">
        <v>637282890</v>
      </c>
      <c r="C7984">
        <v>637282890</v>
      </c>
    </row>
    <row r="7985" spans="1:3">
      <c r="A7985">
        <v>7984</v>
      </c>
      <c r="B7985">
        <v>637442560</v>
      </c>
      <c r="C7985">
        <v>637442560</v>
      </c>
    </row>
    <row r="7986" spans="1:3">
      <c r="A7986">
        <v>7985</v>
      </c>
      <c r="B7986">
        <v>637602250</v>
      </c>
      <c r="C7986">
        <v>637602250</v>
      </c>
    </row>
    <row r="7987" spans="1:3">
      <c r="A7987">
        <v>7986</v>
      </c>
      <c r="B7987">
        <v>637761960</v>
      </c>
      <c r="C7987">
        <v>637761960</v>
      </c>
    </row>
    <row r="7988" spans="1:3">
      <c r="A7988">
        <v>7987</v>
      </c>
      <c r="B7988">
        <v>637921690</v>
      </c>
      <c r="C7988">
        <v>637921690</v>
      </c>
    </row>
    <row r="7989" spans="1:3">
      <c r="A7989">
        <v>7988</v>
      </c>
      <c r="B7989">
        <v>638081440</v>
      </c>
      <c r="C7989">
        <v>638081440</v>
      </c>
    </row>
    <row r="7990" spans="1:3">
      <c r="A7990">
        <v>7989</v>
      </c>
      <c r="B7990">
        <v>638241210</v>
      </c>
      <c r="C7990">
        <v>638241210</v>
      </c>
    </row>
    <row r="7991" spans="1:3">
      <c r="A7991">
        <v>7990</v>
      </c>
      <c r="B7991">
        <v>638401000</v>
      </c>
      <c r="C7991">
        <v>638401000</v>
      </c>
    </row>
    <row r="7992" spans="1:3">
      <c r="A7992">
        <v>7991</v>
      </c>
      <c r="B7992">
        <v>638560810</v>
      </c>
      <c r="C7992">
        <v>638560810</v>
      </c>
    </row>
    <row r="7993" spans="1:3">
      <c r="A7993">
        <v>7992</v>
      </c>
      <c r="B7993">
        <v>638720640</v>
      </c>
      <c r="C7993">
        <v>638720640</v>
      </c>
    </row>
    <row r="7994" spans="1:3">
      <c r="A7994">
        <v>7993</v>
      </c>
      <c r="B7994">
        <v>638880490</v>
      </c>
      <c r="C7994">
        <v>638880490</v>
      </c>
    </row>
    <row r="7995" spans="1:3">
      <c r="A7995">
        <v>7994</v>
      </c>
      <c r="B7995">
        <v>639040360</v>
      </c>
      <c r="C7995">
        <v>639040360</v>
      </c>
    </row>
    <row r="7996" spans="1:3">
      <c r="A7996">
        <v>7995</v>
      </c>
      <c r="B7996">
        <v>639200250</v>
      </c>
      <c r="C7996">
        <v>639200250</v>
      </c>
    </row>
    <row r="7997" spans="1:3">
      <c r="A7997">
        <v>7996</v>
      </c>
      <c r="B7997">
        <v>639360160</v>
      </c>
      <c r="C7997">
        <v>639360160</v>
      </c>
    </row>
    <row r="7998" spans="1:3">
      <c r="A7998">
        <v>7997</v>
      </c>
      <c r="B7998">
        <v>639520090</v>
      </c>
      <c r="C7998">
        <v>639520090</v>
      </c>
    </row>
    <row r="7999" spans="1:3">
      <c r="A7999">
        <v>7998</v>
      </c>
      <c r="B7999">
        <v>639680040</v>
      </c>
      <c r="C7999">
        <v>639680040</v>
      </c>
    </row>
    <row r="8000" spans="1:3">
      <c r="A8000">
        <v>7999</v>
      </c>
      <c r="B8000">
        <v>639840010</v>
      </c>
      <c r="C8000">
        <v>639840010</v>
      </c>
    </row>
    <row r="8001" spans="1:3">
      <c r="A8001">
        <v>8000</v>
      </c>
      <c r="B8001">
        <v>640000000</v>
      </c>
      <c r="C8001">
        <v>640000000</v>
      </c>
    </row>
    <row r="8002" spans="1:3">
      <c r="A8002">
        <v>8001</v>
      </c>
      <c r="B8002">
        <v>640160010</v>
      </c>
      <c r="C8002">
        <v>640160010</v>
      </c>
    </row>
    <row r="8003" spans="1:3">
      <c r="A8003">
        <v>8002</v>
      </c>
      <c r="B8003">
        <v>640320040</v>
      </c>
      <c r="C8003">
        <v>640320040</v>
      </c>
    </row>
    <row r="8004" spans="1:3">
      <c r="A8004">
        <v>8003</v>
      </c>
      <c r="B8004">
        <v>640480090</v>
      </c>
      <c r="C8004">
        <v>640480090</v>
      </c>
    </row>
    <row r="8005" spans="1:3">
      <c r="A8005">
        <v>8004</v>
      </c>
      <c r="B8005">
        <v>640640160</v>
      </c>
      <c r="C8005">
        <v>640640160</v>
      </c>
    </row>
    <row r="8006" spans="1:3">
      <c r="A8006">
        <v>8005</v>
      </c>
      <c r="B8006">
        <v>640800250</v>
      </c>
      <c r="C8006">
        <v>640800250</v>
      </c>
    </row>
    <row r="8007" spans="1:3">
      <c r="A8007">
        <v>8006</v>
      </c>
      <c r="B8007">
        <v>640960360</v>
      </c>
      <c r="C8007">
        <v>640960360</v>
      </c>
    </row>
    <row r="8008" spans="1:3">
      <c r="A8008">
        <v>8007</v>
      </c>
      <c r="B8008">
        <v>641120490</v>
      </c>
      <c r="C8008">
        <v>641120490</v>
      </c>
    </row>
    <row r="8009" spans="1:3">
      <c r="A8009">
        <v>8008</v>
      </c>
      <c r="B8009">
        <v>641280640</v>
      </c>
      <c r="C8009">
        <v>641280640</v>
      </c>
    </row>
    <row r="8010" spans="1:3">
      <c r="A8010">
        <v>8009</v>
      </c>
      <c r="B8010">
        <v>641440810</v>
      </c>
      <c r="C8010">
        <v>641440810</v>
      </c>
    </row>
    <row r="8011" spans="1:3">
      <c r="A8011">
        <v>8010</v>
      </c>
      <c r="B8011">
        <v>641601000</v>
      </c>
      <c r="C8011">
        <v>641601000</v>
      </c>
    </row>
    <row r="8012" spans="1:3">
      <c r="A8012">
        <v>8011</v>
      </c>
      <c r="B8012">
        <v>641761210</v>
      </c>
      <c r="C8012">
        <v>641761210</v>
      </c>
    </row>
    <row r="8013" spans="1:3">
      <c r="A8013">
        <v>8012</v>
      </c>
      <c r="B8013">
        <v>641921440</v>
      </c>
      <c r="C8013">
        <v>641921440</v>
      </c>
    </row>
    <row r="8014" spans="1:3">
      <c r="A8014">
        <v>8013</v>
      </c>
      <c r="B8014">
        <v>642081690</v>
      </c>
      <c r="C8014">
        <v>642081690</v>
      </c>
    </row>
    <row r="8015" spans="1:3">
      <c r="A8015">
        <v>8014</v>
      </c>
      <c r="B8015">
        <v>642241960</v>
      </c>
      <c r="C8015">
        <v>642241960</v>
      </c>
    </row>
    <row r="8016" spans="1:3">
      <c r="A8016">
        <v>8015</v>
      </c>
      <c r="B8016">
        <v>642402250</v>
      </c>
      <c r="C8016">
        <v>642402250</v>
      </c>
    </row>
    <row r="8017" spans="1:3">
      <c r="A8017">
        <v>8016</v>
      </c>
      <c r="B8017">
        <v>642562560</v>
      </c>
      <c r="C8017">
        <v>642562560</v>
      </c>
    </row>
    <row r="8018" spans="1:3">
      <c r="A8018">
        <v>8017</v>
      </c>
      <c r="B8018">
        <v>642722890</v>
      </c>
      <c r="C8018">
        <v>642722890</v>
      </c>
    </row>
    <row r="8019" spans="1:3">
      <c r="A8019">
        <v>8018</v>
      </c>
      <c r="B8019">
        <v>642883240</v>
      </c>
      <c r="C8019">
        <v>642883240</v>
      </c>
    </row>
    <row r="8020" spans="1:3">
      <c r="A8020">
        <v>8019</v>
      </c>
      <c r="B8020">
        <v>643043610</v>
      </c>
      <c r="C8020">
        <v>643043610</v>
      </c>
    </row>
    <row r="8021" spans="1:3">
      <c r="A8021">
        <v>8020</v>
      </c>
      <c r="B8021">
        <v>643204000</v>
      </c>
      <c r="C8021">
        <v>643204000</v>
      </c>
    </row>
    <row r="8022" spans="1:3">
      <c r="A8022">
        <v>8021</v>
      </c>
      <c r="B8022">
        <v>643364410</v>
      </c>
      <c r="C8022">
        <v>643364410</v>
      </c>
    </row>
    <row r="8023" spans="1:3">
      <c r="A8023">
        <v>8022</v>
      </c>
      <c r="B8023">
        <v>643524840</v>
      </c>
      <c r="C8023">
        <v>643524840</v>
      </c>
    </row>
    <row r="8024" spans="1:3">
      <c r="A8024">
        <v>8023</v>
      </c>
      <c r="B8024">
        <v>643685290</v>
      </c>
      <c r="C8024">
        <v>643685290</v>
      </c>
    </row>
    <row r="8025" spans="1:3">
      <c r="A8025">
        <v>8024</v>
      </c>
      <c r="B8025">
        <v>643845760</v>
      </c>
      <c r="C8025">
        <v>643845760</v>
      </c>
    </row>
    <row r="8026" spans="1:3">
      <c r="A8026">
        <v>8025</v>
      </c>
      <c r="B8026">
        <v>644006250</v>
      </c>
      <c r="C8026">
        <v>644006250</v>
      </c>
    </row>
    <row r="8027" spans="1:3">
      <c r="A8027">
        <v>8026</v>
      </c>
      <c r="B8027">
        <v>644166760</v>
      </c>
      <c r="C8027">
        <v>644166760</v>
      </c>
    </row>
    <row r="8028" spans="1:3">
      <c r="A8028">
        <v>8027</v>
      </c>
      <c r="B8028">
        <v>644327290</v>
      </c>
      <c r="C8028">
        <v>644327290</v>
      </c>
    </row>
    <row r="8029" spans="1:3">
      <c r="A8029">
        <v>8028</v>
      </c>
      <c r="B8029">
        <v>644487840</v>
      </c>
      <c r="C8029">
        <v>644487840</v>
      </c>
    </row>
    <row r="8030" spans="1:3">
      <c r="A8030">
        <v>8029</v>
      </c>
      <c r="B8030">
        <v>644648410</v>
      </c>
      <c r="C8030">
        <v>644648410</v>
      </c>
    </row>
    <row r="8031" spans="1:3">
      <c r="A8031">
        <v>8030</v>
      </c>
      <c r="B8031">
        <v>644809000</v>
      </c>
      <c r="C8031">
        <v>644809000</v>
      </c>
    </row>
    <row r="8032" spans="1:3">
      <c r="A8032">
        <v>8031</v>
      </c>
      <c r="B8032">
        <v>644969610</v>
      </c>
      <c r="C8032">
        <v>644969610</v>
      </c>
    </row>
    <row r="8033" spans="1:3">
      <c r="A8033">
        <v>8032</v>
      </c>
      <c r="B8033">
        <v>645130240</v>
      </c>
      <c r="C8033">
        <v>645130240</v>
      </c>
    </row>
    <row r="8034" spans="1:3">
      <c r="A8034">
        <v>8033</v>
      </c>
      <c r="B8034">
        <v>645290890</v>
      </c>
      <c r="C8034">
        <v>645290890</v>
      </c>
    </row>
    <row r="8035" spans="1:3">
      <c r="A8035">
        <v>8034</v>
      </c>
      <c r="B8035">
        <v>645451560</v>
      </c>
      <c r="C8035">
        <v>645451560</v>
      </c>
    </row>
    <row r="8036" spans="1:3">
      <c r="A8036">
        <v>8035</v>
      </c>
      <c r="B8036">
        <v>645612250</v>
      </c>
      <c r="C8036">
        <v>645612250</v>
      </c>
    </row>
    <row r="8037" spans="1:3">
      <c r="A8037">
        <v>8036</v>
      </c>
      <c r="B8037">
        <v>645772960</v>
      </c>
      <c r="C8037">
        <v>645772960</v>
      </c>
    </row>
    <row r="8038" spans="1:3">
      <c r="A8038">
        <v>8037</v>
      </c>
      <c r="B8038">
        <v>645933690</v>
      </c>
      <c r="C8038">
        <v>645933690</v>
      </c>
    </row>
    <row r="8039" spans="1:3">
      <c r="A8039">
        <v>8038</v>
      </c>
      <c r="B8039">
        <v>646094440</v>
      </c>
      <c r="C8039">
        <v>646094440</v>
      </c>
    </row>
    <row r="8040" spans="1:3">
      <c r="A8040">
        <v>8039</v>
      </c>
      <c r="B8040">
        <v>646255210</v>
      </c>
      <c r="C8040">
        <v>646255210</v>
      </c>
    </row>
    <row r="8041" spans="1:3">
      <c r="A8041">
        <v>8040</v>
      </c>
      <c r="B8041">
        <v>646416000</v>
      </c>
      <c r="C8041">
        <v>646416000</v>
      </c>
    </row>
    <row r="8042" spans="1:3">
      <c r="A8042">
        <v>8041</v>
      </c>
      <c r="B8042">
        <v>646576810</v>
      </c>
      <c r="C8042">
        <v>646576810</v>
      </c>
    </row>
    <row r="8043" spans="1:3">
      <c r="A8043">
        <v>8042</v>
      </c>
      <c r="B8043">
        <v>646737640</v>
      </c>
      <c r="C8043">
        <v>646737640</v>
      </c>
    </row>
    <row r="8044" spans="1:3">
      <c r="A8044">
        <v>8043</v>
      </c>
      <c r="B8044">
        <v>646898490</v>
      </c>
      <c r="C8044">
        <v>646898490</v>
      </c>
    </row>
    <row r="8045" spans="1:3">
      <c r="A8045">
        <v>8044</v>
      </c>
      <c r="B8045">
        <v>647059360</v>
      </c>
      <c r="C8045">
        <v>647059360</v>
      </c>
    </row>
    <row r="8046" spans="1:3">
      <c r="A8046">
        <v>8045</v>
      </c>
      <c r="B8046">
        <v>647220250</v>
      </c>
      <c r="C8046">
        <v>647220250</v>
      </c>
    </row>
    <row r="8047" spans="1:3">
      <c r="A8047">
        <v>8046</v>
      </c>
      <c r="B8047">
        <v>647381160</v>
      </c>
      <c r="C8047">
        <v>647381160</v>
      </c>
    </row>
    <row r="8048" spans="1:3">
      <c r="A8048">
        <v>8047</v>
      </c>
      <c r="B8048">
        <v>647542090</v>
      </c>
      <c r="C8048">
        <v>647542090</v>
      </c>
    </row>
    <row r="8049" spans="1:3">
      <c r="A8049">
        <v>8048</v>
      </c>
      <c r="B8049">
        <v>647703040</v>
      </c>
      <c r="C8049">
        <v>647703040</v>
      </c>
    </row>
    <row r="8050" spans="1:3">
      <c r="A8050">
        <v>8049</v>
      </c>
      <c r="B8050">
        <v>647864010</v>
      </c>
      <c r="C8050">
        <v>647864010</v>
      </c>
    </row>
    <row r="8051" spans="1:3">
      <c r="A8051">
        <v>8050</v>
      </c>
      <c r="B8051">
        <v>648025000</v>
      </c>
      <c r="C8051">
        <v>648025000</v>
      </c>
    </row>
    <row r="8052" spans="1:3">
      <c r="A8052">
        <v>8051</v>
      </c>
      <c r="B8052">
        <v>648186010</v>
      </c>
      <c r="C8052">
        <v>648186010</v>
      </c>
    </row>
    <row r="8053" spans="1:3">
      <c r="A8053">
        <v>8052</v>
      </c>
      <c r="B8053">
        <v>648347040</v>
      </c>
      <c r="C8053">
        <v>648347040</v>
      </c>
    </row>
    <row r="8054" spans="1:3">
      <c r="A8054">
        <v>8053</v>
      </c>
      <c r="B8054">
        <v>648508090</v>
      </c>
      <c r="C8054">
        <v>648508090</v>
      </c>
    </row>
    <row r="8055" spans="1:3">
      <c r="A8055">
        <v>8054</v>
      </c>
      <c r="B8055">
        <v>648669160</v>
      </c>
      <c r="C8055">
        <v>648669160</v>
      </c>
    </row>
    <row r="8056" spans="1:3">
      <c r="A8056">
        <v>8055</v>
      </c>
      <c r="B8056">
        <v>648830250</v>
      </c>
      <c r="C8056">
        <v>648830250</v>
      </c>
    </row>
    <row r="8057" spans="1:3">
      <c r="A8057">
        <v>8056</v>
      </c>
      <c r="B8057">
        <v>648991360</v>
      </c>
      <c r="C8057">
        <v>648991360</v>
      </c>
    </row>
    <row r="8058" spans="1:3">
      <c r="A8058">
        <v>8057</v>
      </c>
      <c r="B8058">
        <v>649152490</v>
      </c>
      <c r="C8058">
        <v>649152490</v>
      </c>
    </row>
    <row r="8059" spans="1:3">
      <c r="A8059">
        <v>8058</v>
      </c>
      <c r="B8059">
        <v>649313640</v>
      </c>
      <c r="C8059">
        <v>649313640</v>
      </c>
    </row>
    <row r="8060" spans="1:3">
      <c r="A8060">
        <v>8059</v>
      </c>
      <c r="B8060">
        <v>649474810</v>
      </c>
      <c r="C8060">
        <v>649474810</v>
      </c>
    </row>
    <row r="8061" spans="1:3">
      <c r="A8061">
        <v>8060</v>
      </c>
      <c r="B8061">
        <v>649636000</v>
      </c>
      <c r="C8061">
        <v>649636000</v>
      </c>
    </row>
    <row r="8062" spans="1:3">
      <c r="A8062">
        <v>8061</v>
      </c>
      <c r="B8062">
        <v>649797210</v>
      </c>
      <c r="C8062">
        <v>649797210</v>
      </c>
    </row>
    <row r="8063" spans="1:3">
      <c r="A8063">
        <v>8062</v>
      </c>
      <c r="B8063">
        <v>649958440</v>
      </c>
      <c r="C8063">
        <v>649958440</v>
      </c>
    </row>
    <row r="8064" spans="1:3">
      <c r="A8064">
        <v>8063</v>
      </c>
      <c r="B8064">
        <v>650119690</v>
      </c>
      <c r="C8064">
        <v>650119690</v>
      </c>
    </row>
    <row r="8065" spans="1:3">
      <c r="A8065">
        <v>8064</v>
      </c>
      <c r="B8065">
        <v>650280960</v>
      </c>
      <c r="C8065">
        <v>650280960</v>
      </c>
    </row>
    <row r="8066" spans="1:3">
      <c r="A8066">
        <v>8065</v>
      </c>
      <c r="B8066">
        <v>650442250</v>
      </c>
      <c r="C8066">
        <v>650442250</v>
      </c>
    </row>
    <row r="8067" spans="1:3">
      <c r="A8067">
        <v>8066</v>
      </c>
      <c r="B8067">
        <v>650603560</v>
      </c>
      <c r="C8067">
        <v>650603560</v>
      </c>
    </row>
    <row r="8068" spans="1:3">
      <c r="A8068">
        <v>8067</v>
      </c>
      <c r="B8068">
        <v>650764890</v>
      </c>
      <c r="C8068">
        <v>650764890</v>
      </c>
    </row>
    <row r="8069" spans="1:3">
      <c r="A8069">
        <v>8068</v>
      </c>
      <c r="B8069">
        <v>650926240</v>
      </c>
      <c r="C8069">
        <v>650926240</v>
      </c>
    </row>
    <row r="8070" spans="1:3">
      <c r="A8070">
        <v>8069</v>
      </c>
      <c r="B8070">
        <v>651087610</v>
      </c>
      <c r="C8070">
        <v>651087610</v>
      </c>
    </row>
    <row r="8071" spans="1:3">
      <c r="A8071">
        <v>8070</v>
      </c>
      <c r="B8071">
        <v>651249000</v>
      </c>
      <c r="C8071">
        <v>651249000</v>
      </c>
    </row>
    <row r="8072" spans="1:3">
      <c r="A8072">
        <v>8071</v>
      </c>
      <c r="B8072">
        <v>651410410</v>
      </c>
      <c r="C8072">
        <v>651410410</v>
      </c>
    </row>
    <row r="8073" spans="1:3">
      <c r="A8073">
        <v>8072</v>
      </c>
      <c r="B8073">
        <v>651571840</v>
      </c>
      <c r="C8073">
        <v>651571840</v>
      </c>
    </row>
    <row r="8074" spans="1:3">
      <c r="A8074">
        <v>8073</v>
      </c>
      <c r="B8074">
        <v>651733290</v>
      </c>
      <c r="C8074">
        <v>651733290</v>
      </c>
    </row>
    <row r="8075" spans="1:3">
      <c r="A8075">
        <v>8074</v>
      </c>
      <c r="B8075">
        <v>651894760</v>
      </c>
      <c r="C8075">
        <v>651894760</v>
      </c>
    </row>
    <row r="8076" spans="1:3">
      <c r="A8076">
        <v>8075</v>
      </c>
      <c r="B8076">
        <v>652056250</v>
      </c>
      <c r="C8076">
        <v>652056250</v>
      </c>
    </row>
    <row r="8077" spans="1:3">
      <c r="A8077">
        <v>8076</v>
      </c>
      <c r="B8077">
        <v>652217760</v>
      </c>
      <c r="C8077">
        <v>652217760</v>
      </c>
    </row>
    <row r="8078" spans="1:3">
      <c r="A8078">
        <v>8077</v>
      </c>
      <c r="B8078">
        <v>652379290</v>
      </c>
      <c r="C8078">
        <v>652379290</v>
      </c>
    </row>
    <row r="8079" spans="1:3">
      <c r="A8079">
        <v>8078</v>
      </c>
      <c r="B8079">
        <v>652540840</v>
      </c>
      <c r="C8079">
        <v>652540840</v>
      </c>
    </row>
    <row r="8080" spans="1:3">
      <c r="A8080">
        <v>8079</v>
      </c>
      <c r="B8080">
        <v>652702410</v>
      </c>
      <c r="C8080">
        <v>652702410</v>
      </c>
    </row>
    <row r="8081" spans="1:3">
      <c r="A8081">
        <v>8080</v>
      </c>
      <c r="B8081">
        <v>652864000</v>
      </c>
      <c r="C8081">
        <v>652864000</v>
      </c>
    </row>
    <row r="8082" spans="1:3">
      <c r="A8082">
        <v>8081</v>
      </c>
      <c r="B8082">
        <v>653025610</v>
      </c>
      <c r="C8082">
        <v>653025610</v>
      </c>
    </row>
    <row r="8083" spans="1:3">
      <c r="A8083">
        <v>8082</v>
      </c>
      <c r="B8083">
        <v>653187240</v>
      </c>
      <c r="C8083">
        <v>653187240</v>
      </c>
    </row>
    <row r="8084" spans="1:3">
      <c r="A8084">
        <v>8083</v>
      </c>
      <c r="B8084">
        <v>653348890</v>
      </c>
      <c r="C8084">
        <v>653348890</v>
      </c>
    </row>
    <row r="8085" spans="1:3">
      <c r="A8085">
        <v>8084</v>
      </c>
      <c r="B8085">
        <v>653510560</v>
      </c>
      <c r="C8085">
        <v>653510560</v>
      </c>
    </row>
    <row r="8086" spans="1:3">
      <c r="A8086">
        <v>8085</v>
      </c>
      <c r="B8086">
        <v>653672250</v>
      </c>
      <c r="C8086">
        <v>653672250</v>
      </c>
    </row>
    <row r="8087" spans="1:3">
      <c r="A8087">
        <v>8086</v>
      </c>
      <c r="B8087">
        <v>653833960</v>
      </c>
      <c r="C8087">
        <v>653833960</v>
      </c>
    </row>
    <row r="8088" spans="1:3">
      <c r="A8088">
        <v>8087</v>
      </c>
      <c r="B8088">
        <v>653995690</v>
      </c>
      <c r="C8088">
        <v>653995690</v>
      </c>
    </row>
    <row r="8089" spans="1:3">
      <c r="A8089">
        <v>8088</v>
      </c>
      <c r="B8089">
        <v>654157440</v>
      </c>
      <c r="C8089">
        <v>654157440</v>
      </c>
    </row>
    <row r="8090" spans="1:3">
      <c r="A8090">
        <v>8089</v>
      </c>
      <c r="B8090">
        <v>654319210</v>
      </c>
      <c r="C8090">
        <v>654319210</v>
      </c>
    </row>
    <row r="8091" spans="1:3">
      <c r="A8091">
        <v>8090</v>
      </c>
      <c r="B8091">
        <v>654481000</v>
      </c>
      <c r="C8091">
        <v>654481000</v>
      </c>
    </row>
    <row r="8092" spans="1:3">
      <c r="A8092">
        <v>8091</v>
      </c>
      <c r="B8092">
        <v>654642810</v>
      </c>
      <c r="C8092">
        <v>654642810</v>
      </c>
    </row>
    <row r="8093" spans="1:3">
      <c r="A8093">
        <v>8092</v>
      </c>
      <c r="B8093">
        <v>654804640</v>
      </c>
      <c r="C8093">
        <v>654804640</v>
      </c>
    </row>
    <row r="8094" spans="1:3">
      <c r="A8094">
        <v>8093</v>
      </c>
      <c r="B8094">
        <v>654966490</v>
      </c>
      <c r="C8094">
        <v>654966490</v>
      </c>
    </row>
    <row r="8095" spans="1:3">
      <c r="A8095">
        <v>8094</v>
      </c>
      <c r="B8095">
        <v>655128360</v>
      </c>
      <c r="C8095">
        <v>655128360</v>
      </c>
    </row>
    <row r="8096" spans="1:3">
      <c r="A8096">
        <v>8095</v>
      </c>
      <c r="B8096">
        <v>655290250</v>
      </c>
      <c r="C8096">
        <v>655290250</v>
      </c>
    </row>
    <row r="8097" spans="1:3">
      <c r="A8097">
        <v>8096</v>
      </c>
      <c r="B8097">
        <v>655452160</v>
      </c>
      <c r="C8097">
        <v>655452160</v>
      </c>
    </row>
    <row r="8098" spans="1:3">
      <c r="A8098">
        <v>8097</v>
      </c>
      <c r="B8098">
        <v>655614090</v>
      </c>
      <c r="C8098">
        <v>655614090</v>
      </c>
    </row>
    <row r="8099" spans="1:3">
      <c r="A8099">
        <v>8098</v>
      </c>
      <c r="B8099">
        <v>655776040</v>
      </c>
      <c r="C8099">
        <v>655776040</v>
      </c>
    </row>
    <row r="8100" spans="1:3">
      <c r="A8100">
        <v>8099</v>
      </c>
      <c r="B8100">
        <v>655938010</v>
      </c>
      <c r="C8100">
        <v>655938010</v>
      </c>
    </row>
    <row r="8101" spans="1:3">
      <c r="A8101">
        <v>8100</v>
      </c>
      <c r="B8101">
        <v>656100000</v>
      </c>
      <c r="C8101">
        <v>656100000</v>
      </c>
    </row>
    <row r="8102" spans="1:3">
      <c r="A8102">
        <v>8101</v>
      </c>
      <c r="B8102">
        <v>656262010</v>
      </c>
      <c r="C8102">
        <v>656262010</v>
      </c>
    </row>
    <row r="8103" spans="1:3">
      <c r="A8103">
        <v>8102</v>
      </c>
      <c r="B8103">
        <v>656424040</v>
      </c>
      <c r="C8103">
        <v>656424040</v>
      </c>
    </row>
    <row r="8104" spans="1:3">
      <c r="A8104">
        <v>8103</v>
      </c>
      <c r="B8104">
        <v>656586090</v>
      </c>
      <c r="C8104">
        <v>656586090</v>
      </c>
    </row>
    <row r="8105" spans="1:3">
      <c r="A8105">
        <v>8104</v>
      </c>
      <c r="B8105">
        <v>656748160</v>
      </c>
      <c r="C8105">
        <v>656748160</v>
      </c>
    </row>
    <row r="8106" spans="1:3">
      <c r="A8106">
        <v>8105</v>
      </c>
      <c r="B8106">
        <v>656910250</v>
      </c>
      <c r="C8106">
        <v>656910250</v>
      </c>
    </row>
    <row r="8107" spans="1:3">
      <c r="A8107">
        <v>8106</v>
      </c>
      <c r="B8107">
        <v>657072360</v>
      </c>
      <c r="C8107">
        <v>657072360</v>
      </c>
    </row>
    <row r="8108" spans="1:3">
      <c r="A8108">
        <v>8107</v>
      </c>
      <c r="B8108">
        <v>657234490</v>
      </c>
      <c r="C8108">
        <v>657234490</v>
      </c>
    </row>
    <row r="8109" spans="1:3">
      <c r="A8109">
        <v>8108</v>
      </c>
      <c r="B8109">
        <v>657396640</v>
      </c>
      <c r="C8109">
        <v>657396640</v>
      </c>
    </row>
    <row r="8110" spans="1:3">
      <c r="A8110">
        <v>8109</v>
      </c>
      <c r="B8110">
        <v>657558810</v>
      </c>
      <c r="C8110">
        <v>657558810</v>
      </c>
    </row>
    <row r="8111" spans="1:3">
      <c r="A8111">
        <v>8110</v>
      </c>
      <c r="B8111">
        <v>657721000</v>
      </c>
      <c r="C8111">
        <v>657721000</v>
      </c>
    </row>
    <row r="8112" spans="1:3">
      <c r="A8112">
        <v>8111</v>
      </c>
      <c r="B8112">
        <v>657883210</v>
      </c>
      <c r="C8112">
        <v>657883210</v>
      </c>
    </row>
    <row r="8113" spans="1:3">
      <c r="A8113">
        <v>8112</v>
      </c>
      <c r="B8113">
        <v>658045440</v>
      </c>
      <c r="C8113">
        <v>658045440</v>
      </c>
    </row>
    <row r="8114" spans="1:3">
      <c r="A8114">
        <v>8113</v>
      </c>
      <c r="B8114">
        <v>658207690</v>
      </c>
      <c r="C8114">
        <v>658207690</v>
      </c>
    </row>
    <row r="8115" spans="1:3">
      <c r="A8115">
        <v>8114</v>
      </c>
      <c r="B8115">
        <v>658369960</v>
      </c>
      <c r="C8115">
        <v>658369960</v>
      </c>
    </row>
    <row r="8116" spans="1:3">
      <c r="A8116">
        <v>8115</v>
      </c>
      <c r="B8116">
        <v>658532250</v>
      </c>
      <c r="C8116">
        <v>658532250</v>
      </c>
    </row>
    <row r="8117" spans="1:3">
      <c r="A8117">
        <v>8116</v>
      </c>
      <c r="B8117">
        <v>658694560</v>
      </c>
      <c r="C8117">
        <v>658694560</v>
      </c>
    </row>
    <row r="8118" spans="1:3">
      <c r="A8118">
        <v>8117</v>
      </c>
      <c r="B8118">
        <v>658856890</v>
      </c>
      <c r="C8118">
        <v>658856890</v>
      </c>
    </row>
    <row r="8119" spans="1:3">
      <c r="A8119">
        <v>8118</v>
      </c>
      <c r="B8119">
        <v>659019240</v>
      </c>
      <c r="C8119">
        <v>659019240</v>
      </c>
    </row>
    <row r="8120" spans="1:3">
      <c r="A8120">
        <v>8119</v>
      </c>
      <c r="B8120">
        <v>659181610</v>
      </c>
      <c r="C8120">
        <v>659181610</v>
      </c>
    </row>
    <row r="8121" spans="1:3">
      <c r="A8121">
        <v>8120</v>
      </c>
      <c r="B8121">
        <v>659344000</v>
      </c>
      <c r="C8121">
        <v>659344000</v>
      </c>
    </row>
    <row r="8122" spans="1:3">
      <c r="A8122">
        <v>8121</v>
      </c>
      <c r="B8122">
        <v>659506410</v>
      </c>
      <c r="C8122">
        <v>659506410</v>
      </c>
    </row>
    <row r="8123" spans="1:3">
      <c r="A8123">
        <v>8122</v>
      </c>
      <c r="B8123">
        <v>659668840</v>
      </c>
      <c r="C8123">
        <v>659668840</v>
      </c>
    </row>
    <row r="8124" spans="1:3">
      <c r="A8124">
        <v>8123</v>
      </c>
      <c r="B8124">
        <v>659831290</v>
      </c>
      <c r="C8124">
        <v>659831290</v>
      </c>
    </row>
    <row r="8125" spans="1:3">
      <c r="A8125">
        <v>8124</v>
      </c>
      <c r="B8125">
        <v>659993760</v>
      </c>
      <c r="C8125">
        <v>659993760</v>
      </c>
    </row>
    <row r="8126" spans="1:3">
      <c r="A8126">
        <v>8125</v>
      </c>
      <c r="B8126">
        <v>660156250</v>
      </c>
      <c r="C8126">
        <v>660156250</v>
      </c>
    </row>
    <row r="8127" spans="1:3">
      <c r="A8127">
        <v>8126</v>
      </c>
      <c r="B8127">
        <v>660318760</v>
      </c>
      <c r="C8127">
        <v>660318760</v>
      </c>
    </row>
    <row r="8128" spans="1:3">
      <c r="A8128">
        <v>8127</v>
      </c>
      <c r="B8128">
        <v>660481290</v>
      </c>
      <c r="C8128">
        <v>660481290</v>
      </c>
    </row>
    <row r="8129" spans="1:3">
      <c r="A8129">
        <v>8128</v>
      </c>
      <c r="B8129">
        <v>660643840</v>
      </c>
      <c r="C8129">
        <v>660643840</v>
      </c>
    </row>
    <row r="8130" spans="1:3">
      <c r="A8130">
        <v>8129</v>
      </c>
      <c r="B8130">
        <v>660806410</v>
      </c>
      <c r="C8130">
        <v>660806410</v>
      </c>
    </row>
    <row r="8131" spans="1:3">
      <c r="A8131">
        <v>8130</v>
      </c>
      <c r="B8131">
        <v>660969000</v>
      </c>
      <c r="C8131">
        <v>660969000</v>
      </c>
    </row>
    <row r="8132" spans="1:3">
      <c r="A8132">
        <v>8131</v>
      </c>
      <c r="B8132">
        <v>661131610</v>
      </c>
      <c r="C8132">
        <v>661131610</v>
      </c>
    </row>
    <row r="8133" spans="1:3">
      <c r="A8133">
        <v>8132</v>
      </c>
      <c r="B8133">
        <v>661294240</v>
      </c>
      <c r="C8133">
        <v>661294240</v>
      </c>
    </row>
    <row r="8134" spans="1:3">
      <c r="A8134">
        <v>8133</v>
      </c>
      <c r="B8134">
        <v>661456890</v>
      </c>
      <c r="C8134">
        <v>661456890</v>
      </c>
    </row>
    <row r="8135" spans="1:3">
      <c r="A8135">
        <v>8134</v>
      </c>
      <c r="B8135">
        <v>661619560</v>
      </c>
      <c r="C8135">
        <v>661619560</v>
      </c>
    </row>
    <row r="8136" spans="1:3">
      <c r="A8136">
        <v>8135</v>
      </c>
      <c r="B8136">
        <v>661782250</v>
      </c>
      <c r="C8136">
        <v>661782250</v>
      </c>
    </row>
    <row r="8137" spans="1:3">
      <c r="A8137">
        <v>8136</v>
      </c>
      <c r="B8137">
        <v>661944960</v>
      </c>
      <c r="C8137">
        <v>661944960</v>
      </c>
    </row>
    <row r="8138" spans="1:3">
      <c r="A8138">
        <v>8137</v>
      </c>
      <c r="B8138">
        <v>662107690</v>
      </c>
      <c r="C8138">
        <v>662107690</v>
      </c>
    </row>
    <row r="8139" spans="1:3">
      <c r="A8139">
        <v>8138</v>
      </c>
      <c r="B8139">
        <v>662270440</v>
      </c>
      <c r="C8139">
        <v>662270440</v>
      </c>
    </row>
    <row r="8140" spans="1:3">
      <c r="A8140">
        <v>8139</v>
      </c>
      <c r="B8140">
        <v>662433210</v>
      </c>
      <c r="C8140">
        <v>662433210</v>
      </c>
    </row>
    <row r="8141" spans="1:3">
      <c r="A8141">
        <v>8140</v>
      </c>
      <c r="B8141">
        <v>662596000</v>
      </c>
      <c r="C8141">
        <v>662596000</v>
      </c>
    </row>
    <row r="8142" spans="1:3">
      <c r="A8142">
        <v>8141</v>
      </c>
      <c r="B8142">
        <v>662758810</v>
      </c>
      <c r="C8142">
        <v>662758810</v>
      </c>
    </row>
    <row r="8143" spans="1:3">
      <c r="A8143">
        <v>8142</v>
      </c>
      <c r="B8143">
        <v>662921640</v>
      </c>
      <c r="C8143">
        <v>662921640</v>
      </c>
    </row>
    <row r="8144" spans="1:3">
      <c r="A8144">
        <v>8143</v>
      </c>
      <c r="B8144">
        <v>663084490</v>
      </c>
      <c r="C8144">
        <v>663084490</v>
      </c>
    </row>
    <row r="8145" spans="1:3">
      <c r="A8145">
        <v>8144</v>
      </c>
      <c r="B8145">
        <v>663247360</v>
      </c>
      <c r="C8145">
        <v>663247360</v>
      </c>
    </row>
    <row r="8146" spans="1:3">
      <c r="A8146">
        <v>8145</v>
      </c>
      <c r="B8146">
        <v>663410250</v>
      </c>
      <c r="C8146">
        <v>663410250</v>
      </c>
    </row>
    <row r="8147" spans="1:3">
      <c r="A8147">
        <v>8146</v>
      </c>
      <c r="B8147">
        <v>663573160</v>
      </c>
      <c r="C8147">
        <v>663573160</v>
      </c>
    </row>
    <row r="8148" spans="1:3">
      <c r="A8148">
        <v>8147</v>
      </c>
      <c r="B8148">
        <v>663736090</v>
      </c>
      <c r="C8148">
        <v>663736090</v>
      </c>
    </row>
    <row r="8149" spans="1:3">
      <c r="A8149">
        <v>8148</v>
      </c>
      <c r="B8149">
        <v>663899040</v>
      </c>
      <c r="C8149">
        <v>663899040</v>
      </c>
    </row>
    <row r="8150" spans="1:3">
      <c r="A8150">
        <v>8149</v>
      </c>
      <c r="B8150">
        <v>664062010</v>
      </c>
      <c r="C8150">
        <v>664062010</v>
      </c>
    </row>
    <row r="8151" spans="1:3">
      <c r="A8151">
        <v>8150</v>
      </c>
      <c r="B8151">
        <v>664225000</v>
      </c>
      <c r="C8151">
        <v>664225000</v>
      </c>
    </row>
    <row r="8152" spans="1:3">
      <c r="A8152">
        <v>8151</v>
      </c>
      <c r="B8152">
        <v>664388010</v>
      </c>
      <c r="C8152">
        <v>664388010</v>
      </c>
    </row>
    <row r="8153" spans="1:3">
      <c r="A8153">
        <v>8152</v>
      </c>
      <c r="B8153">
        <v>664551040</v>
      </c>
      <c r="C8153">
        <v>664551040</v>
      </c>
    </row>
    <row r="8154" spans="1:3">
      <c r="A8154">
        <v>8153</v>
      </c>
      <c r="B8154">
        <v>664714090</v>
      </c>
      <c r="C8154">
        <v>664714090</v>
      </c>
    </row>
    <row r="8155" spans="1:3">
      <c r="A8155">
        <v>8154</v>
      </c>
      <c r="B8155">
        <v>664877160</v>
      </c>
      <c r="C8155">
        <v>664877160</v>
      </c>
    </row>
    <row r="8156" spans="1:3">
      <c r="A8156">
        <v>8155</v>
      </c>
      <c r="B8156">
        <v>665040250</v>
      </c>
      <c r="C8156">
        <v>665040250</v>
      </c>
    </row>
    <row r="8157" spans="1:3">
      <c r="A8157">
        <v>8156</v>
      </c>
      <c r="B8157">
        <v>665203360</v>
      </c>
      <c r="C8157">
        <v>665203360</v>
      </c>
    </row>
    <row r="8158" spans="1:3">
      <c r="A8158">
        <v>8157</v>
      </c>
      <c r="B8158">
        <v>665366490</v>
      </c>
      <c r="C8158">
        <v>665366490</v>
      </c>
    </row>
    <row r="8159" spans="1:3">
      <c r="A8159">
        <v>8158</v>
      </c>
      <c r="B8159">
        <v>665529640</v>
      </c>
      <c r="C8159">
        <v>665529640</v>
      </c>
    </row>
    <row r="8160" spans="1:3">
      <c r="A8160">
        <v>8159</v>
      </c>
      <c r="B8160">
        <v>665692810</v>
      </c>
      <c r="C8160">
        <v>665692810</v>
      </c>
    </row>
    <row r="8161" spans="1:3">
      <c r="A8161">
        <v>8160</v>
      </c>
      <c r="B8161">
        <v>665856000</v>
      </c>
      <c r="C8161">
        <v>665856000</v>
      </c>
    </row>
    <row r="8162" spans="1:3">
      <c r="A8162">
        <v>8161</v>
      </c>
      <c r="B8162">
        <v>666019210</v>
      </c>
      <c r="C8162">
        <v>666019210</v>
      </c>
    </row>
    <row r="8163" spans="1:3">
      <c r="A8163">
        <v>8162</v>
      </c>
      <c r="B8163">
        <v>666182440</v>
      </c>
      <c r="C8163">
        <v>666182440</v>
      </c>
    </row>
    <row r="8164" spans="1:3">
      <c r="A8164">
        <v>8163</v>
      </c>
      <c r="B8164">
        <v>666345690</v>
      </c>
      <c r="C8164">
        <v>666345690</v>
      </c>
    </row>
    <row r="8165" spans="1:3">
      <c r="A8165">
        <v>8164</v>
      </c>
      <c r="B8165">
        <v>666508960</v>
      </c>
      <c r="C8165">
        <v>666508960</v>
      </c>
    </row>
    <row r="8166" spans="1:3">
      <c r="A8166">
        <v>8165</v>
      </c>
      <c r="B8166">
        <v>666672250</v>
      </c>
      <c r="C8166">
        <v>666672250</v>
      </c>
    </row>
    <row r="8167" spans="1:3">
      <c r="A8167">
        <v>8166</v>
      </c>
      <c r="B8167">
        <v>666835560</v>
      </c>
      <c r="C8167">
        <v>666835560</v>
      </c>
    </row>
    <row r="8168" spans="1:3">
      <c r="A8168">
        <v>8167</v>
      </c>
      <c r="B8168">
        <v>666998890</v>
      </c>
      <c r="C8168">
        <v>666998890</v>
      </c>
    </row>
    <row r="8169" spans="1:3">
      <c r="A8169">
        <v>8168</v>
      </c>
      <c r="B8169">
        <v>667162240</v>
      </c>
      <c r="C8169">
        <v>667162240</v>
      </c>
    </row>
    <row r="8170" spans="1:3">
      <c r="A8170">
        <v>8169</v>
      </c>
      <c r="B8170">
        <v>667325610</v>
      </c>
      <c r="C8170">
        <v>667325610</v>
      </c>
    </row>
    <row r="8171" spans="1:3">
      <c r="A8171">
        <v>8170</v>
      </c>
      <c r="B8171">
        <v>667489000</v>
      </c>
      <c r="C8171">
        <v>667489000</v>
      </c>
    </row>
    <row r="8172" spans="1:3">
      <c r="A8172">
        <v>8171</v>
      </c>
      <c r="B8172">
        <v>667652410</v>
      </c>
      <c r="C8172">
        <v>667652410</v>
      </c>
    </row>
    <row r="8173" spans="1:3">
      <c r="A8173">
        <v>8172</v>
      </c>
      <c r="B8173">
        <v>667815840</v>
      </c>
      <c r="C8173">
        <v>667815840</v>
      </c>
    </row>
    <row r="8174" spans="1:3">
      <c r="A8174">
        <v>8173</v>
      </c>
      <c r="B8174">
        <v>667979290</v>
      </c>
      <c r="C8174">
        <v>667979290</v>
      </c>
    </row>
    <row r="8175" spans="1:3">
      <c r="A8175">
        <v>8174</v>
      </c>
      <c r="B8175">
        <v>668142760</v>
      </c>
      <c r="C8175">
        <v>668142760</v>
      </c>
    </row>
    <row r="8176" spans="1:3">
      <c r="A8176">
        <v>8175</v>
      </c>
      <c r="B8176">
        <v>668306250</v>
      </c>
      <c r="C8176">
        <v>668306250</v>
      </c>
    </row>
    <row r="8177" spans="1:3">
      <c r="A8177">
        <v>8176</v>
      </c>
      <c r="B8177">
        <v>668469760</v>
      </c>
      <c r="C8177">
        <v>668469760</v>
      </c>
    </row>
    <row r="8178" spans="1:3">
      <c r="A8178">
        <v>8177</v>
      </c>
      <c r="B8178">
        <v>668633290</v>
      </c>
      <c r="C8178">
        <v>668633290</v>
      </c>
    </row>
    <row r="8179" spans="1:3">
      <c r="A8179">
        <v>8178</v>
      </c>
      <c r="B8179">
        <v>668796840</v>
      </c>
      <c r="C8179">
        <v>668796840</v>
      </c>
    </row>
    <row r="8180" spans="1:3">
      <c r="A8180">
        <v>8179</v>
      </c>
      <c r="B8180">
        <v>668960410</v>
      </c>
      <c r="C8180">
        <v>668960410</v>
      </c>
    </row>
    <row r="8181" spans="1:3">
      <c r="A8181">
        <v>8180</v>
      </c>
      <c r="B8181">
        <v>669124000</v>
      </c>
      <c r="C8181">
        <v>669124000</v>
      </c>
    </row>
    <row r="8182" spans="1:3">
      <c r="A8182">
        <v>8181</v>
      </c>
      <c r="B8182">
        <v>669287610</v>
      </c>
      <c r="C8182">
        <v>669287610</v>
      </c>
    </row>
    <row r="8183" spans="1:3">
      <c r="A8183">
        <v>8182</v>
      </c>
      <c r="B8183">
        <v>669451240</v>
      </c>
      <c r="C8183">
        <v>669451240</v>
      </c>
    </row>
    <row r="8184" spans="1:3">
      <c r="A8184">
        <v>8183</v>
      </c>
      <c r="B8184">
        <v>669614890</v>
      </c>
      <c r="C8184">
        <v>669614890</v>
      </c>
    </row>
    <row r="8185" spans="1:3">
      <c r="A8185">
        <v>8184</v>
      </c>
      <c r="B8185">
        <v>669778560</v>
      </c>
      <c r="C8185">
        <v>669778560</v>
      </c>
    </row>
    <row r="8186" spans="1:3">
      <c r="A8186">
        <v>8185</v>
      </c>
      <c r="B8186">
        <v>669942250</v>
      </c>
      <c r="C8186">
        <v>669942250</v>
      </c>
    </row>
    <row r="8187" spans="1:3">
      <c r="A8187">
        <v>8186</v>
      </c>
      <c r="B8187">
        <v>670105960</v>
      </c>
      <c r="C8187">
        <v>670105960</v>
      </c>
    </row>
    <row r="8188" spans="1:3">
      <c r="A8188">
        <v>8187</v>
      </c>
      <c r="B8188">
        <v>670269690</v>
      </c>
      <c r="C8188">
        <v>670269690</v>
      </c>
    </row>
    <row r="8189" spans="1:3">
      <c r="A8189">
        <v>8188</v>
      </c>
      <c r="B8189">
        <v>670433440</v>
      </c>
      <c r="C8189">
        <v>670433440</v>
      </c>
    </row>
    <row r="8190" spans="1:3">
      <c r="A8190">
        <v>8189</v>
      </c>
      <c r="B8190">
        <v>670597210</v>
      </c>
      <c r="C8190">
        <v>670597210</v>
      </c>
    </row>
    <row r="8191" spans="1:3">
      <c r="A8191">
        <v>8190</v>
      </c>
      <c r="B8191">
        <v>670761000</v>
      </c>
      <c r="C8191">
        <v>670761000</v>
      </c>
    </row>
    <row r="8192" spans="1:3">
      <c r="A8192">
        <v>8191</v>
      </c>
      <c r="B8192">
        <v>670924810</v>
      </c>
      <c r="C8192">
        <v>670924810</v>
      </c>
    </row>
    <row r="8193" spans="1:3">
      <c r="A8193">
        <v>8192</v>
      </c>
      <c r="B8193">
        <v>671088640</v>
      </c>
      <c r="C8193">
        <v>671088640</v>
      </c>
    </row>
    <row r="8194" spans="1:3">
      <c r="A8194">
        <v>8193</v>
      </c>
      <c r="B8194">
        <v>671252490</v>
      </c>
      <c r="C8194">
        <v>671252490</v>
      </c>
    </row>
    <row r="8195" spans="1:3">
      <c r="A8195">
        <v>8194</v>
      </c>
      <c r="B8195">
        <v>671416360</v>
      </c>
      <c r="C8195">
        <v>671416360</v>
      </c>
    </row>
    <row r="8196" spans="1:3">
      <c r="A8196">
        <v>8195</v>
      </c>
      <c r="B8196">
        <v>671580250</v>
      </c>
      <c r="C8196">
        <v>671580250</v>
      </c>
    </row>
    <row r="8197" spans="1:3">
      <c r="A8197">
        <v>8196</v>
      </c>
      <c r="B8197">
        <v>671744160</v>
      </c>
      <c r="C8197">
        <v>671744160</v>
      </c>
    </row>
    <row r="8198" spans="1:3">
      <c r="A8198">
        <v>8197</v>
      </c>
      <c r="B8198">
        <v>671908090</v>
      </c>
      <c r="C8198">
        <v>671908090</v>
      </c>
    </row>
    <row r="8199" spans="1:3">
      <c r="A8199">
        <v>8198</v>
      </c>
      <c r="B8199">
        <v>672072040</v>
      </c>
      <c r="C8199">
        <v>672072040</v>
      </c>
    </row>
    <row r="8200" spans="1:3">
      <c r="A8200">
        <v>8199</v>
      </c>
      <c r="B8200">
        <v>672236010</v>
      </c>
      <c r="C8200">
        <v>672236010</v>
      </c>
    </row>
    <row r="8201" spans="1:3">
      <c r="A8201">
        <v>8200</v>
      </c>
      <c r="B8201">
        <v>672400000</v>
      </c>
      <c r="C8201">
        <v>672400000</v>
      </c>
    </row>
    <row r="8202" spans="1:3">
      <c r="A8202">
        <v>8201</v>
      </c>
      <c r="B8202">
        <v>672564010</v>
      </c>
      <c r="C8202">
        <v>672564010</v>
      </c>
    </row>
    <row r="8203" spans="1:3">
      <c r="A8203">
        <v>8202</v>
      </c>
      <c r="B8203">
        <v>672728040</v>
      </c>
      <c r="C8203">
        <v>672728040</v>
      </c>
    </row>
    <row r="8204" spans="1:3">
      <c r="A8204">
        <v>8203</v>
      </c>
      <c r="B8204">
        <v>672892090</v>
      </c>
      <c r="C8204">
        <v>672892090</v>
      </c>
    </row>
    <row r="8205" spans="1:3">
      <c r="A8205">
        <v>8204</v>
      </c>
      <c r="B8205">
        <v>673056160</v>
      </c>
      <c r="C8205">
        <v>673056160</v>
      </c>
    </row>
    <row r="8206" spans="1:3">
      <c r="A8206">
        <v>8205</v>
      </c>
      <c r="B8206">
        <v>673220250</v>
      </c>
      <c r="C8206">
        <v>673220250</v>
      </c>
    </row>
    <row r="8207" spans="1:3">
      <c r="A8207">
        <v>8206</v>
      </c>
      <c r="B8207">
        <v>673384360</v>
      </c>
      <c r="C8207">
        <v>673384360</v>
      </c>
    </row>
    <row r="8208" spans="1:3">
      <c r="A8208">
        <v>8207</v>
      </c>
      <c r="B8208">
        <v>673548490</v>
      </c>
      <c r="C8208">
        <v>673548490</v>
      </c>
    </row>
    <row r="8209" spans="1:3">
      <c r="A8209">
        <v>8208</v>
      </c>
      <c r="B8209">
        <v>673712640</v>
      </c>
      <c r="C8209">
        <v>673712640</v>
      </c>
    </row>
    <row r="8210" spans="1:3">
      <c r="A8210">
        <v>8209</v>
      </c>
      <c r="B8210">
        <v>673876810</v>
      </c>
      <c r="C8210">
        <v>673876810</v>
      </c>
    </row>
    <row r="8211" spans="1:3">
      <c r="A8211">
        <v>8210</v>
      </c>
      <c r="B8211">
        <v>674041000</v>
      </c>
      <c r="C8211">
        <v>674041000</v>
      </c>
    </row>
    <row r="8212" spans="1:3">
      <c r="A8212">
        <v>8211</v>
      </c>
      <c r="B8212">
        <v>674205210</v>
      </c>
      <c r="C8212">
        <v>674205210</v>
      </c>
    </row>
    <row r="8213" spans="1:3">
      <c r="A8213">
        <v>8212</v>
      </c>
      <c r="B8213">
        <v>674369440</v>
      </c>
      <c r="C8213">
        <v>674369440</v>
      </c>
    </row>
    <row r="8214" spans="1:3">
      <c r="A8214">
        <v>8213</v>
      </c>
      <c r="B8214">
        <v>674533690</v>
      </c>
      <c r="C8214">
        <v>674533690</v>
      </c>
    </row>
    <row r="8215" spans="1:3">
      <c r="A8215">
        <v>8214</v>
      </c>
      <c r="B8215">
        <v>674697960</v>
      </c>
      <c r="C8215">
        <v>674697960</v>
      </c>
    </row>
    <row r="8216" spans="1:3">
      <c r="A8216">
        <v>8215</v>
      </c>
      <c r="B8216">
        <v>674862250</v>
      </c>
      <c r="C8216">
        <v>674862250</v>
      </c>
    </row>
    <row r="8217" spans="1:3">
      <c r="A8217">
        <v>8216</v>
      </c>
      <c r="B8217">
        <v>675026560</v>
      </c>
      <c r="C8217">
        <v>675026560</v>
      </c>
    </row>
    <row r="8218" spans="1:3">
      <c r="A8218">
        <v>8217</v>
      </c>
      <c r="B8218">
        <v>675190890</v>
      </c>
      <c r="C8218">
        <v>675190890</v>
      </c>
    </row>
    <row r="8219" spans="1:3">
      <c r="A8219">
        <v>8218</v>
      </c>
      <c r="B8219">
        <v>675355240</v>
      </c>
      <c r="C8219">
        <v>675355240</v>
      </c>
    </row>
    <row r="8220" spans="1:3">
      <c r="A8220">
        <v>8219</v>
      </c>
      <c r="B8220">
        <v>675519610</v>
      </c>
      <c r="C8220">
        <v>675519610</v>
      </c>
    </row>
    <row r="8221" spans="1:3">
      <c r="A8221">
        <v>8220</v>
      </c>
      <c r="B8221">
        <v>675684000</v>
      </c>
      <c r="C8221">
        <v>675684000</v>
      </c>
    </row>
    <row r="8222" spans="1:3">
      <c r="A8222">
        <v>8221</v>
      </c>
      <c r="B8222">
        <v>675848410</v>
      </c>
      <c r="C8222">
        <v>675848410</v>
      </c>
    </row>
    <row r="8223" spans="1:3">
      <c r="A8223">
        <v>8222</v>
      </c>
      <c r="B8223">
        <v>676012840</v>
      </c>
      <c r="C8223">
        <v>676012840</v>
      </c>
    </row>
    <row r="8224" spans="1:3">
      <c r="A8224">
        <v>8223</v>
      </c>
      <c r="B8224">
        <v>676177290</v>
      </c>
      <c r="C8224">
        <v>676177290</v>
      </c>
    </row>
    <row r="8225" spans="1:3">
      <c r="A8225">
        <v>8224</v>
      </c>
      <c r="B8225">
        <v>676341760</v>
      </c>
      <c r="C8225">
        <v>676341760</v>
      </c>
    </row>
    <row r="8226" spans="1:3">
      <c r="A8226">
        <v>8225</v>
      </c>
      <c r="B8226">
        <v>676506250</v>
      </c>
      <c r="C8226">
        <v>676506250</v>
      </c>
    </row>
    <row r="8227" spans="1:3">
      <c r="A8227">
        <v>8226</v>
      </c>
      <c r="B8227">
        <v>676670760</v>
      </c>
      <c r="C8227">
        <v>676670760</v>
      </c>
    </row>
    <row r="8228" spans="1:3">
      <c r="A8228">
        <v>8227</v>
      </c>
      <c r="B8228">
        <v>676835290</v>
      </c>
      <c r="C8228">
        <v>676835290</v>
      </c>
    </row>
    <row r="8229" spans="1:3">
      <c r="A8229">
        <v>8228</v>
      </c>
      <c r="B8229">
        <v>676999840</v>
      </c>
      <c r="C8229">
        <v>676999840</v>
      </c>
    </row>
    <row r="8230" spans="1:3">
      <c r="A8230">
        <v>8229</v>
      </c>
      <c r="B8230">
        <v>677164410</v>
      </c>
      <c r="C8230">
        <v>677164410</v>
      </c>
    </row>
    <row r="8231" spans="1:3">
      <c r="A8231">
        <v>8230</v>
      </c>
      <c r="B8231">
        <v>677329000</v>
      </c>
      <c r="C8231">
        <v>677329000</v>
      </c>
    </row>
    <row r="8232" spans="1:3">
      <c r="A8232">
        <v>8231</v>
      </c>
      <c r="B8232">
        <v>677493610</v>
      </c>
      <c r="C8232">
        <v>677493610</v>
      </c>
    </row>
    <row r="8233" spans="1:3">
      <c r="A8233">
        <v>8232</v>
      </c>
      <c r="B8233">
        <v>677658240</v>
      </c>
      <c r="C8233">
        <v>677658240</v>
      </c>
    </row>
    <row r="8234" spans="1:3">
      <c r="A8234">
        <v>8233</v>
      </c>
      <c r="B8234">
        <v>677822890</v>
      </c>
      <c r="C8234">
        <v>677822890</v>
      </c>
    </row>
    <row r="8235" spans="1:3">
      <c r="A8235">
        <v>8234</v>
      </c>
      <c r="B8235">
        <v>677987560</v>
      </c>
      <c r="C8235">
        <v>677987560</v>
      </c>
    </row>
    <row r="8236" spans="1:3">
      <c r="A8236">
        <v>8235</v>
      </c>
      <c r="B8236">
        <v>678152250</v>
      </c>
      <c r="C8236">
        <v>678152250</v>
      </c>
    </row>
    <row r="8237" spans="1:3">
      <c r="A8237">
        <v>8236</v>
      </c>
      <c r="B8237">
        <v>678316960</v>
      </c>
      <c r="C8237">
        <v>678316960</v>
      </c>
    </row>
    <row r="8238" spans="1:3">
      <c r="A8238">
        <v>8237</v>
      </c>
      <c r="B8238">
        <v>678481690</v>
      </c>
      <c r="C8238">
        <v>678481690</v>
      </c>
    </row>
    <row r="8239" spans="1:3">
      <c r="A8239">
        <v>8238</v>
      </c>
      <c r="B8239">
        <v>678646440</v>
      </c>
      <c r="C8239">
        <v>678646440</v>
      </c>
    </row>
    <row r="8240" spans="1:3">
      <c r="A8240">
        <v>8239</v>
      </c>
      <c r="B8240">
        <v>678811210</v>
      </c>
      <c r="C8240">
        <v>678811210</v>
      </c>
    </row>
    <row r="8241" spans="1:3">
      <c r="A8241">
        <v>8240</v>
      </c>
      <c r="B8241">
        <v>678976000</v>
      </c>
      <c r="C8241">
        <v>678976000</v>
      </c>
    </row>
    <row r="8242" spans="1:3">
      <c r="A8242">
        <v>8241</v>
      </c>
      <c r="B8242">
        <v>679140810</v>
      </c>
      <c r="C8242">
        <v>679140810</v>
      </c>
    </row>
    <row r="8243" spans="1:3">
      <c r="A8243">
        <v>8242</v>
      </c>
      <c r="B8243">
        <v>679305640</v>
      </c>
      <c r="C8243">
        <v>679305640</v>
      </c>
    </row>
    <row r="8244" spans="1:3">
      <c r="A8244">
        <v>8243</v>
      </c>
      <c r="B8244">
        <v>679470490</v>
      </c>
      <c r="C8244">
        <v>679470490</v>
      </c>
    </row>
    <row r="8245" spans="1:3">
      <c r="A8245">
        <v>8244</v>
      </c>
      <c r="B8245">
        <v>679635360</v>
      </c>
      <c r="C8245">
        <v>679635360</v>
      </c>
    </row>
    <row r="8246" spans="1:3">
      <c r="A8246">
        <v>8245</v>
      </c>
      <c r="B8246">
        <v>679800250</v>
      </c>
      <c r="C8246">
        <v>679800250</v>
      </c>
    </row>
    <row r="8247" spans="1:3">
      <c r="A8247">
        <v>8246</v>
      </c>
      <c r="B8247">
        <v>679965160</v>
      </c>
      <c r="C8247">
        <v>679965160</v>
      </c>
    </row>
    <row r="8248" spans="1:3">
      <c r="A8248">
        <v>8247</v>
      </c>
      <c r="B8248">
        <v>680130090</v>
      </c>
      <c r="C8248">
        <v>680130090</v>
      </c>
    </row>
    <row r="8249" spans="1:3">
      <c r="A8249">
        <v>8248</v>
      </c>
      <c r="B8249">
        <v>680295040</v>
      </c>
      <c r="C8249">
        <v>680295040</v>
      </c>
    </row>
    <row r="8250" spans="1:3">
      <c r="A8250">
        <v>8249</v>
      </c>
      <c r="B8250">
        <v>680460010</v>
      </c>
      <c r="C8250">
        <v>680460010</v>
      </c>
    </row>
    <row r="8251" spans="1:3">
      <c r="A8251">
        <v>8250</v>
      </c>
      <c r="B8251">
        <v>680625000</v>
      </c>
      <c r="C8251">
        <v>680625000</v>
      </c>
    </row>
    <row r="8252" spans="1:3">
      <c r="A8252">
        <v>8251</v>
      </c>
      <c r="B8252">
        <v>680790010</v>
      </c>
      <c r="C8252">
        <v>680790010</v>
      </c>
    </row>
    <row r="8253" spans="1:3">
      <c r="A8253">
        <v>8252</v>
      </c>
      <c r="B8253">
        <v>680955040</v>
      </c>
      <c r="C8253">
        <v>680955040</v>
      </c>
    </row>
    <row r="8254" spans="1:3">
      <c r="A8254">
        <v>8253</v>
      </c>
      <c r="B8254">
        <v>681120090</v>
      </c>
      <c r="C8254">
        <v>681120090</v>
      </c>
    </row>
    <row r="8255" spans="1:3">
      <c r="A8255">
        <v>8254</v>
      </c>
      <c r="B8255">
        <v>681285160</v>
      </c>
      <c r="C8255">
        <v>681285160</v>
      </c>
    </row>
    <row r="8256" spans="1:3">
      <c r="A8256">
        <v>8255</v>
      </c>
      <c r="B8256">
        <v>681450250</v>
      </c>
      <c r="C8256">
        <v>681450250</v>
      </c>
    </row>
    <row r="8257" spans="1:3">
      <c r="A8257">
        <v>8256</v>
      </c>
      <c r="B8257">
        <v>681615360</v>
      </c>
      <c r="C8257">
        <v>681615360</v>
      </c>
    </row>
    <row r="8258" spans="1:3">
      <c r="A8258">
        <v>8257</v>
      </c>
      <c r="B8258">
        <v>681780490</v>
      </c>
      <c r="C8258">
        <v>681780490</v>
      </c>
    </row>
    <row r="8259" spans="1:3">
      <c r="A8259">
        <v>8258</v>
      </c>
      <c r="B8259">
        <v>681945640</v>
      </c>
      <c r="C8259">
        <v>681945640</v>
      </c>
    </row>
    <row r="8260" spans="1:3">
      <c r="A8260">
        <v>8259</v>
      </c>
      <c r="B8260">
        <v>682110810</v>
      </c>
      <c r="C8260">
        <v>682110810</v>
      </c>
    </row>
    <row r="8261" spans="1:3">
      <c r="A8261">
        <v>8260</v>
      </c>
      <c r="B8261">
        <v>682276000</v>
      </c>
      <c r="C8261">
        <v>682276000</v>
      </c>
    </row>
    <row r="8262" spans="1:3">
      <c r="A8262">
        <v>8261</v>
      </c>
      <c r="B8262">
        <v>682441210</v>
      </c>
      <c r="C8262">
        <v>682441210</v>
      </c>
    </row>
    <row r="8263" spans="1:3">
      <c r="A8263">
        <v>8262</v>
      </c>
      <c r="B8263">
        <v>682606440</v>
      </c>
      <c r="C8263">
        <v>682606440</v>
      </c>
    </row>
    <row r="8264" spans="1:3">
      <c r="A8264">
        <v>8263</v>
      </c>
      <c r="B8264">
        <v>682771690</v>
      </c>
      <c r="C8264">
        <v>682771690</v>
      </c>
    </row>
    <row r="8265" spans="1:3">
      <c r="A8265">
        <v>8264</v>
      </c>
      <c r="B8265">
        <v>682936960</v>
      </c>
      <c r="C8265">
        <v>682936960</v>
      </c>
    </row>
    <row r="8266" spans="1:3">
      <c r="A8266">
        <v>8265</v>
      </c>
      <c r="B8266">
        <v>683102250</v>
      </c>
      <c r="C8266">
        <v>683102250</v>
      </c>
    </row>
    <row r="8267" spans="1:3">
      <c r="A8267">
        <v>8266</v>
      </c>
      <c r="B8267">
        <v>683267560</v>
      </c>
      <c r="C8267">
        <v>683267560</v>
      </c>
    </row>
    <row r="8268" spans="1:3">
      <c r="A8268">
        <v>8267</v>
      </c>
      <c r="B8268">
        <v>683432890</v>
      </c>
      <c r="C8268">
        <v>683432890</v>
      </c>
    </row>
    <row r="8269" spans="1:3">
      <c r="A8269">
        <v>8268</v>
      </c>
      <c r="B8269">
        <v>683598240</v>
      </c>
      <c r="C8269">
        <v>683598240</v>
      </c>
    </row>
    <row r="8270" spans="1:3">
      <c r="A8270">
        <v>8269</v>
      </c>
      <c r="B8270">
        <v>683763610</v>
      </c>
      <c r="C8270">
        <v>683763610</v>
      </c>
    </row>
    <row r="8271" spans="1:3">
      <c r="A8271">
        <v>8270</v>
      </c>
      <c r="B8271">
        <v>683929000</v>
      </c>
      <c r="C8271">
        <v>683929000</v>
      </c>
    </row>
    <row r="8272" spans="1:3">
      <c r="A8272">
        <v>8271</v>
      </c>
      <c r="B8272">
        <v>684094410</v>
      </c>
      <c r="C8272">
        <v>684094410</v>
      </c>
    </row>
    <row r="8273" spans="1:3">
      <c r="A8273">
        <v>8272</v>
      </c>
      <c r="B8273">
        <v>684259840</v>
      </c>
      <c r="C8273">
        <v>684259840</v>
      </c>
    </row>
    <row r="8274" spans="1:3">
      <c r="A8274">
        <v>8273</v>
      </c>
      <c r="B8274">
        <v>684425290</v>
      </c>
      <c r="C8274">
        <v>684425290</v>
      </c>
    </row>
    <row r="8275" spans="1:3">
      <c r="A8275">
        <v>8274</v>
      </c>
      <c r="B8275">
        <v>684590760</v>
      </c>
      <c r="C8275">
        <v>684590760</v>
      </c>
    </row>
    <row r="8276" spans="1:3">
      <c r="A8276">
        <v>8275</v>
      </c>
      <c r="B8276">
        <v>684756250</v>
      </c>
      <c r="C8276">
        <v>684756250</v>
      </c>
    </row>
    <row r="8277" spans="1:3">
      <c r="A8277">
        <v>8276</v>
      </c>
      <c r="B8277">
        <v>684921760</v>
      </c>
      <c r="C8277">
        <v>684921760</v>
      </c>
    </row>
    <row r="8278" spans="1:3">
      <c r="A8278">
        <v>8277</v>
      </c>
      <c r="B8278">
        <v>685087290</v>
      </c>
      <c r="C8278">
        <v>685087290</v>
      </c>
    </row>
    <row r="8279" spans="1:3">
      <c r="A8279">
        <v>8278</v>
      </c>
      <c r="B8279">
        <v>685252840</v>
      </c>
      <c r="C8279">
        <v>685252840</v>
      </c>
    </row>
    <row r="8280" spans="1:3">
      <c r="A8280">
        <v>8279</v>
      </c>
      <c r="B8280">
        <v>685418410</v>
      </c>
      <c r="C8280">
        <v>685418410</v>
      </c>
    </row>
    <row r="8281" spans="1:3">
      <c r="A8281">
        <v>8280</v>
      </c>
      <c r="B8281">
        <v>685584000</v>
      </c>
      <c r="C8281">
        <v>685584000</v>
      </c>
    </row>
    <row r="8282" spans="1:3">
      <c r="A8282">
        <v>8281</v>
      </c>
      <c r="B8282">
        <v>685749610</v>
      </c>
      <c r="C8282">
        <v>685749610</v>
      </c>
    </row>
    <row r="8283" spans="1:3">
      <c r="A8283">
        <v>8282</v>
      </c>
      <c r="B8283">
        <v>685915240</v>
      </c>
      <c r="C8283">
        <v>685915240</v>
      </c>
    </row>
    <row r="8284" spans="1:3">
      <c r="A8284">
        <v>8283</v>
      </c>
      <c r="B8284">
        <v>686080890</v>
      </c>
      <c r="C8284">
        <v>686080890</v>
      </c>
    </row>
    <row r="8285" spans="1:3">
      <c r="A8285">
        <v>8284</v>
      </c>
      <c r="B8285">
        <v>686246560</v>
      </c>
      <c r="C8285">
        <v>686246560</v>
      </c>
    </row>
    <row r="8286" spans="1:3">
      <c r="A8286">
        <v>8285</v>
      </c>
      <c r="B8286">
        <v>686412250</v>
      </c>
      <c r="C8286">
        <v>686412250</v>
      </c>
    </row>
    <row r="8287" spans="1:3">
      <c r="A8287">
        <v>8286</v>
      </c>
      <c r="B8287">
        <v>686577960</v>
      </c>
      <c r="C8287">
        <v>686577960</v>
      </c>
    </row>
    <row r="8288" spans="1:3">
      <c r="A8288">
        <v>8287</v>
      </c>
      <c r="B8288">
        <v>686743690</v>
      </c>
      <c r="C8288">
        <v>686743690</v>
      </c>
    </row>
    <row r="8289" spans="1:3">
      <c r="A8289">
        <v>8288</v>
      </c>
      <c r="B8289">
        <v>686909440</v>
      </c>
      <c r="C8289">
        <v>686909440</v>
      </c>
    </row>
    <row r="8290" spans="1:3">
      <c r="A8290">
        <v>8289</v>
      </c>
      <c r="B8290">
        <v>687075210</v>
      </c>
      <c r="C8290">
        <v>687075210</v>
      </c>
    </row>
    <row r="8291" spans="1:3">
      <c r="A8291">
        <v>8290</v>
      </c>
      <c r="B8291">
        <v>687241000</v>
      </c>
      <c r="C8291">
        <v>687241000</v>
      </c>
    </row>
    <row r="8292" spans="1:3">
      <c r="A8292">
        <v>8291</v>
      </c>
      <c r="B8292">
        <v>687406810</v>
      </c>
      <c r="C8292">
        <v>687406810</v>
      </c>
    </row>
    <row r="8293" spans="1:3">
      <c r="A8293">
        <v>8292</v>
      </c>
      <c r="B8293">
        <v>687572640</v>
      </c>
      <c r="C8293">
        <v>687572640</v>
      </c>
    </row>
    <row r="8294" spans="1:3">
      <c r="A8294">
        <v>8293</v>
      </c>
      <c r="B8294">
        <v>687738490</v>
      </c>
      <c r="C8294">
        <v>687738490</v>
      </c>
    </row>
    <row r="8295" spans="1:3">
      <c r="A8295">
        <v>8294</v>
      </c>
      <c r="B8295">
        <v>687904360</v>
      </c>
      <c r="C8295">
        <v>687904360</v>
      </c>
    </row>
    <row r="8296" spans="1:3">
      <c r="A8296">
        <v>8295</v>
      </c>
      <c r="B8296">
        <v>688070250</v>
      </c>
      <c r="C8296">
        <v>688070250</v>
      </c>
    </row>
    <row r="8297" spans="1:3">
      <c r="A8297">
        <v>8296</v>
      </c>
      <c r="B8297">
        <v>688236160</v>
      </c>
      <c r="C8297">
        <v>688236160</v>
      </c>
    </row>
    <row r="8298" spans="1:3">
      <c r="A8298">
        <v>8297</v>
      </c>
      <c r="B8298">
        <v>688402090</v>
      </c>
      <c r="C8298">
        <v>688402090</v>
      </c>
    </row>
    <row r="8299" spans="1:3">
      <c r="A8299">
        <v>8298</v>
      </c>
      <c r="B8299">
        <v>688568040</v>
      </c>
      <c r="C8299">
        <v>688568040</v>
      </c>
    </row>
    <row r="8300" spans="1:3">
      <c r="A8300">
        <v>8299</v>
      </c>
      <c r="B8300">
        <v>688734010</v>
      </c>
      <c r="C8300">
        <v>688734010</v>
      </c>
    </row>
    <row r="8301" spans="1:3">
      <c r="A8301">
        <v>8300</v>
      </c>
      <c r="B8301">
        <v>688900000</v>
      </c>
      <c r="C8301">
        <v>688900000</v>
      </c>
    </row>
    <row r="8302" spans="1:3">
      <c r="A8302">
        <v>8301</v>
      </c>
      <c r="B8302">
        <v>689066010</v>
      </c>
      <c r="C8302">
        <v>689066010</v>
      </c>
    </row>
    <row r="8303" spans="1:3">
      <c r="A8303">
        <v>8302</v>
      </c>
      <c r="B8303">
        <v>689232040</v>
      </c>
      <c r="C8303">
        <v>689232040</v>
      </c>
    </row>
    <row r="8304" spans="1:3">
      <c r="A8304">
        <v>8303</v>
      </c>
      <c r="B8304">
        <v>689398090</v>
      </c>
      <c r="C8304">
        <v>689398090</v>
      </c>
    </row>
    <row r="8305" spans="1:3">
      <c r="A8305">
        <v>8304</v>
      </c>
      <c r="B8305">
        <v>689564160</v>
      </c>
      <c r="C8305">
        <v>689564160</v>
      </c>
    </row>
    <row r="8306" spans="1:3">
      <c r="A8306">
        <v>8305</v>
      </c>
      <c r="B8306">
        <v>689730250</v>
      </c>
      <c r="C8306">
        <v>689730250</v>
      </c>
    </row>
    <row r="8307" spans="1:3">
      <c r="A8307">
        <v>8306</v>
      </c>
      <c r="B8307">
        <v>689896360</v>
      </c>
      <c r="C8307">
        <v>689896360</v>
      </c>
    </row>
    <row r="8308" spans="1:3">
      <c r="A8308">
        <v>8307</v>
      </c>
      <c r="B8308">
        <v>690062490</v>
      </c>
      <c r="C8308">
        <v>690062490</v>
      </c>
    </row>
    <row r="8309" spans="1:3">
      <c r="A8309">
        <v>8308</v>
      </c>
      <c r="B8309">
        <v>690228640</v>
      </c>
      <c r="C8309">
        <v>690228640</v>
      </c>
    </row>
    <row r="8310" spans="1:3">
      <c r="A8310">
        <v>8309</v>
      </c>
      <c r="B8310">
        <v>690394810</v>
      </c>
      <c r="C8310">
        <v>690394810</v>
      </c>
    </row>
    <row r="8311" spans="1:3">
      <c r="A8311">
        <v>8310</v>
      </c>
      <c r="B8311">
        <v>690561000</v>
      </c>
      <c r="C8311">
        <v>690561000</v>
      </c>
    </row>
    <row r="8312" spans="1:3">
      <c r="A8312">
        <v>8311</v>
      </c>
      <c r="B8312">
        <v>690727210</v>
      </c>
      <c r="C8312">
        <v>690727210</v>
      </c>
    </row>
    <row r="8313" spans="1:3">
      <c r="A8313">
        <v>8312</v>
      </c>
      <c r="B8313">
        <v>690893440</v>
      </c>
      <c r="C8313">
        <v>690893440</v>
      </c>
    </row>
    <row r="8314" spans="1:3">
      <c r="A8314">
        <v>8313</v>
      </c>
      <c r="B8314">
        <v>691059690</v>
      </c>
      <c r="C8314">
        <v>691059690</v>
      </c>
    </row>
    <row r="8315" spans="1:3">
      <c r="A8315">
        <v>8314</v>
      </c>
      <c r="B8315">
        <v>691225960</v>
      </c>
      <c r="C8315">
        <v>691225960</v>
      </c>
    </row>
    <row r="8316" spans="1:3">
      <c r="A8316">
        <v>8315</v>
      </c>
      <c r="B8316">
        <v>691392250</v>
      </c>
      <c r="C8316">
        <v>691392250</v>
      </c>
    </row>
    <row r="8317" spans="1:3">
      <c r="A8317">
        <v>8316</v>
      </c>
      <c r="B8317">
        <v>691558560</v>
      </c>
      <c r="C8317">
        <v>691558560</v>
      </c>
    </row>
    <row r="8318" spans="1:3">
      <c r="A8318">
        <v>8317</v>
      </c>
      <c r="B8318">
        <v>691724890</v>
      </c>
      <c r="C8318">
        <v>691724890</v>
      </c>
    </row>
    <row r="8319" spans="1:3">
      <c r="A8319">
        <v>8318</v>
      </c>
      <c r="B8319">
        <v>691891240</v>
      </c>
      <c r="C8319">
        <v>691891240</v>
      </c>
    </row>
    <row r="8320" spans="1:3">
      <c r="A8320">
        <v>8319</v>
      </c>
      <c r="B8320">
        <v>692057610</v>
      </c>
      <c r="C8320">
        <v>692057610</v>
      </c>
    </row>
    <row r="8321" spans="1:3">
      <c r="A8321">
        <v>8320</v>
      </c>
      <c r="B8321">
        <v>692224000</v>
      </c>
      <c r="C8321">
        <v>692224000</v>
      </c>
    </row>
    <row r="8322" spans="1:3">
      <c r="A8322">
        <v>8321</v>
      </c>
      <c r="B8322">
        <v>692390410</v>
      </c>
      <c r="C8322">
        <v>692390410</v>
      </c>
    </row>
    <row r="8323" spans="1:3">
      <c r="A8323">
        <v>8322</v>
      </c>
      <c r="B8323">
        <v>692556840</v>
      </c>
      <c r="C8323">
        <v>692556840</v>
      </c>
    </row>
    <row r="8324" spans="1:3">
      <c r="A8324">
        <v>8323</v>
      </c>
      <c r="B8324">
        <v>692723290</v>
      </c>
      <c r="C8324">
        <v>692723290</v>
      </c>
    </row>
    <row r="8325" spans="1:3">
      <c r="A8325">
        <v>8324</v>
      </c>
      <c r="B8325">
        <v>692889760</v>
      </c>
      <c r="C8325">
        <v>692889760</v>
      </c>
    </row>
    <row r="8326" spans="1:3">
      <c r="A8326">
        <v>8325</v>
      </c>
      <c r="B8326">
        <v>693056250</v>
      </c>
      <c r="C8326">
        <v>693056250</v>
      </c>
    </row>
    <row r="8327" spans="1:3">
      <c r="A8327">
        <v>8326</v>
      </c>
      <c r="B8327">
        <v>693222760</v>
      </c>
      <c r="C8327">
        <v>693222760</v>
      </c>
    </row>
    <row r="8328" spans="1:3">
      <c r="A8328">
        <v>8327</v>
      </c>
      <c r="B8328">
        <v>693389290</v>
      </c>
      <c r="C8328">
        <v>693389290</v>
      </c>
    </row>
    <row r="8329" spans="1:3">
      <c r="A8329">
        <v>8328</v>
      </c>
      <c r="B8329">
        <v>693555840</v>
      </c>
      <c r="C8329">
        <v>693555840</v>
      </c>
    </row>
    <row r="8330" spans="1:3">
      <c r="A8330">
        <v>8329</v>
      </c>
      <c r="B8330">
        <v>693722410</v>
      </c>
      <c r="C8330">
        <v>693722410</v>
      </c>
    </row>
    <row r="8331" spans="1:3">
      <c r="A8331">
        <v>8330</v>
      </c>
      <c r="B8331">
        <v>693889000</v>
      </c>
      <c r="C8331">
        <v>693889000</v>
      </c>
    </row>
    <row r="8332" spans="1:3">
      <c r="A8332">
        <v>8331</v>
      </c>
      <c r="B8332">
        <v>694055610</v>
      </c>
      <c r="C8332">
        <v>694055610</v>
      </c>
    </row>
    <row r="8333" spans="1:3">
      <c r="A8333">
        <v>8332</v>
      </c>
      <c r="B8333">
        <v>694222240</v>
      </c>
      <c r="C8333">
        <v>694222240</v>
      </c>
    </row>
    <row r="8334" spans="1:3">
      <c r="A8334">
        <v>8333</v>
      </c>
      <c r="B8334">
        <v>694388890</v>
      </c>
      <c r="C8334">
        <v>694388890</v>
      </c>
    </row>
    <row r="8335" spans="1:3">
      <c r="A8335">
        <v>8334</v>
      </c>
      <c r="B8335">
        <v>694555560</v>
      </c>
      <c r="C8335">
        <v>694555560</v>
      </c>
    </row>
    <row r="8336" spans="1:3">
      <c r="A8336">
        <v>8335</v>
      </c>
      <c r="B8336">
        <v>694722250</v>
      </c>
      <c r="C8336">
        <v>694722250</v>
      </c>
    </row>
    <row r="8337" spans="1:3">
      <c r="A8337">
        <v>8336</v>
      </c>
      <c r="B8337">
        <v>694888960</v>
      </c>
      <c r="C8337">
        <v>694888960</v>
      </c>
    </row>
    <row r="8338" spans="1:3">
      <c r="A8338">
        <v>8337</v>
      </c>
      <c r="B8338">
        <v>695055690</v>
      </c>
      <c r="C8338">
        <v>695055690</v>
      </c>
    </row>
    <row r="8339" spans="1:3">
      <c r="A8339">
        <v>8338</v>
      </c>
      <c r="B8339">
        <v>695222440</v>
      </c>
      <c r="C8339">
        <v>695222440</v>
      </c>
    </row>
    <row r="8340" spans="1:3">
      <c r="A8340">
        <v>8339</v>
      </c>
      <c r="B8340">
        <v>695389210</v>
      </c>
      <c r="C8340">
        <v>695389210</v>
      </c>
    </row>
    <row r="8341" spans="1:3">
      <c r="A8341">
        <v>8340</v>
      </c>
      <c r="B8341">
        <v>695556000</v>
      </c>
      <c r="C8341">
        <v>695556000</v>
      </c>
    </row>
    <row r="8342" spans="1:3">
      <c r="A8342">
        <v>8341</v>
      </c>
      <c r="B8342">
        <v>695722810</v>
      </c>
      <c r="C8342">
        <v>695722810</v>
      </c>
    </row>
    <row r="8343" spans="1:3">
      <c r="A8343">
        <v>8342</v>
      </c>
      <c r="B8343">
        <v>695889640</v>
      </c>
      <c r="C8343">
        <v>695889640</v>
      </c>
    </row>
    <row r="8344" spans="1:3">
      <c r="A8344">
        <v>8343</v>
      </c>
      <c r="B8344">
        <v>696056490</v>
      </c>
      <c r="C8344">
        <v>696056490</v>
      </c>
    </row>
    <row r="8345" spans="1:3">
      <c r="A8345">
        <v>8344</v>
      </c>
      <c r="B8345">
        <v>696223360</v>
      </c>
      <c r="C8345">
        <v>696223360</v>
      </c>
    </row>
    <row r="8346" spans="1:3">
      <c r="A8346">
        <v>8345</v>
      </c>
      <c r="B8346">
        <v>696390250</v>
      </c>
      <c r="C8346">
        <v>696390250</v>
      </c>
    </row>
    <row r="8347" spans="1:3">
      <c r="A8347">
        <v>8346</v>
      </c>
      <c r="B8347">
        <v>696557160</v>
      </c>
      <c r="C8347">
        <v>696557160</v>
      </c>
    </row>
    <row r="8348" spans="1:3">
      <c r="A8348">
        <v>8347</v>
      </c>
      <c r="B8348">
        <v>696724090</v>
      </c>
      <c r="C8348">
        <v>696724090</v>
      </c>
    </row>
    <row r="8349" spans="1:3">
      <c r="A8349">
        <v>8348</v>
      </c>
      <c r="B8349">
        <v>696891040</v>
      </c>
      <c r="C8349">
        <v>696891040</v>
      </c>
    </row>
    <row r="8350" spans="1:3">
      <c r="A8350">
        <v>8349</v>
      </c>
      <c r="B8350">
        <v>697058010</v>
      </c>
      <c r="C8350">
        <v>697058010</v>
      </c>
    </row>
    <row r="8351" spans="1:3">
      <c r="A8351">
        <v>8350</v>
      </c>
      <c r="B8351">
        <v>697225000</v>
      </c>
      <c r="C8351">
        <v>697225000</v>
      </c>
    </row>
    <row r="8352" spans="1:3">
      <c r="A8352">
        <v>8351</v>
      </c>
      <c r="B8352">
        <v>697392010</v>
      </c>
      <c r="C8352">
        <v>697392010</v>
      </c>
    </row>
    <row r="8353" spans="1:3">
      <c r="A8353">
        <v>8352</v>
      </c>
      <c r="B8353">
        <v>697559040</v>
      </c>
      <c r="C8353">
        <v>697559040</v>
      </c>
    </row>
    <row r="8354" spans="1:3">
      <c r="A8354">
        <v>8353</v>
      </c>
      <c r="B8354">
        <v>697726090</v>
      </c>
      <c r="C8354">
        <v>697726090</v>
      </c>
    </row>
    <row r="8355" spans="1:3">
      <c r="A8355">
        <v>8354</v>
      </c>
      <c r="B8355">
        <v>697893160</v>
      </c>
      <c r="C8355">
        <v>697893160</v>
      </c>
    </row>
    <row r="8356" spans="1:3">
      <c r="A8356">
        <v>8355</v>
      </c>
      <c r="B8356">
        <v>698060250</v>
      </c>
      <c r="C8356">
        <v>698060250</v>
      </c>
    </row>
    <row r="8357" spans="1:3">
      <c r="A8357">
        <v>8356</v>
      </c>
      <c r="B8357">
        <v>698227360</v>
      </c>
      <c r="C8357">
        <v>698227360</v>
      </c>
    </row>
    <row r="8358" spans="1:3">
      <c r="A8358">
        <v>8357</v>
      </c>
      <c r="B8358">
        <v>698394490</v>
      </c>
      <c r="C8358">
        <v>698394490</v>
      </c>
    </row>
    <row r="8359" spans="1:3">
      <c r="A8359">
        <v>8358</v>
      </c>
      <c r="B8359">
        <v>698561640</v>
      </c>
      <c r="C8359">
        <v>698561640</v>
      </c>
    </row>
    <row r="8360" spans="1:3">
      <c r="A8360">
        <v>8359</v>
      </c>
      <c r="B8360">
        <v>698728810</v>
      </c>
      <c r="C8360">
        <v>698728810</v>
      </c>
    </row>
    <row r="8361" spans="1:3">
      <c r="A8361">
        <v>8360</v>
      </c>
      <c r="B8361">
        <v>698896000</v>
      </c>
      <c r="C8361">
        <v>698896000</v>
      </c>
    </row>
    <row r="8362" spans="1:3">
      <c r="A8362">
        <v>8361</v>
      </c>
      <c r="B8362">
        <v>699063210</v>
      </c>
      <c r="C8362">
        <v>699063210</v>
      </c>
    </row>
    <row r="8363" spans="1:3">
      <c r="A8363">
        <v>8362</v>
      </c>
      <c r="B8363">
        <v>699230440</v>
      </c>
      <c r="C8363">
        <v>699230440</v>
      </c>
    </row>
    <row r="8364" spans="1:3">
      <c r="A8364">
        <v>8363</v>
      </c>
      <c r="B8364">
        <v>699397690</v>
      </c>
      <c r="C8364">
        <v>699397690</v>
      </c>
    </row>
    <row r="8365" spans="1:3">
      <c r="A8365">
        <v>8364</v>
      </c>
      <c r="B8365">
        <v>699564960</v>
      </c>
      <c r="C8365">
        <v>699564960</v>
      </c>
    </row>
    <row r="8366" spans="1:3">
      <c r="A8366">
        <v>8365</v>
      </c>
      <c r="B8366">
        <v>699732250</v>
      </c>
      <c r="C8366">
        <v>699732250</v>
      </c>
    </row>
    <row r="8367" spans="1:3">
      <c r="A8367">
        <v>8366</v>
      </c>
      <c r="B8367">
        <v>699899560</v>
      </c>
      <c r="C8367">
        <v>699899560</v>
      </c>
    </row>
    <row r="8368" spans="1:3">
      <c r="A8368">
        <v>8367</v>
      </c>
      <c r="B8368">
        <v>700066890</v>
      </c>
      <c r="C8368">
        <v>700066890</v>
      </c>
    </row>
    <row r="8369" spans="1:3">
      <c r="A8369">
        <v>8368</v>
      </c>
      <c r="B8369">
        <v>700234240</v>
      </c>
      <c r="C8369">
        <v>700234240</v>
      </c>
    </row>
    <row r="8370" spans="1:3">
      <c r="A8370">
        <v>8369</v>
      </c>
      <c r="B8370">
        <v>700401610</v>
      </c>
      <c r="C8370">
        <v>700401610</v>
      </c>
    </row>
    <row r="8371" spans="1:3">
      <c r="A8371">
        <v>8370</v>
      </c>
      <c r="B8371">
        <v>700569000</v>
      </c>
      <c r="C8371">
        <v>700569000</v>
      </c>
    </row>
    <row r="8372" spans="1:3">
      <c r="A8372">
        <v>8371</v>
      </c>
      <c r="B8372">
        <v>700736410</v>
      </c>
      <c r="C8372">
        <v>700736410</v>
      </c>
    </row>
    <row r="8373" spans="1:3">
      <c r="A8373">
        <v>8372</v>
      </c>
      <c r="B8373">
        <v>700903840</v>
      </c>
      <c r="C8373">
        <v>700903840</v>
      </c>
    </row>
    <row r="8374" spans="1:3">
      <c r="A8374">
        <v>8373</v>
      </c>
      <c r="B8374">
        <v>701071290</v>
      </c>
      <c r="C8374">
        <v>701071290</v>
      </c>
    </row>
    <row r="8375" spans="1:3">
      <c r="A8375">
        <v>8374</v>
      </c>
      <c r="B8375">
        <v>701238760</v>
      </c>
      <c r="C8375">
        <v>701238760</v>
      </c>
    </row>
    <row r="8376" spans="1:3">
      <c r="A8376">
        <v>8375</v>
      </c>
      <c r="B8376">
        <v>701406250</v>
      </c>
      <c r="C8376">
        <v>701406250</v>
      </c>
    </row>
    <row r="8377" spans="1:3">
      <c r="A8377">
        <v>8376</v>
      </c>
      <c r="B8377">
        <v>701573760</v>
      </c>
      <c r="C8377">
        <v>701573760</v>
      </c>
    </row>
    <row r="8378" spans="1:3">
      <c r="A8378">
        <v>8377</v>
      </c>
      <c r="B8378">
        <v>701741290</v>
      </c>
      <c r="C8378">
        <v>701741290</v>
      </c>
    </row>
    <row r="8379" spans="1:3">
      <c r="A8379">
        <v>8378</v>
      </c>
      <c r="B8379">
        <v>701908840</v>
      </c>
      <c r="C8379">
        <v>701908840</v>
      </c>
    </row>
    <row r="8380" spans="1:3">
      <c r="A8380">
        <v>8379</v>
      </c>
      <c r="B8380">
        <v>702076410</v>
      </c>
      <c r="C8380">
        <v>702076410</v>
      </c>
    </row>
    <row r="8381" spans="1:3">
      <c r="A8381">
        <v>8380</v>
      </c>
      <c r="B8381">
        <v>702244000</v>
      </c>
      <c r="C8381">
        <v>702244000</v>
      </c>
    </row>
    <row r="8382" spans="1:3">
      <c r="A8382">
        <v>8381</v>
      </c>
      <c r="B8382">
        <v>702411610</v>
      </c>
      <c r="C8382">
        <v>702411610</v>
      </c>
    </row>
    <row r="8383" spans="1:3">
      <c r="A8383">
        <v>8382</v>
      </c>
      <c r="B8383">
        <v>702579240</v>
      </c>
      <c r="C8383">
        <v>702579240</v>
      </c>
    </row>
    <row r="8384" spans="1:3">
      <c r="A8384">
        <v>8383</v>
      </c>
      <c r="B8384">
        <v>702746890</v>
      </c>
      <c r="C8384">
        <v>702746890</v>
      </c>
    </row>
    <row r="8385" spans="1:3">
      <c r="A8385">
        <v>8384</v>
      </c>
      <c r="B8385">
        <v>702914560</v>
      </c>
      <c r="C8385">
        <v>702914560</v>
      </c>
    </row>
    <row r="8386" spans="1:3">
      <c r="A8386">
        <v>8385</v>
      </c>
      <c r="B8386">
        <v>703082250</v>
      </c>
      <c r="C8386">
        <v>703082250</v>
      </c>
    </row>
    <row r="8387" spans="1:3">
      <c r="A8387">
        <v>8386</v>
      </c>
      <c r="B8387">
        <v>703249960</v>
      </c>
      <c r="C8387">
        <v>703249960</v>
      </c>
    </row>
    <row r="8388" spans="1:3">
      <c r="A8388">
        <v>8387</v>
      </c>
      <c r="B8388">
        <v>703417690</v>
      </c>
      <c r="C8388">
        <v>703417690</v>
      </c>
    </row>
    <row r="8389" spans="1:3">
      <c r="A8389">
        <v>8388</v>
      </c>
      <c r="B8389">
        <v>703585440</v>
      </c>
      <c r="C8389">
        <v>703585440</v>
      </c>
    </row>
    <row r="8390" spans="1:3">
      <c r="A8390">
        <v>8389</v>
      </c>
      <c r="B8390">
        <v>703753210</v>
      </c>
      <c r="C8390">
        <v>703753210</v>
      </c>
    </row>
    <row r="8391" spans="1:3">
      <c r="A8391">
        <v>8390</v>
      </c>
      <c r="B8391">
        <v>703921000</v>
      </c>
      <c r="C8391">
        <v>703921000</v>
      </c>
    </row>
    <row r="8392" spans="1:3">
      <c r="A8392">
        <v>8391</v>
      </c>
      <c r="B8392">
        <v>704088810</v>
      </c>
      <c r="C8392">
        <v>704088810</v>
      </c>
    </row>
    <row r="8393" spans="1:3">
      <c r="A8393">
        <v>8392</v>
      </c>
      <c r="B8393">
        <v>704256640</v>
      </c>
      <c r="C8393">
        <v>704256640</v>
      </c>
    </row>
    <row r="8394" spans="1:3">
      <c r="A8394">
        <v>8393</v>
      </c>
      <c r="B8394">
        <v>704424490</v>
      </c>
      <c r="C8394">
        <v>704424490</v>
      </c>
    </row>
    <row r="8395" spans="1:3">
      <c r="A8395">
        <v>8394</v>
      </c>
      <c r="B8395">
        <v>704592360</v>
      </c>
      <c r="C8395">
        <v>704592360</v>
      </c>
    </row>
    <row r="8396" spans="1:3">
      <c r="A8396">
        <v>8395</v>
      </c>
      <c r="B8396">
        <v>704760250</v>
      </c>
      <c r="C8396">
        <v>704760250</v>
      </c>
    </row>
    <row r="8397" spans="1:3">
      <c r="A8397">
        <v>8396</v>
      </c>
      <c r="B8397">
        <v>704928160</v>
      </c>
      <c r="C8397">
        <v>704928160</v>
      </c>
    </row>
    <row r="8398" spans="1:3">
      <c r="A8398">
        <v>8397</v>
      </c>
      <c r="B8398">
        <v>705096090</v>
      </c>
      <c r="C8398">
        <v>705096090</v>
      </c>
    </row>
    <row r="8399" spans="1:3">
      <c r="A8399">
        <v>8398</v>
      </c>
      <c r="B8399">
        <v>705264040</v>
      </c>
      <c r="C8399">
        <v>705264040</v>
      </c>
    </row>
    <row r="8400" spans="1:3">
      <c r="A8400">
        <v>8399</v>
      </c>
      <c r="B8400">
        <v>705432010</v>
      </c>
      <c r="C8400">
        <v>705432010</v>
      </c>
    </row>
    <row r="8401" spans="1:3">
      <c r="A8401">
        <v>8400</v>
      </c>
      <c r="B8401">
        <v>705600000</v>
      </c>
      <c r="C8401">
        <v>705600000</v>
      </c>
    </row>
    <row r="8402" spans="1:3">
      <c r="A8402">
        <v>8401</v>
      </c>
      <c r="B8402">
        <v>705768010</v>
      </c>
      <c r="C8402">
        <v>705768010</v>
      </c>
    </row>
    <row r="8403" spans="1:3">
      <c r="A8403">
        <v>8402</v>
      </c>
      <c r="B8403">
        <v>705936040</v>
      </c>
      <c r="C8403">
        <v>705936040</v>
      </c>
    </row>
    <row r="8404" spans="1:3">
      <c r="A8404">
        <v>8403</v>
      </c>
      <c r="B8404">
        <v>706104090</v>
      </c>
      <c r="C8404">
        <v>706104090</v>
      </c>
    </row>
    <row r="8405" spans="1:3">
      <c r="A8405">
        <v>8404</v>
      </c>
      <c r="B8405">
        <v>706272160</v>
      </c>
      <c r="C8405">
        <v>706272160</v>
      </c>
    </row>
    <row r="8406" spans="1:3">
      <c r="A8406">
        <v>8405</v>
      </c>
      <c r="B8406">
        <v>706440250</v>
      </c>
      <c r="C8406">
        <v>706440250</v>
      </c>
    </row>
    <row r="8407" spans="1:3">
      <c r="A8407">
        <v>8406</v>
      </c>
      <c r="B8407">
        <v>706608360</v>
      </c>
      <c r="C8407">
        <v>706608360</v>
      </c>
    </row>
    <row r="8408" spans="1:3">
      <c r="A8408">
        <v>8407</v>
      </c>
      <c r="B8408">
        <v>706776490</v>
      </c>
      <c r="C8408">
        <v>706776490</v>
      </c>
    </row>
    <row r="8409" spans="1:3">
      <c r="A8409">
        <v>8408</v>
      </c>
      <c r="B8409">
        <v>706944640</v>
      </c>
      <c r="C8409">
        <v>706944640</v>
      </c>
    </row>
    <row r="8410" spans="1:3">
      <c r="A8410">
        <v>8409</v>
      </c>
      <c r="B8410">
        <v>707112810</v>
      </c>
      <c r="C8410">
        <v>707112810</v>
      </c>
    </row>
    <row r="8411" spans="1:3">
      <c r="A8411">
        <v>8410</v>
      </c>
      <c r="B8411">
        <v>707281000</v>
      </c>
      <c r="C8411">
        <v>707281000</v>
      </c>
    </row>
    <row r="8412" spans="1:3">
      <c r="A8412">
        <v>8411</v>
      </c>
      <c r="B8412">
        <v>707449210</v>
      </c>
      <c r="C8412">
        <v>707449210</v>
      </c>
    </row>
    <row r="8413" spans="1:3">
      <c r="A8413">
        <v>8412</v>
      </c>
      <c r="B8413">
        <v>707617440</v>
      </c>
      <c r="C8413">
        <v>707617440</v>
      </c>
    </row>
    <row r="8414" spans="1:3">
      <c r="A8414">
        <v>8413</v>
      </c>
      <c r="B8414">
        <v>707785690</v>
      </c>
      <c r="C8414">
        <v>707785690</v>
      </c>
    </row>
    <row r="8415" spans="1:3">
      <c r="A8415">
        <v>8414</v>
      </c>
      <c r="B8415">
        <v>707953960</v>
      </c>
      <c r="C8415">
        <v>707953960</v>
      </c>
    </row>
    <row r="8416" spans="1:3">
      <c r="A8416">
        <v>8415</v>
      </c>
      <c r="B8416">
        <v>708122250</v>
      </c>
      <c r="C8416">
        <v>708122250</v>
      </c>
    </row>
    <row r="8417" spans="1:3">
      <c r="A8417">
        <v>8416</v>
      </c>
      <c r="B8417">
        <v>708290560</v>
      </c>
      <c r="C8417">
        <v>708290560</v>
      </c>
    </row>
    <row r="8418" spans="1:3">
      <c r="A8418">
        <v>8417</v>
      </c>
      <c r="B8418">
        <v>708458890</v>
      </c>
      <c r="C8418">
        <v>708458890</v>
      </c>
    </row>
    <row r="8419" spans="1:3">
      <c r="A8419">
        <v>8418</v>
      </c>
      <c r="B8419">
        <v>708627240</v>
      </c>
      <c r="C8419">
        <v>708627240</v>
      </c>
    </row>
    <row r="8420" spans="1:3">
      <c r="A8420">
        <v>8419</v>
      </c>
      <c r="B8420">
        <v>708795610</v>
      </c>
      <c r="C8420">
        <v>708795610</v>
      </c>
    </row>
    <row r="8421" spans="1:3">
      <c r="A8421">
        <v>8420</v>
      </c>
      <c r="B8421">
        <v>708964000</v>
      </c>
      <c r="C8421">
        <v>708964000</v>
      </c>
    </row>
    <row r="8422" spans="1:3">
      <c r="A8422">
        <v>8421</v>
      </c>
      <c r="B8422">
        <v>709132410</v>
      </c>
      <c r="C8422">
        <v>709132410</v>
      </c>
    </row>
    <row r="8423" spans="1:3">
      <c r="A8423">
        <v>8422</v>
      </c>
      <c r="B8423">
        <v>709300840</v>
      </c>
      <c r="C8423">
        <v>709300840</v>
      </c>
    </row>
    <row r="8424" spans="1:3">
      <c r="A8424">
        <v>8423</v>
      </c>
      <c r="B8424">
        <v>709469290</v>
      </c>
      <c r="C8424">
        <v>709469290</v>
      </c>
    </row>
    <row r="8425" spans="1:3">
      <c r="A8425">
        <v>8424</v>
      </c>
      <c r="B8425">
        <v>709637760</v>
      </c>
      <c r="C8425">
        <v>709637760</v>
      </c>
    </row>
    <row r="8426" spans="1:3">
      <c r="A8426">
        <v>8425</v>
      </c>
      <c r="B8426">
        <v>709806250</v>
      </c>
      <c r="C8426">
        <v>709806250</v>
      </c>
    </row>
    <row r="8427" spans="1:3">
      <c r="A8427">
        <v>8426</v>
      </c>
      <c r="B8427">
        <v>709974760</v>
      </c>
      <c r="C8427">
        <v>709974760</v>
      </c>
    </row>
    <row r="8428" spans="1:3">
      <c r="A8428">
        <v>8427</v>
      </c>
      <c r="B8428">
        <v>710143290</v>
      </c>
      <c r="C8428">
        <v>710143290</v>
      </c>
    </row>
    <row r="8429" spans="1:3">
      <c r="A8429">
        <v>8428</v>
      </c>
      <c r="B8429">
        <v>710311840</v>
      </c>
      <c r="C8429">
        <v>710311840</v>
      </c>
    </row>
    <row r="8430" spans="1:3">
      <c r="A8430">
        <v>8429</v>
      </c>
      <c r="B8430">
        <v>710480410</v>
      </c>
      <c r="C8430">
        <v>710480410</v>
      </c>
    </row>
    <row r="8431" spans="1:3">
      <c r="A8431">
        <v>8430</v>
      </c>
      <c r="B8431">
        <v>710649000</v>
      </c>
      <c r="C8431">
        <v>710649000</v>
      </c>
    </row>
    <row r="8432" spans="1:3">
      <c r="A8432">
        <v>8431</v>
      </c>
      <c r="B8432">
        <v>710817610</v>
      </c>
      <c r="C8432">
        <v>710817610</v>
      </c>
    </row>
    <row r="8433" spans="1:3">
      <c r="A8433">
        <v>8432</v>
      </c>
      <c r="B8433">
        <v>710986240</v>
      </c>
      <c r="C8433">
        <v>710986240</v>
      </c>
    </row>
    <row r="8434" spans="1:3">
      <c r="A8434">
        <v>8433</v>
      </c>
      <c r="B8434">
        <v>711154890</v>
      </c>
      <c r="C8434">
        <v>711154890</v>
      </c>
    </row>
    <row r="8435" spans="1:3">
      <c r="A8435">
        <v>8434</v>
      </c>
      <c r="B8435">
        <v>711323560</v>
      </c>
      <c r="C8435">
        <v>711323560</v>
      </c>
    </row>
    <row r="8436" spans="1:3">
      <c r="A8436">
        <v>8435</v>
      </c>
      <c r="B8436">
        <v>711492250</v>
      </c>
      <c r="C8436">
        <v>711492250</v>
      </c>
    </row>
    <row r="8437" spans="1:3">
      <c r="A8437">
        <v>8436</v>
      </c>
      <c r="B8437">
        <v>711660960</v>
      </c>
      <c r="C8437">
        <v>711660960</v>
      </c>
    </row>
    <row r="8438" spans="1:3">
      <c r="A8438">
        <v>8437</v>
      </c>
      <c r="B8438">
        <v>711829690</v>
      </c>
      <c r="C8438">
        <v>711829690</v>
      </c>
    </row>
    <row r="8439" spans="1:3">
      <c r="A8439">
        <v>8438</v>
      </c>
      <c r="B8439">
        <v>711998440</v>
      </c>
      <c r="C8439">
        <v>711998440</v>
      </c>
    </row>
    <row r="8440" spans="1:3">
      <c r="A8440">
        <v>8439</v>
      </c>
      <c r="B8440">
        <v>712167210</v>
      </c>
      <c r="C8440">
        <v>712167210</v>
      </c>
    </row>
    <row r="8441" spans="1:3">
      <c r="A8441">
        <v>8440</v>
      </c>
      <c r="B8441">
        <v>712336000</v>
      </c>
      <c r="C8441">
        <v>712336000</v>
      </c>
    </row>
    <row r="8442" spans="1:3">
      <c r="A8442">
        <v>8441</v>
      </c>
      <c r="B8442">
        <v>712504810</v>
      </c>
      <c r="C8442">
        <v>712504810</v>
      </c>
    </row>
    <row r="8443" spans="1:3">
      <c r="A8443">
        <v>8442</v>
      </c>
      <c r="B8443">
        <v>712673640</v>
      </c>
      <c r="C8443">
        <v>712673640</v>
      </c>
    </row>
    <row r="8444" spans="1:3">
      <c r="A8444">
        <v>8443</v>
      </c>
      <c r="B8444">
        <v>712842490</v>
      </c>
      <c r="C8444">
        <v>712842490</v>
      </c>
    </row>
    <row r="8445" spans="1:3">
      <c r="A8445">
        <v>8444</v>
      </c>
      <c r="B8445">
        <v>713011360</v>
      </c>
      <c r="C8445">
        <v>713011360</v>
      </c>
    </row>
    <row r="8446" spans="1:3">
      <c r="A8446">
        <v>8445</v>
      </c>
      <c r="B8446">
        <v>713180250</v>
      </c>
      <c r="C8446">
        <v>713180250</v>
      </c>
    </row>
    <row r="8447" spans="1:3">
      <c r="A8447">
        <v>8446</v>
      </c>
      <c r="B8447">
        <v>713349160</v>
      </c>
      <c r="C8447">
        <v>713349160</v>
      </c>
    </row>
    <row r="8448" spans="1:3">
      <c r="A8448">
        <v>8447</v>
      </c>
      <c r="B8448">
        <v>713518090</v>
      </c>
      <c r="C8448">
        <v>713518090</v>
      </c>
    </row>
    <row r="8449" spans="1:3">
      <c r="A8449">
        <v>8448</v>
      </c>
      <c r="B8449">
        <v>713687040</v>
      </c>
      <c r="C8449">
        <v>713687040</v>
      </c>
    </row>
    <row r="8450" spans="1:3">
      <c r="A8450">
        <v>8449</v>
      </c>
      <c r="B8450">
        <v>713856010</v>
      </c>
      <c r="C8450">
        <v>713856010</v>
      </c>
    </row>
    <row r="8451" spans="1:3">
      <c r="A8451">
        <v>8450</v>
      </c>
      <c r="B8451">
        <v>714025000</v>
      </c>
      <c r="C8451">
        <v>714025000</v>
      </c>
    </row>
    <row r="8452" spans="1:3">
      <c r="A8452">
        <v>8451</v>
      </c>
      <c r="B8452">
        <v>714194010</v>
      </c>
      <c r="C8452">
        <v>714194010</v>
      </c>
    </row>
    <row r="8453" spans="1:3">
      <c r="A8453">
        <v>8452</v>
      </c>
      <c r="B8453">
        <v>714363040</v>
      </c>
      <c r="C8453">
        <v>714363040</v>
      </c>
    </row>
    <row r="8454" spans="1:3">
      <c r="A8454">
        <v>8453</v>
      </c>
      <c r="B8454">
        <v>714532090</v>
      </c>
      <c r="C8454">
        <v>714532090</v>
      </c>
    </row>
    <row r="8455" spans="1:3">
      <c r="A8455">
        <v>8454</v>
      </c>
      <c r="B8455">
        <v>714701160</v>
      </c>
      <c r="C8455">
        <v>714701160</v>
      </c>
    </row>
    <row r="8456" spans="1:3">
      <c r="A8456">
        <v>8455</v>
      </c>
      <c r="B8456">
        <v>714870250</v>
      </c>
      <c r="C8456">
        <v>714870250</v>
      </c>
    </row>
    <row r="8457" spans="1:3">
      <c r="A8457">
        <v>8456</v>
      </c>
      <c r="B8457">
        <v>715039360</v>
      </c>
      <c r="C8457">
        <v>715039360</v>
      </c>
    </row>
    <row r="8458" spans="1:3">
      <c r="A8458">
        <v>8457</v>
      </c>
      <c r="B8458">
        <v>715208490</v>
      </c>
      <c r="C8458">
        <v>715208490</v>
      </c>
    </row>
    <row r="8459" spans="1:3">
      <c r="A8459">
        <v>8458</v>
      </c>
      <c r="B8459">
        <v>715377640</v>
      </c>
      <c r="C8459">
        <v>715377640</v>
      </c>
    </row>
    <row r="8460" spans="1:3">
      <c r="A8460">
        <v>8459</v>
      </c>
      <c r="B8460">
        <v>715546810</v>
      </c>
      <c r="C8460">
        <v>715546810</v>
      </c>
    </row>
    <row r="8461" spans="1:3">
      <c r="A8461">
        <v>8460</v>
      </c>
      <c r="B8461">
        <v>715716000</v>
      </c>
      <c r="C8461">
        <v>715716000</v>
      </c>
    </row>
    <row r="8462" spans="1:3">
      <c r="A8462">
        <v>8461</v>
      </c>
      <c r="B8462">
        <v>715885210</v>
      </c>
      <c r="C8462">
        <v>715885210</v>
      </c>
    </row>
    <row r="8463" spans="1:3">
      <c r="A8463">
        <v>8462</v>
      </c>
      <c r="B8463">
        <v>716054440</v>
      </c>
      <c r="C8463">
        <v>716054440</v>
      </c>
    </row>
    <row r="8464" spans="1:3">
      <c r="A8464">
        <v>8463</v>
      </c>
      <c r="B8464">
        <v>716223690</v>
      </c>
      <c r="C8464">
        <v>716223690</v>
      </c>
    </row>
    <row r="8465" spans="1:3">
      <c r="A8465">
        <v>8464</v>
      </c>
      <c r="B8465">
        <v>716392960</v>
      </c>
      <c r="C8465">
        <v>716392960</v>
      </c>
    </row>
    <row r="8466" spans="1:3">
      <c r="A8466">
        <v>8465</v>
      </c>
      <c r="B8466">
        <v>716562250</v>
      </c>
      <c r="C8466">
        <v>716562250</v>
      </c>
    </row>
    <row r="8467" spans="1:3">
      <c r="A8467">
        <v>8466</v>
      </c>
      <c r="B8467">
        <v>716731560</v>
      </c>
      <c r="C8467">
        <v>716731560</v>
      </c>
    </row>
    <row r="8468" spans="1:3">
      <c r="A8468">
        <v>8467</v>
      </c>
      <c r="B8468">
        <v>716900890</v>
      </c>
      <c r="C8468">
        <v>716900890</v>
      </c>
    </row>
    <row r="8469" spans="1:3">
      <c r="A8469">
        <v>8468</v>
      </c>
      <c r="B8469">
        <v>717070240</v>
      </c>
      <c r="C8469">
        <v>717070240</v>
      </c>
    </row>
    <row r="8470" spans="1:3">
      <c r="A8470">
        <v>8469</v>
      </c>
      <c r="B8470">
        <v>717239610</v>
      </c>
      <c r="C8470">
        <v>717239610</v>
      </c>
    </row>
    <row r="8471" spans="1:3">
      <c r="A8471">
        <v>8470</v>
      </c>
      <c r="B8471">
        <v>717409000</v>
      </c>
      <c r="C8471">
        <v>717409000</v>
      </c>
    </row>
    <row r="8472" spans="1:3">
      <c r="A8472">
        <v>8471</v>
      </c>
      <c r="B8472">
        <v>717578410</v>
      </c>
      <c r="C8472">
        <v>717578410</v>
      </c>
    </row>
    <row r="8473" spans="1:3">
      <c r="A8473">
        <v>8472</v>
      </c>
      <c r="B8473">
        <v>717747840</v>
      </c>
      <c r="C8473">
        <v>717747840</v>
      </c>
    </row>
    <row r="8474" spans="1:3">
      <c r="A8474">
        <v>8473</v>
      </c>
      <c r="B8474">
        <v>717917290</v>
      </c>
      <c r="C8474">
        <v>717917290</v>
      </c>
    </row>
    <row r="8475" spans="1:3">
      <c r="A8475">
        <v>8474</v>
      </c>
      <c r="B8475">
        <v>718086760</v>
      </c>
      <c r="C8475">
        <v>718086760</v>
      </c>
    </row>
    <row r="8476" spans="1:3">
      <c r="A8476">
        <v>8475</v>
      </c>
      <c r="B8476">
        <v>718256250</v>
      </c>
      <c r="C8476">
        <v>718256250</v>
      </c>
    </row>
    <row r="8477" spans="1:3">
      <c r="A8477">
        <v>8476</v>
      </c>
      <c r="B8477">
        <v>718425760</v>
      </c>
      <c r="C8477">
        <v>718425760</v>
      </c>
    </row>
    <row r="8478" spans="1:3">
      <c r="A8478">
        <v>8477</v>
      </c>
      <c r="B8478">
        <v>718595290</v>
      </c>
      <c r="C8478">
        <v>718595290</v>
      </c>
    </row>
    <row r="8479" spans="1:3">
      <c r="A8479">
        <v>8478</v>
      </c>
      <c r="B8479">
        <v>718764840</v>
      </c>
      <c r="C8479">
        <v>718764840</v>
      </c>
    </row>
    <row r="8480" spans="1:3">
      <c r="A8480">
        <v>8479</v>
      </c>
      <c r="B8480">
        <v>718934410</v>
      </c>
      <c r="C8480">
        <v>718934410</v>
      </c>
    </row>
    <row r="8481" spans="1:3">
      <c r="A8481">
        <v>8480</v>
      </c>
      <c r="B8481">
        <v>719104000</v>
      </c>
      <c r="C8481">
        <v>719104000</v>
      </c>
    </row>
    <row r="8482" spans="1:3">
      <c r="A8482">
        <v>8481</v>
      </c>
      <c r="B8482">
        <v>719273610</v>
      </c>
      <c r="C8482">
        <v>719273610</v>
      </c>
    </row>
    <row r="8483" spans="1:3">
      <c r="A8483">
        <v>8482</v>
      </c>
      <c r="B8483">
        <v>719443240</v>
      </c>
      <c r="C8483">
        <v>719443240</v>
      </c>
    </row>
    <row r="8484" spans="1:3">
      <c r="A8484">
        <v>8483</v>
      </c>
      <c r="B8484">
        <v>719612890</v>
      </c>
      <c r="C8484">
        <v>719612890</v>
      </c>
    </row>
    <row r="8485" spans="1:3">
      <c r="A8485">
        <v>8484</v>
      </c>
      <c r="B8485">
        <v>719782560</v>
      </c>
      <c r="C8485">
        <v>719782560</v>
      </c>
    </row>
    <row r="8486" spans="1:3">
      <c r="A8486">
        <v>8485</v>
      </c>
      <c r="B8486">
        <v>719952250</v>
      </c>
      <c r="C8486">
        <v>719952250</v>
      </c>
    </row>
    <row r="8487" spans="1:3">
      <c r="A8487">
        <v>8486</v>
      </c>
      <c r="B8487">
        <v>720121960</v>
      </c>
      <c r="C8487">
        <v>720121960</v>
      </c>
    </row>
    <row r="8488" spans="1:3">
      <c r="A8488">
        <v>8487</v>
      </c>
      <c r="B8488">
        <v>720291690</v>
      </c>
      <c r="C8488">
        <v>720291690</v>
      </c>
    </row>
    <row r="8489" spans="1:3">
      <c r="A8489">
        <v>8488</v>
      </c>
      <c r="B8489">
        <v>720461440</v>
      </c>
      <c r="C8489">
        <v>720461440</v>
      </c>
    </row>
    <row r="8490" spans="1:3">
      <c r="A8490">
        <v>8489</v>
      </c>
      <c r="B8490">
        <v>720631210</v>
      </c>
      <c r="C8490">
        <v>720631210</v>
      </c>
    </row>
    <row r="8491" spans="1:3">
      <c r="A8491">
        <v>8490</v>
      </c>
      <c r="B8491">
        <v>720801000</v>
      </c>
      <c r="C8491">
        <v>720801000</v>
      </c>
    </row>
    <row r="8492" spans="1:3">
      <c r="A8492">
        <v>8491</v>
      </c>
      <c r="B8492">
        <v>720970810</v>
      </c>
      <c r="C8492">
        <v>720970810</v>
      </c>
    </row>
    <row r="8493" spans="1:3">
      <c r="A8493">
        <v>8492</v>
      </c>
      <c r="B8493">
        <v>721140640</v>
      </c>
      <c r="C8493">
        <v>721140640</v>
      </c>
    </row>
    <row r="8494" spans="1:3">
      <c r="A8494">
        <v>8493</v>
      </c>
      <c r="B8494">
        <v>721310490</v>
      </c>
      <c r="C8494">
        <v>721310490</v>
      </c>
    </row>
    <row r="8495" spans="1:3">
      <c r="A8495">
        <v>8494</v>
      </c>
      <c r="B8495">
        <v>721480360</v>
      </c>
      <c r="C8495">
        <v>721480360</v>
      </c>
    </row>
    <row r="8496" spans="1:3">
      <c r="A8496">
        <v>8495</v>
      </c>
      <c r="B8496">
        <v>721650250</v>
      </c>
      <c r="C8496">
        <v>721650250</v>
      </c>
    </row>
    <row r="8497" spans="1:3">
      <c r="A8497">
        <v>8496</v>
      </c>
      <c r="B8497">
        <v>721820160</v>
      </c>
      <c r="C8497">
        <v>721820160</v>
      </c>
    </row>
    <row r="8498" spans="1:3">
      <c r="A8498">
        <v>8497</v>
      </c>
      <c r="B8498">
        <v>721990090</v>
      </c>
      <c r="C8498">
        <v>721990090</v>
      </c>
    </row>
    <row r="8499" spans="1:3">
      <c r="A8499">
        <v>8498</v>
      </c>
      <c r="B8499">
        <v>722160040</v>
      </c>
      <c r="C8499">
        <v>722160040</v>
      </c>
    </row>
    <row r="8500" spans="1:3">
      <c r="A8500">
        <v>8499</v>
      </c>
      <c r="B8500">
        <v>722330010</v>
      </c>
      <c r="C8500">
        <v>722330010</v>
      </c>
    </row>
    <row r="8501" spans="1:3">
      <c r="A8501">
        <v>8500</v>
      </c>
      <c r="B8501">
        <v>722500000</v>
      </c>
      <c r="C8501">
        <v>722500000</v>
      </c>
    </row>
    <row r="8502" spans="1:3">
      <c r="A8502">
        <v>8501</v>
      </c>
      <c r="B8502">
        <v>722670010</v>
      </c>
      <c r="C8502">
        <v>722670010</v>
      </c>
    </row>
    <row r="8503" spans="1:3">
      <c r="A8503">
        <v>8502</v>
      </c>
      <c r="B8503">
        <v>722840040</v>
      </c>
      <c r="C8503">
        <v>722840040</v>
      </c>
    </row>
    <row r="8504" spans="1:3">
      <c r="A8504">
        <v>8503</v>
      </c>
      <c r="B8504">
        <v>723010090</v>
      </c>
      <c r="C8504">
        <v>723010090</v>
      </c>
    </row>
    <row r="8505" spans="1:3">
      <c r="A8505">
        <v>8504</v>
      </c>
      <c r="B8505">
        <v>723180160</v>
      </c>
      <c r="C8505">
        <v>723180160</v>
      </c>
    </row>
    <row r="8506" spans="1:3">
      <c r="A8506">
        <v>8505</v>
      </c>
      <c r="B8506">
        <v>723350250</v>
      </c>
      <c r="C8506">
        <v>723350250</v>
      </c>
    </row>
    <row r="8507" spans="1:3">
      <c r="A8507">
        <v>8506</v>
      </c>
      <c r="B8507">
        <v>723520360</v>
      </c>
      <c r="C8507">
        <v>723520360</v>
      </c>
    </row>
    <row r="8508" spans="1:3">
      <c r="A8508">
        <v>8507</v>
      </c>
      <c r="B8508">
        <v>723690490</v>
      </c>
      <c r="C8508">
        <v>723690490</v>
      </c>
    </row>
    <row r="8509" spans="1:3">
      <c r="A8509">
        <v>8508</v>
      </c>
      <c r="B8509">
        <v>723860640</v>
      </c>
      <c r="C8509">
        <v>723860640</v>
      </c>
    </row>
    <row r="8510" spans="1:3">
      <c r="A8510">
        <v>8509</v>
      </c>
      <c r="B8510">
        <v>724030810</v>
      </c>
      <c r="C8510">
        <v>724030810</v>
      </c>
    </row>
    <row r="8511" spans="1:3">
      <c r="A8511">
        <v>8510</v>
      </c>
      <c r="B8511">
        <v>724201000</v>
      </c>
      <c r="C8511">
        <v>724201000</v>
      </c>
    </row>
    <row r="8512" spans="1:3">
      <c r="A8512">
        <v>8511</v>
      </c>
      <c r="B8512">
        <v>724371210</v>
      </c>
      <c r="C8512">
        <v>724371210</v>
      </c>
    </row>
    <row r="8513" spans="1:3">
      <c r="A8513">
        <v>8512</v>
      </c>
      <c r="B8513">
        <v>724541440</v>
      </c>
      <c r="C8513">
        <v>724541440</v>
      </c>
    </row>
    <row r="8514" spans="1:3">
      <c r="A8514">
        <v>8513</v>
      </c>
      <c r="B8514">
        <v>724711690</v>
      </c>
      <c r="C8514">
        <v>724711690</v>
      </c>
    </row>
    <row r="8515" spans="1:3">
      <c r="A8515">
        <v>8514</v>
      </c>
      <c r="B8515">
        <v>724881960</v>
      </c>
      <c r="C8515">
        <v>724881960</v>
      </c>
    </row>
    <row r="8516" spans="1:3">
      <c r="A8516">
        <v>8515</v>
      </c>
      <c r="B8516">
        <v>725052250</v>
      </c>
      <c r="C8516">
        <v>725052250</v>
      </c>
    </row>
    <row r="8517" spans="1:3">
      <c r="A8517">
        <v>8516</v>
      </c>
      <c r="B8517">
        <v>725222560</v>
      </c>
      <c r="C8517">
        <v>725222560</v>
      </c>
    </row>
    <row r="8518" spans="1:3">
      <c r="A8518">
        <v>8517</v>
      </c>
      <c r="B8518">
        <v>725392890</v>
      </c>
      <c r="C8518">
        <v>725392890</v>
      </c>
    </row>
    <row r="8519" spans="1:3">
      <c r="A8519">
        <v>8518</v>
      </c>
      <c r="B8519">
        <v>725563240</v>
      </c>
      <c r="C8519">
        <v>725563240</v>
      </c>
    </row>
    <row r="8520" spans="1:3">
      <c r="A8520">
        <v>8519</v>
      </c>
      <c r="B8520">
        <v>725733610</v>
      </c>
      <c r="C8520">
        <v>725733610</v>
      </c>
    </row>
    <row r="8521" spans="1:3">
      <c r="A8521">
        <v>8520</v>
      </c>
      <c r="B8521">
        <v>725904000</v>
      </c>
      <c r="C8521">
        <v>725904000</v>
      </c>
    </row>
    <row r="8522" spans="1:3">
      <c r="A8522">
        <v>8521</v>
      </c>
      <c r="B8522">
        <v>726074410</v>
      </c>
      <c r="C8522">
        <v>726074410</v>
      </c>
    </row>
    <row r="8523" spans="1:3">
      <c r="A8523">
        <v>8522</v>
      </c>
      <c r="B8523">
        <v>726244840</v>
      </c>
      <c r="C8523">
        <v>726244840</v>
      </c>
    </row>
    <row r="8524" spans="1:3">
      <c r="A8524">
        <v>8523</v>
      </c>
      <c r="B8524">
        <v>726415290</v>
      </c>
      <c r="C8524">
        <v>726415290</v>
      </c>
    </row>
    <row r="8525" spans="1:3">
      <c r="A8525">
        <v>8524</v>
      </c>
      <c r="B8525">
        <v>726585760</v>
      </c>
      <c r="C8525">
        <v>726585760</v>
      </c>
    </row>
    <row r="8526" spans="1:3">
      <c r="A8526">
        <v>8525</v>
      </c>
      <c r="B8526">
        <v>726756250</v>
      </c>
      <c r="C8526">
        <v>726756250</v>
      </c>
    </row>
    <row r="8527" spans="1:3">
      <c r="A8527">
        <v>8526</v>
      </c>
      <c r="B8527">
        <v>726926760</v>
      </c>
      <c r="C8527">
        <v>726926760</v>
      </c>
    </row>
    <row r="8528" spans="1:3">
      <c r="A8528">
        <v>8527</v>
      </c>
      <c r="B8528">
        <v>727097290</v>
      </c>
      <c r="C8528">
        <v>727097290</v>
      </c>
    </row>
    <row r="8529" spans="1:3">
      <c r="A8529">
        <v>8528</v>
      </c>
      <c r="B8529">
        <v>727267840</v>
      </c>
      <c r="C8529">
        <v>727267840</v>
      </c>
    </row>
    <row r="8530" spans="1:3">
      <c r="A8530">
        <v>8529</v>
      </c>
      <c r="B8530">
        <v>727438410</v>
      </c>
      <c r="C8530">
        <v>727438410</v>
      </c>
    </row>
    <row r="8531" spans="1:3">
      <c r="A8531">
        <v>8530</v>
      </c>
      <c r="B8531">
        <v>727609000</v>
      </c>
      <c r="C8531">
        <v>727609000</v>
      </c>
    </row>
    <row r="8532" spans="1:3">
      <c r="A8532">
        <v>8531</v>
      </c>
      <c r="B8532">
        <v>727779610</v>
      </c>
      <c r="C8532">
        <v>727779610</v>
      </c>
    </row>
    <row r="8533" spans="1:3">
      <c r="A8533">
        <v>8532</v>
      </c>
      <c r="B8533">
        <v>727950240</v>
      </c>
      <c r="C8533">
        <v>727950240</v>
      </c>
    </row>
    <row r="8534" spans="1:3">
      <c r="A8534">
        <v>8533</v>
      </c>
      <c r="B8534">
        <v>728120890</v>
      </c>
      <c r="C8534">
        <v>728120890</v>
      </c>
    </row>
    <row r="8535" spans="1:3">
      <c r="A8535">
        <v>8534</v>
      </c>
      <c r="B8535">
        <v>728291560</v>
      </c>
      <c r="C8535">
        <v>728291560</v>
      </c>
    </row>
    <row r="8536" spans="1:3">
      <c r="A8536">
        <v>8535</v>
      </c>
      <c r="B8536">
        <v>728462250</v>
      </c>
      <c r="C8536">
        <v>728462250</v>
      </c>
    </row>
    <row r="8537" spans="1:3">
      <c r="A8537">
        <v>8536</v>
      </c>
      <c r="B8537">
        <v>728632960</v>
      </c>
      <c r="C8537">
        <v>728632960</v>
      </c>
    </row>
    <row r="8538" spans="1:3">
      <c r="A8538">
        <v>8537</v>
      </c>
      <c r="B8538">
        <v>728803690</v>
      </c>
      <c r="C8538">
        <v>728803690</v>
      </c>
    </row>
    <row r="8539" spans="1:3">
      <c r="A8539">
        <v>8538</v>
      </c>
      <c r="B8539">
        <v>728974440</v>
      </c>
      <c r="C8539">
        <v>728974440</v>
      </c>
    </row>
    <row r="8540" spans="1:3">
      <c r="A8540">
        <v>8539</v>
      </c>
      <c r="B8540">
        <v>729145210</v>
      </c>
      <c r="C8540">
        <v>729145210</v>
      </c>
    </row>
    <row r="8541" spans="1:3">
      <c r="A8541">
        <v>8540</v>
      </c>
      <c r="B8541">
        <v>729316000</v>
      </c>
      <c r="C8541">
        <v>729316000</v>
      </c>
    </row>
    <row r="8542" spans="1:3">
      <c r="A8542">
        <v>8541</v>
      </c>
      <c r="B8542">
        <v>729486810</v>
      </c>
      <c r="C8542">
        <v>729486810</v>
      </c>
    </row>
    <row r="8543" spans="1:3">
      <c r="A8543">
        <v>8542</v>
      </c>
      <c r="B8543">
        <v>729657640</v>
      </c>
      <c r="C8543">
        <v>729657640</v>
      </c>
    </row>
    <row r="8544" spans="1:3">
      <c r="A8544">
        <v>8543</v>
      </c>
      <c r="B8544">
        <v>729828490</v>
      </c>
      <c r="C8544">
        <v>729828490</v>
      </c>
    </row>
    <row r="8545" spans="1:3">
      <c r="A8545">
        <v>8544</v>
      </c>
      <c r="B8545">
        <v>729999360</v>
      </c>
      <c r="C8545">
        <v>729999360</v>
      </c>
    </row>
    <row r="8546" spans="1:3">
      <c r="A8546">
        <v>8545</v>
      </c>
      <c r="B8546">
        <v>730170250</v>
      </c>
      <c r="C8546">
        <v>730170250</v>
      </c>
    </row>
    <row r="8547" spans="1:3">
      <c r="A8547">
        <v>8546</v>
      </c>
      <c r="B8547">
        <v>730341160</v>
      </c>
      <c r="C8547">
        <v>730341160</v>
      </c>
    </row>
    <row r="8548" spans="1:3">
      <c r="A8548">
        <v>8547</v>
      </c>
      <c r="B8548">
        <v>730512090</v>
      </c>
      <c r="C8548">
        <v>730512090</v>
      </c>
    </row>
    <row r="8549" spans="1:3">
      <c r="A8549">
        <v>8548</v>
      </c>
      <c r="B8549">
        <v>730683040</v>
      </c>
      <c r="C8549">
        <v>730683040</v>
      </c>
    </row>
    <row r="8550" spans="1:3">
      <c r="A8550">
        <v>8549</v>
      </c>
      <c r="B8550">
        <v>730854010</v>
      </c>
      <c r="C8550">
        <v>730854010</v>
      </c>
    </row>
    <row r="8551" spans="1:3">
      <c r="A8551">
        <v>8550</v>
      </c>
      <c r="B8551">
        <v>731025000</v>
      </c>
      <c r="C8551">
        <v>731025000</v>
      </c>
    </row>
    <row r="8552" spans="1:3">
      <c r="A8552">
        <v>8551</v>
      </c>
      <c r="B8552">
        <v>731196010</v>
      </c>
      <c r="C8552">
        <v>731196010</v>
      </c>
    </row>
    <row r="8553" spans="1:3">
      <c r="A8553">
        <v>8552</v>
      </c>
      <c r="B8553">
        <v>731367040</v>
      </c>
      <c r="C8553">
        <v>731367040</v>
      </c>
    </row>
    <row r="8554" spans="1:3">
      <c r="A8554">
        <v>8553</v>
      </c>
      <c r="B8554">
        <v>731538090</v>
      </c>
      <c r="C8554">
        <v>731538090</v>
      </c>
    </row>
    <row r="8555" spans="1:3">
      <c r="A8555">
        <v>8554</v>
      </c>
      <c r="B8555">
        <v>731709160</v>
      </c>
      <c r="C8555">
        <v>731709160</v>
      </c>
    </row>
    <row r="8556" spans="1:3">
      <c r="A8556">
        <v>8555</v>
      </c>
      <c r="B8556">
        <v>731880250</v>
      </c>
      <c r="C8556">
        <v>731880250</v>
      </c>
    </row>
    <row r="8557" spans="1:3">
      <c r="A8557">
        <v>8556</v>
      </c>
      <c r="B8557">
        <v>732051360</v>
      </c>
      <c r="C8557">
        <v>732051360</v>
      </c>
    </row>
    <row r="8558" spans="1:3">
      <c r="A8558">
        <v>8557</v>
      </c>
      <c r="B8558">
        <v>732222490</v>
      </c>
      <c r="C8558">
        <v>732222490</v>
      </c>
    </row>
    <row r="8559" spans="1:3">
      <c r="A8559">
        <v>8558</v>
      </c>
      <c r="B8559">
        <v>732393640</v>
      </c>
      <c r="C8559">
        <v>732393640</v>
      </c>
    </row>
    <row r="8560" spans="1:3">
      <c r="A8560">
        <v>8559</v>
      </c>
      <c r="B8560">
        <v>732564810</v>
      </c>
      <c r="C8560">
        <v>732564810</v>
      </c>
    </row>
    <row r="8561" spans="1:3">
      <c r="A8561">
        <v>8560</v>
      </c>
      <c r="B8561">
        <v>732736000</v>
      </c>
      <c r="C8561">
        <v>732736000</v>
      </c>
    </row>
    <row r="8562" spans="1:3">
      <c r="A8562">
        <v>8561</v>
      </c>
      <c r="B8562">
        <v>732907210</v>
      </c>
      <c r="C8562">
        <v>732907210</v>
      </c>
    </row>
    <row r="8563" spans="1:3">
      <c r="A8563">
        <v>8562</v>
      </c>
      <c r="B8563">
        <v>733078440</v>
      </c>
      <c r="C8563">
        <v>733078440</v>
      </c>
    </row>
    <row r="8564" spans="1:3">
      <c r="A8564">
        <v>8563</v>
      </c>
      <c r="B8564">
        <v>733249690</v>
      </c>
      <c r="C8564">
        <v>733249690</v>
      </c>
    </row>
    <row r="8565" spans="1:3">
      <c r="A8565">
        <v>8564</v>
      </c>
      <c r="B8565">
        <v>733420960</v>
      </c>
      <c r="C8565">
        <v>733420960</v>
      </c>
    </row>
    <row r="8566" spans="1:3">
      <c r="A8566">
        <v>8565</v>
      </c>
      <c r="B8566">
        <v>733592250</v>
      </c>
      <c r="C8566">
        <v>733592250</v>
      </c>
    </row>
    <row r="8567" spans="1:3">
      <c r="A8567">
        <v>8566</v>
      </c>
      <c r="B8567">
        <v>733763560</v>
      </c>
      <c r="C8567">
        <v>733763560</v>
      </c>
    </row>
    <row r="8568" spans="1:3">
      <c r="A8568">
        <v>8567</v>
      </c>
      <c r="B8568">
        <v>733934890</v>
      </c>
      <c r="C8568">
        <v>733934890</v>
      </c>
    </row>
    <row r="8569" spans="1:3">
      <c r="A8569">
        <v>8568</v>
      </c>
      <c r="B8569">
        <v>734106240</v>
      </c>
      <c r="C8569">
        <v>734106240</v>
      </c>
    </row>
    <row r="8570" spans="1:3">
      <c r="A8570">
        <v>8569</v>
      </c>
      <c r="B8570">
        <v>734277610</v>
      </c>
      <c r="C8570">
        <v>734277610</v>
      </c>
    </row>
    <row r="8571" spans="1:3">
      <c r="A8571">
        <v>8570</v>
      </c>
      <c r="B8571">
        <v>734449000</v>
      </c>
      <c r="C8571">
        <v>734449000</v>
      </c>
    </row>
    <row r="8572" spans="1:3">
      <c r="A8572">
        <v>8571</v>
      </c>
      <c r="B8572">
        <v>734620410</v>
      </c>
      <c r="C8572">
        <v>734620410</v>
      </c>
    </row>
    <row r="8573" spans="1:3">
      <c r="A8573">
        <v>8572</v>
      </c>
      <c r="B8573">
        <v>734791840</v>
      </c>
      <c r="C8573">
        <v>734791840</v>
      </c>
    </row>
    <row r="8574" spans="1:3">
      <c r="A8574">
        <v>8573</v>
      </c>
      <c r="B8574">
        <v>734963290</v>
      </c>
      <c r="C8574">
        <v>734963290</v>
      </c>
    </row>
    <row r="8575" spans="1:3">
      <c r="A8575">
        <v>8574</v>
      </c>
      <c r="B8575">
        <v>735134760</v>
      </c>
      <c r="C8575">
        <v>735134760</v>
      </c>
    </row>
    <row r="8576" spans="1:3">
      <c r="A8576">
        <v>8575</v>
      </c>
      <c r="B8576">
        <v>735306250</v>
      </c>
      <c r="C8576">
        <v>735306250</v>
      </c>
    </row>
    <row r="8577" spans="1:3">
      <c r="A8577">
        <v>8576</v>
      </c>
      <c r="B8577">
        <v>735477760</v>
      </c>
      <c r="C8577">
        <v>735477760</v>
      </c>
    </row>
    <row r="8578" spans="1:3">
      <c r="A8578">
        <v>8577</v>
      </c>
      <c r="B8578">
        <v>735649290</v>
      </c>
      <c r="C8578">
        <v>735649290</v>
      </c>
    </row>
    <row r="8579" spans="1:3">
      <c r="A8579">
        <v>8578</v>
      </c>
      <c r="B8579">
        <v>735820840</v>
      </c>
      <c r="C8579">
        <v>735820840</v>
      </c>
    </row>
    <row r="8580" spans="1:3">
      <c r="A8580">
        <v>8579</v>
      </c>
      <c r="B8580">
        <v>735992410</v>
      </c>
      <c r="C8580">
        <v>735992410</v>
      </c>
    </row>
    <row r="8581" spans="1:3">
      <c r="A8581">
        <v>8580</v>
      </c>
      <c r="B8581">
        <v>736164000</v>
      </c>
      <c r="C8581">
        <v>736164000</v>
      </c>
    </row>
    <row r="8582" spans="1:3">
      <c r="A8582">
        <v>8581</v>
      </c>
      <c r="B8582">
        <v>736335610</v>
      </c>
      <c r="C8582">
        <v>736335610</v>
      </c>
    </row>
    <row r="8583" spans="1:3">
      <c r="A8583">
        <v>8582</v>
      </c>
      <c r="B8583">
        <v>736507240</v>
      </c>
      <c r="C8583">
        <v>736507240</v>
      </c>
    </row>
    <row r="8584" spans="1:3">
      <c r="A8584">
        <v>8583</v>
      </c>
      <c r="B8584">
        <v>736678890</v>
      </c>
      <c r="C8584">
        <v>736678890</v>
      </c>
    </row>
    <row r="8585" spans="1:3">
      <c r="A8585">
        <v>8584</v>
      </c>
      <c r="B8585">
        <v>736850560</v>
      </c>
      <c r="C8585">
        <v>736850560</v>
      </c>
    </row>
    <row r="8586" spans="1:3">
      <c r="A8586">
        <v>8585</v>
      </c>
      <c r="B8586">
        <v>737022250</v>
      </c>
      <c r="C8586">
        <v>737022250</v>
      </c>
    </row>
    <row r="8587" spans="1:3">
      <c r="A8587">
        <v>8586</v>
      </c>
      <c r="B8587">
        <v>737193960</v>
      </c>
      <c r="C8587">
        <v>737193960</v>
      </c>
    </row>
    <row r="8588" spans="1:3">
      <c r="A8588">
        <v>8587</v>
      </c>
      <c r="B8588">
        <v>737365690</v>
      </c>
      <c r="C8588">
        <v>737365690</v>
      </c>
    </row>
    <row r="8589" spans="1:3">
      <c r="A8589">
        <v>8588</v>
      </c>
      <c r="B8589">
        <v>737537440</v>
      </c>
      <c r="C8589">
        <v>737537440</v>
      </c>
    </row>
    <row r="8590" spans="1:3">
      <c r="A8590">
        <v>8589</v>
      </c>
      <c r="B8590">
        <v>737709210</v>
      </c>
      <c r="C8590">
        <v>737709210</v>
      </c>
    </row>
    <row r="8591" spans="1:3">
      <c r="A8591">
        <v>8590</v>
      </c>
      <c r="B8591">
        <v>737881000</v>
      </c>
      <c r="C8591">
        <v>737881000</v>
      </c>
    </row>
    <row r="8592" spans="1:3">
      <c r="A8592">
        <v>8591</v>
      </c>
      <c r="B8592">
        <v>738052810</v>
      </c>
      <c r="C8592">
        <v>738052810</v>
      </c>
    </row>
    <row r="8593" spans="1:3">
      <c r="A8593">
        <v>8592</v>
      </c>
      <c r="B8593">
        <v>738224640</v>
      </c>
      <c r="C8593">
        <v>738224640</v>
      </c>
    </row>
    <row r="8594" spans="1:3">
      <c r="A8594">
        <v>8593</v>
      </c>
      <c r="B8594">
        <v>738396490</v>
      </c>
      <c r="C8594">
        <v>738396490</v>
      </c>
    </row>
    <row r="8595" spans="1:3">
      <c r="A8595">
        <v>8594</v>
      </c>
      <c r="B8595">
        <v>738568360</v>
      </c>
      <c r="C8595">
        <v>738568360</v>
      </c>
    </row>
    <row r="8596" spans="1:3">
      <c r="A8596">
        <v>8595</v>
      </c>
      <c r="B8596">
        <v>738740250</v>
      </c>
      <c r="C8596">
        <v>738740250</v>
      </c>
    </row>
    <row r="8597" spans="1:3">
      <c r="A8597">
        <v>8596</v>
      </c>
      <c r="B8597">
        <v>738912160</v>
      </c>
      <c r="C8597">
        <v>738912160</v>
      </c>
    </row>
    <row r="8598" spans="1:3">
      <c r="A8598">
        <v>8597</v>
      </c>
      <c r="B8598">
        <v>739084090</v>
      </c>
      <c r="C8598">
        <v>739084090</v>
      </c>
    </row>
    <row r="8599" spans="1:3">
      <c r="A8599">
        <v>8598</v>
      </c>
      <c r="B8599">
        <v>739256040</v>
      </c>
      <c r="C8599">
        <v>739256040</v>
      </c>
    </row>
    <row r="8600" spans="1:3">
      <c r="A8600">
        <v>8599</v>
      </c>
      <c r="B8600">
        <v>739428010</v>
      </c>
      <c r="C8600">
        <v>739428010</v>
      </c>
    </row>
    <row r="8601" spans="1:3">
      <c r="A8601">
        <v>8600</v>
      </c>
      <c r="B8601">
        <v>739600000</v>
      </c>
      <c r="C8601">
        <v>739600000</v>
      </c>
    </row>
    <row r="8602" spans="1:3">
      <c r="A8602">
        <v>8601</v>
      </c>
      <c r="B8602">
        <v>739772010</v>
      </c>
      <c r="C8602">
        <v>739772010</v>
      </c>
    </row>
    <row r="8603" spans="1:3">
      <c r="A8603">
        <v>8602</v>
      </c>
      <c r="B8603">
        <v>739944040</v>
      </c>
      <c r="C8603">
        <v>739944040</v>
      </c>
    </row>
    <row r="8604" spans="1:3">
      <c r="A8604">
        <v>8603</v>
      </c>
      <c r="B8604">
        <v>740116090</v>
      </c>
      <c r="C8604">
        <v>740116090</v>
      </c>
    </row>
    <row r="8605" spans="1:3">
      <c r="A8605">
        <v>8604</v>
      </c>
      <c r="B8605">
        <v>740288160</v>
      </c>
      <c r="C8605">
        <v>740288160</v>
      </c>
    </row>
    <row r="8606" spans="1:3">
      <c r="A8606">
        <v>8605</v>
      </c>
      <c r="B8606">
        <v>740460250</v>
      </c>
      <c r="C8606">
        <v>740460250</v>
      </c>
    </row>
    <row r="8607" spans="1:3">
      <c r="A8607">
        <v>8606</v>
      </c>
      <c r="B8607">
        <v>740632360</v>
      </c>
      <c r="C8607">
        <v>740632360</v>
      </c>
    </row>
    <row r="8608" spans="1:3">
      <c r="A8608">
        <v>8607</v>
      </c>
      <c r="B8608">
        <v>740804490</v>
      </c>
      <c r="C8608">
        <v>740804490</v>
      </c>
    </row>
    <row r="8609" spans="1:3">
      <c r="A8609">
        <v>8608</v>
      </c>
      <c r="B8609">
        <v>740976640</v>
      </c>
      <c r="C8609">
        <v>740976640</v>
      </c>
    </row>
    <row r="8610" spans="1:3">
      <c r="A8610">
        <v>8609</v>
      </c>
      <c r="B8610">
        <v>741148810</v>
      </c>
      <c r="C8610">
        <v>741148810</v>
      </c>
    </row>
    <row r="8611" spans="1:3">
      <c r="A8611">
        <v>8610</v>
      </c>
      <c r="B8611">
        <v>741321000</v>
      </c>
      <c r="C8611">
        <v>741321000</v>
      </c>
    </row>
    <row r="8612" spans="1:3">
      <c r="A8612">
        <v>8611</v>
      </c>
      <c r="B8612">
        <v>741493210</v>
      </c>
      <c r="C8612">
        <v>741493210</v>
      </c>
    </row>
    <row r="8613" spans="1:3">
      <c r="A8613">
        <v>8612</v>
      </c>
      <c r="B8613">
        <v>741665440</v>
      </c>
      <c r="C8613">
        <v>741665440</v>
      </c>
    </row>
    <row r="8614" spans="1:3">
      <c r="A8614">
        <v>8613</v>
      </c>
      <c r="B8614">
        <v>741837690</v>
      </c>
      <c r="C8614">
        <v>741837690</v>
      </c>
    </row>
    <row r="8615" spans="1:3">
      <c r="A8615">
        <v>8614</v>
      </c>
      <c r="B8615">
        <v>742009960</v>
      </c>
      <c r="C8615">
        <v>742009960</v>
      </c>
    </row>
    <row r="8616" spans="1:3">
      <c r="A8616">
        <v>8615</v>
      </c>
      <c r="B8616">
        <v>742182250</v>
      </c>
      <c r="C8616">
        <v>742182250</v>
      </c>
    </row>
    <row r="8617" spans="1:3">
      <c r="A8617">
        <v>8616</v>
      </c>
      <c r="B8617">
        <v>742354560</v>
      </c>
      <c r="C8617">
        <v>742354560</v>
      </c>
    </row>
    <row r="8618" spans="1:3">
      <c r="A8618">
        <v>8617</v>
      </c>
      <c r="B8618">
        <v>742526890</v>
      </c>
      <c r="C8618">
        <v>742526890</v>
      </c>
    </row>
    <row r="8619" spans="1:3">
      <c r="A8619">
        <v>8618</v>
      </c>
      <c r="B8619">
        <v>742699240</v>
      </c>
      <c r="C8619">
        <v>742699240</v>
      </c>
    </row>
    <row r="8620" spans="1:3">
      <c r="A8620">
        <v>8619</v>
      </c>
      <c r="B8620">
        <v>742871610</v>
      </c>
      <c r="C8620">
        <v>742871610</v>
      </c>
    </row>
    <row r="8621" spans="1:3">
      <c r="A8621">
        <v>8620</v>
      </c>
      <c r="B8621">
        <v>743044000</v>
      </c>
      <c r="C8621">
        <v>743044000</v>
      </c>
    </row>
    <row r="8622" spans="1:3">
      <c r="A8622">
        <v>8621</v>
      </c>
      <c r="B8622">
        <v>743216410</v>
      </c>
      <c r="C8622">
        <v>743216410</v>
      </c>
    </row>
    <row r="8623" spans="1:3">
      <c r="A8623">
        <v>8622</v>
      </c>
      <c r="B8623">
        <v>743388840</v>
      </c>
      <c r="C8623">
        <v>743388840</v>
      </c>
    </row>
    <row r="8624" spans="1:3">
      <c r="A8624">
        <v>8623</v>
      </c>
      <c r="B8624">
        <v>743561290</v>
      </c>
      <c r="C8624">
        <v>743561290</v>
      </c>
    </row>
    <row r="8625" spans="1:3">
      <c r="A8625">
        <v>8624</v>
      </c>
      <c r="B8625">
        <v>743733760</v>
      </c>
      <c r="C8625">
        <v>743733760</v>
      </c>
    </row>
    <row r="8626" spans="1:3">
      <c r="A8626">
        <v>8625</v>
      </c>
      <c r="B8626">
        <v>743906250</v>
      </c>
      <c r="C8626">
        <v>743906250</v>
      </c>
    </row>
    <row r="8627" spans="1:3">
      <c r="A8627">
        <v>8626</v>
      </c>
      <c r="B8627">
        <v>744078760</v>
      </c>
      <c r="C8627">
        <v>744078760</v>
      </c>
    </row>
    <row r="8628" spans="1:3">
      <c r="A8628">
        <v>8627</v>
      </c>
      <c r="B8628">
        <v>744251290</v>
      </c>
      <c r="C8628">
        <v>744251290</v>
      </c>
    </row>
    <row r="8629" spans="1:3">
      <c r="A8629">
        <v>8628</v>
      </c>
      <c r="B8629">
        <v>744423840</v>
      </c>
      <c r="C8629">
        <v>744423840</v>
      </c>
    </row>
    <row r="8630" spans="1:3">
      <c r="A8630">
        <v>8629</v>
      </c>
      <c r="B8630">
        <v>744596410</v>
      </c>
      <c r="C8630">
        <v>744596410</v>
      </c>
    </row>
    <row r="8631" spans="1:3">
      <c r="A8631">
        <v>8630</v>
      </c>
      <c r="B8631">
        <v>744769000</v>
      </c>
      <c r="C8631">
        <v>744769000</v>
      </c>
    </row>
    <row r="8632" spans="1:3">
      <c r="A8632">
        <v>8631</v>
      </c>
      <c r="B8632">
        <v>744941610</v>
      </c>
      <c r="C8632">
        <v>744941610</v>
      </c>
    </row>
    <row r="8633" spans="1:3">
      <c r="A8633">
        <v>8632</v>
      </c>
      <c r="B8633">
        <v>745114240</v>
      </c>
      <c r="C8633">
        <v>745114240</v>
      </c>
    </row>
    <row r="8634" spans="1:3">
      <c r="A8634">
        <v>8633</v>
      </c>
      <c r="B8634">
        <v>745286890</v>
      </c>
      <c r="C8634">
        <v>745286890</v>
      </c>
    </row>
    <row r="8635" spans="1:3">
      <c r="A8635">
        <v>8634</v>
      </c>
      <c r="B8635">
        <v>745459560</v>
      </c>
      <c r="C8635">
        <v>745459560</v>
      </c>
    </row>
    <row r="8636" spans="1:3">
      <c r="A8636">
        <v>8635</v>
      </c>
      <c r="B8636">
        <v>745632250</v>
      </c>
      <c r="C8636">
        <v>745632250</v>
      </c>
    </row>
    <row r="8637" spans="1:3">
      <c r="A8637">
        <v>8636</v>
      </c>
      <c r="B8637">
        <v>745804960</v>
      </c>
      <c r="C8637">
        <v>745804960</v>
      </c>
    </row>
    <row r="8638" spans="1:3">
      <c r="A8638">
        <v>8637</v>
      </c>
      <c r="B8638">
        <v>745977690</v>
      </c>
      <c r="C8638">
        <v>745977690</v>
      </c>
    </row>
    <row r="8639" spans="1:3">
      <c r="A8639">
        <v>8638</v>
      </c>
      <c r="B8639">
        <v>746150440</v>
      </c>
      <c r="C8639">
        <v>746150440</v>
      </c>
    </row>
    <row r="8640" spans="1:3">
      <c r="A8640">
        <v>8639</v>
      </c>
      <c r="B8640">
        <v>746323210</v>
      </c>
      <c r="C8640">
        <v>746323210</v>
      </c>
    </row>
    <row r="8641" spans="1:3">
      <c r="A8641">
        <v>8640</v>
      </c>
      <c r="B8641">
        <v>746496000</v>
      </c>
      <c r="C8641">
        <v>746496000</v>
      </c>
    </row>
    <row r="8642" spans="1:3">
      <c r="A8642">
        <v>8641</v>
      </c>
      <c r="B8642">
        <v>746668810</v>
      </c>
      <c r="C8642">
        <v>746668810</v>
      </c>
    </row>
    <row r="8643" spans="1:3">
      <c r="A8643">
        <v>8642</v>
      </c>
      <c r="B8643">
        <v>746841640</v>
      </c>
      <c r="C8643">
        <v>746841640</v>
      </c>
    </row>
    <row r="8644" spans="1:3">
      <c r="A8644">
        <v>8643</v>
      </c>
      <c r="B8644">
        <v>747014490</v>
      </c>
      <c r="C8644">
        <v>747014490</v>
      </c>
    </row>
    <row r="8645" spans="1:3">
      <c r="A8645">
        <v>8644</v>
      </c>
      <c r="B8645">
        <v>747187360</v>
      </c>
      <c r="C8645">
        <v>747187360</v>
      </c>
    </row>
    <row r="8646" spans="1:3">
      <c r="A8646">
        <v>8645</v>
      </c>
      <c r="B8646">
        <v>747360250</v>
      </c>
      <c r="C8646">
        <v>747360250</v>
      </c>
    </row>
    <row r="8647" spans="1:3">
      <c r="A8647">
        <v>8646</v>
      </c>
      <c r="B8647">
        <v>747533160</v>
      </c>
      <c r="C8647">
        <v>747533160</v>
      </c>
    </row>
    <row r="8648" spans="1:3">
      <c r="A8648">
        <v>8647</v>
      </c>
      <c r="B8648">
        <v>747706090</v>
      </c>
      <c r="C8648">
        <v>747706090</v>
      </c>
    </row>
    <row r="8649" spans="1:3">
      <c r="A8649">
        <v>8648</v>
      </c>
      <c r="B8649">
        <v>747879040</v>
      </c>
      <c r="C8649">
        <v>747879040</v>
      </c>
    </row>
    <row r="8650" spans="1:3">
      <c r="A8650">
        <v>8649</v>
      </c>
      <c r="B8650">
        <v>748052010</v>
      </c>
      <c r="C8650">
        <v>748052010</v>
      </c>
    </row>
    <row r="8651" spans="1:3">
      <c r="A8651">
        <v>8650</v>
      </c>
      <c r="B8651">
        <v>748225000</v>
      </c>
      <c r="C8651">
        <v>748225000</v>
      </c>
    </row>
    <row r="8652" spans="1:3">
      <c r="A8652">
        <v>8651</v>
      </c>
      <c r="B8652">
        <v>748398010</v>
      </c>
      <c r="C8652">
        <v>748398010</v>
      </c>
    </row>
    <row r="8653" spans="1:3">
      <c r="A8653">
        <v>8652</v>
      </c>
      <c r="B8653">
        <v>748571040</v>
      </c>
      <c r="C8653">
        <v>748571040</v>
      </c>
    </row>
    <row r="8654" spans="1:3">
      <c r="A8654">
        <v>8653</v>
      </c>
      <c r="B8654">
        <v>748744090</v>
      </c>
      <c r="C8654">
        <v>748744090</v>
      </c>
    </row>
    <row r="8655" spans="1:3">
      <c r="A8655">
        <v>8654</v>
      </c>
      <c r="B8655">
        <v>748917160</v>
      </c>
      <c r="C8655">
        <v>748917160</v>
      </c>
    </row>
    <row r="8656" spans="1:3">
      <c r="A8656">
        <v>8655</v>
      </c>
      <c r="B8656">
        <v>749090250</v>
      </c>
      <c r="C8656">
        <v>749090250</v>
      </c>
    </row>
    <row r="8657" spans="1:3">
      <c r="A8657">
        <v>8656</v>
      </c>
      <c r="B8657">
        <v>749263360</v>
      </c>
      <c r="C8657">
        <v>749263360</v>
      </c>
    </row>
    <row r="8658" spans="1:3">
      <c r="A8658">
        <v>8657</v>
      </c>
      <c r="B8658">
        <v>749436490</v>
      </c>
      <c r="C8658">
        <v>749436490</v>
      </c>
    </row>
    <row r="8659" spans="1:3">
      <c r="A8659">
        <v>8658</v>
      </c>
      <c r="B8659">
        <v>749609640</v>
      </c>
      <c r="C8659">
        <v>749609640</v>
      </c>
    </row>
    <row r="8660" spans="1:3">
      <c r="A8660">
        <v>8659</v>
      </c>
      <c r="B8660">
        <v>749782810</v>
      </c>
      <c r="C8660">
        <v>749782810</v>
      </c>
    </row>
    <row r="8661" spans="1:3">
      <c r="A8661">
        <v>8660</v>
      </c>
      <c r="B8661">
        <v>749956000</v>
      </c>
      <c r="C8661">
        <v>749956000</v>
      </c>
    </row>
    <row r="8662" spans="1:3">
      <c r="A8662">
        <v>8661</v>
      </c>
      <c r="B8662">
        <v>750129210</v>
      </c>
      <c r="C8662">
        <v>750129210</v>
      </c>
    </row>
    <row r="8663" spans="1:3">
      <c r="A8663">
        <v>8662</v>
      </c>
      <c r="B8663">
        <v>750302440</v>
      </c>
      <c r="C8663">
        <v>750302440</v>
      </c>
    </row>
    <row r="8664" spans="1:3">
      <c r="A8664">
        <v>8663</v>
      </c>
      <c r="B8664">
        <v>750475690</v>
      </c>
      <c r="C8664">
        <v>750475690</v>
      </c>
    </row>
    <row r="8665" spans="1:3">
      <c r="A8665">
        <v>8664</v>
      </c>
      <c r="B8665">
        <v>750648960</v>
      </c>
      <c r="C8665">
        <v>750648960</v>
      </c>
    </row>
    <row r="8666" spans="1:3">
      <c r="A8666">
        <v>8665</v>
      </c>
      <c r="B8666">
        <v>750822250</v>
      </c>
      <c r="C8666">
        <v>750822250</v>
      </c>
    </row>
    <row r="8667" spans="1:3">
      <c r="A8667">
        <v>8666</v>
      </c>
      <c r="B8667">
        <v>750995560</v>
      </c>
      <c r="C8667">
        <v>750995560</v>
      </c>
    </row>
    <row r="8668" spans="1:3">
      <c r="A8668">
        <v>8667</v>
      </c>
      <c r="B8668">
        <v>751168890</v>
      </c>
      <c r="C8668">
        <v>751168890</v>
      </c>
    </row>
    <row r="8669" spans="1:3">
      <c r="A8669">
        <v>8668</v>
      </c>
      <c r="B8669">
        <v>751342240</v>
      </c>
      <c r="C8669">
        <v>751342240</v>
      </c>
    </row>
    <row r="8670" spans="1:3">
      <c r="A8670">
        <v>8669</v>
      </c>
      <c r="B8670">
        <v>751515610</v>
      </c>
      <c r="C8670">
        <v>751515610</v>
      </c>
    </row>
    <row r="8671" spans="1:3">
      <c r="A8671">
        <v>8670</v>
      </c>
      <c r="B8671">
        <v>751689000</v>
      </c>
      <c r="C8671">
        <v>751689000</v>
      </c>
    </row>
    <row r="8672" spans="1:3">
      <c r="A8672">
        <v>8671</v>
      </c>
      <c r="B8672">
        <v>751862410</v>
      </c>
      <c r="C8672">
        <v>751862410</v>
      </c>
    </row>
    <row r="8673" spans="1:3">
      <c r="A8673">
        <v>8672</v>
      </c>
      <c r="B8673">
        <v>752035840</v>
      </c>
      <c r="C8673">
        <v>752035840</v>
      </c>
    </row>
    <row r="8674" spans="1:3">
      <c r="A8674">
        <v>8673</v>
      </c>
      <c r="B8674">
        <v>752209290</v>
      </c>
      <c r="C8674">
        <v>752209290</v>
      </c>
    </row>
    <row r="8675" spans="1:3">
      <c r="A8675">
        <v>8674</v>
      </c>
      <c r="B8675">
        <v>752382760</v>
      </c>
      <c r="C8675">
        <v>752382760</v>
      </c>
    </row>
    <row r="8676" spans="1:3">
      <c r="A8676">
        <v>8675</v>
      </c>
      <c r="B8676">
        <v>752556250</v>
      </c>
      <c r="C8676">
        <v>752556250</v>
      </c>
    </row>
    <row r="8677" spans="1:3">
      <c r="A8677">
        <v>8676</v>
      </c>
      <c r="B8677">
        <v>752729760</v>
      </c>
      <c r="C8677">
        <v>752729760</v>
      </c>
    </row>
    <row r="8678" spans="1:3">
      <c r="A8678">
        <v>8677</v>
      </c>
      <c r="B8678">
        <v>752903290</v>
      </c>
      <c r="C8678">
        <v>752903290</v>
      </c>
    </row>
    <row r="8679" spans="1:3">
      <c r="A8679">
        <v>8678</v>
      </c>
      <c r="B8679">
        <v>753076840</v>
      </c>
      <c r="C8679">
        <v>753076840</v>
      </c>
    </row>
    <row r="8680" spans="1:3">
      <c r="A8680">
        <v>8679</v>
      </c>
      <c r="B8680">
        <v>753250410</v>
      </c>
      <c r="C8680">
        <v>753250410</v>
      </c>
    </row>
    <row r="8681" spans="1:3">
      <c r="A8681">
        <v>8680</v>
      </c>
      <c r="B8681">
        <v>753424000</v>
      </c>
      <c r="C8681">
        <v>753424000</v>
      </c>
    </row>
    <row r="8682" spans="1:3">
      <c r="A8682">
        <v>8681</v>
      </c>
      <c r="B8682">
        <v>753597610</v>
      </c>
      <c r="C8682">
        <v>753597610</v>
      </c>
    </row>
    <row r="8683" spans="1:3">
      <c r="A8683">
        <v>8682</v>
      </c>
      <c r="B8683">
        <v>753771240</v>
      </c>
      <c r="C8683">
        <v>753771240</v>
      </c>
    </row>
    <row r="8684" spans="1:3">
      <c r="A8684">
        <v>8683</v>
      </c>
      <c r="B8684">
        <v>753944890</v>
      </c>
      <c r="C8684">
        <v>753944890</v>
      </c>
    </row>
    <row r="8685" spans="1:3">
      <c r="A8685">
        <v>8684</v>
      </c>
      <c r="B8685">
        <v>754118560</v>
      </c>
      <c r="C8685">
        <v>754118560</v>
      </c>
    </row>
    <row r="8686" spans="1:3">
      <c r="A8686">
        <v>8685</v>
      </c>
      <c r="B8686">
        <v>754292250</v>
      </c>
      <c r="C8686">
        <v>754292250</v>
      </c>
    </row>
    <row r="8687" spans="1:3">
      <c r="A8687">
        <v>8686</v>
      </c>
      <c r="B8687">
        <v>754465960</v>
      </c>
      <c r="C8687">
        <v>754465960</v>
      </c>
    </row>
    <row r="8688" spans="1:3">
      <c r="A8688">
        <v>8687</v>
      </c>
      <c r="B8688">
        <v>754639690</v>
      </c>
      <c r="C8688">
        <v>754639690</v>
      </c>
    </row>
    <row r="8689" spans="1:3">
      <c r="A8689">
        <v>8688</v>
      </c>
      <c r="B8689">
        <v>754813440</v>
      </c>
      <c r="C8689">
        <v>754813440</v>
      </c>
    </row>
    <row r="8690" spans="1:3">
      <c r="A8690">
        <v>8689</v>
      </c>
      <c r="B8690">
        <v>754987210</v>
      </c>
      <c r="C8690">
        <v>754987210</v>
      </c>
    </row>
    <row r="8691" spans="1:3">
      <c r="A8691">
        <v>8690</v>
      </c>
      <c r="B8691">
        <v>755161000</v>
      </c>
      <c r="C8691">
        <v>755161000</v>
      </c>
    </row>
    <row r="8692" spans="1:3">
      <c r="A8692">
        <v>8691</v>
      </c>
      <c r="B8692">
        <v>755334810</v>
      </c>
      <c r="C8692">
        <v>755334810</v>
      </c>
    </row>
    <row r="8693" spans="1:3">
      <c r="A8693">
        <v>8692</v>
      </c>
      <c r="B8693">
        <v>755508640</v>
      </c>
      <c r="C8693">
        <v>755508640</v>
      </c>
    </row>
    <row r="8694" spans="1:3">
      <c r="A8694">
        <v>8693</v>
      </c>
      <c r="B8694">
        <v>755682490</v>
      </c>
      <c r="C8694">
        <v>755682490</v>
      </c>
    </row>
    <row r="8695" spans="1:3">
      <c r="A8695">
        <v>8694</v>
      </c>
      <c r="B8695">
        <v>755856360</v>
      </c>
      <c r="C8695">
        <v>755856360</v>
      </c>
    </row>
    <row r="8696" spans="1:3">
      <c r="A8696">
        <v>8695</v>
      </c>
      <c r="B8696">
        <v>756030250</v>
      </c>
      <c r="C8696">
        <v>756030250</v>
      </c>
    </row>
    <row r="8697" spans="1:3">
      <c r="A8697">
        <v>8696</v>
      </c>
      <c r="B8697">
        <v>756204160</v>
      </c>
      <c r="C8697">
        <v>756204160</v>
      </c>
    </row>
    <row r="8698" spans="1:3">
      <c r="A8698">
        <v>8697</v>
      </c>
      <c r="B8698">
        <v>756378090</v>
      </c>
      <c r="C8698">
        <v>756378090</v>
      </c>
    </row>
    <row r="8699" spans="1:3">
      <c r="A8699">
        <v>8698</v>
      </c>
      <c r="B8699">
        <v>756552040</v>
      </c>
      <c r="C8699">
        <v>756552040</v>
      </c>
    </row>
    <row r="8700" spans="1:3">
      <c r="A8700">
        <v>8699</v>
      </c>
      <c r="B8700">
        <v>756726010</v>
      </c>
      <c r="C8700">
        <v>756726010</v>
      </c>
    </row>
    <row r="8701" spans="1:3">
      <c r="A8701">
        <v>8700</v>
      </c>
      <c r="B8701">
        <v>756900000</v>
      </c>
      <c r="C8701">
        <v>756900000</v>
      </c>
    </row>
    <row r="8702" spans="1:3">
      <c r="A8702">
        <v>8701</v>
      </c>
      <c r="B8702">
        <v>757074010</v>
      </c>
      <c r="C8702">
        <v>757074010</v>
      </c>
    </row>
    <row r="8703" spans="1:3">
      <c r="A8703">
        <v>8702</v>
      </c>
      <c r="B8703">
        <v>757248040</v>
      </c>
      <c r="C8703">
        <v>757248040</v>
      </c>
    </row>
    <row r="8704" spans="1:3">
      <c r="A8704">
        <v>8703</v>
      </c>
      <c r="B8704">
        <v>757422090</v>
      </c>
      <c r="C8704">
        <v>757422090</v>
      </c>
    </row>
    <row r="8705" spans="1:3">
      <c r="A8705">
        <v>8704</v>
      </c>
      <c r="B8705">
        <v>757596160</v>
      </c>
      <c r="C8705">
        <v>757596160</v>
      </c>
    </row>
    <row r="8706" spans="1:3">
      <c r="A8706">
        <v>8705</v>
      </c>
      <c r="B8706">
        <v>757770250</v>
      </c>
      <c r="C8706">
        <v>757770250</v>
      </c>
    </row>
    <row r="8707" spans="1:3">
      <c r="A8707">
        <v>8706</v>
      </c>
      <c r="B8707">
        <v>757944360</v>
      </c>
      <c r="C8707">
        <v>757944360</v>
      </c>
    </row>
    <row r="8708" spans="1:3">
      <c r="A8708">
        <v>8707</v>
      </c>
      <c r="B8708">
        <v>758118490</v>
      </c>
      <c r="C8708">
        <v>758118490</v>
      </c>
    </row>
    <row r="8709" spans="1:3">
      <c r="A8709">
        <v>8708</v>
      </c>
      <c r="B8709">
        <v>758292640</v>
      </c>
      <c r="C8709">
        <v>758292640</v>
      </c>
    </row>
    <row r="8710" spans="1:3">
      <c r="A8710">
        <v>8709</v>
      </c>
      <c r="B8710">
        <v>758466810</v>
      </c>
      <c r="C8710">
        <v>758466810</v>
      </c>
    </row>
    <row r="8711" spans="1:3">
      <c r="A8711">
        <v>8710</v>
      </c>
      <c r="B8711">
        <v>758641000</v>
      </c>
      <c r="C8711">
        <v>758641000</v>
      </c>
    </row>
    <row r="8712" spans="1:3">
      <c r="A8712">
        <v>8711</v>
      </c>
      <c r="B8712">
        <v>758815210</v>
      </c>
      <c r="C8712">
        <v>758815210</v>
      </c>
    </row>
    <row r="8713" spans="1:3">
      <c r="A8713">
        <v>8712</v>
      </c>
      <c r="B8713">
        <v>758989440</v>
      </c>
      <c r="C8713">
        <v>758989440</v>
      </c>
    </row>
    <row r="8714" spans="1:3">
      <c r="A8714">
        <v>8713</v>
      </c>
      <c r="B8714">
        <v>759163690</v>
      </c>
      <c r="C8714">
        <v>759163690</v>
      </c>
    </row>
    <row r="8715" spans="1:3">
      <c r="A8715">
        <v>8714</v>
      </c>
      <c r="B8715">
        <v>759337960</v>
      </c>
      <c r="C8715">
        <v>759337960</v>
      </c>
    </row>
    <row r="8716" spans="1:3">
      <c r="A8716">
        <v>8715</v>
      </c>
      <c r="B8716">
        <v>759512250</v>
      </c>
      <c r="C8716">
        <v>759512250</v>
      </c>
    </row>
    <row r="8717" spans="1:3">
      <c r="A8717">
        <v>8716</v>
      </c>
      <c r="B8717">
        <v>759686560</v>
      </c>
      <c r="C8717">
        <v>759686560</v>
      </c>
    </row>
    <row r="8718" spans="1:3">
      <c r="A8718">
        <v>8717</v>
      </c>
      <c r="B8718">
        <v>759860890</v>
      </c>
      <c r="C8718">
        <v>759860890</v>
      </c>
    </row>
    <row r="8719" spans="1:3">
      <c r="A8719">
        <v>8718</v>
      </c>
      <c r="B8719">
        <v>760035240</v>
      </c>
      <c r="C8719">
        <v>760035240</v>
      </c>
    </row>
    <row r="8720" spans="1:3">
      <c r="A8720">
        <v>8719</v>
      </c>
      <c r="B8720">
        <v>760209610</v>
      </c>
      <c r="C8720">
        <v>760209610</v>
      </c>
    </row>
    <row r="8721" spans="1:3">
      <c r="A8721">
        <v>8720</v>
      </c>
      <c r="B8721">
        <v>760384000</v>
      </c>
      <c r="C8721">
        <v>760384000</v>
      </c>
    </row>
    <row r="8722" spans="1:3">
      <c r="A8722">
        <v>8721</v>
      </c>
      <c r="B8722">
        <v>760558410</v>
      </c>
      <c r="C8722">
        <v>760558410</v>
      </c>
    </row>
    <row r="8723" spans="1:3">
      <c r="A8723">
        <v>8722</v>
      </c>
      <c r="B8723">
        <v>760732840</v>
      </c>
      <c r="C8723">
        <v>760732840</v>
      </c>
    </row>
    <row r="8724" spans="1:3">
      <c r="A8724">
        <v>8723</v>
      </c>
      <c r="B8724">
        <v>760907290</v>
      </c>
      <c r="C8724">
        <v>760907290</v>
      </c>
    </row>
    <row r="8725" spans="1:3">
      <c r="A8725">
        <v>8724</v>
      </c>
      <c r="B8725">
        <v>761081760</v>
      </c>
      <c r="C8725">
        <v>761081760</v>
      </c>
    </row>
    <row r="8726" spans="1:3">
      <c r="A8726">
        <v>8725</v>
      </c>
      <c r="B8726">
        <v>761256250</v>
      </c>
      <c r="C8726">
        <v>761256250</v>
      </c>
    </row>
    <row r="8727" spans="1:3">
      <c r="A8727">
        <v>8726</v>
      </c>
      <c r="B8727">
        <v>761430760</v>
      </c>
      <c r="C8727">
        <v>761430760</v>
      </c>
    </row>
    <row r="8728" spans="1:3">
      <c r="A8728">
        <v>8727</v>
      </c>
      <c r="B8728">
        <v>761605290</v>
      </c>
      <c r="C8728">
        <v>761605290</v>
      </c>
    </row>
    <row r="8729" spans="1:3">
      <c r="A8729">
        <v>8728</v>
      </c>
      <c r="B8729">
        <v>761779840</v>
      </c>
      <c r="C8729">
        <v>761779840</v>
      </c>
    </row>
    <row r="8730" spans="1:3">
      <c r="A8730">
        <v>8729</v>
      </c>
      <c r="B8730">
        <v>761954410</v>
      </c>
      <c r="C8730">
        <v>761954410</v>
      </c>
    </row>
    <row r="8731" spans="1:3">
      <c r="A8731">
        <v>8730</v>
      </c>
      <c r="B8731">
        <v>762129000</v>
      </c>
      <c r="C8731">
        <v>762129000</v>
      </c>
    </row>
    <row r="8732" spans="1:3">
      <c r="A8732">
        <v>8731</v>
      </c>
      <c r="B8732">
        <v>762303610</v>
      </c>
      <c r="C8732">
        <v>762303610</v>
      </c>
    </row>
    <row r="8733" spans="1:3">
      <c r="A8733">
        <v>8732</v>
      </c>
      <c r="B8733">
        <v>762478240</v>
      </c>
      <c r="C8733">
        <v>762478240</v>
      </c>
    </row>
    <row r="8734" spans="1:3">
      <c r="A8734">
        <v>8733</v>
      </c>
      <c r="B8734">
        <v>762652890</v>
      </c>
      <c r="C8734">
        <v>762652890</v>
      </c>
    </row>
    <row r="8735" spans="1:3">
      <c r="A8735">
        <v>8734</v>
      </c>
      <c r="B8735">
        <v>762827560</v>
      </c>
      <c r="C8735">
        <v>762827560</v>
      </c>
    </row>
    <row r="8736" spans="1:3">
      <c r="A8736">
        <v>8735</v>
      </c>
      <c r="B8736">
        <v>763002250</v>
      </c>
      <c r="C8736">
        <v>763002250</v>
      </c>
    </row>
    <row r="8737" spans="1:3">
      <c r="A8737">
        <v>8736</v>
      </c>
      <c r="B8737">
        <v>763176960</v>
      </c>
      <c r="C8737">
        <v>763176960</v>
      </c>
    </row>
    <row r="8738" spans="1:3">
      <c r="A8738">
        <v>8737</v>
      </c>
      <c r="B8738">
        <v>763351690</v>
      </c>
      <c r="C8738">
        <v>763351690</v>
      </c>
    </row>
    <row r="8739" spans="1:3">
      <c r="A8739">
        <v>8738</v>
      </c>
      <c r="B8739">
        <v>763526440</v>
      </c>
      <c r="C8739">
        <v>763526440</v>
      </c>
    </row>
    <row r="8740" spans="1:3">
      <c r="A8740">
        <v>8739</v>
      </c>
      <c r="B8740">
        <v>763701210</v>
      </c>
      <c r="C8740">
        <v>763701210</v>
      </c>
    </row>
    <row r="8741" spans="1:3">
      <c r="A8741">
        <v>8740</v>
      </c>
      <c r="B8741">
        <v>763876000</v>
      </c>
      <c r="C8741">
        <v>763876000</v>
      </c>
    </row>
    <row r="8742" spans="1:3">
      <c r="A8742">
        <v>8741</v>
      </c>
      <c r="B8742">
        <v>764050810</v>
      </c>
      <c r="C8742">
        <v>764050810</v>
      </c>
    </row>
    <row r="8743" spans="1:3">
      <c r="A8743">
        <v>8742</v>
      </c>
      <c r="B8743">
        <v>764225640</v>
      </c>
      <c r="C8743">
        <v>764225640</v>
      </c>
    </row>
    <row r="8744" spans="1:3">
      <c r="A8744">
        <v>8743</v>
      </c>
      <c r="B8744">
        <v>764400490</v>
      </c>
      <c r="C8744">
        <v>764400490</v>
      </c>
    </row>
    <row r="8745" spans="1:3">
      <c r="A8745">
        <v>8744</v>
      </c>
      <c r="B8745">
        <v>764575360</v>
      </c>
      <c r="C8745">
        <v>764575360</v>
      </c>
    </row>
    <row r="8746" spans="1:3">
      <c r="A8746">
        <v>8745</v>
      </c>
      <c r="B8746">
        <v>764750250</v>
      </c>
      <c r="C8746">
        <v>764750250</v>
      </c>
    </row>
    <row r="8747" spans="1:3">
      <c r="A8747">
        <v>8746</v>
      </c>
      <c r="B8747">
        <v>764925160</v>
      </c>
      <c r="C8747">
        <v>764925160</v>
      </c>
    </row>
    <row r="8748" spans="1:3">
      <c r="A8748">
        <v>8747</v>
      </c>
      <c r="B8748">
        <v>765100090</v>
      </c>
      <c r="C8748">
        <v>765100090</v>
      </c>
    </row>
    <row r="8749" spans="1:3">
      <c r="A8749">
        <v>8748</v>
      </c>
      <c r="B8749">
        <v>765275040</v>
      </c>
      <c r="C8749">
        <v>765275040</v>
      </c>
    </row>
    <row r="8750" spans="1:3">
      <c r="A8750">
        <v>8749</v>
      </c>
      <c r="B8750">
        <v>765450010</v>
      </c>
      <c r="C8750">
        <v>765450010</v>
      </c>
    </row>
    <row r="8751" spans="1:3">
      <c r="A8751">
        <v>8750</v>
      </c>
      <c r="B8751">
        <v>765625000</v>
      </c>
      <c r="C8751">
        <v>765625000</v>
      </c>
    </row>
    <row r="8752" spans="1:3">
      <c r="A8752">
        <v>8751</v>
      </c>
      <c r="B8752">
        <v>765800010</v>
      </c>
      <c r="C8752">
        <v>765800010</v>
      </c>
    </row>
    <row r="8753" spans="1:3">
      <c r="A8753">
        <v>8752</v>
      </c>
      <c r="B8753">
        <v>765975040</v>
      </c>
      <c r="C8753">
        <v>765975040</v>
      </c>
    </row>
    <row r="8754" spans="1:3">
      <c r="A8754">
        <v>8753</v>
      </c>
      <c r="B8754">
        <v>766150090</v>
      </c>
      <c r="C8754">
        <v>766150090</v>
      </c>
    </row>
    <row r="8755" spans="1:3">
      <c r="A8755">
        <v>8754</v>
      </c>
      <c r="B8755">
        <v>766325160</v>
      </c>
      <c r="C8755">
        <v>766325160</v>
      </c>
    </row>
    <row r="8756" spans="1:3">
      <c r="A8756">
        <v>8755</v>
      </c>
      <c r="B8756">
        <v>766500250</v>
      </c>
      <c r="C8756">
        <v>766500250</v>
      </c>
    </row>
    <row r="8757" spans="1:3">
      <c r="A8757">
        <v>8756</v>
      </c>
      <c r="B8757">
        <v>766675360</v>
      </c>
      <c r="C8757">
        <v>766675360</v>
      </c>
    </row>
    <row r="8758" spans="1:3">
      <c r="A8758">
        <v>8757</v>
      </c>
      <c r="B8758">
        <v>766850490</v>
      </c>
      <c r="C8758">
        <v>766850490</v>
      </c>
    </row>
    <row r="8759" spans="1:3">
      <c r="A8759">
        <v>8758</v>
      </c>
      <c r="B8759">
        <v>767025640</v>
      </c>
      <c r="C8759">
        <v>767025640</v>
      </c>
    </row>
    <row r="8760" spans="1:3">
      <c r="A8760">
        <v>8759</v>
      </c>
      <c r="B8760">
        <v>767200810</v>
      </c>
      <c r="C8760">
        <v>767200810</v>
      </c>
    </row>
    <row r="8761" spans="1:3">
      <c r="A8761">
        <v>8760</v>
      </c>
      <c r="B8761">
        <v>767376000</v>
      </c>
      <c r="C8761">
        <v>767376000</v>
      </c>
    </row>
    <row r="8762" spans="1:3">
      <c r="A8762">
        <v>8761</v>
      </c>
      <c r="B8762">
        <v>767551210</v>
      </c>
      <c r="C8762">
        <v>767551210</v>
      </c>
    </row>
    <row r="8763" spans="1:3">
      <c r="A8763">
        <v>8762</v>
      </c>
      <c r="B8763">
        <v>767726440</v>
      </c>
      <c r="C8763">
        <v>767726440</v>
      </c>
    </row>
    <row r="8764" spans="1:3">
      <c r="A8764">
        <v>8763</v>
      </c>
      <c r="B8764">
        <v>767901690</v>
      </c>
      <c r="C8764">
        <v>767901690</v>
      </c>
    </row>
    <row r="8765" spans="1:3">
      <c r="A8765">
        <v>8764</v>
      </c>
      <c r="B8765">
        <v>768076960</v>
      </c>
      <c r="C8765">
        <v>768076960</v>
      </c>
    </row>
    <row r="8766" spans="1:3">
      <c r="A8766">
        <v>8765</v>
      </c>
      <c r="B8766">
        <v>768252250</v>
      </c>
      <c r="C8766">
        <v>768252250</v>
      </c>
    </row>
    <row r="8767" spans="1:3">
      <c r="A8767">
        <v>8766</v>
      </c>
      <c r="B8767">
        <v>768427560</v>
      </c>
      <c r="C8767">
        <v>768427560</v>
      </c>
    </row>
    <row r="8768" spans="1:3">
      <c r="A8768">
        <v>8767</v>
      </c>
      <c r="B8768">
        <v>768602890</v>
      </c>
      <c r="C8768">
        <v>768602890</v>
      </c>
    </row>
    <row r="8769" spans="1:3">
      <c r="A8769">
        <v>8768</v>
      </c>
      <c r="B8769">
        <v>768778240</v>
      </c>
      <c r="C8769">
        <v>768778240</v>
      </c>
    </row>
    <row r="8770" spans="1:3">
      <c r="A8770">
        <v>8769</v>
      </c>
      <c r="B8770">
        <v>768953610</v>
      </c>
      <c r="C8770">
        <v>768953610</v>
      </c>
    </row>
    <row r="8771" spans="1:3">
      <c r="A8771">
        <v>8770</v>
      </c>
      <c r="B8771">
        <v>769129000</v>
      </c>
      <c r="C8771">
        <v>769129000</v>
      </c>
    </row>
    <row r="8772" spans="1:3">
      <c r="A8772">
        <v>8771</v>
      </c>
      <c r="B8772">
        <v>769304410</v>
      </c>
      <c r="C8772">
        <v>769304410</v>
      </c>
    </row>
    <row r="8773" spans="1:3">
      <c r="A8773">
        <v>8772</v>
      </c>
      <c r="B8773">
        <v>769479840</v>
      </c>
      <c r="C8773">
        <v>769479840</v>
      </c>
    </row>
    <row r="8774" spans="1:3">
      <c r="A8774">
        <v>8773</v>
      </c>
      <c r="B8774">
        <v>769655290</v>
      </c>
      <c r="C8774">
        <v>769655290</v>
      </c>
    </row>
    <row r="8775" spans="1:3">
      <c r="A8775">
        <v>8774</v>
      </c>
      <c r="B8775">
        <v>769830760</v>
      </c>
      <c r="C8775">
        <v>769830760</v>
      </c>
    </row>
    <row r="8776" spans="1:3">
      <c r="A8776">
        <v>8775</v>
      </c>
      <c r="B8776">
        <v>770006250</v>
      </c>
      <c r="C8776">
        <v>770006250</v>
      </c>
    </row>
    <row r="8777" spans="1:3">
      <c r="A8777">
        <v>8776</v>
      </c>
      <c r="B8777">
        <v>770181760</v>
      </c>
      <c r="C8777">
        <v>770181760</v>
      </c>
    </row>
    <row r="8778" spans="1:3">
      <c r="A8778">
        <v>8777</v>
      </c>
      <c r="B8778">
        <v>770357290</v>
      </c>
      <c r="C8778">
        <v>770357290</v>
      </c>
    </row>
    <row r="8779" spans="1:3">
      <c r="A8779">
        <v>8778</v>
      </c>
      <c r="B8779">
        <v>770532840</v>
      </c>
      <c r="C8779">
        <v>770532840</v>
      </c>
    </row>
    <row r="8780" spans="1:3">
      <c r="A8780">
        <v>8779</v>
      </c>
      <c r="B8780">
        <v>770708410</v>
      </c>
      <c r="C8780">
        <v>770708410</v>
      </c>
    </row>
    <row r="8781" spans="1:3">
      <c r="A8781">
        <v>8780</v>
      </c>
      <c r="B8781">
        <v>770884000</v>
      </c>
      <c r="C8781">
        <v>770884000</v>
      </c>
    </row>
    <row r="8782" spans="1:3">
      <c r="A8782">
        <v>8781</v>
      </c>
      <c r="B8782">
        <v>771059610</v>
      </c>
      <c r="C8782">
        <v>771059610</v>
      </c>
    </row>
    <row r="8783" spans="1:3">
      <c r="A8783">
        <v>8782</v>
      </c>
      <c r="B8783">
        <v>771235240</v>
      </c>
      <c r="C8783">
        <v>771235240</v>
      </c>
    </row>
    <row r="8784" spans="1:3">
      <c r="A8784">
        <v>8783</v>
      </c>
      <c r="B8784">
        <v>771410890</v>
      </c>
      <c r="C8784">
        <v>771410890</v>
      </c>
    </row>
    <row r="8785" spans="1:3">
      <c r="A8785">
        <v>8784</v>
      </c>
      <c r="B8785">
        <v>771586560</v>
      </c>
      <c r="C8785">
        <v>771586560</v>
      </c>
    </row>
    <row r="8786" spans="1:3">
      <c r="A8786">
        <v>8785</v>
      </c>
      <c r="B8786">
        <v>771762250</v>
      </c>
      <c r="C8786">
        <v>771762250</v>
      </c>
    </row>
    <row r="8787" spans="1:3">
      <c r="A8787">
        <v>8786</v>
      </c>
      <c r="B8787">
        <v>771937960</v>
      </c>
      <c r="C8787">
        <v>771937960</v>
      </c>
    </row>
    <row r="8788" spans="1:3">
      <c r="A8788">
        <v>8787</v>
      </c>
      <c r="B8788">
        <v>772113690</v>
      </c>
      <c r="C8788">
        <v>772113690</v>
      </c>
    </row>
    <row r="8789" spans="1:3">
      <c r="A8789">
        <v>8788</v>
      </c>
      <c r="B8789">
        <v>772289440</v>
      </c>
      <c r="C8789">
        <v>772289440</v>
      </c>
    </row>
    <row r="8790" spans="1:3">
      <c r="A8790">
        <v>8789</v>
      </c>
      <c r="B8790">
        <v>772465210</v>
      </c>
      <c r="C8790">
        <v>772465210</v>
      </c>
    </row>
    <row r="8791" spans="1:3">
      <c r="A8791">
        <v>8790</v>
      </c>
      <c r="B8791">
        <v>772641000</v>
      </c>
      <c r="C8791">
        <v>772641000</v>
      </c>
    </row>
    <row r="8792" spans="1:3">
      <c r="A8792">
        <v>8791</v>
      </c>
      <c r="B8792">
        <v>772816810</v>
      </c>
      <c r="C8792">
        <v>772816810</v>
      </c>
    </row>
    <row r="8793" spans="1:3">
      <c r="A8793">
        <v>8792</v>
      </c>
      <c r="B8793">
        <v>772992640</v>
      </c>
      <c r="C8793">
        <v>772992640</v>
      </c>
    </row>
    <row r="8794" spans="1:3">
      <c r="A8794">
        <v>8793</v>
      </c>
      <c r="B8794">
        <v>773168490</v>
      </c>
      <c r="C8794">
        <v>773168490</v>
      </c>
    </row>
    <row r="8795" spans="1:3">
      <c r="A8795">
        <v>8794</v>
      </c>
      <c r="B8795">
        <v>773344360</v>
      </c>
      <c r="C8795">
        <v>773344360</v>
      </c>
    </row>
    <row r="8796" spans="1:3">
      <c r="A8796">
        <v>8795</v>
      </c>
      <c r="B8796">
        <v>773520250</v>
      </c>
      <c r="C8796">
        <v>773520250</v>
      </c>
    </row>
    <row r="8797" spans="1:3">
      <c r="A8797">
        <v>8796</v>
      </c>
      <c r="B8797">
        <v>773696160</v>
      </c>
      <c r="C8797">
        <v>773696160</v>
      </c>
    </row>
    <row r="8798" spans="1:3">
      <c r="A8798">
        <v>8797</v>
      </c>
      <c r="B8798">
        <v>773872090</v>
      </c>
      <c r="C8798">
        <v>773872090</v>
      </c>
    </row>
    <row r="8799" spans="1:3">
      <c r="A8799">
        <v>8798</v>
      </c>
      <c r="B8799">
        <v>774048040</v>
      </c>
      <c r="C8799">
        <v>774048040</v>
      </c>
    </row>
    <row r="8800" spans="1:3">
      <c r="A8800">
        <v>8799</v>
      </c>
      <c r="B8800">
        <v>774224010</v>
      </c>
      <c r="C8800">
        <v>774224010</v>
      </c>
    </row>
    <row r="8801" spans="1:3">
      <c r="A8801">
        <v>8800</v>
      </c>
      <c r="B8801">
        <v>774400000</v>
      </c>
      <c r="C8801">
        <v>774400000</v>
      </c>
    </row>
    <row r="8802" spans="1:3">
      <c r="A8802">
        <v>8801</v>
      </c>
      <c r="B8802">
        <v>774576010</v>
      </c>
      <c r="C8802">
        <v>774576010</v>
      </c>
    </row>
    <row r="8803" spans="1:3">
      <c r="A8803">
        <v>8802</v>
      </c>
      <c r="B8803">
        <v>774752040</v>
      </c>
      <c r="C8803">
        <v>774752040</v>
      </c>
    </row>
    <row r="8804" spans="1:3">
      <c r="A8804">
        <v>8803</v>
      </c>
      <c r="B8804">
        <v>774928090</v>
      </c>
      <c r="C8804">
        <v>774928090</v>
      </c>
    </row>
    <row r="8805" spans="1:3">
      <c r="A8805">
        <v>8804</v>
      </c>
      <c r="B8805">
        <v>775104160</v>
      </c>
      <c r="C8805">
        <v>775104160</v>
      </c>
    </row>
    <row r="8806" spans="1:3">
      <c r="A8806">
        <v>8805</v>
      </c>
      <c r="B8806">
        <v>775280250</v>
      </c>
      <c r="C8806">
        <v>775280250</v>
      </c>
    </row>
    <row r="8807" spans="1:3">
      <c r="A8807">
        <v>8806</v>
      </c>
      <c r="B8807">
        <v>775456360</v>
      </c>
      <c r="C8807">
        <v>775456360</v>
      </c>
    </row>
    <row r="8808" spans="1:3">
      <c r="A8808">
        <v>8807</v>
      </c>
      <c r="B8808">
        <v>775632490</v>
      </c>
      <c r="C8808">
        <v>775632490</v>
      </c>
    </row>
    <row r="8809" spans="1:3">
      <c r="A8809">
        <v>8808</v>
      </c>
      <c r="B8809">
        <v>775808640</v>
      </c>
      <c r="C8809">
        <v>775808640</v>
      </c>
    </row>
    <row r="8810" spans="1:3">
      <c r="A8810">
        <v>8809</v>
      </c>
      <c r="B8810">
        <v>775984810</v>
      </c>
      <c r="C8810">
        <v>775984810</v>
      </c>
    </row>
    <row r="8811" spans="1:3">
      <c r="A8811">
        <v>8810</v>
      </c>
      <c r="B8811">
        <v>776161000</v>
      </c>
      <c r="C8811">
        <v>776161000</v>
      </c>
    </row>
    <row r="8812" spans="1:3">
      <c r="A8812">
        <v>8811</v>
      </c>
      <c r="B8812">
        <v>776337210</v>
      </c>
      <c r="C8812">
        <v>776337210</v>
      </c>
    </row>
    <row r="8813" spans="1:3">
      <c r="A8813">
        <v>8812</v>
      </c>
      <c r="B8813">
        <v>776513440</v>
      </c>
      <c r="C8813">
        <v>776513440</v>
      </c>
    </row>
    <row r="8814" spans="1:3">
      <c r="A8814">
        <v>8813</v>
      </c>
      <c r="B8814">
        <v>776689690</v>
      </c>
      <c r="C8814">
        <v>776689690</v>
      </c>
    </row>
    <row r="8815" spans="1:3">
      <c r="A8815">
        <v>8814</v>
      </c>
      <c r="B8815">
        <v>776865960</v>
      </c>
      <c r="C8815">
        <v>776865960</v>
      </c>
    </row>
    <row r="8816" spans="1:3">
      <c r="A8816">
        <v>8815</v>
      </c>
      <c r="B8816">
        <v>777042250</v>
      </c>
      <c r="C8816">
        <v>777042250</v>
      </c>
    </row>
    <row r="8817" spans="1:3">
      <c r="A8817">
        <v>8816</v>
      </c>
      <c r="B8817">
        <v>777218560</v>
      </c>
      <c r="C8817">
        <v>777218560</v>
      </c>
    </row>
    <row r="8818" spans="1:3">
      <c r="A8818">
        <v>8817</v>
      </c>
      <c r="B8818">
        <v>777394890</v>
      </c>
      <c r="C8818">
        <v>777394890</v>
      </c>
    </row>
    <row r="8819" spans="1:3">
      <c r="A8819">
        <v>8818</v>
      </c>
      <c r="B8819">
        <v>777571240</v>
      </c>
      <c r="C8819">
        <v>777571240</v>
      </c>
    </row>
    <row r="8820" spans="1:3">
      <c r="A8820">
        <v>8819</v>
      </c>
      <c r="B8820">
        <v>777747610</v>
      </c>
      <c r="C8820">
        <v>777747610</v>
      </c>
    </row>
    <row r="8821" spans="1:3">
      <c r="A8821">
        <v>8820</v>
      </c>
      <c r="B8821">
        <v>777924000</v>
      </c>
      <c r="C8821">
        <v>777924000</v>
      </c>
    </row>
    <row r="8822" spans="1:3">
      <c r="A8822">
        <v>8821</v>
      </c>
      <c r="B8822">
        <v>778100410</v>
      </c>
      <c r="C8822">
        <v>778100410</v>
      </c>
    </row>
    <row r="8823" spans="1:3">
      <c r="A8823">
        <v>8822</v>
      </c>
      <c r="B8823">
        <v>778276840</v>
      </c>
      <c r="C8823">
        <v>778276840</v>
      </c>
    </row>
    <row r="8824" spans="1:3">
      <c r="A8824">
        <v>8823</v>
      </c>
      <c r="B8824">
        <v>778453290</v>
      </c>
      <c r="C8824">
        <v>778453290</v>
      </c>
    </row>
    <row r="8825" spans="1:3">
      <c r="A8825">
        <v>8824</v>
      </c>
      <c r="B8825">
        <v>778629760</v>
      </c>
      <c r="C8825">
        <v>778629760</v>
      </c>
    </row>
    <row r="8826" spans="1:3">
      <c r="A8826">
        <v>8825</v>
      </c>
      <c r="B8826">
        <v>778806250</v>
      </c>
      <c r="C8826">
        <v>778806250</v>
      </c>
    </row>
    <row r="8827" spans="1:3">
      <c r="A8827">
        <v>8826</v>
      </c>
      <c r="B8827">
        <v>778982760</v>
      </c>
      <c r="C8827">
        <v>778982760</v>
      </c>
    </row>
    <row r="8828" spans="1:3">
      <c r="A8828">
        <v>8827</v>
      </c>
      <c r="B8828">
        <v>779159290</v>
      </c>
      <c r="C8828">
        <v>779159290</v>
      </c>
    </row>
    <row r="8829" spans="1:3">
      <c r="A8829">
        <v>8828</v>
      </c>
      <c r="B8829">
        <v>779335840</v>
      </c>
      <c r="C8829">
        <v>779335840</v>
      </c>
    </row>
    <row r="8830" spans="1:3">
      <c r="A8830">
        <v>8829</v>
      </c>
      <c r="B8830">
        <v>779512410</v>
      </c>
      <c r="C8830">
        <v>779512410</v>
      </c>
    </row>
    <row r="8831" spans="1:3">
      <c r="A8831">
        <v>8830</v>
      </c>
      <c r="B8831">
        <v>779689000</v>
      </c>
      <c r="C8831">
        <v>779689000</v>
      </c>
    </row>
    <row r="8832" spans="1:3">
      <c r="A8832">
        <v>8831</v>
      </c>
      <c r="B8832">
        <v>779865610</v>
      </c>
      <c r="C8832">
        <v>779865610</v>
      </c>
    </row>
    <row r="8833" spans="1:3">
      <c r="A8833">
        <v>8832</v>
      </c>
      <c r="B8833">
        <v>780042240</v>
      </c>
      <c r="C8833">
        <v>780042240</v>
      </c>
    </row>
    <row r="8834" spans="1:3">
      <c r="A8834">
        <v>8833</v>
      </c>
      <c r="B8834">
        <v>780218890</v>
      </c>
      <c r="C8834">
        <v>780218890</v>
      </c>
    </row>
    <row r="8835" spans="1:3">
      <c r="A8835">
        <v>8834</v>
      </c>
      <c r="B8835">
        <v>780395560</v>
      </c>
      <c r="C8835">
        <v>780395560</v>
      </c>
    </row>
    <row r="8836" spans="1:3">
      <c r="A8836">
        <v>8835</v>
      </c>
      <c r="B8836">
        <v>780572250</v>
      </c>
      <c r="C8836">
        <v>780572250</v>
      </c>
    </row>
    <row r="8837" spans="1:3">
      <c r="A8837">
        <v>8836</v>
      </c>
      <c r="B8837">
        <v>780748960</v>
      </c>
      <c r="C8837">
        <v>780748960</v>
      </c>
    </row>
    <row r="8838" spans="1:3">
      <c r="A8838">
        <v>8837</v>
      </c>
      <c r="B8838">
        <v>780925690</v>
      </c>
      <c r="C8838">
        <v>780925690</v>
      </c>
    </row>
    <row r="8839" spans="1:3">
      <c r="A8839">
        <v>8838</v>
      </c>
      <c r="B8839">
        <v>781102440</v>
      </c>
      <c r="C8839">
        <v>781102440</v>
      </c>
    </row>
    <row r="8840" spans="1:3">
      <c r="A8840">
        <v>8839</v>
      </c>
      <c r="B8840">
        <v>781279210</v>
      </c>
      <c r="C8840">
        <v>781279210</v>
      </c>
    </row>
    <row r="8841" spans="1:3">
      <c r="A8841">
        <v>8840</v>
      </c>
      <c r="B8841">
        <v>781456000</v>
      </c>
      <c r="C8841">
        <v>781456000</v>
      </c>
    </row>
    <row r="8842" spans="1:3">
      <c r="A8842">
        <v>8841</v>
      </c>
      <c r="B8842">
        <v>781632810</v>
      </c>
      <c r="C8842">
        <v>781632810</v>
      </c>
    </row>
    <row r="8843" spans="1:3">
      <c r="A8843">
        <v>8842</v>
      </c>
      <c r="B8843">
        <v>781809640</v>
      </c>
      <c r="C8843">
        <v>781809640</v>
      </c>
    </row>
    <row r="8844" spans="1:3">
      <c r="A8844">
        <v>8843</v>
      </c>
      <c r="B8844">
        <v>781986490</v>
      </c>
      <c r="C8844">
        <v>781986490</v>
      </c>
    </row>
    <row r="8845" spans="1:3">
      <c r="A8845">
        <v>8844</v>
      </c>
      <c r="B8845">
        <v>782163360</v>
      </c>
      <c r="C8845">
        <v>782163360</v>
      </c>
    </row>
    <row r="8846" spans="1:3">
      <c r="A8846">
        <v>8845</v>
      </c>
      <c r="B8846">
        <v>782340250</v>
      </c>
      <c r="C8846">
        <v>782340250</v>
      </c>
    </row>
    <row r="8847" spans="1:3">
      <c r="A8847">
        <v>8846</v>
      </c>
      <c r="B8847">
        <v>782517160</v>
      </c>
      <c r="C8847">
        <v>782517160</v>
      </c>
    </row>
    <row r="8848" spans="1:3">
      <c r="A8848">
        <v>8847</v>
      </c>
      <c r="B8848">
        <v>782694090</v>
      </c>
      <c r="C8848">
        <v>782694090</v>
      </c>
    </row>
    <row r="8849" spans="1:3">
      <c r="A8849">
        <v>8848</v>
      </c>
      <c r="B8849">
        <v>782871040</v>
      </c>
      <c r="C8849">
        <v>782871040</v>
      </c>
    </row>
    <row r="8850" spans="1:3">
      <c r="A8850">
        <v>8849</v>
      </c>
      <c r="B8850">
        <v>783048010</v>
      </c>
      <c r="C8850">
        <v>783048010</v>
      </c>
    </row>
    <row r="8851" spans="1:3">
      <c r="A8851">
        <v>8850</v>
      </c>
      <c r="B8851">
        <v>783225000</v>
      </c>
      <c r="C8851">
        <v>783225000</v>
      </c>
    </row>
    <row r="8852" spans="1:3">
      <c r="A8852">
        <v>8851</v>
      </c>
      <c r="B8852">
        <v>783402010</v>
      </c>
      <c r="C8852">
        <v>783402010</v>
      </c>
    </row>
    <row r="8853" spans="1:3">
      <c r="A8853">
        <v>8852</v>
      </c>
      <c r="B8853">
        <v>783579040</v>
      </c>
      <c r="C8853">
        <v>783579040</v>
      </c>
    </row>
    <row r="8854" spans="1:3">
      <c r="A8854">
        <v>8853</v>
      </c>
      <c r="B8854">
        <v>783756090</v>
      </c>
      <c r="C8854">
        <v>783756090</v>
      </c>
    </row>
    <row r="8855" spans="1:3">
      <c r="A8855">
        <v>8854</v>
      </c>
      <c r="B8855">
        <v>783933160</v>
      </c>
      <c r="C8855">
        <v>783933160</v>
      </c>
    </row>
    <row r="8856" spans="1:3">
      <c r="A8856">
        <v>8855</v>
      </c>
      <c r="B8856">
        <v>784110250</v>
      </c>
      <c r="C8856">
        <v>784110250</v>
      </c>
    </row>
    <row r="8857" spans="1:3">
      <c r="A8857">
        <v>8856</v>
      </c>
      <c r="B8857">
        <v>784287360</v>
      </c>
      <c r="C8857">
        <v>784287360</v>
      </c>
    </row>
    <row r="8858" spans="1:3">
      <c r="A8858">
        <v>8857</v>
      </c>
      <c r="B8858">
        <v>784464490</v>
      </c>
      <c r="C8858">
        <v>784464490</v>
      </c>
    </row>
    <row r="8859" spans="1:3">
      <c r="A8859">
        <v>8858</v>
      </c>
      <c r="B8859">
        <v>784641640</v>
      </c>
      <c r="C8859">
        <v>784641640</v>
      </c>
    </row>
    <row r="8860" spans="1:3">
      <c r="A8860">
        <v>8859</v>
      </c>
      <c r="B8860">
        <v>784818810</v>
      </c>
      <c r="C8860">
        <v>784818810</v>
      </c>
    </row>
    <row r="8861" spans="1:3">
      <c r="A8861">
        <v>8860</v>
      </c>
      <c r="B8861">
        <v>784996000</v>
      </c>
      <c r="C8861">
        <v>784996000</v>
      </c>
    </row>
    <row r="8862" spans="1:3">
      <c r="A8862">
        <v>8861</v>
      </c>
      <c r="B8862">
        <v>785173210</v>
      </c>
      <c r="C8862">
        <v>785173210</v>
      </c>
    </row>
    <row r="8863" spans="1:3">
      <c r="A8863">
        <v>8862</v>
      </c>
      <c r="B8863">
        <v>785350440</v>
      </c>
      <c r="C8863">
        <v>785350440</v>
      </c>
    </row>
    <row r="8864" spans="1:3">
      <c r="A8864">
        <v>8863</v>
      </c>
      <c r="B8864">
        <v>785527690</v>
      </c>
      <c r="C8864">
        <v>785527690</v>
      </c>
    </row>
    <row r="8865" spans="1:3">
      <c r="A8865">
        <v>8864</v>
      </c>
      <c r="B8865">
        <v>785704960</v>
      </c>
      <c r="C8865">
        <v>785704960</v>
      </c>
    </row>
    <row r="8866" spans="1:3">
      <c r="A8866">
        <v>8865</v>
      </c>
      <c r="B8866">
        <v>785882250</v>
      </c>
      <c r="C8866">
        <v>785882250</v>
      </c>
    </row>
    <row r="8867" spans="1:3">
      <c r="A8867">
        <v>8866</v>
      </c>
      <c r="B8867">
        <v>786059560</v>
      </c>
      <c r="C8867">
        <v>786059560</v>
      </c>
    </row>
    <row r="8868" spans="1:3">
      <c r="A8868">
        <v>8867</v>
      </c>
      <c r="B8868">
        <v>786236890</v>
      </c>
      <c r="C8868">
        <v>786236890</v>
      </c>
    </row>
    <row r="8869" spans="1:3">
      <c r="A8869">
        <v>8868</v>
      </c>
      <c r="B8869">
        <v>786414240</v>
      </c>
      <c r="C8869">
        <v>786414240</v>
      </c>
    </row>
    <row r="8870" spans="1:3">
      <c r="A8870">
        <v>8869</v>
      </c>
      <c r="B8870">
        <v>786591610</v>
      </c>
      <c r="C8870">
        <v>786591610</v>
      </c>
    </row>
    <row r="8871" spans="1:3">
      <c r="A8871">
        <v>8870</v>
      </c>
      <c r="B8871">
        <v>786769000</v>
      </c>
      <c r="C8871">
        <v>786769000</v>
      </c>
    </row>
    <row r="8872" spans="1:3">
      <c r="A8872">
        <v>8871</v>
      </c>
      <c r="B8872">
        <v>786946410</v>
      </c>
      <c r="C8872">
        <v>786946410</v>
      </c>
    </row>
    <row r="8873" spans="1:3">
      <c r="A8873">
        <v>8872</v>
      </c>
      <c r="B8873">
        <v>787123840</v>
      </c>
      <c r="C8873">
        <v>787123840</v>
      </c>
    </row>
    <row r="8874" spans="1:3">
      <c r="A8874">
        <v>8873</v>
      </c>
      <c r="B8874">
        <v>787301290</v>
      </c>
      <c r="C8874">
        <v>787301290</v>
      </c>
    </row>
    <row r="8875" spans="1:3">
      <c r="A8875">
        <v>8874</v>
      </c>
      <c r="B8875">
        <v>787478760</v>
      </c>
      <c r="C8875">
        <v>787478760</v>
      </c>
    </row>
    <row r="8876" spans="1:3">
      <c r="A8876">
        <v>8875</v>
      </c>
      <c r="B8876">
        <v>787656250</v>
      </c>
      <c r="C8876">
        <v>787656250</v>
      </c>
    </row>
    <row r="8877" spans="1:3">
      <c r="A8877">
        <v>8876</v>
      </c>
      <c r="B8877">
        <v>787833760</v>
      </c>
      <c r="C8877">
        <v>787833760</v>
      </c>
    </row>
    <row r="8878" spans="1:3">
      <c r="A8878">
        <v>8877</v>
      </c>
      <c r="B8878">
        <v>788011290</v>
      </c>
      <c r="C8878">
        <v>788011290</v>
      </c>
    </row>
    <row r="8879" spans="1:3">
      <c r="A8879">
        <v>8878</v>
      </c>
      <c r="B8879">
        <v>788188840</v>
      </c>
      <c r="C8879">
        <v>788188840</v>
      </c>
    </row>
    <row r="8880" spans="1:3">
      <c r="A8880">
        <v>8879</v>
      </c>
      <c r="B8880">
        <v>788366410</v>
      </c>
      <c r="C8880">
        <v>788366410</v>
      </c>
    </row>
    <row r="8881" spans="1:3">
      <c r="A8881">
        <v>8880</v>
      </c>
      <c r="B8881">
        <v>788544000</v>
      </c>
      <c r="C8881">
        <v>788544000</v>
      </c>
    </row>
    <row r="8882" spans="1:3">
      <c r="A8882">
        <v>8881</v>
      </c>
      <c r="B8882">
        <v>788721610</v>
      </c>
      <c r="C8882">
        <v>788721610</v>
      </c>
    </row>
    <row r="8883" spans="1:3">
      <c r="A8883">
        <v>8882</v>
      </c>
      <c r="B8883">
        <v>788899240</v>
      </c>
      <c r="C8883">
        <v>788899240</v>
      </c>
    </row>
    <row r="8884" spans="1:3">
      <c r="A8884">
        <v>8883</v>
      </c>
      <c r="B8884">
        <v>789076890</v>
      </c>
      <c r="C8884">
        <v>789076890</v>
      </c>
    </row>
    <row r="8885" spans="1:3">
      <c r="A8885">
        <v>8884</v>
      </c>
      <c r="B8885">
        <v>789254560</v>
      </c>
      <c r="C8885">
        <v>789254560</v>
      </c>
    </row>
    <row r="8886" spans="1:3">
      <c r="A8886">
        <v>8885</v>
      </c>
      <c r="B8886">
        <v>789432250</v>
      </c>
      <c r="C8886">
        <v>789432250</v>
      </c>
    </row>
    <row r="8887" spans="1:3">
      <c r="A8887">
        <v>8886</v>
      </c>
      <c r="B8887">
        <v>789609960</v>
      </c>
      <c r="C8887">
        <v>789609960</v>
      </c>
    </row>
    <row r="8888" spans="1:3">
      <c r="A8888">
        <v>8887</v>
      </c>
      <c r="B8888">
        <v>789787690</v>
      </c>
      <c r="C8888">
        <v>789787690</v>
      </c>
    </row>
    <row r="8889" spans="1:3">
      <c r="A8889">
        <v>8888</v>
      </c>
      <c r="B8889">
        <v>789965440</v>
      </c>
      <c r="C8889">
        <v>789965440</v>
      </c>
    </row>
    <row r="8890" spans="1:3">
      <c r="A8890">
        <v>8889</v>
      </c>
      <c r="B8890">
        <v>790143210</v>
      </c>
      <c r="C8890">
        <v>790143210</v>
      </c>
    </row>
    <row r="8891" spans="1:3">
      <c r="A8891">
        <v>8890</v>
      </c>
      <c r="B8891">
        <v>790321000</v>
      </c>
      <c r="C8891">
        <v>790321000</v>
      </c>
    </row>
    <row r="8892" spans="1:3">
      <c r="A8892">
        <v>8891</v>
      </c>
      <c r="B8892">
        <v>790498810</v>
      </c>
      <c r="C8892">
        <v>790498810</v>
      </c>
    </row>
    <row r="8893" spans="1:3">
      <c r="A8893">
        <v>8892</v>
      </c>
      <c r="B8893">
        <v>790676640</v>
      </c>
      <c r="C8893">
        <v>790676640</v>
      </c>
    </row>
    <row r="8894" spans="1:3">
      <c r="A8894">
        <v>8893</v>
      </c>
      <c r="B8894">
        <v>790854490</v>
      </c>
      <c r="C8894">
        <v>790854490</v>
      </c>
    </row>
    <row r="8895" spans="1:3">
      <c r="A8895">
        <v>8894</v>
      </c>
      <c r="B8895">
        <v>791032360</v>
      </c>
      <c r="C8895">
        <v>791032360</v>
      </c>
    </row>
    <row r="8896" spans="1:3">
      <c r="A8896">
        <v>8895</v>
      </c>
      <c r="B8896">
        <v>791210250</v>
      </c>
      <c r="C8896">
        <v>791210250</v>
      </c>
    </row>
    <row r="8897" spans="1:3">
      <c r="A8897">
        <v>8896</v>
      </c>
      <c r="B8897">
        <v>791388160</v>
      </c>
      <c r="C8897">
        <v>791388160</v>
      </c>
    </row>
    <row r="8898" spans="1:3">
      <c r="A8898">
        <v>8897</v>
      </c>
      <c r="B8898">
        <v>791566090</v>
      </c>
      <c r="C8898">
        <v>791566090</v>
      </c>
    </row>
    <row r="8899" spans="1:3">
      <c r="A8899">
        <v>8898</v>
      </c>
      <c r="B8899">
        <v>791744040</v>
      </c>
      <c r="C8899">
        <v>791744040</v>
      </c>
    </row>
    <row r="8900" spans="1:3">
      <c r="A8900">
        <v>8899</v>
      </c>
      <c r="B8900">
        <v>791922010</v>
      </c>
      <c r="C8900">
        <v>791922010</v>
      </c>
    </row>
    <row r="8901" spans="1:3">
      <c r="A8901">
        <v>8900</v>
      </c>
      <c r="B8901">
        <v>792100000</v>
      </c>
      <c r="C8901">
        <v>792100000</v>
      </c>
    </row>
    <row r="8902" spans="1:3">
      <c r="A8902">
        <v>8901</v>
      </c>
      <c r="B8902">
        <v>792278010</v>
      </c>
      <c r="C8902">
        <v>792278010</v>
      </c>
    </row>
    <row r="8903" spans="1:3">
      <c r="A8903">
        <v>8902</v>
      </c>
      <c r="B8903">
        <v>792456040</v>
      </c>
      <c r="C8903">
        <v>792456040</v>
      </c>
    </row>
    <row r="8904" spans="1:3">
      <c r="A8904">
        <v>8903</v>
      </c>
      <c r="B8904">
        <v>792634090</v>
      </c>
      <c r="C8904">
        <v>792634090</v>
      </c>
    </row>
    <row r="8905" spans="1:3">
      <c r="A8905">
        <v>8904</v>
      </c>
      <c r="B8905">
        <v>792812160</v>
      </c>
      <c r="C8905">
        <v>792812160</v>
      </c>
    </row>
    <row r="8906" spans="1:3">
      <c r="A8906">
        <v>8905</v>
      </c>
      <c r="B8906">
        <v>792990250</v>
      </c>
      <c r="C8906">
        <v>792990250</v>
      </c>
    </row>
    <row r="8907" spans="1:3">
      <c r="A8907">
        <v>8906</v>
      </c>
      <c r="B8907">
        <v>793168360</v>
      </c>
      <c r="C8907">
        <v>793168360</v>
      </c>
    </row>
    <row r="8908" spans="1:3">
      <c r="A8908">
        <v>8907</v>
      </c>
      <c r="B8908">
        <v>793346490</v>
      </c>
      <c r="C8908">
        <v>793346490</v>
      </c>
    </row>
    <row r="8909" spans="1:3">
      <c r="A8909">
        <v>8908</v>
      </c>
      <c r="B8909">
        <v>793524640</v>
      </c>
      <c r="C8909">
        <v>793524640</v>
      </c>
    </row>
    <row r="8910" spans="1:3">
      <c r="A8910">
        <v>8909</v>
      </c>
      <c r="B8910">
        <v>793702810</v>
      </c>
      <c r="C8910">
        <v>793702810</v>
      </c>
    </row>
    <row r="8911" spans="1:3">
      <c r="A8911">
        <v>8910</v>
      </c>
      <c r="B8911">
        <v>793881000</v>
      </c>
      <c r="C8911">
        <v>793881000</v>
      </c>
    </row>
    <row r="8912" spans="1:3">
      <c r="A8912">
        <v>8911</v>
      </c>
      <c r="B8912">
        <v>794059210</v>
      </c>
      <c r="C8912">
        <v>794059210</v>
      </c>
    </row>
    <row r="8913" spans="1:3">
      <c r="A8913">
        <v>8912</v>
      </c>
      <c r="B8913">
        <v>794237440</v>
      </c>
      <c r="C8913">
        <v>794237440</v>
      </c>
    </row>
    <row r="8914" spans="1:3">
      <c r="A8914">
        <v>8913</v>
      </c>
      <c r="B8914">
        <v>794415690</v>
      </c>
      <c r="C8914">
        <v>794415690</v>
      </c>
    </row>
    <row r="8915" spans="1:3">
      <c r="A8915">
        <v>8914</v>
      </c>
      <c r="B8915">
        <v>794593960</v>
      </c>
      <c r="C8915">
        <v>794593960</v>
      </c>
    </row>
    <row r="8916" spans="1:3">
      <c r="A8916">
        <v>8915</v>
      </c>
      <c r="B8916">
        <v>794772250</v>
      </c>
      <c r="C8916">
        <v>794772250</v>
      </c>
    </row>
    <row r="8917" spans="1:3">
      <c r="A8917">
        <v>8916</v>
      </c>
      <c r="B8917">
        <v>794950560</v>
      </c>
      <c r="C8917">
        <v>794950560</v>
      </c>
    </row>
    <row r="8918" spans="1:3">
      <c r="A8918">
        <v>8917</v>
      </c>
      <c r="B8918">
        <v>795128890</v>
      </c>
      <c r="C8918">
        <v>795128890</v>
      </c>
    </row>
    <row r="8919" spans="1:3">
      <c r="A8919">
        <v>8918</v>
      </c>
      <c r="B8919">
        <v>795307240</v>
      </c>
      <c r="C8919">
        <v>795307240</v>
      </c>
    </row>
    <row r="8920" spans="1:3">
      <c r="A8920">
        <v>8919</v>
      </c>
      <c r="B8920">
        <v>795485610</v>
      </c>
      <c r="C8920">
        <v>795485610</v>
      </c>
    </row>
    <row r="8921" spans="1:3">
      <c r="A8921">
        <v>8920</v>
      </c>
      <c r="B8921">
        <v>795664000</v>
      </c>
      <c r="C8921">
        <v>795664000</v>
      </c>
    </row>
    <row r="8922" spans="1:3">
      <c r="A8922">
        <v>8921</v>
      </c>
      <c r="B8922">
        <v>795842410</v>
      </c>
      <c r="C8922">
        <v>795842410</v>
      </c>
    </row>
    <row r="8923" spans="1:3">
      <c r="A8923">
        <v>8922</v>
      </c>
      <c r="B8923">
        <v>796020840</v>
      </c>
      <c r="C8923">
        <v>796020840</v>
      </c>
    </row>
    <row r="8924" spans="1:3">
      <c r="A8924">
        <v>8923</v>
      </c>
      <c r="B8924">
        <v>796199290</v>
      </c>
      <c r="C8924">
        <v>796199290</v>
      </c>
    </row>
    <row r="8925" spans="1:3">
      <c r="A8925">
        <v>8924</v>
      </c>
      <c r="B8925">
        <v>796377760</v>
      </c>
      <c r="C8925">
        <v>796377760</v>
      </c>
    </row>
    <row r="8926" spans="1:3">
      <c r="A8926">
        <v>8925</v>
      </c>
      <c r="B8926">
        <v>796556250</v>
      </c>
      <c r="C8926">
        <v>796556250</v>
      </c>
    </row>
    <row r="8927" spans="1:3">
      <c r="A8927">
        <v>8926</v>
      </c>
      <c r="B8927">
        <v>796734760</v>
      </c>
      <c r="C8927">
        <v>796734760</v>
      </c>
    </row>
    <row r="8928" spans="1:3">
      <c r="A8928">
        <v>8927</v>
      </c>
      <c r="B8928">
        <v>796913290</v>
      </c>
      <c r="C8928">
        <v>796913290</v>
      </c>
    </row>
    <row r="8929" spans="1:3">
      <c r="A8929">
        <v>8928</v>
      </c>
      <c r="B8929">
        <v>797091840</v>
      </c>
      <c r="C8929">
        <v>797091840</v>
      </c>
    </row>
    <row r="8930" spans="1:3">
      <c r="A8930">
        <v>8929</v>
      </c>
      <c r="B8930">
        <v>797270410</v>
      </c>
      <c r="C8930">
        <v>797270410</v>
      </c>
    </row>
    <row r="8931" spans="1:3">
      <c r="A8931">
        <v>8930</v>
      </c>
      <c r="B8931">
        <v>797449000</v>
      </c>
      <c r="C8931">
        <v>797449000</v>
      </c>
    </row>
    <row r="8932" spans="1:3">
      <c r="A8932">
        <v>8931</v>
      </c>
      <c r="B8932">
        <v>797627610</v>
      </c>
      <c r="C8932">
        <v>797627610</v>
      </c>
    </row>
    <row r="8933" spans="1:3">
      <c r="A8933">
        <v>8932</v>
      </c>
      <c r="B8933">
        <v>797806240</v>
      </c>
      <c r="C8933">
        <v>797806240</v>
      </c>
    </row>
    <row r="8934" spans="1:3">
      <c r="A8934">
        <v>8933</v>
      </c>
      <c r="B8934">
        <v>797984890</v>
      </c>
      <c r="C8934">
        <v>797984890</v>
      </c>
    </row>
    <row r="8935" spans="1:3">
      <c r="A8935">
        <v>8934</v>
      </c>
      <c r="B8935">
        <v>798163560</v>
      </c>
      <c r="C8935">
        <v>798163560</v>
      </c>
    </row>
    <row r="8936" spans="1:3">
      <c r="A8936">
        <v>8935</v>
      </c>
      <c r="B8936">
        <v>798342250</v>
      </c>
      <c r="C8936">
        <v>798342250</v>
      </c>
    </row>
    <row r="8937" spans="1:3">
      <c r="A8937">
        <v>8936</v>
      </c>
      <c r="B8937">
        <v>798520960</v>
      </c>
      <c r="C8937">
        <v>798520960</v>
      </c>
    </row>
    <row r="8938" spans="1:3">
      <c r="A8938">
        <v>8937</v>
      </c>
      <c r="B8938">
        <v>798699690</v>
      </c>
      <c r="C8938">
        <v>798699690</v>
      </c>
    </row>
    <row r="8939" spans="1:3">
      <c r="A8939">
        <v>8938</v>
      </c>
      <c r="B8939">
        <v>798878440</v>
      </c>
      <c r="C8939">
        <v>798878440</v>
      </c>
    </row>
    <row r="8940" spans="1:3">
      <c r="A8940">
        <v>8939</v>
      </c>
      <c r="B8940">
        <v>799057210</v>
      </c>
      <c r="C8940">
        <v>799057210</v>
      </c>
    </row>
    <row r="8941" spans="1:3">
      <c r="A8941">
        <v>8940</v>
      </c>
      <c r="B8941">
        <v>799236000</v>
      </c>
      <c r="C8941">
        <v>799236000</v>
      </c>
    </row>
    <row r="8942" spans="1:3">
      <c r="A8942">
        <v>8941</v>
      </c>
      <c r="B8942">
        <v>799414810</v>
      </c>
      <c r="C8942">
        <v>799414810</v>
      </c>
    </row>
    <row r="8943" spans="1:3">
      <c r="A8943">
        <v>8942</v>
      </c>
      <c r="B8943">
        <v>799593640</v>
      </c>
      <c r="C8943">
        <v>799593640</v>
      </c>
    </row>
    <row r="8944" spans="1:3">
      <c r="A8944">
        <v>8943</v>
      </c>
      <c r="B8944">
        <v>799772490</v>
      </c>
      <c r="C8944">
        <v>799772490</v>
      </c>
    </row>
    <row r="8945" spans="1:3">
      <c r="A8945">
        <v>8944</v>
      </c>
      <c r="B8945">
        <v>799951360</v>
      </c>
      <c r="C8945">
        <v>799951360</v>
      </c>
    </row>
    <row r="8946" spans="1:3">
      <c r="A8946">
        <v>8945</v>
      </c>
      <c r="B8946">
        <v>800130250</v>
      </c>
      <c r="C8946">
        <v>800130250</v>
      </c>
    </row>
    <row r="8947" spans="1:3">
      <c r="A8947">
        <v>8946</v>
      </c>
      <c r="B8947">
        <v>800309160</v>
      </c>
      <c r="C8947">
        <v>800309160</v>
      </c>
    </row>
    <row r="8948" spans="1:3">
      <c r="A8948">
        <v>8947</v>
      </c>
      <c r="B8948">
        <v>800488090</v>
      </c>
      <c r="C8948">
        <v>800488090</v>
      </c>
    </row>
    <row r="8949" spans="1:3">
      <c r="A8949">
        <v>8948</v>
      </c>
      <c r="B8949">
        <v>800667040</v>
      </c>
      <c r="C8949">
        <v>800667040</v>
      </c>
    </row>
    <row r="8950" spans="1:3">
      <c r="A8950">
        <v>8949</v>
      </c>
      <c r="B8950">
        <v>800846010</v>
      </c>
      <c r="C8950">
        <v>800846010</v>
      </c>
    </row>
    <row r="8951" spans="1:3">
      <c r="A8951">
        <v>8950</v>
      </c>
      <c r="B8951">
        <v>801025000</v>
      </c>
      <c r="C8951">
        <v>801025000</v>
      </c>
    </row>
    <row r="8952" spans="1:3">
      <c r="A8952">
        <v>8951</v>
      </c>
      <c r="B8952">
        <v>801204010</v>
      </c>
      <c r="C8952">
        <v>801204010</v>
      </c>
    </row>
    <row r="8953" spans="1:3">
      <c r="A8953">
        <v>8952</v>
      </c>
      <c r="B8953">
        <v>801383040</v>
      </c>
      <c r="C8953">
        <v>801383040</v>
      </c>
    </row>
    <row r="8954" spans="1:3">
      <c r="A8954">
        <v>8953</v>
      </c>
      <c r="B8954">
        <v>801562090</v>
      </c>
      <c r="C8954">
        <v>801562090</v>
      </c>
    </row>
    <row r="8955" spans="1:3">
      <c r="A8955">
        <v>8954</v>
      </c>
      <c r="B8955">
        <v>801741160</v>
      </c>
      <c r="C8955">
        <v>801741160</v>
      </c>
    </row>
    <row r="8956" spans="1:3">
      <c r="A8956">
        <v>8955</v>
      </c>
      <c r="B8956">
        <v>801920250</v>
      </c>
      <c r="C8956">
        <v>801920250</v>
      </c>
    </row>
    <row r="8957" spans="1:3">
      <c r="A8957">
        <v>8956</v>
      </c>
      <c r="B8957">
        <v>802099360</v>
      </c>
      <c r="C8957">
        <v>802099360</v>
      </c>
    </row>
    <row r="8958" spans="1:3">
      <c r="A8958">
        <v>8957</v>
      </c>
      <c r="B8958">
        <v>802278490</v>
      </c>
      <c r="C8958">
        <v>802278490</v>
      </c>
    </row>
    <row r="8959" spans="1:3">
      <c r="A8959">
        <v>8958</v>
      </c>
      <c r="B8959">
        <v>802457640</v>
      </c>
      <c r="C8959">
        <v>802457640</v>
      </c>
    </row>
    <row r="8960" spans="1:3">
      <c r="A8960">
        <v>8959</v>
      </c>
      <c r="B8960">
        <v>802636810</v>
      </c>
      <c r="C8960">
        <v>802636810</v>
      </c>
    </row>
    <row r="8961" spans="1:3">
      <c r="A8961">
        <v>8960</v>
      </c>
      <c r="B8961">
        <v>802816000</v>
      </c>
      <c r="C8961">
        <v>802816000</v>
      </c>
    </row>
    <row r="8962" spans="1:3">
      <c r="A8962">
        <v>8961</v>
      </c>
      <c r="B8962">
        <v>802995210</v>
      </c>
      <c r="C8962">
        <v>802995210</v>
      </c>
    </row>
    <row r="8963" spans="1:3">
      <c r="A8963">
        <v>8962</v>
      </c>
      <c r="B8963">
        <v>803174440</v>
      </c>
      <c r="C8963">
        <v>803174440</v>
      </c>
    </row>
    <row r="8964" spans="1:3">
      <c r="A8964">
        <v>8963</v>
      </c>
      <c r="B8964">
        <v>803353690</v>
      </c>
      <c r="C8964">
        <v>803353690</v>
      </c>
    </row>
    <row r="8965" spans="1:3">
      <c r="A8965">
        <v>8964</v>
      </c>
      <c r="B8965">
        <v>803532960</v>
      </c>
      <c r="C8965">
        <v>803532960</v>
      </c>
    </row>
    <row r="8966" spans="1:3">
      <c r="A8966">
        <v>8965</v>
      </c>
      <c r="B8966">
        <v>803712250</v>
      </c>
      <c r="C8966">
        <v>803712250</v>
      </c>
    </row>
    <row r="8967" spans="1:3">
      <c r="A8967">
        <v>8966</v>
      </c>
      <c r="B8967">
        <v>803891560</v>
      </c>
      <c r="C8967">
        <v>803891560</v>
      </c>
    </row>
    <row r="8968" spans="1:3">
      <c r="A8968">
        <v>8967</v>
      </c>
      <c r="B8968">
        <v>804070890</v>
      </c>
      <c r="C8968">
        <v>804070890</v>
      </c>
    </row>
    <row r="8969" spans="1:3">
      <c r="A8969">
        <v>8968</v>
      </c>
      <c r="B8969">
        <v>804250240</v>
      </c>
      <c r="C8969">
        <v>804250240</v>
      </c>
    </row>
    <row r="8970" spans="1:3">
      <c r="A8970">
        <v>8969</v>
      </c>
      <c r="B8970">
        <v>804429610</v>
      </c>
      <c r="C8970">
        <v>804429610</v>
      </c>
    </row>
    <row r="8971" spans="1:3">
      <c r="A8971">
        <v>8970</v>
      </c>
      <c r="B8971">
        <v>804609000</v>
      </c>
      <c r="C8971">
        <v>804609000</v>
      </c>
    </row>
    <row r="8972" spans="1:3">
      <c r="A8972">
        <v>8971</v>
      </c>
      <c r="B8972">
        <v>804788410</v>
      </c>
      <c r="C8972">
        <v>804788410</v>
      </c>
    </row>
    <row r="8973" spans="1:3">
      <c r="A8973">
        <v>8972</v>
      </c>
      <c r="B8973">
        <v>804967840</v>
      </c>
      <c r="C8973">
        <v>804967840</v>
      </c>
    </row>
    <row r="8974" spans="1:3">
      <c r="A8974">
        <v>8973</v>
      </c>
      <c r="B8974">
        <v>805147290</v>
      </c>
      <c r="C8974">
        <v>805147290</v>
      </c>
    </row>
    <row r="8975" spans="1:3">
      <c r="A8975">
        <v>8974</v>
      </c>
      <c r="B8975">
        <v>805326760</v>
      </c>
      <c r="C8975">
        <v>805326760</v>
      </c>
    </row>
    <row r="8976" spans="1:3">
      <c r="A8976">
        <v>8975</v>
      </c>
      <c r="B8976">
        <v>805506250</v>
      </c>
      <c r="C8976">
        <v>805506250</v>
      </c>
    </row>
    <row r="8977" spans="1:3">
      <c r="A8977">
        <v>8976</v>
      </c>
      <c r="B8977">
        <v>805685760</v>
      </c>
      <c r="C8977">
        <v>805685760</v>
      </c>
    </row>
    <row r="8978" spans="1:3">
      <c r="A8978">
        <v>8977</v>
      </c>
      <c r="B8978">
        <v>805865290</v>
      </c>
      <c r="C8978">
        <v>805865290</v>
      </c>
    </row>
    <row r="8979" spans="1:3">
      <c r="A8979">
        <v>8978</v>
      </c>
      <c r="B8979">
        <v>806044840</v>
      </c>
      <c r="C8979">
        <v>806044840</v>
      </c>
    </row>
    <row r="8980" spans="1:3">
      <c r="A8980">
        <v>8979</v>
      </c>
      <c r="B8980">
        <v>806224410</v>
      </c>
      <c r="C8980">
        <v>806224410</v>
      </c>
    </row>
    <row r="8981" spans="1:3">
      <c r="A8981">
        <v>8980</v>
      </c>
      <c r="B8981">
        <v>806404000</v>
      </c>
      <c r="C8981">
        <v>806404000</v>
      </c>
    </row>
    <row r="8982" spans="1:3">
      <c r="A8982">
        <v>8981</v>
      </c>
      <c r="B8982">
        <v>806583610</v>
      </c>
      <c r="C8982">
        <v>806583610</v>
      </c>
    </row>
    <row r="8983" spans="1:3">
      <c r="A8983">
        <v>8982</v>
      </c>
      <c r="B8983">
        <v>806763240</v>
      </c>
      <c r="C8983">
        <v>806763240</v>
      </c>
    </row>
    <row r="8984" spans="1:3">
      <c r="A8984">
        <v>8983</v>
      </c>
      <c r="B8984">
        <v>806942890</v>
      </c>
      <c r="C8984">
        <v>806942890</v>
      </c>
    </row>
    <row r="8985" spans="1:3">
      <c r="A8985">
        <v>8984</v>
      </c>
      <c r="B8985">
        <v>807122560</v>
      </c>
      <c r="C8985">
        <v>807122560</v>
      </c>
    </row>
    <row r="8986" spans="1:3">
      <c r="A8986">
        <v>8985</v>
      </c>
      <c r="B8986">
        <v>807302250</v>
      </c>
      <c r="C8986">
        <v>807302250</v>
      </c>
    </row>
    <row r="8987" spans="1:3">
      <c r="A8987">
        <v>8986</v>
      </c>
      <c r="B8987">
        <v>807481960</v>
      </c>
      <c r="C8987">
        <v>807481960</v>
      </c>
    </row>
    <row r="8988" spans="1:3">
      <c r="A8988">
        <v>8987</v>
      </c>
      <c r="B8988">
        <v>807661690</v>
      </c>
      <c r="C8988">
        <v>807661690</v>
      </c>
    </row>
    <row r="8989" spans="1:3">
      <c r="A8989">
        <v>8988</v>
      </c>
      <c r="B8989">
        <v>807841440</v>
      </c>
      <c r="C8989">
        <v>807841440</v>
      </c>
    </row>
    <row r="8990" spans="1:3">
      <c r="A8990">
        <v>8989</v>
      </c>
      <c r="B8990">
        <v>808021210</v>
      </c>
      <c r="C8990">
        <v>808021210</v>
      </c>
    </row>
    <row r="8991" spans="1:3">
      <c r="A8991">
        <v>8990</v>
      </c>
      <c r="B8991">
        <v>808201000</v>
      </c>
      <c r="C8991">
        <v>808201000</v>
      </c>
    </row>
    <row r="8992" spans="1:3">
      <c r="A8992">
        <v>8991</v>
      </c>
      <c r="B8992">
        <v>808380810</v>
      </c>
      <c r="C8992">
        <v>808380810</v>
      </c>
    </row>
    <row r="8993" spans="1:3">
      <c r="A8993">
        <v>8992</v>
      </c>
      <c r="B8993">
        <v>808560640</v>
      </c>
      <c r="C8993">
        <v>808560640</v>
      </c>
    </row>
    <row r="8994" spans="1:3">
      <c r="A8994">
        <v>8993</v>
      </c>
      <c r="B8994">
        <v>808740490</v>
      </c>
      <c r="C8994">
        <v>808740490</v>
      </c>
    </row>
    <row r="8995" spans="1:3">
      <c r="A8995">
        <v>8994</v>
      </c>
      <c r="B8995">
        <v>808920360</v>
      </c>
      <c r="C8995">
        <v>808920360</v>
      </c>
    </row>
    <row r="8996" spans="1:3">
      <c r="A8996">
        <v>8995</v>
      </c>
      <c r="B8996">
        <v>809100250</v>
      </c>
      <c r="C8996">
        <v>809100250</v>
      </c>
    </row>
    <row r="8997" spans="1:3">
      <c r="A8997">
        <v>8996</v>
      </c>
      <c r="B8997">
        <v>809280160</v>
      </c>
      <c r="C8997">
        <v>809280160</v>
      </c>
    </row>
    <row r="8998" spans="1:3">
      <c r="A8998">
        <v>8997</v>
      </c>
      <c r="B8998">
        <v>809460090</v>
      </c>
      <c r="C8998">
        <v>809460090</v>
      </c>
    </row>
    <row r="8999" spans="1:3">
      <c r="A8999">
        <v>8998</v>
      </c>
      <c r="B8999">
        <v>809640040</v>
      </c>
      <c r="C8999">
        <v>809640040</v>
      </c>
    </row>
    <row r="9000" spans="1:3">
      <c r="A9000">
        <v>8999</v>
      </c>
      <c r="B9000">
        <v>809820010</v>
      </c>
      <c r="C9000">
        <v>809820010</v>
      </c>
    </row>
    <row r="9001" spans="1:3">
      <c r="A9001">
        <v>9000</v>
      </c>
      <c r="B9001">
        <v>810000000</v>
      </c>
      <c r="C9001">
        <v>810000000</v>
      </c>
    </row>
    <row r="9002" spans="1:3">
      <c r="A9002">
        <v>9001</v>
      </c>
      <c r="B9002">
        <v>810180010</v>
      </c>
      <c r="C9002">
        <v>810180010</v>
      </c>
    </row>
    <row r="9003" spans="1:3">
      <c r="A9003">
        <v>9002</v>
      </c>
      <c r="B9003">
        <v>810360040</v>
      </c>
      <c r="C9003">
        <v>810360040</v>
      </c>
    </row>
    <row r="9004" spans="1:3">
      <c r="A9004">
        <v>9003</v>
      </c>
      <c r="B9004">
        <v>810540090</v>
      </c>
      <c r="C9004">
        <v>810540090</v>
      </c>
    </row>
    <row r="9005" spans="1:3">
      <c r="A9005">
        <v>9004</v>
      </c>
      <c r="B9005">
        <v>810720160</v>
      </c>
      <c r="C9005">
        <v>810720160</v>
      </c>
    </row>
    <row r="9006" spans="1:3">
      <c r="A9006">
        <v>9005</v>
      </c>
      <c r="B9006">
        <v>810900250</v>
      </c>
      <c r="C9006">
        <v>810900250</v>
      </c>
    </row>
    <row r="9007" spans="1:3">
      <c r="A9007">
        <v>9006</v>
      </c>
      <c r="B9007">
        <v>811080360</v>
      </c>
      <c r="C9007">
        <v>811080360</v>
      </c>
    </row>
    <row r="9008" spans="1:3">
      <c r="A9008">
        <v>9007</v>
      </c>
      <c r="B9008">
        <v>811260490</v>
      </c>
      <c r="C9008">
        <v>811260490</v>
      </c>
    </row>
    <row r="9009" spans="1:3">
      <c r="A9009">
        <v>9008</v>
      </c>
      <c r="B9009">
        <v>811440640</v>
      </c>
      <c r="C9009">
        <v>811440640</v>
      </c>
    </row>
    <row r="9010" spans="1:3">
      <c r="A9010">
        <v>9009</v>
      </c>
      <c r="B9010">
        <v>811620810</v>
      </c>
      <c r="C9010">
        <v>811620810</v>
      </c>
    </row>
    <row r="9011" spans="1:3">
      <c r="A9011">
        <v>9010</v>
      </c>
      <c r="B9011">
        <v>811801000</v>
      </c>
      <c r="C9011">
        <v>811801000</v>
      </c>
    </row>
    <row r="9012" spans="1:3">
      <c r="A9012">
        <v>9011</v>
      </c>
      <c r="B9012">
        <v>811981210</v>
      </c>
      <c r="C9012">
        <v>811981210</v>
      </c>
    </row>
    <row r="9013" spans="1:3">
      <c r="A9013">
        <v>9012</v>
      </c>
      <c r="B9013">
        <v>812161440</v>
      </c>
      <c r="C9013">
        <v>812161440</v>
      </c>
    </row>
    <row r="9014" spans="1:3">
      <c r="A9014">
        <v>9013</v>
      </c>
      <c r="B9014">
        <v>812341690</v>
      </c>
      <c r="C9014">
        <v>812341690</v>
      </c>
    </row>
    <row r="9015" spans="1:3">
      <c r="A9015">
        <v>9014</v>
      </c>
      <c r="B9015">
        <v>812521960</v>
      </c>
      <c r="C9015">
        <v>812521960</v>
      </c>
    </row>
    <row r="9016" spans="1:3">
      <c r="A9016">
        <v>9015</v>
      </c>
      <c r="B9016">
        <v>812702250</v>
      </c>
      <c r="C9016">
        <v>812702250</v>
      </c>
    </row>
    <row r="9017" spans="1:3">
      <c r="A9017">
        <v>9016</v>
      </c>
      <c r="B9017">
        <v>812882560</v>
      </c>
      <c r="C9017">
        <v>812882560</v>
      </c>
    </row>
    <row r="9018" spans="1:3">
      <c r="A9018">
        <v>9017</v>
      </c>
      <c r="B9018">
        <v>813062890</v>
      </c>
      <c r="C9018">
        <v>813062890</v>
      </c>
    </row>
    <row r="9019" spans="1:3">
      <c r="A9019">
        <v>9018</v>
      </c>
      <c r="B9019">
        <v>813243240</v>
      </c>
      <c r="C9019">
        <v>813243240</v>
      </c>
    </row>
    <row r="9020" spans="1:3">
      <c r="A9020">
        <v>9019</v>
      </c>
      <c r="B9020">
        <v>813423610</v>
      </c>
      <c r="C9020">
        <v>813423610</v>
      </c>
    </row>
    <row r="9021" spans="1:3">
      <c r="A9021">
        <v>9020</v>
      </c>
      <c r="B9021">
        <v>813604000</v>
      </c>
      <c r="C9021">
        <v>813604000</v>
      </c>
    </row>
    <row r="9022" spans="1:3">
      <c r="A9022">
        <v>9021</v>
      </c>
      <c r="B9022">
        <v>813784410</v>
      </c>
      <c r="C9022">
        <v>813784410</v>
      </c>
    </row>
    <row r="9023" spans="1:3">
      <c r="A9023">
        <v>9022</v>
      </c>
      <c r="B9023">
        <v>813964840</v>
      </c>
      <c r="C9023">
        <v>813964840</v>
      </c>
    </row>
    <row r="9024" spans="1:3">
      <c r="A9024">
        <v>9023</v>
      </c>
      <c r="B9024">
        <v>814145290</v>
      </c>
      <c r="C9024">
        <v>814145290</v>
      </c>
    </row>
    <row r="9025" spans="1:3">
      <c r="A9025">
        <v>9024</v>
      </c>
      <c r="B9025">
        <v>814325760</v>
      </c>
      <c r="C9025">
        <v>814325760</v>
      </c>
    </row>
    <row r="9026" spans="1:3">
      <c r="A9026">
        <v>9025</v>
      </c>
      <c r="B9026">
        <v>814506250</v>
      </c>
      <c r="C9026">
        <v>814506250</v>
      </c>
    </row>
    <row r="9027" spans="1:3">
      <c r="A9027">
        <v>9026</v>
      </c>
      <c r="B9027">
        <v>814686760</v>
      </c>
      <c r="C9027">
        <v>814686760</v>
      </c>
    </row>
    <row r="9028" spans="1:3">
      <c r="A9028">
        <v>9027</v>
      </c>
      <c r="B9028">
        <v>814867290</v>
      </c>
      <c r="C9028">
        <v>814867290</v>
      </c>
    </row>
    <row r="9029" spans="1:3">
      <c r="A9029">
        <v>9028</v>
      </c>
      <c r="B9029">
        <v>815047840</v>
      </c>
      <c r="C9029">
        <v>815047840</v>
      </c>
    </row>
    <row r="9030" spans="1:3">
      <c r="A9030">
        <v>9029</v>
      </c>
      <c r="B9030">
        <v>815228410</v>
      </c>
      <c r="C9030">
        <v>815228410</v>
      </c>
    </row>
    <row r="9031" spans="1:3">
      <c r="A9031">
        <v>9030</v>
      </c>
      <c r="B9031">
        <v>815409000</v>
      </c>
      <c r="C9031">
        <v>815409000</v>
      </c>
    </row>
    <row r="9032" spans="1:3">
      <c r="A9032">
        <v>9031</v>
      </c>
      <c r="B9032">
        <v>815589610</v>
      </c>
      <c r="C9032">
        <v>815589610</v>
      </c>
    </row>
    <row r="9033" spans="1:3">
      <c r="A9033">
        <v>9032</v>
      </c>
      <c r="B9033">
        <v>815770240</v>
      </c>
      <c r="C9033">
        <v>815770240</v>
      </c>
    </row>
    <row r="9034" spans="1:3">
      <c r="A9034">
        <v>9033</v>
      </c>
      <c r="B9034">
        <v>815950890</v>
      </c>
      <c r="C9034">
        <v>815950890</v>
      </c>
    </row>
    <row r="9035" spans="1:3">
      <c r="A9035">
        <v>9034</v>
      </c>
      <c r="B9035">
        <v>816131560</v>
      </c>
      <c r="C9035">
        <v>816131560</v>
      </c>
    </row>
    <row r="9036" spans="1:3">
      <c r="A9036">
        <v>9035</v>
      </c>
      <c r="B9036">
        <v>816312250</v>
      </c>
      <c r="C9036">
        <v>816312250</v>
      </c>
    </row>
    <row r="9037" spans="1:3">
      <c r="A9037">
        <v>9036</v>
      </c>
      <c r="B9037">
        <v>816492960</v>
      </c>
      <c r="C9037">
        <v>816492960</v>
      </c>
    </row>
    <row r="9038" spans="1:3">
      <c r="A9038">
        <v>9037</v>
      </c>
      <c r="B9038">
        <v>816673690</v>
      </c>
      <c r="C9038">
        <v>816673690</v>
      </c>
    </row>
    <row r="9039" spans="1:3">
      <c r="A9039">
        <v>9038</v>
      </c>
      <c r="B9039">
        <v>816854440</v>
      </c>
      <c r="C9039">
        <v>816854440</v>
      </c>
    </row>
    <row r="9040" spans="1:3">
      <c r="A9040">
        <v>9039</v>
      </c>
      <c r="B9040">
        <v>817035210</v>
      </c>
      <c r="C9040">
        <v>817035210</v>
      </c>
    </row>
    <row r="9041" spans="1:3">
      <c r="A9041">
        <v>9040</v>
      </c>
      <c r="B9041">
        <v>817216000</v>
      </c>
      <c r="C9041">
        <v>817216000</v>
      </c>
    </row>
    <row r="9042" spans="1:3">
      <c r="A9042">
        <v>9041</v>
      </c>
      <c r="B9042">
        <v>817396810</v>
      </c>
      <c r="C9042">
        <v>817396810</v>
      </c>
    </row>
    <row r="9043" spans="1:3">
      <c r="A9043">
        <v>9042</v>
      </c>
      <c r="B9043">
        <v>817577640</v>
      </c>
      <c r="C9043">
        <v>817577640</v>
      </c>
    </row>
    <row r="9044" spans="1:3">
      <c r="A9044">
        <v>9043</v>
      </c>
      <c r="B9044">
        <v>817758490</v>
      </c>
      <c r="C9044">
        <v>817758490</v>
      </c>
    </row>
    <row r="9045" spans="1:3">
      <c r="A9045">
        <v>9044</v>
      </c>
      <c r="B9045">
        <v>817939360</v>
      </c>
      <c r="C9045">
        <v>817939360</v>
      </c>
    </row>
    <row r="9046" spans="1:3">
      <c r="A9046">
        <v>9045</v>
      </c>
      <c r="B9046">
        <v>818120250</v>
      </c>
      <c r="C9046">
        <v>818120250</v>
      </c>
    </row>
    <row r="9047" spans="1:3">
      <c r="A9047">
        <v>9046</v>
      </c>
      <c r="B9047">
        <v>818301160</v>
      </c>
      <c r="C9047">
        <v>818301160</v>
      </c>
    </row>
    <row r="9048" spans="1:3">
      <c r="A9048">
        <v>9047</v>
      </c>
      <c r="B9048">
        <v>818482090</v>
      </c>
      <c r="C9048">
        <v>818482090</v>
      </c>
    </row>
    <row r="9049" spans="1:3">
      <c r="A9049">
        <v>9048</v>
      </c>
      <c r="B9049">
        <v>818663040</v>
      </c>
      <c r="C9049">
        <v>818663040</v>
      </c>
    </row>
    <row r="9050" spans="1:3">
      <c r="A9050">
        <v>9049</v>
      </c>
      <c r="B9050">
        <v>818844010</v>
      </c>
      <c r="C9050">
        <v>818844010</v>
      </c>
    </row>
    <row r="9051" spans="1:3">
      <c r="A9051">
        <v>9050</v>
      </c>
      <c r="B9051">
        <v>819025000</v>
      </c>
      <c r="C9051">
        <v>819025000</v>
      </c>
    </row>
    <row r="9052" spans="1:3">
      <c r="A9052">
        <v>9051</v>
      </c>
      <c r="B9052">
        <v>819206010</v>
      </c>
      <c r="C9052">
        <v>819206010</v>
      </c>
    </row>
    <row r="9053" spans="1:3">
      <c r="A9053">
        <v>9052</v>
      </c>
      <c r="B9053">
        <v>819387040</v>
      </c>
      <c r="C9053">
        <v>819387040</v>
      </c>
    </row>
    <row r="9054" spans="1:3">
      <c r="A9054">
        <v>9053</v>
      </c>
      <c r="B9054">
        <v>819568090</v>
      </c>
      <c r="C9054">
        <v>819568090</v>
      </c>
    </row>
    <row r="9055" spans="1:3">
      <c r="A9055">
        <v>9054</v>
      </c>
      <c r="B9055">
        <v>819749160</v>
      </c>
      <c r="C9055">
        <v>819749160</v>
      </c>
    </row>
    <row r="9056" spans="1:3">
      <c r="A9056">
        <v>9055</v>
      </c>
      <c r="B9056">
        <v>819930250</v>
      </c>
      <c r="C9056">
        <v>819930250</v>
      </c>
    </row>
    <row r="9057" spans="1:3">
      <c r="A9057">
        <v>9056</v>
      </c>
      <c r="B9057">
        <v>820111360</v>
      </c>
      <c r="C9057">
        <v>820111360</v>
      </c>
    </row>
    <row r="9058" spans="1:3">
      <c r="A9058">
        <v>9057</v>
      </c>
      <c r="B9058">
        <v>820292490</v>
      </c>
      <c r="C9058">
        <v>820292490</v>
      </c>
    </row>
    <row r="9059" spans="1:3">
      <c r="A9059">
        <v>9058</v>
      </c>
      <c r="B9059">
        <v>820473640</v>
      </c>
      <c r="C9059">
        <v>820473640</v>
      </c>
    </row>
    <row r="9060" spans="1:3">
      <c r="A9060">
        <v>9059</v>
      </c>
      <c r="B9060">
        <v>820654810</v>
      </c>
      <c r="C9060">
        <v>820654810</v>
      </c>
    </row>
    <row r="9061" spans="1:3">
      <c r="A9061">
        <v>9060</v>
      </c>
      <c r="B9061">
        <v>820836000</v>
      </c>
      <c r="C9061">
        <v>820836000</v>
      </c>
    </row>
    <row r="9062" spans="1:3">
      <c r="A9062">
        <v>9061</v>
      </c>
      <c r="B9062">
        <v>821017210</v>
      </c>
      <c r="C9062">
        <v>821017210</v>
      </c>
    </row>
    <row r="9063" spans="1:3">
      <c r="A9063">
        <v>9062</v>
      </c>
      <c r="B9063">
        <v>821198440</v>
      </c>
      <c r="C9063">
        <v>821198440</v>
      </c>
    </row>
    <row r="9064" spans="1:3">
      <c r="A9064">
        <v>9063</v>
      </c>
      <c r="B9064">
        <v>821379690</v>
      </c>
      <c r="C9064">
        <v>821379690</v>
      </c>
    </row>
    <row r="9065" spans="1:3">
      <c r="A9065">
        <v>9064</v>
      </c>
      <c r="B9065">
        <v>821560960</v>
      </c>
      <c r="C9065">
        <v>821560960</v>
      </c>
    </row>
    <row r="9066" spans="1:3">
      <c r="A9066">
        <v>9065</v>
      </c>
      <c r="B9066">
        <v>821742250</v>
      </c>
      <c r="C9066">
        <v>821742250</v>
      </c>
    </row>
    <row r="9067" spans="1:3">
      <c r="A9067">
        <v>9066</v>
      </c>
      <c r="B9067">
        <v>821923560</v>
      </c>
      <c r="C9067">
        <v>821923560</v>
      </c>
    </row>
    <row r="9068" spans="1:3">
      <c r="A9068">
        <v>9067</v>
      </c>
      <c r="B9068">
        <v>822104890</v>
      </c>
      <c r="C9068">
        <v>822104890</v>
      </c>
    </row>
    <row r="9069" spans="1:3">
      <c r="A9069">
        <v>9068</v>
      </c>
      <c r="B9069">
        <v>822286240</v>
      </c>
      <c r="C9069">
        <v>822286240</v>
      </c>
    </row>
    <row r="9070" spans="1:3">
      <c r="A9070">
        <v>9069</v>
      </c>
      <c r="B9070">
        <v>822467610</v>
      </c>
      <c r="C9070">
        <v>822467610</v>
      </c>
    </row>
    <row r="9071" spans="1:3">
      <c r="A9071">
        <v>9070</v>
      </c>
      <c r="B9071">
        <v>822649000</v>
      </c>
      <c r="C9071">
        <v>822649000</v>
      </c>
    </row>
    <row r="9072" spans="1:3">
      <c r="A9072">
        <v>9071</v>
      </c>
      <c r="B9072">
        <v>822830410</v>
      </c>
      <c r="C9072">
        <v>822830410</v>
      </c>
    </row>
    <row r="9073" spans="1:3">
      <c r="A9073">
        <v>9072</v>
      </c>
      <c r="B9073">
        <v>823011840</v>
      </c>
      <c r="C9073">
        <v>823011840</v>
      </c>
    </row>
    <row r="9074" spans="1:3">
      <c r="A9074">
        <v>9073</v>
      </c>
      <c r="B9074">
        <v>823193290</v>
      </c>
      <c r="C9074">
        <v>823193290</v>
      </c>
    </row>
    <row r="9075" spans="1:3">
      <c r="A9075">
        <v>9074</v>
      </c>
      <c r="B9075">
        <v>823374760</v>
      </c>
      <c r="C9075">
        <v>823374760</v>
      </c>
    </row>
    <row r="9076" spans="1:3">
      <c r="A9076">
        <v>9075</v>
      </c>
      <c r="B9076">
        <v>823556250</v>
      </c>
      <c r="C9076">
        <v>823556250</v>
      </c>
    </row>
    <row r="9077" spans="1:3">
      <c r="A9077">
        <v>9076</v>
      </c>
      <c r="B9077">
        <v>823737760</v>
      </c>
      <c r="C9077">
        <v>823737760</v>
      </c>
    </row>
    <row r="9078" spans="1:3">
      <c r="A9078">
        <v>9077</v>
      </c>
      <c r="B9078">
        <v>823919290</v>
      </c>
      <c r="C9078">
        <v>823919290</v>
      </c>
    </row>
    <row r="9079" spans="1:3">
      <c r="A9079">
        <v>9078</v>
      </c>
      <c r="B9079">
        <v>824100840</v>
      </c>
      <c r="C9079">
        <v>824100840</v>
      </c>
    </row>
    <row r="9080" spans="1:3">
      <c r="A9080">
        <v>9079</v>
      </c>
      <c r="B9080">
        <v>824282410</v>
      </c>
      <c r="C9080">
        <v>824282410</v>
      </c>
    </row>
    <row r="9081" spans="1:3">
      <c r="A9081">
        <v>9080</v>
      </c>
      <c r="B9081">
        <v>824464000</v>
      </c>
      <c r="C9081">
        <v>824464000</v>
      </c>
    </row>
    <row r="9082" spans="1:3">
      <c r="A9082">
        <v>9081</v>
      </c>
      <c r="B9082">
        <v>824645610</v>
      </c>
      <c r="C9082">
        <v>824645610</v>
      </c>
    </row>
    <row r="9083" spans="1:3">
      <c r="A9083">
        <v>9082</v>
      </c>
      <c r="B9083">
        <v>824827240</v>
      </c>
      <c r="C9083">
        <v>824827240</v>
      </c>
    </row>
    <row r="9084" spans="1:3">
      <c r="A9084">
        <v>9083</v>
      </c>
      <c r="B9084">
        <v>825008890</v>
      </c>
      <c r="C9084">
        <v>825008890</v>
      </c>
    </row>
    <row r="9085" spans="1:3">
      <c r="A9085">
        <v>9084</v>
      </c>
      <c r="B9085">
        <v>825190560</v>
      </c>
      <c r="C9085">
        <v>825190560</v>
      </c>
    </row>
    <row r="9086" spans="1:3">
      <c r="A9086">
        <v>9085</v>
      </c>
      <c r="B9086">
        <v>825372250</v>
      </c>
      <c r="C9086">
        <v>825372250</v>
      </c>
    </row>
    <row r="9087" spans="1:3">
      <c r="A9087">
        <v>9086</v>
      </c>
      <c r="B9087">
        <v>825553960</v>
      </c>
      <c r="C9087">
        <v>825553960</v>
      </c>
    </row>
    <row r="9088" spans="1:3">
      <c r="A9088">
        <v>9087</v>
      </c>
      <c r="B9088">
        <v>825735690</v>
      </c>
      <c r="C9088">
        <v>825735690</v>
      </c>
    </row>
    <row r="9089" spans="1:3">
      <c r="A9089">
        <v>9088</v>
      </c>
      <c r="B9089">
        <v>825917440</v>
      </c>
      <c r="C9089">
        <v>825917440</v>
      </c>
    </row>
    <row r="9090" spans="1:3">
      <c r="A9090">
        <v>9089</v>
      </c>
      <c r="B9090">
        <v>826099210</v>
      </c>
      <c r="C9090">
        <v>826099210</v>
      </c>
    </row>
    <row r="9091" spans="1:3">
      <c r="A9091">
        <v>9090</v>
      </c>
      <c r="B9091">
        <v>826281000</v>
      </c>
      <c r="C9091">
        <v>826281000</v>
      </c>
    </row>
    <row r="9092" spans="1:3">
      <c r="A9092">
        <v>9091</v>
      </c>
      <c r="B9092">
        <v>826462810</v>
      </c>
      <c r="C9092">
        <v>826462810</v>
      </c>
    </row>
    <row r="9093" spans="1:3">
      <c r="A9093">
        <v>9092</v>
      </c>
      <c r="B9093">
        <v>826644640</v>
      </c>
      <c r="C9093">
        <v>826644640</v>
      </c>
    </row>
    <row r="9094" spans="1:3">
      <c r="A9094">
        <v>9093</v>
      </c>
      <c r="B9094">
        <v>826826490</v>
      </c>
      <c r="C9094">
        <v>826826490</v>
      </c>
    </row>
    <row r="9095" spans="1:3">
      <c r="A9095">
        <v>9094</v>
      </c>
      <c r="B9095">
        <v>827008360</v>
      </c>
      <c r="C9095">
        <v>827008360</v>
      </c>
    </row>
    <row r="9096" spans="1:3">
      <c r="A9096">
        <v>9095</v>
      </c>
      <c r="B9096">
        <v>827190250</v>
      </c>
      <c r="C9096">
        <v>827190250</v>
      </c>
    </row>
    <row r="9097" spans="1:3">
      <c r="A9097">
        <v>9096</v>
      </c>
      <c r="B9097">
        <v>827372160</v>
      </c>
      <c r="C9097">
        <v>827372160</v>
      </c>
    </row>
    <row r="9098" spans="1:3">
      <c r="A9098">
        <v>9097</v>
      </c>
      <c r="B9098">
        <v>827554090</v>
      </c>
      <c r="C9098">
        <v>827554090</v>
      </c>
    </row>
    <row r="9099" spans="1:3">
      <c r="A9099">
        <v>9098</v>
      </c>
      <c r="B9099">
        <v>827736040</v>
      </c>
      <c r="C9099">
        <v>827736040</v>
      </c>
    </row>
    <row r="9100" spans="1:3">
      <c r="A9100">
        <v>9099</v>
      </c>
      <c r="B9100">
        <v>827918010</v>
      </c>
      <c r="C9100">
        <v>827918010</v>
      </c>
    </row>
    <row r="9101" spans="1:3">
      <c r="A9101">
        <v>9100</v>
      </c>
      <c r="B9101">
        <v>828100000</v>
      </c>
      <c r="C9101">
        <v>828100000</v>
      </c>
    </row>
    <row r="9102" spans="1:3">
      <c r="A9102">
        <v>9101</v>
      </c>
      <c r="B9102">
        <v>828282010</v>
      </c>
      <c r="C9102">
        <v>828282010</v>
      </c>
    </row>
    <row r="9103" spans="1:3">
      <c r="A9103">
        <v>9102</v>
      </c>
      <c r="B9103">
        <v>828464040</v>
      </c>
      <c r="C9103">
        <v>828464040</v>
      </c>
    </row>
    <row r="9104" spans="1:3">
      <c r="A9104">
        <v>9103</v>
      </c>
      <c r="B9104">
        <v>828646090</v>
      </c>
      <c r="C9104">
        <v>828646090</v>
      </c>
    </row>
    <row r="9105" spans="1:3">
      <c r="A9105">
        <v>9104</v>
      </c>
      <c r="B9105">
        <v>828828160</v>
      </c>
      <c r="C9105">
        <v>828828160</v>
      </c>
    </row>
    <row r="9106" spans="1:3">
      <c r="A9106">
        <v>9105</v>
      </c>
      <c r="B9106">
        <v>829010250</v>
      </c>
      <c r="C9106">
        <v>829010250</v>
      </c>
    </row>
    <row r="9107" spans="1:3">
      <c r="A9107">
        <v>9106</v>
      </c>
      <c r="B9107">
        <v>829192360</v>
      </c>
      <c r="C9107">
        <v>829192360</v>
      </c>
    </row>
    <row r="9108" spans="1:3">
      <c r="A9108">
        <v>9107</v>
      </c>
      <c r="B9108">
        <v>829374490</v>
      </c>
      <c r="C9108">
        <v>829374490</v>
      </c>
    </row>
    <row r="9109" spans="1:3">
      <c r="A9109">
        <v>9108</v>
      </c>
      <c r="B9109">
        <v>829556640</v>
      </c>
      <c r="C9109">
        <v>829556640</v>
      </c>
    </row>
    <row r="9110" spans="1:3">
      <c r="A9110">
        <v>9109</v>
      </c>
      <c r="B9110">
        <v>829738810</v>
      </c>
      <c r="C9110">
        <v>829738810</v>
      </c>
    </row>
    <row r="9111" spans="1:3">
      <c r="A9111">
        <v>9110</v>
      </c>
      <c r="B9111">
        <v>829921000</v>
      </c>
      <c r="C9111">
        <v>829921000</v>
      </c>
    </row>
    <row r="9112" spans="1:3">
      <c r="A9112">
        <v>9111</v>
      </c>
      <c r="B9112">
        <v>830103210</v>
      </c>
      <c r="C9112">
        <v>830103210</v>
      </c>
    </row>
    <row r="9113" spans="1:3">
      <c r="A9113">
        <v>9112</v>
      </c>
      <c r="B9113">
        <v>830285440</v>
      </c>
      <c r="C9113">
        <v>830285440</v>
      </c>
    </row>
    <row r="9114" spans="1:3">
      <c r="A9114">
        <v>9113</v>
      </c>
      <c r="B9114">
        <v>830467690</v>
      </c>
      <c r="C9114">
        <v>830467690</v>
      </c>
    </row>
    <row r="9115" spans="1:3">
      <c r="A9115">
        <v>9114</v>
      </c>
      <c r="B9115">
        <v>830649960</v>
      </c>
      <c r="C9115">
        <v>830649960</v>
      </c>
    </row>
    <row r="9116" spans="1:3">
      <c r="A9116">
        <v>9115</v>
      </c>
      <c r="B9116">
        <v>830832250</v>
      </c>
      <c r="C9116">
        <v>830832250</v>
      </c>
    </row>
    <row r="9117" spans="1:3">
      <c r="A9117">
        <v>9116</v>
      </c>
      <c r="B9117">
        <v>831014560</v>
      </c>
      <c r="C9117">
        <v>831014560</v>
      </c>
    </row>
    <row r="9118" spans="1:3">
      <c r="A9118">
        <v>9117</v>
      </c>
      <c r="B9118">
        <v>831196890</v>
      </c>
      <c r="C9118">
        <v>831196890</v>
      </c>
    </row>
    <row r="9119" spans="1:3">
      <c r="A9119">
        <v>9118</v>
      </c>
      <c r="B9119">
        <v>831379240</v>
      </c>
      <c r="C9119">
        <v>831379240</v>
      </c>
    </row>
    <row r="9120" spans="1:3">
      <c r="A9120">
        <v>9119</v>
      </c>
      <c r="B9120">
        <v>831561610</v>
      </c>
      <c r="C9120">
        <v>831561610</v>
      </c>
    </row>
    <row r="9121" spans="1:3">
      <c r="A9121">
        <v>9120</v>
      </c>
      <c r="B9121">
        <v>831744000</v>
      </c>
      <c r="C9121">
        <v>831744000</v>
      </c>
    </row>
    <row r="9122" spans="1:3">
      <c r="A9122">
        <v>9121</v>
      </c>
      <c r="B9122">
        <v>831926410</v>
      </c>
      <c r="C9122">
        <v>831926410</v>
      </c>
    </row>
    <row r="9123" spans="1:3">
      <c r="A9123">
        <v>9122</v>
      </c>
      <c r="B9123">
        <v>832108840</v>
      </c>
      <c r="C9123">
        <v>832108840</v>
      </c>
    </row>
    <row r="9124" spans="1:3">
      <c r="A9124">
        <v>9123</v>
      </c>
      <c r="B9124">
        <v>832291290</v>
      </c>
      <c r="C9124">
        <v>832291290</v>
      </c>
    </row>
    <row r="9125" spans="1:3">
      <c r="A9125">
        <v>9124</v>
      </c>
      <c r="B9125">
        <v>832473760</v>
      </c>
      <c r="C9125">
        <v>832473760</v>
      </c>
    </row>
    <row r="9126" spans="1:3">
      <c r="A9126">
        <v>9125</v>
      </c>
      <c r="B9126">
        <v>832656250</v>
      </c>
      <c r="C9126">
        <v>832656250</v>
      </c>
    </row>
    <row r="9127" spans="1:3">
      <c r="A9127">
        <v>9126</v>
      </c>
      <c r="B9127">
        <v>832838760</v>
      </c>
      <c r="C9127">
        <v>832838760</v>
      </c>
    </row>
    <row r="9128" spans="1:3">
      <c r="A9128">
        <v>9127</v>
      </c>
      <c r="B9128">
        <v>833021290</v>
      </c>
      <c r="C9128">
        <v>833021290</v>
      </c>
    </row>
    <row r="9129" spans="1:3">
      <c r="A9129">
        <v>9128</v>
      </c>
      <c r="B9129">
        <v>833203840</v>
      </c>
      <c r="C9129">
        <v>833203840</v>
      </c>
    </row>
    <row r="9130" spans="1:3">
      <c r="A9130">
        <v>9129</v>
      </c>
      <c r="B9130">
        <v>833386410</v>
      </c>
      <c r="C9130">
        <v>833386410</v>
      </c>
    </row>
    <row r="9131" spans="1:3">
      <c r="A9131">
        <v>9130</v>
      </c>
      <c r="B9131">
        <v>833569000</v>
      </c>
      <c r="C9131">
        <v>833569000</v>
      </c>
    </row>
    <row r="9132" spans="1:3">
      <c r="A9132">
        <v>9131</v>
      </c>
      <c r="B9132">
        <v>833751610</v>
      </c>
      <c r="C9132">
        <v>833751610</v>
      </c>
    </row>
    <row r="9133" spans="1:3">
      <c r="A9133">
        <v>9132</v>
      </c>
      <c r="B9133">
        <v>833934240</v>
      </c>
      <c r="C9133">
        <v>833934240</v>
      </c>
    </row>
    <row r="9134" spans="1:3">
      <c r="A9134">
        <v>9133</v>
      </c>
      <c r="B9134">
        <v>834116890</v>
      </c>
      <c r="C9134">
        <v>834116890</v>
      </c>
    </row>
    <row r="9135" spans="1:3">
      <c r="A9135">
        <v>9134</v>
      </c>
      <c r="B9135">
        <v>834299560</v>
      </c>
      <c r="C9135">
        <v>834299560</v>
      </c>
    </row>
    <row r="9136" spans="1:3">
      <c r="A9136">
        <v>9135</v>
      </c>
      <c r="B9136">
        <v>834482250</v>
      </c>
      <c r="C9136">
        <v>834482250</v>
      </c>
    </row>
    <row r="9137" spans="1:3">
      <c r="A9137">
        <v>9136</v>
      </c>
      <c r="B9137">
        <v>834664960</v>
      </c>
      <c r="C9137">
        <v>834664960</v>
      </c>
    </row>
    <row r="9138" spans="1:3">
      <c r="A9138">
        <v>9137</v>
      </c>
      <c r="B9138">
        <v>834847690</v>
      </c>
      <c r="C9138">
        <v>834847690</v>
      </c>
    </row>
    <row r="9139" spans="1:3">
      <c r="A9139">
        <v>9138</v>
      </c>
      <c r="B9139">
        <v>835030440</v>
      </c>
      <c r="C9139">
        <v>835030440</v>
      </c>
    </row>
    <row r="9140" spans="1:3">
      <c r="A9140">
        <v>9139</v>
      </c>
      <c r="B9140">
        <v>835213210</v>
      </c>
      <c r="C9140">
        <v>835213210</v>
      </c>
    </row>
    <row r="9141" spans="1:3">
      <c r="A9141">
        <v>9140</v>
      </c>
      <c r="B9141">
        <v>835396000</v>
      </c>
      <c r="C9141">
        <v>835396000</v>
      </c>
    </row>
    <row r="9142" spans="1:3">
      <c r="A9142">
        <v>9141</v>
      </c>
      <c r="B9142">
        <v>835578810</v>
      </c>
      <c r="C9142">
        <v>835578810</v>
      </c>
    </row>
    <row r="9143" spans="1:3">
      <c r="A9143">
        <v>9142</v>
      </c>
      <c r="B9143">
        <v>835761640</v>
      </c>
      <c r="C9143">
        <v>835761640</v>
      </c>
    </row>
    <row r="9144" spans="1:3">
      <c r="A9144">
        <v>9143</v>
      </c>
      <c r="B9144">
        <v>835944490</v>
      </c>
      <c r="C9144">
        <v>835944490</v>
      </c>
    </row>
    <row r="9145" spans="1:3">
      <c r="A9145">
        <v>9144</v>
      </c>
      <c r="B9145">
        <v>836127360</v>
      </c>
      <c r="C9145">
        <v>836127360</v>
      </c>
    </row>
    <row r="9146" spans="1:3">
      <c r="A9146">
        <v>9145</v>
      </c>
      <c r="B9146">
        <v>836310250</v>
      </c>
      <c r="C9146">
        <v>836310250</v>
      </c>
    </row>
    <row r="9147" spans="1:3">
      <c r="A9147">
        <v>9146</v>
      </c>
      <c r="B9147">
        <v>836493160</v>
      </c>
      <c r="C9147">
        <v>836493160</v>
      </c>
    </row>
    <row r="9148" spans="1:3">
      <c r="A9148">
        <v>9147</v>
      </c>
      <c r="B9148">
        <v>836676090</v>
      </c>
      <c r="C9148">
        <v>836676090</v>
      </c>
    </row>
    <row r="9149" spans="1:3">
      <c r="A9149">
        <v>9148</v>
      </c>
      <c r="B9149">
        <v>836859040</v>
      </c>
      <c r="C9149">
        <v>836859040</v>
      </c>
    </row>
    <row r="9150" spans="1:3">
      <c r="A9150">
        <v>9149</v>
      </c>
      <c r="B9150">
        <v>837042010</v>
      </c>
      <c r="C9150">
        <v>837042010</v>
      </c>
    </row>
    <row r="9151" spans="1:3">
      <c r="A9151">
        <v>9150</v>
      </c>
      <c r="B9151">
        <v>837225000</v>
      </c>
      <c r="C9151">
        <v>837225000</v>
      </c>
    </row>
    <row r="9152" spans="1:3">
      <c r="A9152">
        <v>9151</v>
      </c>
      <c r="B9152">
        <v>837408010</v>
      </c>
      <c r="C9152">
        <v>837408010</v>
      </c>
    </row>
    <row r="9153" spans="1:3">
      <c r="A9153">
        <v>9152</v>
      </c>
      <c r="B9153">
        <v>837591040</v>
      </c>
      <c r="C9153">
        <v>837591040</v>
      </c>
    </row>
    <row r="9154" spans="1:3">
      <c r="A9154">
        <v>9153</v>
      </c>
      <c r="B9154">
        <v>837774090</v>
      </c>
      <c r="C9154">
        <v>837774090</v>
      </c>
    </row>
    <row r="9155" spans="1:3">
      <c r="A9155">
        <v>9154</v>
      </c>
      <c r="B9155">
        <v>837957160</v>
      </c>
      <c r="C9155">
        <v>837957160</v>
      </c>
    </row>
    <row r="9156" spans="1:3">
      <c r="A9156">
        <v>9155</v>
      </c>
      <c r="B9156">
        <v>838140250</v>
      </c>
      <c r="C9156">
        <v>838140250</v>
      </c>
    </row>
    <row r="9157" spans="1:3">
      <c r="A9157">
        <v>9156</v>
      </c>
      <c r="B9157">
        <v>838323360</v>
      </c>
      <c r="C9157">
        <v>838323360</v>
      </c>
    </row>
    <row r="9158" spans="1:3">
      <c r="A9158">
        <v>9157</v>
      </c>
      <c r="B9158">
        <v>838506490</v>
      </c>
      <c r="C9158">
        <v>838506490</v>
      </c>
    </row>
    <row r="9159" spans="1:3">
      <c r="A9159">
        <v>9158</v>
      </c>
      <c r="B9159">
        <v>838689640</v>
      </c>
      <c r="C9159">
        <v>838689640</v>
      </c>
    </row>
    <row r="9160" spans="1:3">
      <c r="A9160">
        <v>9159</v>
      </c>
      <c r="B9160">
        <v>838872810</v>
      </c>
      <c r="C9160">
        <v>838872810</v>
      </c>
    </row>
    <row r="9161" spans="1:3">
      <c r="A9161">
        <v>9160</v>
      </c>
      <c r="B9161">
        <v>839056000</v>
      </c>
      <c r="C9161">
        <v>839056000</v>
      </c>
    </row>
    <row r="9162" spans="1:3">
      <c r="A9162">
        <v>9161</v>
      </c>
      <c r="B9162">
        <v>839239210</v>
      </c>
      <c r="C9162">
        <v>839239210</v>
      </c>
    </row>
    <row r="9163" spans="1:3">
      <c r="A9163">
        <v>9162</v>
      </c>
      <c r="B9163">
        <v>839422440</v>
      </c>
      <c r="C9163">
        <v>839422440</v>
      </c>
    </row>
    <row r="9164" spans="1:3">
      <c r="A9164">
        <v>9163</v>
      </c>
      <c r="B9164">
        <v>839605690</v>
      </c>
      <c r="C9164">
        <v>839605690</v>
      </c>
    </row>
    <row r="9165" spans="1:3">
      <c r="A9165">
        <v>9164</v>
      </c>
      <c r="B9165">
        <v>839788960</v>
      </c>
      <c r="C9165">
        <v>839788960</v>
      </c>
    </row>
    <row r="9166" spans="1:3">
      <c r="A9166">
        <v>9165</v>
      </c>
      <c r="B9166">
        <v>839972250</v>
      </c>
      <c r="C9166">
        <v>839972250</v>
      </c>
    </row>
    <row r="9167" spans="1:3">
      <c r="A9167">
        <v>9166</v>
      </c>
      <c r="B9167">
        <v>840155560</v>
      </c>
      <c r="C9167">
        <v>840155560</v>
      </c>
    </row>
    <row r="9168" spans="1:3">
      <c r="A9168">
        <v>9167</v>
      </c>
      <c r="B9168">
        <v>840338890</v>
      </c>
      <c r="C9168">
        <v>840338890</v>
      </c>
    </row>
    <row r="9169" spans="1:3">
      <c r="A9169">
        <v>9168</v>
      </c>
      <c r="B9169">
        <v>840522240</v>
      </c>
      <c r="C9169">
        <v>840522240</v>
      </c>
    </row>
    <row r="9170" spans="1:3">
      <c r="A9170">
        <v>9169</v>
      </c>
      <c r="B9170">
        <v>840705610</v>
      </c>
      <c r="C9170">
        <v>840705610</v>
      </c>
    </row>
    <row r="9171" spans="1:3">
      <c r="A9171">
        <v>9170</v>
      </c>
      <c r="B9171">
        <v>840889000</v>
      </c>
      <c r="C9171">
        <v>840889000</v>
      </c>
    </row>
    <row r="9172" spans="1:3">
      <c r="A9172">
        <v>9171</v>
      </c>
      <c r="B9172">
        <v>841072410</v>
      </c>
      <c r="C9172">
        <v>841072410</v>
      </c>
    </row>
    <row r="9173" spans="1:3">
      <c r="A9173">
        <v>9172</v>
      </c>
      <c r="B9173">
        <v>841255840</v>
      </c>
      <c r="C9173">
        <v>841255840</v>
      </c>
    </row>
    <row r="9174" spans="1:3">
      <c r="A9174">
        <v>9173</v>
      </c>
      <c r="B9174">
        <v>841439290</v>
      </c>
      <c r="C9174">
        <v>841439290</v>
      </c>
    </row>
    <row r="9175" spans="1:3">
      <c r="A9175">
        <v>9174</v>
      </c>
      <c r="B9175">
        <v>841622760</v>
      </c>
      <c r="C9175">
        <v>841622760</v>
      </c>
    </row>
    <row r="9176" spans="1:3">
      <c r="A9176">
        <v>9175</v>
      </c>
      <c r="B9176">
        <v>841806250</v>
      </c>
      <c r="C9176">
        <v>841806250</v>
      </c>
    </row>
    <row r="9177" spans="1:3">
      <c r="A9177">
        <v>9176</v>
      </c>
      <c r="B9177">
        <v>841989760</v>
      </c>
      <c r="C9177">
        <v>841989760</v>
      </c>
    </row>
    <row r="9178" spans="1:3">
      <c r="A9178">
        <v>9177</v>
      </c>
      <c r="B9178">
        <v>842173290</v>
      </c>
      <c r="C9178">
        <v>842173290</v>
      </c>
    </row>
    <row r="9179" spans="1:3">
      <c r="A9179">
        <v>9178</v>
      </c>
      <c r="B9179">
        <v>842356840</v>
      </c>
      <c r="C9179">
        <v>842356840</v>
      </c>
    </row>
    <row r="9180" spans="1:3">
      <c r="A9180">
        <v>9179</v>
      </c>
      <c r="B9180">
        <v>842540410</v>
      </c>
      <c r="C9180">
        <v>842540410</v>
      </c>
    </row>
    <row r="9181" spans="1:3">
      <c r="A9181">
        <v>9180</v>
      </c>
      <c r="B9181">
        <v>842724000</v>
      </c>
      <c r="C9181">
        <v>842724000</v>
      </c>
    </row>
    <row r="9182" spans="1:3">
      <c r="A9182">
        <v>9181</v>
      </c>
      <c r="B9182">
        <v>842907610</v>
      </c>
      <c r="C9182">
        <v>842907610</v>
      </c>
    </row>
    <row r="9183" spans="1:3">
      <c r="A9183">
        <v>9182</v>
      </c>
      <c r="B9183">
        <v>843091240</v>
      </c>
      <c r="C9183">
        <v>843091240</v>
      </c>
    </row>
    <row r="9184" spans="1:3">
      <c r="A9184">
        <v>9183</v>
      </c>
      <c r="B9184">
        <v>843274890</v>
      </c>
      <c r="C9184">
        <v>843274890</v>
      </c>
    </row>
    <row r="9185" spans="1:3">
      <c r="A9185">
        <v>9184</v>
      </c>
      <c r="B9185">
        <v>843458560</v>
      </c>
      <c r="C9185">
        <v>843458560</v>
      </c>
    </row>
    <row r="9186" spans="1:3">
      <c r="A9186">
        <v>9185</v>
      </c>
      <c r="B9186">
        <v>843642250</v>
      </c>
      <c r="C9186">
        <v>843642250</v>
      </c>
    </row>
    <row r="9187" spans="1:3">
      <c r="A9187">
        <v>9186</v>
      </c>
      <c r="B9187">
        <v>843825960</v>
      </c>
      <c r="C9187">
        <v>843825960</v>
      </c>
    </row>
    <row r="9188" spans="1:3">
      <c r="A9188">
        <v>9187</v>
      </c>
      <c r="B9188">
        <v>844009690</v>
      </c>
      <c r="C9188">
        <v>844009690</v>
      </c>
    </row>
    <row r="9189" spans="1:3">
      <c r="A9189">
        <v>9188</v>
      </c>
      <c r="B9189">
        <v>844193440</v>
      </c>
      <c r="C9189">
        <v>844193440</v>
      </c>
    </row>
    <row r="9190" spans="1:3">
      <c r="A9190">
        <v>9189</v>
      </c>
      <c r="B9190">
        <v>844377210</v>
      </c>
      <c r="C9190">
        <v>844377210</v>
      </c>
    </row>
    <row r="9191" spans="1:3">
      <c r="A9191">
        <v>9190</v>
      </c>
      <c r="B9191">
        <v>844561000</v>
      </c>
      <c r="C9191">
        <v>844561000</v>
      </c>
    </row>
    <row r="9192" spans="1:3">
      <c r="A9192">
        <v>9191</v>
      </c>
      <c r="B9192">
        <v>844744810</v>
      </c>
      <c r="C9192">
        <v>844744810</v>
      </c>
    </row>
    <row r="9193" spans="1:3">
      <c r="A9193">
        <v>9192</v>
      </c>
      <c r="B9193">
        <v>844928640</v>
      </c>
      <c r="C9193">
        <v>844928640</v>
      </c>
    </row>
    <row r="9194" spans="1:3">
      <c r="A9194">
        <v>9193</v>
      </c>
      <c r="B9194">
        <v>845112490</v>
      </c>
      <c r="C9194">
        <v>845112490</v>
      </c>
    </row>
    <row r="9195" spans="1:3">
      <c r="A9195">
        <v>9194</v>
      </c>
      <c r="B9195">
        <v>845296360</v>
      </c>
      <c r="C9195">
        <v>845296360</v>
      </c>
    </row>
    <row r="9196" spans="1:3">
      <c r="A9196">
        <v>9195</v>
      </c>
      <c r="B9196">
        <v>845480250</v>
      </c>
      <c r="C9196">
        <v>845480250</v>
      </c>
    </row>
    <row r="9197" spans="1:3">
      <c r="A9197">
        <v>9196</v>
      </c>
      <c r="B9197">
        <v>845664160</v>
      </c>
      <c r="C9197">
        <v>845664160</v>
      </c>
    </row>
    <row r="9198" spans="1:3">
      <c r="A9198">
        <v>9197</v>
      </c>
      <c r="B9198">
        <v>845848090</v>
      </c>
      <c r="C9198">
        <v>845848090</v>
      </c>
    </row>
    <row r="9199" spans="1:3">
      <c r="A9199">
        <v>9198</v>
      </c>
      <c r="B9199">
        <v>846032040</v>
      </c>
      <c r="C9199">
        <v>846032040</v>
      </c>
    </row>
    <row r="9200" spans="1:3">
      <c r="A9200">
        <v>9199</v>
      </c>
      <c r="B9200">
        <v>846216010</v>
      </c>
      <c r="C9200">
        <v>846216010</v>
      </c>
    </row>
    <row r="9201" spans="1:3">
      <c r="A9201">
        <v>9200</v>
      </c>
      <c r="B9201">
        <v>846400000</v>
      </c>
      <c r="C9201">
        <v>846400000</v>
      </c>
    </row>
    <row r="9202" spans="1:3">
      <c r="A9202">
        <v>9201</v>
      </c>
      <c r="B9202">
        <v>846584010</v>
      </c>
      <c r="C9202">
        <v>846584010</v>
      </c>
    </row>
    <row r="9203" spans="1:3">
      <c r="A9203">
        <v>9202</v>
      </c>
      <c r="B9203">
        <v>846768040</v>
      </c>
      <c r="C9203">
        <v>846768040</v>
      </c>
    </row>
    <row r="9204" spans="1:3">
      <c r="A9204">
        <v>9203</v>
      </c>
      <c r="B9204">
        <v>846952090</v>
      </c>
      <c r="C9204">
        <v>846952090</v>
      </c>
    </row>
    <row r="9205" spans="1:3">
      <c r="A9205">
        <v>9204</v>
      </c>
      <c r="B9205">
        <v>847136160</v>
      </c>
      <c r="C9205">
        <v>847136160</v>
      </c>
    </row>
    <row r="9206" spans="1:3">
      <c r="A9206">
        <v>9205</v>
      </c>
      <c r="B9206">
        <v>847320250</v>
      </c>
      <c r="C9206">
        <v>847320250</v>
      </c>
    </row>
    <row r="9207" spans="1:3">
      <c r="A9207">
        <v>9206</v>
      </c>
      <c r="B9207">
        <v>847504360</v>
      </c>
      <c r="C9207">
        <v>847504360</v>
      </c>
    </row>
    <row r="9208" spans="1:3">
      <c r="A9208">
        <v>9207</v>
      </c>
      <c r="B9208">
        <v>847688490</v>
      </c>
      <c r="C9208">
        <v>847688490</v>
      </c>
    </row>
    <row r="9209" spans="1:3">
      <c r="A9209">
        <v>9208</v>
      </c>
      <c r="B9209">
        <v>847872640</v>
      </c>
      <c r="C9209">
        <v>847872640</v>
      </c>
    </row>
    <row r="9210" spans="1:3">
      <c r="A9210">
        <v>9209</v>
      </c>
      <c r="B9210">
        <v>848056810</v>
      </c>
      <c r="C9210">
        <v>848056810</v>
      </c>
    </row>
    <row r="9211" spans="1:3">
      <c r="A9211">
        <v>9210</v>
      </c>
      <c r="B9211">
        <v>848241000</v>
      </c>
      <c r="C9211">
        <v>848241000</v>
      </c>
    </row>
    <row r="9212" spans="1:3">
      <c r="A9212">
        <v>9211</v>
      </c>
      <c r="B9212">
        <v>848425210</v>
      </c>
      <c r="C9212">
        <v>848425210</v>
      </c>
    </row>
    <row r="9213" spans="1:3">
      <c r="A9213">
        <v>9212</v>
      </c>
      <c r="B9213">
        <v>848609440</v>
      </c>
      <c r="C9213">
        <v>848609440</v>
      </c>
    </row>
    <row r="9214" spans="1:3">
      <c r="A9214">
        <v>9213</v>
      </c>
      <c r="B9214">
        <v>848793690</v>
      </c>
      <c r="C9214">
        <v>848793690</v>
      </c>
    </row>
    <row r="9215" spans="1:3">
      <c r="A9215">
        <v>9214</v>
      </c>
      <c r="B9215">
        <v>848977960</v>
      </c>
      <c r="C9215">
        <v>848977960</v>
      </c>
    </row>
    <row r="9216" spans="1:3">
      <c r="A9216">
        <v>9215</v>
      </c>
      <c r="B9216">
        <v>849162250</v>
      </c>
      <c r="C9216">
        <v>849162250</v>
      </c>
    </row>
    <row r="9217" spans="1:3">
      <c r="A9217">
        <v>9216</v>
      </c>
      <c r="B9217">
        <v>849346560</v>
      </c>
      <c r="C9217">
        <v>849346560</v>
      </c>
    </row>
    <row r="9218" spans="1:3">
      <c r="A9218">
        <v>9217</v>
      </c>
      <c r="B9218">
        <v>849530890</v>
      </c>
      <c r="C9218">
        <v>849530890</v>
      </c>
    </row>
    <row r="9219" spans="1:3">
      <c r="A9219">
        <v>9218</v>
      </c>
      <c r="B9219">
        <v>849715240</v>
      </c>
      <c r="C9219">
        <v>849715240</v>
      </c>
    </row>
    <row r="9220" spans="1:3">
      <c r="A9220">
        <v>9219</v>
      </c>
      <c r="B9220">
        <v>849899610</v>
      </c>
      <c r="C9220">
        <v>849899610</v>
      </c>
    </row>
    <row r="9221" spans="1:3">
      <c r="A9221">
        <v>9220</v>
      </c>
      <c r="B9221">
        <v>850084000</v>
      </c>
      <c r="C9221">
        <v>850084000</v>
      </c>
    </row>
    <row r="9222" spans="1:3">
      <c r="A9222">
        <v>9221</v>
      </c>
      <c r="B9222">
        <v>850268410</v>
      </c>
      <c r="C9222">
        <v>850268410</v>
      </c>
    </row>
    <row r="9223" spans="1:3">
      <c r="A9223">
        <v>9222</v>
      </c>
      <c r="B9223">
        <v>850452840</v>
      </c>
      <c r="C9223">
        <v>850452840</v>
      </c>
    </row>
    <row r="9224" spans="1:3">
      <c r="A9224">
        <v>9223</v>
      </c>
      <c r="B9224">
        <v>850637290</v>
      </c>
      <c r="C9224">
        <v>850637290</v>
      </c>
    </row>
    <row r="9225" spans="1:3">
      <c r="A9225">
        <v>9224</v>
      </c>
      <c r="B9225">
        <v>850821760</v>
      </c>
      <c r="C9225">
        <v>850821760</v>
      </c>
    </row>
    <row r="9226" spans="1:3">
      <c r="A9226">
        <v>9225</v>
      </c>
      <c r="B9226">
        <v>851006250</v>
      </c>
      <c r="C9226">
        <v>851006250</v>
      </c>
    </row>
    <row r="9227" spans="1:3">
      <c r="A9227">
        <v>9226</v>
      </c>
      <c r="B9227">
        <v>851190760</v>
      </c>
      <c r="C9227">
        <v>851190760</v>
      </c>
    </row>
    <row r="9228" spans="1:3">
      <c r="A9228">
        <v>9227</v>
      </c>
      <c r="B9228">
        <v>851375290</v>
      </c>
      <c r="C9228">
        <v>851375290</v>
      </c>
    </row>
    <row r="9229" spans="1:3">
      <c r="A9229">
        <v>9228</v>
      </c>
      <c r="B9229">
        <v>851559840</v>
      </c>
      <c r="C9229">
        <v>851559840</v>
      </c>
    </row>
    <row r="9230" spans="1:3">
      <c r="A9230">
        <v>9229</v>
      </c>
      <c r="B9230">
        <v>851744410</v>
      </c>
      <c r="C9230">
        <v>851744410</v>
      </c>
    </row>
    <row r="9231" spans="1:3">
      <c r="A9231">
        <v>9230</v>
      </c>
      <c r="B9231">
        <v>851929000</v>
      </c>
      <c r="C9231">
        <v>851929000</v>
      </c>
    </row>
    <row r="9232" spans="1:3">
      <c r="A9232">
        <v>9231</v>
      </c>
      <c r="B9232">
        <v>852113610</v>
      </c>
      <c r="C9232">
        <v>852113610</v>
      </c>
    </row>
    <row r="9233" spans="1:3">
      <c r="A9233">
        <v>9232</v>
      </c>
      <c r="B9233">
        <v>852298240</v>
      </c>
      <c r="C9233">
        <v>852298240</v>
      </c>
    </row>
    <row r="9234" spans="1:3">
      <c r="A9234">
        <v>9233</v>
      </c>
      <c r="B9234">
        <v>852482890</v>
      </c>
      <c r="C9234">
        <v>852482890</v>
      </c>
    </row>
    <row r="9235" spans="1:3">
      <c r="A9235">
        <v>9234</v>
      </c>
      <c r="B9235">
        <v>852667560</v>
      </c>
      <c r="C9235">
        <v>852667560</v>
      </c>
    </row>
    <row r="9236" spans="1:3">
      <c r="A9236">
        <v>9235</v>
      </c>
      <c r="B9236">
        <v>852852250</v>
      </c>
      <c r="C9236">
        <v>852852250</v>
      </c>
    </row>
    <row r="9237" spans="1:3">
      <c r="A9237">
        <v>9236</v>
      </c>
      <c r="B9237">
        <v>853036960</v>
      </c>
      <c r="C9237">
        <v>853036960</v>
      </c>
    </row>
    <row r="9238" spans="1:3">
      <c r="A9238">
        <v>9237</v>
      </c>
      <c r="B9238">
        <v>853221690</v>
      </c>
      <c r="C9238">
        <v>853221690</v>
      </c>
    </row>
    <row r="9239" spans="1:3">
      <c r="A9239">
        <v>9238</v>
      </c>
      <c r="B9239">
        <v>853406440</v>
      </c>
      <c r="C9239">
        <v>853406440</v>
      </c>
    </row>
    <row r="9240" spans="1:3">
      <c r="A9240">
        <v>9239</v>
      </c>
      <c r="B9240">
        <v>853591210</v>
      </c>
      <c r="C9240">
        <v>853591210</v>
      </c>
    </row>
    <row r="9241" spans="1:3">
      <c r="A9241">
        <v>9240</v>
      </c>
      <c r="B9241">
        <v>853776000</v>
      </c>
      <c r="C9241">
        <v>853776000</v>
      </c>
    </row>
    <row r="9242" spans="1:3">
      <c r="A9242">
        <v>9241</v>
      </c>
      <c r="B9242">
        <v>853960810</v>
      </c>
      <c r="C9242">
        <v>853960810</v>
      </c>
    </row>
    <row r="9243" spans="1:3">
      <c r="A9243">
        <v>9242</v>
      </c>
      <c r="B9243">
        <v>854145640</v>
      </c>
      <c r="C9243">
        <v>854145640</v>
      </c>
    </row>
    <row r="9244" spans="1:3">
      <c r="A9244">
        <v>9243</v>
      </c>
      <c r="B9244">
        <v>854330490</v>
      </c>
      <c r="C9244">
        <v>854330490</v>
      </c>
    </row>
    <row r="9245" spans="1:3">
      <c r="A9245">
        <v>9244</v>
      </c>
      <c r="B9245">
        <v>854515360</v>
      </c>
      <c r="C9245">
        <v>854515360</v>
      </c>
    </row>
    <row r="9246" spans="1:3">
      <c r="A9246">
        <v>9245</v>
      </c>
      <c r="B9246">
        <v>854700250</v>
      </c>
      <c r="C9246">
        <v>854700250</v>
      </c>
    </row>
    <row r="9247" spans="1:3">
      <c r="A9247">
        <v>9246</v>
      </c>
      <c r="B9247">
        <v>854885160</v>
      </c>
      <c r="C9247">
        <v>854885160</v>
      </c>
    </row>
    <row r="9248" spans="1:3">
      <c r="A9248">
        <v>9247</v>
      </c>
      <c r="B9248">
        <v>855070090</v>
      </c>
      <c r="C9248">
        <v>855070090</v>
      </c>
    </row>
    <row r="9249" spans="1:3">
      <c r="A9249">
        <v>9248</v>
      </c>
      <c r="B9249">
        <v>855255040</v>
      </c>
      <c r="C9249">
        <v>855255040</v>
      </c>
    </row>
    <row r="9250" spans="1:3">
      <c r="A9250">
        <v>9249</v>
      </c>
      <c r="B9250">
        <v>855440010</v>
      </c>
      <c r="C9250">
        <v>855440010</v>
      </c>
    </row>
    <row r="9251" spans="1:3">
      <c r="A9251">
        <v>9250</v>
      </c>
      <c r="B9251">
        <v>855625000</v>
      </c>
      <c r="C9251">
        <v>855625000</v>
      </c>
    </row>
    <row r="9252" spans="1:3">
      <c r="A9252">
        <v>9251</v>
      </c>
      <c r="B9252">
        <v>855810010</v>
      </c>
      <c r="C9252">
        <v>855810010</v>
      </c>
    </row>
    <row r="9253" spans="1:3">
      <c r="A9253">
        <v>9252</v>
      </c>
      <c r="B9253">
        <v>855995040</v>
      </c>
      <c r="C9253">
        <v>855995040</v>
      </c>
    </row>
    <row r="9254" spans="1:3">
      <c r="A9254">
        <v>9253</v>
      </c>
      <c r="B9254">
        <v>856180090</v>
      </c>
      <c r="C9254">
        <v>856180090</v>
      </c>
    </row>
    <row r="9255" spans="1:3">
      <c r="A9255">
        <v>9254</v>
      </c>
      <c r="B9255">
        <v>856365160</v>
      </c>
      <c r="C9255">
        <v>856365160</v>
      </c>
    </row>
    <row r="9256" spans="1:3">
      <c r="A9256">
        <v>9255</v>
      </c>
      <c r="B9256">
        <v>856550250</v>
      </c>
      <c r="C9256">
        <v>856550250</v>
      </c>
    </row>
    <row r="9257" spans="1:3">
      <c r="A9257">
        <v>9256</v>
      </c>
      <c r="B9257">
        <v>856735360</v>
      </c>
      <c r="C9257">
        <v>856735360</v>
      </c>
    </row>
    <row r="9258" spans="1:3">
      <c r="A9258">
        <v>9257</v>
      </c>
      <c r="B9258">
        <v>856920490</v>
      </c>
      <c r="C9258">
        <v>856920490</v>
      </c>
    </row>
    <row r="9259" spans="1:3">
      <c r="A9259">
        <v>9258</v>
      </c>
      <c r="B9259">
        <v>857105640</v>
      </c>
      <c r="C9259">
        <v>857105640</v>
      </c>
    </row>
    <row r="9260" spans="1:3">
      <c r="A9260">
        <v>9259</v>
      </c>
      <c r="B9260">
        <v>857290810</v>
      </c>
      <c r="C9260">
        <v>857290810</v>
      </c>
    </row>
    <row r="9261" spans="1:3">
      <c r="A9261">
        <v>9260</v>
      </c>
      <c r="B9261">
        <v>857476000</v>
      </c>
      <c r="C9261">
        <v>857476000</v>
      </c>
    </row>
    <row r="9262" spans="1:3">
      <c r="A9262">
        <v>9261</v>
      </c>
      <c r="B9262">
        <v>857661210</v>
      </c>
      <c r="C9262">
        <v>857661210</v>
      </c>
    </row>
    <row r="9263" spans="1:3">
      <c r="A9263">
        <v>9262</v>
      </c>
      <c r="B9263">
        <v>857846440</v>
      </c>
      <c r="C9263">
        <v>857846440</v>
      </c>
    </row>
    <row r="9264" spans="1:3">
      <c r="A9264">
        <v>9263</v>
      </c>
      <c r="B9264">
        <v>858031690</v>
      </c>
      <c r="C9264">
        <v>858031690</v>
      </c>
    </row>
    <row r="9265" spans="1:3">
      <c r="A9265">
        <v>9264</v>
      </c>
      <c r="B9265">
        <v>858216960</v>
      </c>
      <c r="C9265">
        <v>858216960</v>
      </c>
    </row>
    <row r="9266" spans="1:3">
      <c r="A9266">
        <v>9265</v>
      </c>
      <c r="B9266">
        <v>858402250</v>
      </c>
      <c r="C9266">
        <v>858402250</v>
      </c>
    </row>
    <row r="9267" spans="1:3">
      <c r="A9267">
        <v>9266</v>
      </c>
      <c r="B9267">
        <v>858587560</v>
      </c>
      <c r="C9267">
        <v>858587560</v>
      </c>
    </row>
    <row r="9268" spans="1:3">
      <c r="A9268">
        <v>9267</v>
      </c>
      <c r="B9268">
        <v>858772890</v>
      </c>
      <c r="C9268">
        <v>858772890</v>
      </c>
    </row>
    <row r="9269" spans="1:3">
      <c r="A9269">
        <v>9268</v>
      </c>
      <c r="B9269">
        <v>858958240</v>
      </c>
      <c r="C9269">
        <v>858958240</v>
      </c>
    </row>
    <row r="9270" spans="1:3">
      <c r="A9270">
        <v>9269</v>
      </c>
      <c r="B9270">
        <v>859143610</v>
      </c>
      <c r="C9270">
        <v>859143610</v>
      </c>
    </row>
    <row r="9271" spans="1:3">
      <c r="A9271">
        <v>9270</v>
      </c>
      <c r="B9271">
        <v>859329000</v>
      </c>
      <c r="C9271">
        <v>859329000</v>
      </c>
    </row>
    <row r="9272" spans="1:3">
      <c r="A9272">
        <v>9271</v>
      </c>
      <c r="B9272">
        <v>859514410</v>
      </c>
      <c r="C9272">
        <v>859514410</v>
      </c>
    </row>
    <row r="9273" spans="1:3">
      <c r="A9273">
        <v>9272</v>
      </c>
      <c r="B9273">
        <v>859699840</v>
      </c>
      <c r="C9273">
        <v>859699840</v>
      </c>
    </row>
    <row r="9274" spans="1:3">
      <c r="A9274">
        <v>9273</v>
      </c>
      <c r="B9274">
        <v>859885290</v>
      </c>
      <c r="C9274">
        <v>859885290</v>
      </c>
    </row>
    <row r="9275" spans="1:3">
      <c r="A9275">
        <v>9274</v>
      </c>
      <c r="B9275">
        <v>860070760</v>
      </c>
      <c r="C9275">
        <v>860070760</v>
      </c>
    </row>
    <row r="9276" spans="1:3">
      <c r="A9276">
        <v>9275</v>
      </c>
      <c r="B9276">
        <v>860256250</v>
      </c>
      <c r="C9276">
        <v>860256250</v>
      </c>
    </row>
    <row r="9277" spans="1:3">
      <c r="A9277">
        <v>9276</v>
      </c>
      <c r="B9277">
        <v>860441760</v>
      </c>
      <c r="C9277">
        <v>860441760</v>
      </c>
    </row>
    <row r="9278" spans="1:3">
      <c r="A9278">
        <v>9277</v>
      </c>
      <c r="B9278">
        <v>860627290</v>
      </c>
      <c r="C9278">
        <v>860627290</v>
      </c>
    </row>
    <row r="9279" spans="1:3">
      <c r="A9279">
        <v>9278</v>
      </c>
      <c r="B9279">
        <v>860812840</v>
      </c>
      <c r="C9279">
        <v>860812840</v>
      </c>
    </row>
    <row r="9280" spans="1:3">
      <c r="A9280">
        <v>9279</v>
      </c>
      <c r="B9280">
        <v>860998410</v>
      </c>
      <c r="C9280">
        <v>860998410</v>
      </c>
    </row>
    <row r="9281" spans="1:3">
      <c r="A9281">
        <v>9280</v>
      </c>
      <c r="B9281">
        <v>861184000</v>
      </c>
      <c r="C9281">
        <v>861184000</v>
      </c>
    </row>
    <row r="9282" spans="1:3">
      <c r="A9282">
        <v>9281</v>
      </c>
      <c r="B9282">
        <v>861369610</v>
      </c>
      <c r="C9282">
        <v>861369610</v>
      </c>
    </row>
    <row r="9283" spans="1:3">
      <c r="A9283">
        <v>9282</v>
      </c>
      <c r="B9283">
        <v>861555240</v>
      </c>
      <c r="C9283">
        <v>861555240</v>
      </c>
    </row>
    <row r="9284" spans="1:3">
      <c r="A9284">
        <v>9283</v>
      </c>
      <c r="B9284">
        <v>861740890</v>
      </c>
      <c r="C9284">
        <v>861740890</v>
      </c>
    </row>
    <row r="9285" spans="1:3">
      <c r="A9285">
        <v>9284</v>
      </c>
      <c r="B9285">
        <v>861926560</v>
      </c>
      <c r="C9285">
        <v>861926560</v>
      </c>
    </row>
    <row r="9286" spans="1:3">
      <c r="A9286">
        <v>9285</v>
      </c>
      <c r="B9286">
        <v>862112250</v>
      </c>
      <c r="C9286">
        <v>862112250</v>
      </c>
    </row>
    <row r="9287" spans="1:3">
      <c r="A9287">
        <v>9286</v>
      </c>
      <c r="B9287">
        <v>862297960</v>
      </c>
      <c r="C9287">
        <v>862297960</v>
      </c>
    </row>
    <row r="9288" spans="1:3">
      <c r="A9288">
        <v>9287</v>
      </c>
      <c r="B9288">
        <v>862483690</v>
      </c>
      <c r="C9288">
        <v>862483690</v>
      </c>
    </row>
    <row r="9289" spans="1:3">
      <c r="A9289">
        <v>9288</v>
      </c>
      <c r="B9289">
        <v>862669440</v>
      </c>
      <c r="C9289">
        <v>862669440</v>
      </c>
    </row>
    <row r="9290" spans="1:3">
      <c r="A9290">
        <v>9289</v>
      </c>
      <c r="B9290">
        <v>862855210</v>
      </c>
      <c r="C9290">
        <v>862855210</v>
      </c>
    </row>
    <row r="9291" spans="1:3">
      <c r="A9291">
        <v>9290</v>
      </c>
      <c r="B9291">
        <v>863041000</v>
      </c>
      <c r="C9291">
        <v>863041000</v>
      </c>
    </row>
    <row r="9292" spans="1:3">
      <c r="A9292">
        <v>9291</v>
      </c>
      <c r="B9292">
        <v>863226810</v>
      </c>
      <c r="C9292">
        <v>863226810</v>
      </c>
    </row>
    <row r="9293" spans="1:3">
      <c r="A9293">
        <v>9292</v>
      </c>
      <c r="B9293">
        <v>863412640</v>
      </c>
      <c r="C9293">
        <v>863412640</v>
      </c>
    </row>
    <row r="9294" spans="1:3">
      <c r="A9294">
        <v>9293</v>
      </c>
      <c r="B9294">
        <v>863598490</v>
      </c>
      <c r="C9294">
        <v>863598490</v>
      </c>
    </row>
    <row r="9295" spans="1:3">
      <c r="A9295">
        <v>9294</v>
      </c>
      <c r="B9295">
        <v>863784360</v>
      </c>
      <c r="C9295">
        <v>863784360</v>
      </c>
    </row>
    <row r="9296" spans="1:3">
      <c r="A9296">
        <v>9295</v>
      </c>
      <c r="B9296">
        <v>863970250</v>
      </c>
      <c r="C9296">
        <v>863970250</v>
      </c>
    </row>
    <row r="9297" spans="1:3">
      <c r="A9297">
        <v>9296</v>
      </c>
      <c r="B9297">
        <v>864156160</v>
      </c>
      <c r="C9297">
        <v>864156160</v>
      </c>
    </row>
    <row r="9298" spans="1:3">
      <c r="A9298">
        <v>9297</v>
      </c>
      <c r="B9298">
        <v>864342090</v>
      </c>
      <c r="C9298">
        <v>864342090</v>
      </c>
    </row>
    <row r="9299" spans="1:3">
      <c r="A9299">
        <v>9298</v>
      </c>
      <c r="B9299">
        <v>864528040</v>
      </c>
      <c r="C9299">
        <v>864528040</v>
      </c>
    </row>
    <row r="9300" spans="1:3">
      <c r="A9300">
        <v>9299</v>
      </c>
      <c r="B9300">
        <v>864714010</v>
      </c>
      <c r="C9300">
        <v>864714010</v>
      </c>
    </row>
    <row r="9301" spans="1:3">
      <c r="A9301">
        <v>9300</v>
      </c>
      <c r="B9301">
        <v>864900000</v>
      </c>
      <c r="C9301">
        <v>864900000</v>
      </c>
    </row>
    <row r="9302" spans="1:3">
      <c r="A9302">
        <v>9301</v>
      </c>
      <c r="B9302">
        <v>865086010</v>
      </c>
      <c r="C9302">
        <v>865086010</v>
      </c>
    </row>
    <row r="9303" spans="1:3">
      <c r="A9303">
        <v>9302</v>
      </c>
      <c r="B9303">
        <v>865272040</v>
      </c>
      <c r="C9303">
        <v>865272040</v>
      </c>
    </row>
    <row r="9304" spans="1:3">
      <c r="A9304">
        <v>9303</v>
      </c>
      <c r="B9304">
        <v>865458090</v>
      </c>
      <c r="C9304">
        <v>865458090</v>
      </c>
    </row>
    <row r="9305" spans="1:3">
      <c r="A9305">
        <v>9304</v>
      </c>
      <c r="B9305">
        <v>865644160</v>
      </c>
      <c r="C9305">
        <v>865644160</v>
      </c>
    </row>
    <row r="9306" spans="1:3">
      <c r="A9306">
        <v>9305</v>
      </c>
      <c r="B9306">
        <v>865830250</v>
      </c>
      <c r="C9306">
        <v>865830250</v>
      </c>
    </row>
    <row r="9307" spans="1:3">
      <c r="A9307">
        <v>9306</v>
      </c>
      <c r="B9307">
        <v>866016360</v>
      </c>
      <c r="C9307">
        <v>866016360</v>
      </c>
    </row>
    <row r="9308" spans="1:3">
      <c r="A9308">
        <v>9307</v>
      </c>
      <c r="B9308">
        <v>866202490</v>
      </c>
      <c r="C9308">
        <v>866202490</v>
      </c>
    </row>
    <row r="9309" spans="1:3">
      <c r="A9309">
        <v>9308</v>
      </c>
      <c r="B9309">
        <v>866388640</v>
      </c>
      <c r="C9309">
        <v>866388640</v>
      </c>
    </row>
    <row r="9310" spans="1:3">
      <c r="A9310">
        <v>9309</v>
      </c>
      <c r="B9310">
        <v>866574810</v>
      </c>
      <c r="C9310">
        <v>866574810</v>
      </c>
    </row>
    <row r="9311" spans="1:3">
      <c r="A9311">
        <v>9310</v>
      </c>
      <c r="B9311">
        <v>866761000</v>
      </c>
      <c r="C9311">
        <v>866761000</v>
      </c>
    </row>
    <row r="9312" spans="1:3">
      <c r="A9312">
        <v>9311</v>
      </c>
      <c r="B9312">
        <v>866947210</v>
      </c>
      <c r="C9312">
        <v>866947210</v>
      </c>
    </row>
    <row r="9313" spans="1:3">
      <c r="A9313">
        <v>9312</v>
      </c>
      <c r="B9313">
        <v>867133440</v>
      </c>
      <c r="C9313">
        <v>867133440</v>
      </c>
    </row>
    <row r="9314" spans="1:3">
      <c r="A9314">
        <v>9313</v>
      </c>
      <c r="B9314">
        <v>867319690</v>
      </c>
      <c r="C9314">
        <v>867319690</v>
      </c>
    </row>
    <row r="9315" spans="1:3">
      <c r="A9315">
        <v>9314</v>
      </c>
      <c r="B9315">
        <v>867505960</v>
      </c>
      <c r="C9315">
        <v>867505960</v>
      </c>
    </row>
    <row r="9316" spans="1:3">
      <c r="A9316">
        <v>9315</v>
      </c>
      <c r="B9316">
        <v>867692250</v>
      </c>
      <c r="C9316">
        <v>867692250</v>
      </c>
    </row>
    <row r="9317" spans="1:3">
      <c r="A9317">
        <v>9316</v>
      </c>
      <c r="B9317">
        <v>867878560</v>
      </c>
      <c r="C9317">
        <v>867878560</v>
      </c>
    </row>
    <row r="9318" spans="1:3">
      <c r="A9318">
        <v>9317</v>
      </c>
      <c r="B9318">
        <v>868064890</v>
      </c>
      <c r="C9318">
        <v>868064890</v>
      </c>
    </row>
    <row r="9319" spans="1:3">
      <c r="A9319">
        <v>9318</v>
      </c>
      <c r="B9319">
        <v>868251240</v>
      </c>
      <c r="C9319">
        <v>868251240</v>
      </c>
    </row>
    <row r="9320" spans="1:3">
      <c r="A9320">
        <v>9319</v>
      </c>
      <c r="B9320">
        <v>868437610</v>
      </c>
      <c r="C9320">
        <v>868437610</v>
      </c>
    </row>
    <row r="9321" spans="1:3">
      <c r="A9321">
        <v>9320</v>
      </c>
      <c r="B9321">
        <v>868624000</v>
      </c>
      <c r="C9321">
        <v>868624000</v>
      </c>
    </row>
    <row r="9322" spans="1:3">
      <c r="A9322">
        <v>9321</v>
      </c>
      <c r="B9322">
        <v>868810410</v>
      </c>
      <c r="C9322">
        <v>868810410</v>
      </c>
    </row>
    <row r="9323" spans="1:3">
      <c r="A9323">
        <v>9322</v>
      </c>
      <c r="B9323">
        <v>868996840</v>
      </c>
      <c r="C9323">
        <v>868996840</v>
      </c>
    </row>
    <row r="9324" spans="1:3">
      <c r="A9324">
        <v>9323</v>
      </c>
      <c r="B9324">
        <v>869183290</v>
      </c>
      <c r="C9324">
        <v>869183290</v>
      </c>
    </row>
    <row r="9325" spans="1:3">
      <c r="A9325">
        <v>9324</v>
      </c>
      <c r="B9325">
        <v>869369760</v>
      </c>
      <c r="C9325">
        <v>869369760</v>
      </c>
    </row>
    <row r="9326" spans="1:3">
      <c r="A9326">
        <v>9325</v>
      </c>
      <c r="B9326">
        <v>869556250</v>
      </c>
      <c r="C9326">
        <v>869556250</v>
      </c>
    </row>
    <row r="9327" spans="1:3">
      <c r="A9327">
        <v>9326</v>
      </c>
      <c r="B9327">
        <v>869742760</v>
      </c>
      <c r="C9327">
        <v>869742760</v>
      </c>
    </row>
    <row r="9328" spans="1:3">
      <c r="A9328">
        <v>9327</v>
      </c>
      <c r="B9328">
        <v>869929290</v>
      </c>
      <c r="C9328">
        <v>869929290</v>
      </c>
    </row>
    <row r="9329" spans="1:3">
      <c r="A9329">
        <v>9328</v>
      </c>
      <c r="B9329">
        <v>870115840</v>
      </c>
      <c r="C9329">
        <v>870115840</v>
      </c>
    </row>
    <row r="9330" spans="1:3">
      <c r="A9330">
        <v>9329</v>
      </c>
      <c r="B9330">
        <v>870302410</v>
      </c>
      <c r="C9330">
        <v>870302410</v>
      </c>
    </row>
    <row r="9331" spans="1:3">
      <c r="A9331">
        <v>9330</v>
      </c>
      <c r="B9331">
        <v>870489000</v>
      </c>
      <c r="C9331">
        <v>870489000</v>
      </c>
    </row>
    <row r="9332" spans="1:3">
      <c r="A9332">
        <v>9331</v>
      </c>
      <c r="B9332">
        <v>870675610</v>
      </c>
      <c r="C9332">
        <v>870675610</v>
      </c>
    </row>
    <row r="9333" spans="1:3">
      <c r="A9333">
        <v>9332</v>
      </c>
      <c r="B9333">
        <v>870862240</v>
      </c>
      <c r="C9333">
        <v>870862240</v>
      </c>
    </row>
    <row r="9334" spans="1:3">
      <c r="A9334">
        <v>9333</v>
      </c>
      <c r="B9334">
        <v>871048890</v>
      </c>
      <c r="C9334">
        <v>871048890</v>
      </c>
    </row>
    <row r="9335" spans="1:3">
      <c r="A9335">
        <v>9334</v>
      </c>
      <c r="B9335">
        <v>871235560</v>
      </c>
      <c r="C9335">
        <v>871235560</v>
      </c>
    </row>
    <row r="9336" spans="1:3">
      <c r="A9336">
        <v>9335</v>
      </c>
      <c r="B9336">
        <v>871422250</v>
      </c>
      <c r="C9336">
        <v>871422250</v>
      </c>
    </row>
    <row r="9337" spans="1:3">
      <c r="A9337">
        <v>9336</v>
      </c>
      <c r="B9337">
        <v>871608960</v>
      </c>
      <c r="C9337">
        <v>871608960</v>
      </c>
    </row>
    <row r="9338" spans="1:3">
      <c r="A9338">
        <v>9337</v>
      </c>
      <c r="B9338">
        <v>871795690</v>
      </c>
      <c r="C9338">
        <v>871795690</v>
      </c>
    </row>
    <row r="9339" spans="1:3">
      <c r="A9339">
        <v>9338</v>
      </c>
      <c r="B9339">
        <v>871982440</v>
      </c>
      <c r="C9339">
        <v>871982440</v>
      </c>
    </row>
    <row r="9340" spans="1:3">
      <c r="A9340">
        <v>9339</v>
      </c>
      <c r="B9340">
        <v>872169210</v>
      </c>
      <c r="C9340">
        <v>872169210</v>
      </c>
    </row>
    <row r="9341" spans="1:3">
      <c r="A9341">
        <v>9340</v>
      </c>
      <c r="B9341">
        <v>872356000</v>
      </c>
      <c r="C9341">
        <v>872356000</v>
      </c>
    </row>
    <row r="9342" spans="1:3">
      <c r="A9342">
        <v>9341</v>
      </c>
      <c r="B9342">
        <v>872542810</v>
      </c>
      <c r="C9342">
        <v>872542810</v>
      </c>
    </row>
    <row r="9343" spans="1:3">
      <c r="A9343">
        <v>9342</v>
      </c>
      <c r="B9343">
        <v>872729640</v>
      </c>
      <c r="C9343">
        <v>872729640</v>
      </c>
    </row>
    <row r="9344" spans="1:3">
      <c r="A9344">
        <v>9343</v>
      </c>
      <c r="B9344">
        <v>872916490</v>
      </c>
      <c r="C9344">
        <v>872916490</v>
      </c>
    </row>
    <row r="9345" spans="1:3">
      <c r="A9345">
        <v>9344</v>
      </c>
      <c r="B9345">
        <v>873103360</v>
      </c>
      <c r="C9345">
        <v>873103360</v>
      </c>
    </row>
    <row r="9346" spans="1:3">
      <c r="A9346">
        <v>9345</v>
      </c>
      <c r="B9346">
        <v>873290250</v>
      </c>
      <c r="C9346">
        <v>873290250</v>
      </c>
    </row>
    <row r="9347" spans="1:3">
      <c r="A9347">
        <v>9346</v>
      </c>
      <c r="B9347">
        <v>873477160</v>
      </c>
      <c r="C9347">
        <v>873477160</v>
      </c>
    </row>
    <row r="9348" spans="1:3">
      <c r="A9348">
        <v>9347</v>
      </c>
      <c r="B9348">
        <v>873664090</v>
      </c>
      <c r="C9348">
        <v>873664090</v>
      </c>
    </row>
    <row r="9349" spans="1:3">
      <c r="A9349">
        <v>9348</v>
      </c>
      <c r="B9349">
        <v>873851040</v>
      </c>
      <c r="C9349">
        <v>873851040</v>
      </c>
    </row>
    <row r="9350" spans="1:3">
      <c r="A9350">
        <v>9349</v>
      </c>
      <c r="B9350">
        <v>874038010</v>
      </c>
      <c r="C9350">
        <v>874038010</v>
      </c>
    </row>
    <row r="9351" spans="1:3">
      <c r="A9351">
        <v>9350</v>
      </c>
      <c r="B9351">
        <v>874225000</v>
      </c>
      <c r="C9351">
        <v>874225000</v>
      </c>
    </row>
    <row r="9352" spans="1:3">
      <c r="A9352">
        <v>9351</v>
      </c>
      <c r="B9352">
        <v>874412010</v>
      </c>
      <c r="C9352">
        <v>874412010</v>
      </c>
    </row>
    <row r="9353" spans="1:3">
      <c r="A9353">
        <v>9352</v>
      </c>
      <c r="B9353">
        <v>874599040</v>
      </c>
      <c r="C9353">
        <v>874599040</v>
      </c>
    </row>
    <row r="9354" spans="1:3">
      <c r="A9354">
        <v>9353</v>
      </c>
      <c r="B9354">
        <v>874786090</v>
      </c>
      <c r="C9354">
        <v>874786090</v>
      </c>
    </row>
    <row r="9355" spans="1:3">
      <c r="A9355">
        <v>9354</v>
      </c>
      <c r="B9355">
        <v>874973160</v>
      </c>
      <c r="C9355">
        <v>874973160</v>
      </c>
    </row>
    <row r="9356" spans="1:3">
      <c r="A9356">
        <v>9355</v>
      </c>
      <c r="B9356">
        <v>875160250</v>
      </c>
      <c r="C9356">
        <v>875160250</v>
      </c>
    </row>
    <row r="9357" spans="1:3">
      <c r="A9357">
        <v>9356</v>
      </c>
      <c r="B9357">
        <v>875347360</v>
      </c>
      <c r="C9357">
        <v>875347360</v>
      </c>
    </row>
    <row r="9358" spans="1:3">
      <c r="A9358">
        <v>9357</v>
      </c>
      <c r="B9358">
        <v>875534490</v>
      </c>
      <c r="C9358">
        <v>875534490</v>
      </c>
    </row>
    <row r="9359" spans="1:3">
      <c r="A9359">
        <v>9358</v>
      </c>
      <c r="B9359">
        <v>875721640</v>
      </c>
      <c r="C9359">
        <v>875721640</v>
      </c>
    </row>
    <row r="9360" spans="1:3">
      <c r="A9360">
        <v>9359</v>
      </c>
      <c r="B9360">
        <v>875908810</v>
      </c>
      <c r="C9360">
        <v>875908810</v>
      </c>
    </row>
    <row r="9361" spans="1:3">
      <c r="A9361">
        <v>9360</v>
      </c>
      <c r="B9361">
        <v>876096000</v>
      </c>
      <c r="C9361">
        <v>876096000</v>
      </c>
    </row>
    <row r="9362" spans="1:3">
      <c r="A9362">
        <v>9361</v>
      </c>
      <c r="B9362">
        <v>876283210</v>
      </c>
      <c r="C9362">
        <v>876283210</v>
      </c>
    </row>
    <row r="9363" spans="1:3">
      <c r="A9363">
        <v>9362</v>
      </c>
      <c r="B9363">
        <v>876470440</v>
      </c>
      <c r="C9363">
        <v>876470440</v>
      </c>
    </row>
    <row r="9364" spans="1:3">
      <c r="A9364">
        <v>9363</v>
      </c>
      <c r="B9364">
        <v>876657690</v>
      </c>
      <c r="C9364">
        <v>876657690</v>
      </c>
    </row>
    <row r="9365" spans="1:3">
      <c r="A9365">
        <v>9364</v>
      </c>
      <c r="B9365">
        <v>876844960</v>
      </c>
      <c r="C9365">
        <v>876844960</v>
      </c>
    </row>
    <row r="9366" spans="1:3">
      <c r="A9366">
        <v>9365</v>
      </c>
      <c r="B9366">
        <v>877032250</v>
      </c>
      <c r="C9366">
        <v>877032250</v>
      </c>
    </row>
    <row r="9367" spans="1:3">
      <c r="A9367">
        <v>9366</v>
      </c>
      <c r="B9367">
        <v>877219560</v>
      </c>
      <c r="C9367">
        <v>877219560</v>
      </c>
    </row>
    <row r="9368" spans="1:3">
      <c r="A9368">
        <v>9367</v>
      </c>
      <c r="B9368">
        <v>877406890</v>
      </c>
      <c r="C9368">
        <v>877406890</v>
      </c>
    </row>
    <row r="9369" spans="1:3">
      <c r="A9369">
        <v>9368</v>
      </c>
      <c r="B9369">
        <v>877594240</v>
      </c>
      <c r="C9369">
        <v>877594240</v>
      </c>
    </row>
    <row r="9370" spans="1:3">
      <c r="A9370">
        <v>9369</v>
      </c>
      <c r="B9370">
        <v>877781610</v>
      </c>
      <c r="C9370">
        <v>877781610</v>
      </c>
    </row>
    <row r="9371" spans="1:3">
      <c r="A9371">
        <v>9370</v>
      </c>
      <c r="B9371">
        <v>877969000</v>
      </c>
      <c r="C9371">
        <v>877969000</v>
      </c>
    </row>
    <row r="9372" spans="1:3">
      <c r="A9372">
        <v>9371</v>
      </c>
      <c r="B9372">
        <v>878156410</v>
      </c>
      <c r="C9372">
        <v>878156410</v>
      </c>
    </row>
    <row r="9373" spans="1:3">
      <c r="A9373">
        <v>9372</v>
      </c>
      <c r="B9373">
        <v>878343840</v>
      </c>
      <c r="C9373">
        <v>878343840</v>
      </c>
    </row>
    <row r="9374" spans="1:3">
      <c r="A9374">
        <v>9373</v>
      </c>
      <c r="B9374">
        <v>878531290</v>
      </c>
      <c r="C9374">
        <v>878531290</v>
      </c>
    </row>
    <row r="9375" spans="1:3">
      <c r="A9375">
        <v>9374</v>
      </c>
      <c r="B9375">
        <v>878718760</v>
      </c>
      <c r="C9375">
        <v>878718760</v>
      </c>
    </row>
    <row r="9376" spans="1:3">
      <c r="A9376">
        <v>9375</v>
      </c>
      <c r="B9376">
        <v>878906250</v>
      </c>
      <c r="C9376">
        <v>878906250</v>
      </c>
    </row>
    <row r="9377" spans="1:3">
      <c r="A9377">
        <v>9376</v>
      </c>
      <c r="B9377">
        <v>879093760</v>
      </c>
      <c r="C9377">
        <v>879093760</v>
      </c>
    </row>
    <row r="9378" spans="1:3">
      <c r="A9378">
        <v>9377</v>
      </c>
      <c r="B9378">
        <v>879281290</v>
      </c>
      <c r="C9378">
        <v>879281290</v>
      </c>
    </row>
    <row r="9379" spans="1:3">
      <c r="A9379">
        <v>9378</v>
      </c>
      <c r="B9379">
        <v>879468840</v>
      </c>
      <c r="C9379">
        <v>879468840</v>
      </c>
    </row>
    <row r="9380" spans="1:3">
      <c r="A9380">
        <v>9379</v>
      </c>
      <c r="B9380">
        <v>879656410</v>
      </c>
      <c r="C9380">
        <v>879656410</v>
      </c>
    </row>
    <row r="9381" spans="1:3">
      <c r="A9381">
        <v>9380</v>
      </c>
      <c r="B9381">
        <v>879844000</v>
      </c>
      <c r="C9381">
        <v>879844000</v>
      </c>
    </row>
    <row r="9382" spans="1:3">
      <c r="A9382">
        <v>9381</v>
      </c>
      <c r="B9382">
        <v>880031610</v>
      </c>
      <c r="C9382">
        <v>880031610</v>
      </c>
    </row>
    <row r="9383" spans="1:3">
      <c r="A9383">
        <v>9382</v>
      </c>
      <c r="B9383">
        <v>880219240</v>
      </c>
      <c r="C9383">
        <v>880219240</v>
      </c>
    </row>
    <row r="9384" spans="1:3">
      <c r="A9384">
        <v>9383</v>
      </c>
      <c r="B9384">
        <v>880406890</v>
      </c>
      <c r="C9384">
        <v>880406890</v>
      </c>
    </row>
    <row r="9385" spans="1:3">
      <c r="A9385">
        <v>9384</v>
      </c>
      <c r="B9385">
        <v>880594560</v>
      </c>
      <c r="C9385">
        <v>880594560</v>
      </c>
    </row>
    <row r="9386" spans="1:3">
      <c r="A9386">
        <v>9385</v>
      </c>
      <c r="B9386">
        <v>880782250</v>
      </c>
      <c r="C9386">
        <v>880782250</v>
      </c>
    </row>
    <row r="9387" spans="1:3">
      <c r="A9387">
        <v>9386</v>
      </c>
      <c r="B9387">
        <v>880969960</v>
      </c>
      <c r="C9387">
        <v>880969960</v>
      </c>
    </row>
    <row r="9388" spans="1:3">
      <c r="A9388">
        <v>9387</v>
      </c>
      <c r="B9388">
        <v>881157690</v>
      </c>
      <c r="C9388">
        <v>881157690</v>
      </c>
    </row>
    <row r="9389" spans="1:3">
      <c r="A9389">
        <v>9388</v>
      </c>
      <c r="B9389">
        <v>881345440</v>
      </c>
      <c r="C9389">
        <v>881345440</v>
      </c>
    </row>
    <row r="9390" spans="1:3">
      <c r="A9390">
        <v>9389</v>
      </c>
      <c r="B9390">
        <v>881533210</v>
      </c>
      <c r="C9390">
        <v>881533210</v>
      </c>
    </row>
    <row r="9391" spans="1:3">
      <c r="A9391">
        <v>9390</v>
      </c>
      <c r="B9391">
        <v>881721000</v>
      </c>
      <c r="C9391">
        <v>881721000</v>
      </c>
    </row>
    <row r="9392" spans="1:3">
      <c r="A9392">
        <v>9391</v>
      </c>
      <c r="B9392">
        <v>881908810</v>
      </c>
      <c r="C9392">
        <v>881908810</v>
      </c>
    </row>
    <row r="9393" spans="1:3">
      <c r="A9393">
        <v>9392</v>
      </c>
      <c r="B9393">
        <v>882096640</v>
      </c>
      <c r="C9393">
        <v>882096640</v>
      </c>
    </row>
    <row r="9394" spans="1:3">
      <c r="A9394">
        <v>9393</v>
      </c>
      <c r="B9394">
        <v>882284490</v>
      </c>
      <c r="C9394">
        <v>882284490</v>
      </c>
    </row>
    <row r="9395" spans="1:3">
      <c r="A9395">
        <v>9394</v>
      </c>
      <c r="B9395">
        <v>882472360</v>
      </c>
      <c r="C9395">
        <v>882472360</v>
      </c>
    </row>
    <row r="9396" spans="1:3">
      <c r="A9396">
        <v>9395</v>
      </c>
      <c r="B9396">
        <v>882660250</v>
      </c>
      <c r="C9396">
        <v>882660250</v>
      </c>
    </row>
    <row r="9397" spans="1:3">
      <c r="A9397">
        <v>9396</v>
      </c>
      <c r="B9397">
        <v>882848160</v>
      </c>
      <c r="C9397">
        <v>882848160</v>
      </c>
    </row>
    <row r="9398" spans="1:3">
      <c r="A9398">
        <v>9397</v>
      </c>
      <c r="B9398">
        <v>883036090</v>
      </c>
      <c r="C9398">
        <v>883036090</v>
      </c>
    </row>
    <row r="9399" spans="1:3">
      <c r="A9399">
        <v>9398</v>
      </c>
      <c r="B9399">
        <v>883224040</v>
      </c>
      <c r="C9399">
        <v>883224040</v>
      </c>
    </row>
    <row r="9400" spans="1:3">
      <c r="A9400">
        <v>9399</v>
      </c>
      <c r="B9400">
        <v>883412010</v>
      </c>
      <c r="C9400">
        <v>883412010</v>
      </c>
    </row>
    <row r="9401" spans="1:3">
      <c r="A9401">
        <v>9400</v>
      </c>
      <c r="B9401">
        <v>883600000</v>
      </c>
      <c r="C9401">
        <v>883600000</v>
      </c>
    </row>
    <row r="9402" spans="1:3">
      <c r="A9402">
        <v>9401</v>
      </c>
      <c r="B9402">
        <v>883788010</v>
      </c>
      <c r="C9402">
        <v>883788010</v>
      </c>
    </row>
    <row r="9403" spans="1:3">
      <c r="A9403">
        <v>9402</v>
      </c>
      <c r="B9403">
        <v>883976040</v>
      </c>
      <c r="C9403">
        <v>883976040</v>
      </c>
    </row>
    <row r="9404" spans="1:3">
      <c r="A9404">
        <v>9403</v>
      </c>
      <c r="B9404">
        <v>884164090</v>
      </c>
      <c r="C9404">
        <v>884164090</v>
      </c>
    </row>
    <row r="9405" spans="1:3">
      <c r="A9405">
        <v>9404</v>
      </c>
      <c r="B9405">
        <v>884352160</v>
      </c>
      <c r="C9405">
        <v>884352160</v>
      </c>
    </row>
    <row r="9406" spans="1:3">
      <c r="A9406">
        <v>9405</v>
      </c>
      <c r="B9406">
        <v>884540250</v>
      </c>
      <c r="C9406">
        <v>884540250</v>
      </c>
    </row>
    <row r="9407" spans="1:3">
      <c r="A9407">
        <v>9406</v>
      </c>
      <c r="B9407">
        <v>884728360</v>
      </c>
      <c r="C9407">
        <v>884728360</v>
      </c>
    </row>
    <row r="9408" spans="1:3">
      <c r="A9408">
        <v>9407</v>
      </c>
      <c r="B9408">
        <v>884916490</v>
      </c>
      <c r="C9408">
        <v>884916490</v>
      </c>
    </row>
    <row r="9409" spans="1:3">
      <c r="A9409">
        <v>9408</v>
      </c>
      <c r="B9409">
        <v>885104640</v>
      </c>
      <c r="C9409">
        <v>885104640</v>
      </c>
    </row>
    <row r="9410" spans="1:3">
      <c r="A9410">
        <v>9409</v>
      </c>
      <c r="B9410">
        <v>885292810</v>
      </c>
      <c r="C9410">
        <v>885292810</v>
      </c>
    </row>
    <row r="9411" spans="1:3">
      <c r="A9411">
        <v>9410</v>
      </c>
      <c r="B9411">
        <v>885481000</v>
      </c>
      <c r="C9411">
        <v>885481000</v>
      </c>
    </row>
    <row r="9412" spans="1:3">
      <c r="A9412">
        <v>9411</v>
      </c>
      <c r="B9412">
        <v>885669210</v>
      </c>
      <c r="C9412">
        <v>885669210</v>
      </c>
    </row>
    <row r="9413" spans="1:3">
      <c r="A9413">
        <v>9412</v>
      </c>
      <c r="B9413">
        <v>885857440</v>
      </c>
      <c r="C9413">
        <v>885857440</v>
      </c>
    </row>
    <row r="9414" spans="1:3">
      <c r="A9414">
        <v>9413</v>
      </c>
      <c r="B9414">
        <v>886045690</v>
      </c>
      <c r="C9414">
        <v>886045690</v>
      </c>
    </row>
    <row r="9415" spans="1:3">
      <c r="A9415">
        <v>9414</v>
      </c>
      <c r="B9415">
        <v>886233960</v>
      </c>
      <c r="C9415">
        <v>886233960</v>
      </c>
    </row>
    <row r="9416" spans="1:3">
      <c r="A9416">
        <v>9415</v>
      </c>
      <c r="B9416">
        <v>886422250</v>
      </c>
      <c r="C9416">
        <v>886422250</v>
      </c>
    </row>
    <row r="9417" spans="1:3">
      <c r="A9417">
        <v>9416</v>
      </c>
      <c r="B9417">
        <v>886610560</v>
      </c>
      <c r="C9417">
        <v>886610560</v>
      </c>
    </row>
    <row r="9418" spans="1:3">
      <c r="A9418">
        <v>9417</v>
      </c>
      <c r="B9418">
        <v>886798890</v>
      </c>
      <c r="C9418">
        <v>886798890</v>
      </c>
    </row>
    <row r="9419" spans="1:3">
      <c r="A9419">
        <v>9418</v>
      </c>
      <c r="B9419">
        <v>886987240</v>
      </c>
      <c r="C9419">
        <v>886987240</v>
      </c>
    </row>
    <row r="9420" spans="1:3">
      <c r="A9420">
        <v>9419</v>
      </c>
      <c r="B9420">
        <v>887175610</v>
      </c>
      <c r="C9420">
        <v>887175610</v>
      </c>
    </row>
    <row r="9421" spans="1:3">
      <c r="A9421">
        <v>9420</v>
      </c>
      <c r="B9421">
        <v>887364000</v>
      </c>
      <c r="C9421">
        <v>887364000</v>
      </c>
    </row>
    <row r="9422" spans="1:3">
      <c r="A9422">
        <v>9421</v>
      </c>
      <c r="B9422">
        <v>887552410</v>
      </c>
      <c r="C9422">
        <v>887552410</v>
      </c>
    </row>
    <row r="9423" spans="1:3">
      <c r="A9423">
        <v>9422</v>
      </c>
      <c r="B9423">
        <v>887740840</v>
      </c>
      <c r="C9423">
        <v>887740840</v>
      </c>
    </row>
    <row r="9424" spans="1:3">
      <c r="A9424">
        <v>9423</v>
      </c>
      <c r="B9424">
        <v>887929290</v>
      </c>
      <c r="C9424">
        <v>887929290</v>
      </c>
    </row>
    <row r="9425" spans="1:3">
      <c r="A9425">
        <v>9424</v>
      </c>
      <c r="B9425">
        <v>888117760</v>
      </c>
      <c r="C9425">
        <v>888117760</v>
      </c>
    </row>
    <row r="9426" spans="1:3">
      <c r="A9426">
        <v>9425</v>
      </c>
      <c r="B9426">
        <v>888306250</v>
      </c>
      <c r="C9426">
        <v>888306250</v>
      </c>
    </row>
    <row r="9427" spans="1:3">
      <c r="A9427">
        <v>9426</v>
      </c>
      <c r="B9427">
        <v>888494760</v>
      </c>
      <c r="C9427">
        <v>888494760</v>
      </c>
    </row>
    <row r="9428" spans="1:3">
      <c r="A9428">
        <v>9427</v>
      </c>
      <c r="B9428">
        <v>888683290</v>
      </c>
      <c r="C9428">
        <v>888683290</v>
      </c>
    </row>
    <row r="9429" spans="1:3">
      <c r="A9429">
        <v>9428</v>
      </c>
      <c r="B9429">
        <v>888871840</v>
      </c>
      <c r="C9429">
        <v>888871840</v>
      </c>
    </row>
    <row r="9430" spans="1:3">
      <c r="A9430">
        <v>9429</v>
      </c>
      <c r="B9430">
        <v>889060410</v>
      </c>
      <c r="C9430">
        <v>889060410</v>
      </c>
    </row>
    <row r="9431" spans="1:3">
      <c r="A9431">
        <v>9430</v>
      </c>
      <c r="B9431">
        <v>889249000</v>
      </c>
      <c r="C9431">
        <v>889249000</v>
      </c>
    </row>
    <row r="9432" spans="1:3">
      <c r="A9432">
        <v>9431</v>
      </c>
      <c r="B9432">
        <v>889437610</v>
      </c>
      <c r="C9432">
        <v>889437610</v>
      </c>
    </row>
    <row r="9433" spans="1:3">
      <c r="A9433">
        <v>9432</v>
      </c>
      <c r="B9433">
        <v>889626240</v>
      </c>
      <c r="C9433">
        <v>889626240</v>
      </c>
    </row>
    <row r="9434" spans="1:3">
      <c r="A9434">
        <v>9433</v>
      </c>
      <c r="B9434">
        <v>889814890</v>
      </c>
      <c r="C9434">
        <v>889814890</v>
      </c>
    </row>
    <row r="9435" spans="1:3">
      <c r="A9435">
        <v>9434</v>
      </c>
      <c r="B9435">
        <v>890003560</v>
      </c>
      <c r="C9435">
        <v>890003560</v>
      </c>
    </row>
    <row r="9436" spans="1:3">
      <c r="A9436">
        <v>9435</v>
      </c>
      <c r="B9436">
        <v>890192250</v>
      </c>
      <c r="C9436">
        <v>890192250</v>
      </c>
    </row>
    <row r="9437" spans="1:3">
      <c r="A9437">
        <v>9436</v>
      </c>
      <c r="B9437">
        <v>890380960</v>
      </c>
      <c r="C9437">
        <v>890380960</v>
      </c>
    </row>
    <row r="9438" spans="1:3">
      <c r="A9438">
        <v>9437</v>
      </c>
      <c r="B9438">
        <v>890569690</v>
      </c>
      <c r="C9438">
        <v>890569690</v>
      </c>
    </row>
    <row r="9439" spans="1:3">
      <c r="A9439">
        <v>9438</v>
      </c>
      <c r="B9439">
        <v>890758440</v>
      </c>
      <c r="C9439">
        <v>890758440</v>
      </c>
    </row>
    <row r="9440" spans="1:3">
      <c r="A9440">
        <v>9439</v>
      </c>
      <c r="B9440">
        <v>890947210</v>
      </c>
      <c r="C9440">
        <v>890947210</v>
      </c>
    </row>
    <row r="9441" spans="1:3">
      <c r="A9441">
        <v>9440</v>
      </c>
      <c r="B9441">
        <v>891136000</v>
      </c>
      <c r="C9441">
        <v>891136000</v>
      </c>
    </row>
    <row r="9442" spans="1:3">
      <c r="A9442">
        <v>9441</v>
      </c>
      <c r="B9442">
        <v>891324810</v>
      </c>
      <c r="C9442">
        <v>891324810</v>
      </c>
    </row>
    <row r="9443" spans="1:3">
      <c r="A9443">
        <v>9442</v>
      </c>
      <c r="B9443">
        <v>891513640</v>
      </c>
      <c r="C9443">
        <v>891513640</v>
      </c>
    </row>
    <row r="9444" spans="1:3">
      <c r="A9444">
        <v>9443</v>
      </c>
      <c r="B9444">
        <v>891702490</v>
      </c>
      <c r="C9444">
        <v>891702490</v>
      </c>
    </row>
    <row r="9445" spans="1:3">
      <c r="A9445">
        <v>9444</v>
      </c>
      <c r="B9445">
        <v>891891360</v>
      </c>
      <c r="C9445">
        <v>891891360</v>
      </c>
    </row>
    <row r="9446" spans="1:3">
      <c r="A9446">
        <v>9445</v>
      </c>
      <c r="B9446">
        <v>892080250</v>
      </c>
      <c r="C9446">
        <v>892080250</v>
      </c>
    </row>
    <row r="9447" spans="1:3">
      <c r="A9447">
        <v>9446</v>
      </c>
      <c r="B9447">
        <v>892269160</v>
      </c>
      <c r="C9447">
        <v>892269160</v>
      </c>
    </row>
    <row r="9448" spans="1:3">
      <c r="A9448">
        <v>9447</v>
      </c>
      <c r="B9448">
        <v>892458090</v>
      </c>
      <c r="C9448">
        <v>892458090</v>
      </c>
    </row>
    <row r="9449" spans="1:3">
      <c r="A9449">
        <v>9448</v>
      </c>
      <c r="B9449">
        <v>892647040</v>
      </c>
      <c r="C9449">
        <v>892647040</v>
      </c>
    </row>
    <row r="9450" spans="1:3">
      <c r="A9450">
        <v>9449</v>
      </c>
      <c r="B9450">
        <v>892836010</v>
      </c>
      <c r="C9450">
        <v>892836010</v>
      </c>
    </row>
    <row r="9451" spans="1:3">
      <c r="A9451">
        <v>9450</v>
      </c>
      <c r="B9451">
        <v>893025000</v>
      </c>
      <c r="C9451">
        <v>893025000</v>
      </c>
    </row>
    <row r="9452" spans="1:3">
      <c r="A9452">
        <v>9451</v>
      </c>
      <c r="B9452">
        <v>893214010</v>
      </c>
      <c r="C9452">
        <v>893214010</v>
      </c>
    </row>
    <row r="9453" spans="1:3">
      <c r="A9453">
        <v>9452</v>
      </c>
      <c r="B9453">
        <v>893403040</v>
      </c>
      <c r="C9453">
        <v>893403040</v>
      </c>
    </row>
    <row r="9454" spans="1:3">
      <c r="A9454">
        <v>9453</v>
      </c>
      <c r="B9454">
        <v>893592090</v>
      </c>
      <c r="C9454">
        <v>893592090</v>
      </c>
    </row>
    <row r="9455" spans="1:3">
      <c r="A9455">
        <v>9454</v>
      </c>
      <c r="B9455">
        <v>893781160</v>
      </c>
      <c r="C9455">
        <v>893781160</v>
      </c>
    </row>
    <row r="9456" spans="1:3">
      <c r="A9456">
        <v>9455</v>
      </c>
      <c r="B9456">
        <v>893970250</v>
      </c>
      <c r="C9456">
        <v>893970250</v>
      </c>
    </row>
    <row r="9457" spans="1:3">
      <c r="A9457">
        <v>9456</v>
      </c>
      <c r="B9457">
        <v>894159360</v>
      </c>
      <c r="C9457">
        <v>894159360</v>
      </c>
    </row>
    <row r="9458" spans="1:3">
      <c r="A9458">
        <v>9457</v>
      </c>
      <c r="B9458">
        <v>894348490</v>
      </c>
      <c r="C9458">
        <v>894348490</v>
      </c>
    </row>
    <row r="9459" spans="1:3">
      <c r="A9459">
        <v>9458</v>
      </c>
      <c r="B9459">
        <v>894537640</v>
      </c>
      <c r="C9459">
        <v>894537640</v>
      </c>
    </row>
    <row r="9460" spans="1:3">
      <c r="A9460">
        <v>9459</v>
      </c>
      <c r="B9460">
        <v>894726810</v>
      </c>
      <c r="C9460">
        <v>894726810</v>
      </c>
    </row>
    <row r="9461" spans="1:3">
      <c r="A9461">
        <v>9460</v>
      </c>
      <c r="B9461">
        <v>894916000</v>
      </c>
      <c r="C9461">
        <v>894916000</v>
      </c>
    </row>
    <row r="9462" spans="1:3">
      <c r="A9462">
        <v>9461</v>
      </c>
      <c r="B9462">
        <v>895105210</v>
      </c>
      <c r="C9462">
        <v>895105210</v>
      </c>
    </row>
    <row r="9463" spans="1:3">
      <c r="A9463">
        <v>9462</v>
      </c>
      <c r="B9463">
        <v>895294440</v>
      </c>
      <c r="C9463">
        <v>895294440</v>
      </c>
    </row>
    <row r="9464" spans="1:3">
      <c r="A9464">
        <v>9463</v>
      </c>
      <c r="B9464">
        <v>895483690</v>
      </c>
      <c r="C9464">
        <v>895483690</v>
      </c>
    </row>
    <row r="9465" spans="1:3">
      <c r="A9465">
        <v>9464</v>
      </c>
      <c r="B9465">
        <v>895672960</v>
      </c>
      <c r="C9465">
        <v>895672960</v>
      </c>
    </row>
    <row r="9466" spans="1:3">
      <c r="A9466">
        <v>9465</v>
      </c>
      <c r="B9466">
        <v>895862250</v>
      </c>
      <c r="C9466">
        <v>895862250</v>
      </c>
    </row>
    <row r="9467" spans="1:3">
      <c r="A9467">
        <v>9466</v>
      </c>
      <c r="B9467">
        <v>896051560</v>
      </c>
      <c r="C9467">
        <v>896051560</v>
      </c>
    </row>
    <row r="9468" spans="1:3">
      <c r="A9468">
        <v>9467</v>
      </c>
      <c r="B9468">
        <v>896240890</v>
      </c>
      <c r="C9468">
        <v>896240890</v>
      </c>
    </row>
    <row r="9469" spans="1:3">
      <c r="A9469">
        <v>9468</v>
      </c>
      <c r="B9469">
        <v>896430240</v>
      </c>
      <c r="C9469">
        <v>896430240</v>
      </c>
    </row>
    <row r="9470" spans="1:3">
      <c r="A9470">
        <v>9469</v>
      </c>
      <c r="B9470">
        <v>896619610</v>
      </c>
      <c r="C9470">
        <v>896619610</v>
      </c>
    </row>
    <row r="9471" spans="1:3">
      <c r="A9471">
        <v>9470</v>
      </c>
      <c r="B9471">
        <v>896809000</v>
      </c>
      <c r="C9471">
        <v>896809000</v>
      </c>
    </row>
    <row r="9472" spans="1:3">
      <c r="A9472">
        <v>9471</v>
      </c>
      <c r="B9472">
        <v>896998410</v>
      </c>
      <c r="C9472">
        <v>896998410</v>
      </c>
    </row>
    <row r="9473" spans="1:3">
      <c r="A9473">
        <v>9472</v>
      </c>
      <c r="B9473">
        <v>897187840</v>
      </c>
      <c r="C9473">
        <v>897187840</v>
      </c>
    </row>
    <row r="9474" spans="1:3">
      <c r="A9474">
        <v>9473</v>
      </c>
      <c r="B9474">
        <v>897377290</v>
      </c>
      <c r="C9474">
        <v>897377290</v>
      </c>
    </row>
    <row r="9475" spans="1:3">
      <c r="A9475">
        <v>9474</v>
      </c>
      <c r="B9475">
        <v>897566760</v>
      </c>
      <c r="C9475">
        <v>897566760</v>
      </c>
    </row>
    <row r="9476" spans="1:3">
      <c r="A9476">
        <v>9475</v>
      </c>
      <c r="B9476">
        <v>897756250</v>
      </c>
      <c r="C9476">
        <v>897756250</v>
      </c>
    </row>
    <row r="9477" spans="1:3">
      <c r="A9477">
        <v>9476</v>
      </c>
      <c r="B9477">
        <v>897945760</v>
      </c>
      <c r="C9477">
        <v>897945760</v>
      </c>
    </row>
    <row r="9478" spans="1:3">
      <c r="A9478">
        <v>9477</v>
      </c>
      <c r="B9478">
        <v>898135290</v>
      </c>
      <c r="C9478">
        <v>898135290</v>
      </c>
    </row>
    <row r="9479" spans="1:3">
      <c r="A9479">
        <v>9478</v>
      </c>
      <c r="B9479">
        <v>898324840</v>
      </c>
      <c r="C9479">
        <v>898324840</v>
      </c>
    </row>
    <row r="9480" spans="1:3">
      <c r="A9480">
        <v>9479</v>
      </c>
      <c r="B9480">
        <v>898514410</v>
      </c>
      <c r="C9480">
        <v>898514410</v>
      </c>
    </row>
    <row r="9481" spans="1:3">
      <c r="A9481">
        <v>9480</v>
      </c>
      <c r="B9481">
        <v>898704000</v>
      </c>
      <c r="C9481">
        <v>898704000</v>
      </c>
    </row>
    <row r="9482" spans="1:3">
      <c r="A9482">
        <v>9481</v>
      </c>
      <c r="B9482">
        <v>898893610</v>
      </c>
      <c r="C9482">
        <v>898893610</v>
      </c>
    </row>
    <row r="9483" spans="1:3">
      <c r="A9483">
        <v>9482</v>
      </c>
      <c r="B9483">
        <v>899083240</v>
      </c>
      <c r="C9483">
        <v>899083240</v>
      </c>
    </row>
    <row r="9484" spans="1:3">
      <c r="A9484">
        <v>9483</v>
      </c>
      <c r="B9484">
        <v>899272890</v>
      </c>
      <c r="C9484">
        <v>899272890</v>
      </c>
    </row>
    <row r="9485" spans="1:3">
      <c r="A9485">
        <v>9484</v>
      </c>
      <c r="B9485">
        <v>899462560</v>
      </c>
      <c r="C9485">
        <v>899462560</v>
      </c>
    </row>
    <row r="9486" spans="1:3">
      <c r="A9486">
        <v>9485</v>
      </c>
      <c r="B9486">
        <v>899652250</v>
      </c>
      <c r="C9486">
        <v>899652250</v>
      </c>
    </row>
    <row r="9487" spans="1:3">
      <c r="A9487">
        <v>9486</v>
      </c>
      <c r="B9487">
        <v>899841960</v>
      </c>
      <c r="C9487">
        <v>899841960</v>
      </c>
    </row>
    <row r="9488" spans="1:3">
      <c r="A9488">
        <v>9487</v>
      </c>
      <c r="B9488">
        <v>900031690</v>
      </c>
      <c r="C9488">
        <v>900031690</v>
      </c>
    </row>
    <row r="9489" spans="1:3">
      <c r="A9489">
        <v>9488</v>
      </c>
      <c r="B9489">
        <v>900221440</v>
      </c>
      <c r="C9489">
        <v>900221440</v>
      </c>
    </row>
    <row r="9490" spans="1:3">
      <c r="A9490">
        <v>9489</v>
      </c>
      <c r="B9490">
        <v>900411210</v>
      </c>
      <c r="C9490">
        <v>900411210</v>
      </c>
    </row>
    <row r="9491" spans="1:3">
      <c r="A9491">
        <v>9490</v>
      </c>
      <c r="B9491">
        <v>900601000</v>
      </c>
      <c r="C9491">
        <v>900601000</v>
      </c>
    </row>
    <row r="9492" spans="1:3">
      <c r="A9492">
        <v>9491</v>
      </c>
      <c r="B9492">
        <v>900790810</v>
      </c>
      <c r="C9492">
        <v>900790810</v>
      </c>
    </row>
    <row r="9493" spans="1:3">
      <c r="A9493">
        <v>9492</v>
      </c>
      <c r="B9493">
        <v>900980640</v>
      </c>
      <c r="C9493">
        <v>900980640</v>
      </c>
    </row>
    <row r="9494" spans="1:3">
      <c r="A9494">
        <v>9493</v>
      </c>
      <c r="B9494">
        <v>901170490</v>
      </c>
      <c r="C9494">
        <v>901170490</v>
      </c>
    </row>
    <row r="9495" spans="1:3">
      <c r="A9495">
        <v>9494</v>
      </c>
      <c r="B9495">
        <v>901360360</v>
      </c>
      <c r="C9495">
        <v>901360360</v>
      </c>
    </row>
    <row r="9496" spans="1:3">
      <c r="A9496">
        <v>9495</v>
      </c>
      <c r="B9496">
        <v>901550250</v>
      </c>
      <c r="C9496">
        <v>901550250</v>
      </c>
    </row>
    <row r="9497" spans="1:3">
      <c r="A9497">
        <v>9496</v>
      </c>
      <c r="B9497">
        <v>901740160</v>
      </c>
      <c r="C9497">
        <v>901740160</v>
      </c>
    </row>
    <row r="9498" spans="1:3">
      <c r="A9498">
        <v>9497</v>
      </c>
      <c r="B9498">
        <v>901930090</v>
      </c>
      <c r="C9498">
        <v>901930090</v>
      </c>
    </row>
    <row r="9499" spans="1:3">
      <c r="A9499">
        <v>9498</v>
      </c>
      <c r="B9499">
        <v>902120040</v>
      </c>
      <c r="C9499">
        <v>902120040</v>
      </c>
    </row>
    <row r="9500" spans="1:3">
      <c r="A9500">
        <v>9499</v>
      </c>
      <c r="B9500">
        <v>902310010</v>
      </c>
      <c r="C9500">
        <v>902310010</v>
      </c>
    </row>
    <row r="9501" spans="1:3">
      <c r="A9501">
        <v>9500</v>
      </c>
      <c r="B9501">
        <v>902500000</v>
      </c>
      <c r="C9501">
        <v>902500000</v>
      </c>
    </row>
    <row r="9502" spans="1:3">
      <c r="A9502">
        <v>9501</v>
      </c>
      <c r="B9502">
        <v>902690010</v>
      </c>
      <c r="C9502">
        <v>902690010</v>
      </c>
    </row>
    <row r="9503" spans="1:3">
      <c r="A9503">
        <v>9502</v>
      </c>
      <c r="B9503">
        <v>902880040</v>
      </c>
      <c r="C9503">
        <v>902880040</v>
      </c>
    </row>
    <row r="9504" spans="1:3">
      <c r="A9504">
        <v>9503</v>
      </c>
      <c r="B9504">
        <v>903070090</v>
      </c>
      <c r="C9504">
        <v>903070090</v>
      </c>
    </row>
    <row r="9505" spans="1:3">
      <c r="A9505">
        <v>9504</v>
      </c>
      <c r="B9505">
        <v>903260160</v>
      </c>
      <c r="C9505">
        <v>903260160</v>
      </c>
    </row>
    <row r="9506" spans="1:3">
      <c r="A9506">
        <v>9505</v>
      </c>
      <c r="B9506">
        <v>903450250</v>
      </c>
      <c r="C9506">
        <v>903450250</v>
      </c>
    </row>
    <row r="9507" spans="1:3">
      <c r="A9507">
        <v>9506</v>
      </c>
      <c r="B9507">
        <v>903640360</v>
      </c>
      <c r="C9507">
        <v>903640360</v>
      </c>
    </row>
    <row r="9508" spans="1:3">
      <c r="A9508">
        <v>9507</v>
      </c>
      <c r="B9508">
        <v>903830490</v>
      </c>
      <c r="C9508">
        <v>903830490</v>
      </c>
    </row>
    <row r="9509" spans="1:3">
      <c r="A9509">
        <v>9508</v>
      </c>
      <c r="B9509">
        <v>904020640</v>
      </c>
      <c r="C9509">
        <v>904020640</v>
      </c>
    </row>
    <row r="9510" spans="1:3">
      <c r="A9510">
        <v>9509</v>
      </c>
      <c r="B9510">
        <v>904210810</v>
      </c>
      <c r="C9510">
        <v>904210810</v>
      </c>
    </row>
    <row r="9511" spans="1:3">
      <c r="A9511">
        <v>9510</v>
      </c>
      <c r="B9511">
        <v>904401000</v>
      </c>
      <c r="C9511">
        <v>904401000</v>
      </c>
    </row>
    <row r="9512" spans="1:3">
      <c r="A9512">
        <v>9511</v>
      </c>
      <c r="B9512">
        <v>904591210</v>
      </c>
      <c r="C9512">
        <v>904591210</v>
      </c>
    </row>
    <row r="9513" spans="1:3">
      <c r="A9513">
        <v>9512</v>
      </c>
      <c r="B9513">
        <v>904781440</v>
      </c>
      <c r="C9513">
        <v>904781440</v>
      </c>
    </row>
    <row r="9514" spans="1:3">
      <c r="A9514">
        <v>9513</v>
      </c>
      <c r="B9514">
        <v>904971690</v>
      </c>
      <c r="C9514">
        <v>904971690</v>
      </c>
    </row>
    <row r="9515" spans="1:3">
      <c r="A9515">
        <v>9514</v>
      </c>
      <c r="B9515">
        <v>905161960</v>
      </c>
      <c r="C9515">
        <v>905161960</v>
      </c>
    </row>
    <row r="9516" spans="1:3">
      <c r="A9516">
        <v>9515</v>
      </c>
      <c r="B9516">
        <v>905352250</v>
      </c>
      <c r="C9516">
        <v>905352250</v>
      </c>
    </row>
    <row r="9517" spans="1:3">
      <c r="A9517">
        <v>9516</v>
      </c>
      <c r="B9517">
        <v>905542560</v>
      </c>
      <c r="C9517">
        <v>905542560</v>
      </c>
    </row>
    <row r="9518" spans="1:3">
      <c r="A9518">
        <v>9517</v>
      </c>
      <c r="B9518">
        <v>905732890</v>
      </c>
      <c r="C9518">
        <v>905732890</v>
      </c>
    </row>
    <row r="9519" spans="1:3">
      <c r="A9519">
        <v>9518</v>
      </c>
      <c r="B9519">
        <v>905923240</v>
      </c>
      <c r="C9519">
        <v>905923240</v>
      </c>
    </row>
    <row r="9520" spans="1:3">
      <c r="A9520">
        <v>9519</v>
      </c>
      <c r="B9520">
        <v>906113610</v>
      </c>
      <c r="C9520">
        <v>906113610</v>
      </c>
    </row>
    <row r="9521" spans="1:3">
      <c r="A9521">
        <v>9520</v>
      </c>
      <c r="B9521">
        <v>906304000</v>
      </c>
      <c r="C9521">
        <v>906304000</v>
      </c>
    </row>
    <row r="9522" spans="1:3">
      <c r="A9522">
        <v>9521</v>
      </c>
      <c r="B9522">
        <v>906494410</v>
      </c>
      <c r="C9522">
        <v>906494410</v>
      </c>
    </row>
    <row r="9523" spans="1:3">
      <c r="A9523">
        <v>9522</v>
      </c>
      <c r="B9523">
        <v>906684840</v>
      </c>
      <c r="C9523">
        <v>906684840</v>
      </c>
    </row>
    <row r="9524" spans="1:3">
      <c r="A9524">
        <v>9523</v>
      </c>
      <c r="B9524">
        <v>906875290</v>
      </c>
      <c r="C9524">
        <v>906875290</v>
      </c>
    </row>
    <row r="9525" spans="1:3">
      <c r="A9525">
        <v>9524</v>
      </c>
      <c r="B9525">
        <v>907065760</v>
      </c>
      <c r="C9525">
        <v>907065760</v>
      </c>
    </row>
    <row r="9526" spans="1:3">
      <c r="A9526">
        <v>9525</v>
      </c>
      <c r="B9526">
        <v>907256250</v>
      </c>
      <c r="C9526">
        <v>907256250</v>
      </c>
    </row>
    <row r="9527" spans="1:3">
      <c r="A9527">
        <v>9526</v>
      </c>
      <c r="B9527">
        <v>907446760</v>
      </c>
      <c r="C9527">
        <v>907446760</v>
      </c>
    </row>
    <row r="9528" spans="1:3">
      <c r="A9528">
        <v>9527</v>
      </c>
      <c r="B9528">
        <v>907637290</v>
      </c>
      <c r="C9528">
        <v>907637290</v>
      </c>
    </row>
    <row r="9529" spans="1:3">
      <c r="A9529">
        <v>9528</v>
      </c>
      <c r="B9529">
        <v>907827840</v>
      </c>
      <c r="C9529">
        <v>907827840</v>
      </c>
    </row>
    <row r="9530" spans="1:3">
      <c r="A9530">
        <v>9529</v>
      </c>
      <c r="B9530">
        <v>908018410</v>
      </c>
      <c r="C9530">
        <v>908018410</v>
      </c>
    </row>
    <row r="9531" spans="1:3">
      <c r="A9531">
        <v>9530</v>
      </c>
      <c r="B9531">
        <v>908209000</v>
      </c>
      <c r="C9531">
        <v>908209000</v>
      </c>
    </row>
    <row r="9532" spans="1:3">
      <c r="A9532">
        <v>9531</v>
      </c>
      <c r="B9532">
        <v>908399610</v>
      </c>
      <c r="C9532">
        <v>908399610</v>
      </c>
    </row>
    <row r="9533" spans="1:3">
      <c r="A9533">
        <v>9532</v>
      </c>
      <c r="B9533">
        <v>908590240</v>
      </c>
      <c r="C9533">
        <v>908590240</v>
      </c>
    </row>
    <row r="9534" spans="1:3">
      <c r="A9534">
        <v>9533</v>
      </c>
      <c r="B9534">
        <v>908780890</v>
      </c>
      <c r="C9534">
        <v>908780890</v>
      </c>
    </row>
    <row r="9535" spans="1:3">
      <c r="A9535">
        <v>9534</v>
      </c>
      <c r="B9535">
        <v>908971560</v>
      </c>
      <c r="C9535">
        <v>908971560</v>
      </c>
    </row>
    <row r="9536" spans="1:3">
      <c r="A9536">
        <v>9535</v>
      </c>
      <c r="B9536">
        <v>909162250</v>
      </c>
      <c r="C9536">
        <v>909162250</v>
      </c>
    </row>
    <row r="9537" spans="1:3">
      <c r="A9537">
        <v>9536</v>
      </c>
      <c r="B9537">
        <v>909352960</v>
      </c>
      <c r="C9537">
        <v>909352960</v>
      </c>
    </row>
    <row r="9538" spans="1:3">
      <c r="A9538">
        <v>9537</v>
      </c>
      <c r="B9538">
        <v>909543690</v>
      </c>
      <c r="C9538">
        <v>909543690</v>
      </c>
    </row>
    <row r="9539" spans="1:3">
      <c r="A9539">
        <v>9538</v>
      </c>
      <c r="B9539">
        <v>909734440</v>
      </c>
      <c r="C9539">
        <v>909734440</v>
      </c>
    </row>
    <row r="9540" spans="1:3">
      <c r="A9540">
        <v>9539</v>
      </c>
      <c r="B9540">
        <v>909925210</v>
      </c>
      <c r="C9540">
        <v>909925210</v>
      </c>
    </row>
    <row r="9541" spans="1:3">
      <c r="A9541">
        <v>9540</v>
      </c>
      <c r="B9541">
        <v>910116000</v>
      </c>
      <c r="C9541">
        <v>910116000</v>
      </c>
    </row>
    <row r="9542" spans="1:3">
      <c r="A9542">
        <v>9541</v>
      </c>
      <c r="B9542">
        <v>910306810</v>
      </c>
      <c r="C9542">
        <v>910306810</v>
      </c>
    </row>
    <row r="9543" spans="1:3">
      <c r="A9543">
        <v>9542</v>
      </c>
      <c r="B9543">
        <v>910497640</v>
      </c>
      <c r="C9543">
        <v>910497640</v>
      </c>
    </row>
    <row r="9544" spans="1:3">
      <c r="A9544">
        <v>9543</v>
      </c>
      <c r="B9544">
        <v>910688490</v>
      </c>
      <c r="C9544">
        <v>910688490</v>
      </c>
    </row>
    <row r="9545" spans="1:3">
      <c r="A9545">
        <v>9544</v>
      </c>
      <c r="B9545">
        <v>910879360</v>
      </c>
      <c r="C9545">
        <v>910879360</v>
      </c>
    </row>
    <row r="9546" spans="1:3">
      <c r="A9546">
        <v>9545</v>
      </c>
      <c r="B9546">
        <v>911070250</v>
      </c>
      <c r="C9546">
        <v>911070250</v>
      </c>
    </row>
    <row r="9547" spans="1:3">
      <c r="A9547">
        <v>9546</v>
      </c>
      <c r="B9547">
        <v>911261160</v>
      </c>
      <c r="C9547">
        <v>911261160</v>
      </c>
    </row>
    <row r="9548" spans="1:3">
      <c r="A9548">
        <v>9547</v>
      </c>
      <c r="B9548">
        <v>911452090</v>
      </c>
      <c r="C9548">
        <v>911452090</v>
      </c>
    </row>
    <row r="9549" spans="1:3">
      <c r="A9549">
        <v>9548</v>
      </c>
      <c r="B9549">
        <v>911643040</v>
      </c>
      <c r="C9549">
        <v>911643040</v>
      </c>
    </row>
    <row r="9550" spans="1:3">
      <c r="A9550">
        <v>9549</v>
      </c>
      <c r="B9550">
        <v>911834010</v>
      </c>
      <c r="C9550">
        <v>911834010</v>
      </c>
    </row>
    <row r="9551" spans="1:3">
      <c r="A9551">
        <v>9550</v>
      </c>
      <c r="B9551">
        <v>912025000</v>
      </c>
      <c r="C9551">
        <v>912025000</v>
      </c>
    </row>
    <row r="9552" spans="1:3">
      <c r="A9552">
        <v>9551</v>
      </c>
      <c r="B9552">
        <v>912216010</v>
      </c>
      <c r="C9552">
        <v>912216010</v>
      </c>
    </row>
    <row r="9553" spans="1:3">
      <c r="A9553">
        <v>9552</v>
      </c>
      <c r="B9553">
        <v>912407040</v>
      </c>
      <c r="C9553">
        <v>912407040</v>
      </c>
    </row>
    <row r="9554" spans="1:3">
      <c r="A9554">
        <v>9553</v>
      </c>
      <c r="B9554">
        <v>912598090</v>
      </c>
      <c r="C9554">
        <v>912598090</v>
      </c>
    </row>
    <row r="9555" spans="1:3">
      <c r="A9555">
        <v>9554</v>
      </c>
      <c r="B9555">
        <v>912789160</v>
      </c>
      <c r="C9555">
        <v>912789160</v>
      </c>
    </row>
    <row r="9556" spans="1:3">
      <c r="A9556">
        <v>9555</v>
      </c>
      <c r="B9556">
        <v>912980250</v>
      </c>
      <c r="C9556">
        <v>912980250</v>
      </c>
    </row>
    <row r="9557" spans="1:3">
      <c r="A9557">
        <v>9556</v>
      </c>
      <c r="B9557">
        <v>913171360</v>
      </c>
      <c r="C9557">
        <v>913171360</v>
      </c>
    </row>
    <row r="9558" spans="1:3">
      <c r="A9558">
        <v>9557</v>
      </c>
      <c r="B9558">
        <v>913362490</v>
      </c>
      <c r="C9558">
        <v>913362490</v>
      </c>
    </row>
    <row r="9559" spans="1:3">
      <c r="A9559">
        <v>9558</v>
      </c>
      <c r="B9559">
        <v>913553640</v>
      </c>
      <c r="C9559">
        <v>913553640</v>
      </c>
    </row>
    <row r="9560" spans="1:3">
      <c r="A9560">
        <v>9559</v>
      </c>
      <c r="B9560">
        <v>913744810</v>
      </c>
      <c r="C9560">
        <v>913744810</v>
      </c>
    </row>
    <row r="9561" spans="1:3">
      <c r="A9561">
        <v>9560</v>
      </c>
      <c r="B9561">
        <v>913936000</v>
      </c>
      <c r="C9561">
        <v>913936000</v>
      </c>
    </row>
    <row r="9562" spans="1:3">
      <c r="A9562">
        <v>9561</v>
      </c>
      <c r="B9562">
        <v>914127210</v>
      </c>
      <c r="C9562">
        <v>914127210</v>
      </c>
    </row>
    <row r="9563" spans="1:3">
      <c r="A9563">
        <v>9562</v>
      </c>
      <c r="B9563">
        <v>914318440</v>
      </c>
      <c r="C9563">
        <v>914318440</v>
      </c>
    </row>
    <row r="9564" spans="1:3">
      <c r="A9564">
        <v>9563</v>
      </c>
      <c r="B9564">
        <v>914509690</v>
      </c>
      <c r="C9564">
        <v>914509690</v>
      </c>
    </row>
    <row r="9565" spans="1:3">
      <c r="A9565">
        <v>9564</v>
      </c>
      <c r="B9565">
        <v>914700960</v>
      </c>
      <c r="C9565">
        <v>914700960</v>
      </c>
    </row>
    <row r="9566" spans="1:3">
      <c r="A9566">
        <v>9565</v>
      </c>
      <c r="B9566">
        <v>914892250</v>
      </c>
      <c r="C9566">
        <v>914892250</v>
      </c>
    </row>
    <row r="9567" spans="1:3">
      <c r="A9567">
        <v>9566</v>
      </c>
      <c r="B9567">
        <v>915083560</v>
      </c>
      <c r="C9567">
        <v>915083560</v>
      </c>
    </row>
    <row r="9568" spans="1:3">
      <c r="A9568">
        <v>9567</v>
      </c>
      <c r="B9568">
        <v>915274890</v>
      </c>
      <c r="C9568">
        <v>915274890</v>
      </c>
    </row>
    <row r="9569" spans="1:3">
      <c r="A9569">
        <v>9568</v>
      </c>
      <c r="B9569">
        <v>915466240</v>
      </c>
      <c r="C9569">
        <v>915466240</v>
      </c>
    </row>
    <row r="9570" spans="1:3">
      <c r="A9570">
        <v>9569</v>
      </c>
      <c r="B9570">
        <v>915657610</v>
      </c>
      <c r="C9570">
        <v>915657610</v>
      </c>
    </row>
    <row r="9571" spans="1:3">
      <c r="A9571">
        <v>9570</v>
      </c>
      <c r="B9571">
        <v>915849000</v>
      </c>
      <c r="C9571">
        <v>915849000</v>
      </c>
    </row>
    <row r="9572" spans="1:3">
      <c r="A9572">
        <v>9571</v>
      </c>
      <c r="B9572">
        <v>916040410</v>
      </c>
      <c r="C9572">
        <v>916040410</v>
      </c>
    </row>
    <row r="9573" spans="1:3">
      <c r="A9573">
        <v>9572</v>
      </c>
      <c r="B9573">
        <v>916231840</v>
      </c>
      <c r="C9573">
        <v>916231840</v>
      </c>
    </row>
    <row r="9574" spans="1:3">
      <c r="A9574">
        <v>9573</v>
      </c>
      <c r="B9574">
        <v>916423290</v>
      </c>
      <c r="C9574">
        <v>916423290</v>
      </c>
    </row>
    <row r="9575" spans="1:3">
      <c r="A9575">
        <v>9574</v>
      </c>
      <c r="B9575">
        <v>916614760</v>
      </c>
      <c r="C9575">
        <v>916614760</v>
      </c>
    </row>
    <row r="9576" spans="1:3">
      <c r="A9576">
        <v>9575</v>
      </c>
      <c r="B9576">
        <v>916806250</v>
      </c>
      <c r="C9576">
        <v>916806250</v>
      </c>
    </row>
    <row r="9577" spans="1:3">
      <c r="A9577">
        <v>9576</v>
      </c>
      <c r="B9577">
        <v>916997760</v>
      </c>
      <c r="C9577">
        <v>916997760</v>
      </c>
    </row>
    <row r="9578" spans="1:3">
      <c r="A9578">
        <v>9577</v>
      </c>
      <c r="B9578">
        <v>917189290</v>
      </c>
      <c r="C9578">
        <v>917189290</v>
      </c>
    </row>
    <row r="9579" spans="1:3">
      <c r="A9579">
        <v>9578</v>
      </c>
      <c r="B9579">
        <v>917380840</v>
      </c>
      <c r="C9579">
        <v>917380840</v>
      </c>
    </row>
    <row r="9580" spans="1:3">
      <c r="A9580">
        <v>9579</v>
      </c>
      <c r="B9580">
        <v>917572410</v>
      </c>
      <c r="C9580">
        <v>917572410</v>
      </c>
    </row>
    <row r="9581" spans="1:3">
      <c r="A9581">
        <v>9580</v>
      </c>
      <c r="B9581">
        <v>917764000</v>
      </c>
      <c r="C9581">
        <v>917764000</v>
      </c>
    </row>
    <row r="9582" spans="1:3">
      <c r="A9582">
        <v>9581</v>
      </c>
      <c r="B9582">
        <v>917955610</v>
      </c>
      <c r="C9582">
        <v>917955610</v>
      </c>
    </row>
    <row r="9583" spans="1:3">
      <c r="A9583">
        <v>9582</v>
      </c>
      <c r="B9583">
        <v>918147240</v>
      </c>
      <c r="C9583">
        <v>918147240</v>
      </c>
    </row>
    <row r="9584" spans="1:3">
      <c r="A9584">
        <v>9583</v>
      </c>
      <c r="B9584">
        <v>918338890</v>
      </c>
      <c r="C9584">
        <v>918338890</v>
      </c>
    </row>
    <row r="9585" spans="1:3">
      <c r="A9585">
        <v>9584</v>
      </c>
      <c r="B9585">
        <v>918530560</v>
      </c>
      <c r="C9585">
        <v>918530560</v>
      </c>
    </row>
    <row r="9586" spans="1:3">
      <c r="A9586">
        <v>9585</v>
      </c>
      <c r="B9586">
        <v>918722250</v>
      </c>
      <c r="C9586">
        <v>918722250</v>
      </c>
    </row>
    <row r="9587" spans="1:3">
      <c r="A9587">
        <v>9586</v>
      </c>
      <c r="B9587">
        <v>918913960</v>
      </c>
      <c r="C9587">
        <v>918913960</v>
      </c>
    </row>
    <row r="9588" spans="1:3">
      <c r="A9588">
        <v>9587</v>
      </c>
      <c r="B9588">
        <v>919105690</v>
      </c>
      <c r="C9588">
        <v>919105690</v>
      </c>
    </row>
    <row r="9589" spans="1:3">
      <c r="A9589">
        <v>9588</v>
      </c>
      <c r="B9589">
        <v>919297440</v>
      </c>
      <c r="C9589">
        <v>919297440</v>
      </c>
    </row>
    <row r="9590" spans="1:3">
      <c r="A9590">
        <v>9589</v>
      </c>
      <c r="B9590">
        <v>919489210</v>
      </c>
      <c r="C9590">
        <v>919489210</v>
      </c>
    </row>
    <row r="9591" spans="1:3">
      <c r="A9591">
        <v>9590</v>
      </c>
      <c r="B9591">
        <v>919681000</v>
      </c>
      <c r="C9591">
        <v>919681000</v>
      </c>
    </row>
    <row r="9592" spans="1:3">
      <c r="A9592">
        <v>9591</v>
      </c>
      <c r="B9592">
        <v>919872810</v>
      </c>
      <c r="C9592">
        <v>919872810</v>
      </c>
    </row>
    <row r="9593" spans="1:3">
      <c r="A9593">
        <v>9592</v>
      </c>
      <c r="B9593">
        <v>920064640</v>
      </c>
      <c r="C9593">
        <v>920064640</v>
      </c>
    </row>
    <row r="9594" spans="1:3">
      <c r="A9594">
        <v>9593</v>
      </c>
      <c r="B9594">
        <v>920256490</v>
      </c>
      <c r="C9594">
        <v>920256490</v>
      </c>
    </row>
    <row r="9595" spans="1:3">
      <c r="A9595">
        <v>9594</v>
      </c>
      <c r="B9595">
        <v>920448360</v>
      </c>
      <c r="C9595">
        <v>920448360</v>
      </c>
    </row>
    <row r="9596" spans="1:3">
      <c r="A9596">
        <v>9595</v>
      </c>
      <c r="B9596">
        <v>920640250</v>
      </c>
      <c r="C9596">
        <v>920640250</v>
      </c>
    </row>
    <row r="9597" spans="1:3">
      <c r="A9597">
        <v>9596</v>
      </c>
      <c r="B9597">
        <v>920832160</v>
      </c>
      <c r="C9597">
        <v>920832160</v>
      </c>
    </row>
    <row r="9598" spans="1:3">
      <c r="A9598">
        <v>9597</v>
      </c>
      <c r="B9598">
        <v>921024090</v>
      </c>
      <c r="C9598">
        <v>921024090</v>
      </c>
    </row>
    <row r="9599" spans="1:3">
      <c r="A9599">
        <v>9598</v>
      </c>
      <c r="B9599">
        <v>921216040</v>
      </c>
      <c r="C9599">
        <v>921216040</v>
      </c>
    </row>
    <row r="9600" spans="1:3">
      <c r="A9600">
        <v>9599</v>
      </c>
      <c r="B9600">
        <v>921408010</v>
      </c>
      <c r="C9600">
        <v>921408010</v>
      </c>
    </row>
    <row r="9601" spans="1:3">
      <c r="A9601">
        <v>9600</v>
      </c>
      <c r="B9601">
        <v>921600000</v>
      </c>
      <c r="C9601">
        <v>921600000</v>
      </c>
    </row>
    <row r="9602" spans="1:3">
      <c r="A9602">
        <v>9601</v>
      </c>
      <c r="B9602">
        <v>921792010</v>
      </c>
      <c r="C9602">
        <v>921792010</v>
      </c>
    </row>
    <row r="9603" spans="1:3">
      <c r="A9603">
        <v>9602</v>
      </c>
      <c r="B9603">
        <v>921984040</v>
      </c>
      <c r="C9603">
        <v>921984040</v>
      </c>
    </row>
    <row r="9604" spans="1:3">
      <c r="A9604">
        <v>9603</v>
      </c>
      <c r="B9604">
        <v>922176090</v>
      </c>
      <c r="C9604">
        <v>922176090</v>
      </c>
    </row>
    <row r="9605" spans="1:3">
      <c r="A9605">
        <v>9604</v>
      </c>
      <c r="B9605">
        <v>922368160</v>
      </c>
      <c r="C9605">
        <v>922368160</v>
      </c>
    </row>
    <row r="9606" spans="1:3">
      <c r="A9606">
        <v>9605</v>
      </c>
      <c r="B9606">
        <v>922560250</v>
      </c>
      <c r="C9606">
        <v>922560250</v>
      </c>
    </row>
    <row r="9607" spans="1:3">
      <c r="A9607">
        <v>9606</v>
      </c>
      <c r="B9607">
        <v>922752360</v>
      </c>
      <c r="C9607">
        <v>922752360</v>
      </c>
    </row>
    <row r="9608" spans="1:3">
      <c r="A9608">
        <v>9607</v>
      </c>
      <c r="B9608">
        <v>922944490</v>
      </c>
      <c r="C9608">
        <v>922944490</v>
      </c>
    </row>
    <row r="9609" spans="1:3">
      <c r="A9609">
        <v>9608</v>
      </c>
      <c r="B9609">
        <v>923136640</v>
      </c>
      <c r="C9609">
        <v>923136640</v>
      </c>
    </row>
    <row r="9610" spans="1:3">
      <c r="A9610">
        <v>9609</v>
      </c>
      <c r="B9610">
        <v>923328810</v>
      </c>
      <c r="C9610">
        <v>923328810</v>
      </c>
    </row>
    <row r="9611" spans="1:3">
      <c r="A9611">
        <v>9610</v>
      </c>
      <c r="B9611">
        <v>923521000</v>
      </c>
      <c r="C9611">
        <v>923521000</v>
      </c>
    </row>
    <row r="9612" spans="1:3">
      <c r="A9612">
        <v>9611</v>
      </c>
      <c r="B9612">
        <v>923713210</v>
      </c>
      <c r="C9612">
        <v>923713210</v>
      </c>
    </row>
    <row r="9613" spans="1:3">
      <c r="A9613">
        <v>9612</v>
      </c>
      <c r="B9613">
        <v>923905440</v>
      </c>
      <c r="C9613">
        <v>923905440</v>
      </c>
    </row>
    <row r="9614" spans="1:3">
      <c r="A9614">
        <v>9613</v>
      </c>
      <c r="B9614">
        <v>924097690</v>
      </c>
      <c r="C9614">
        <v>924097690</v>
      </c>
    </row>
    <row r="9615" spans="1:3">
      <c r="A9615">
        <v>9614</v>
      </c>
      <c r="B9615">
        <v>924289960</v>
      </c>
      <c r="C9615">
        <v>924289960</v>
      </c>
    </row>
    <row r="9616" spans="1:3">
      <c r="A9616">
        <v>9615</v>
      </c>
      <c r="B9616">
        <v>924482250</v>
      </c>
      <c r="C9616">
        <v>924482250</v>
      </c>
    </row>
    <row r="9617" spans="1:3">
      <c r="A9617">
        <v>9616</v>
      </c>
      <c r="B9617">
        <v>924674560</v>
      </c>
      <c r="C9617">
        <v>924674560</v>
      </c>
    </row>
    <row r="9618" spans="1:3">
      <c r="A9618">
        <v>9617</v>
      </c>
      <c r="B9618">
        <v>924866890</v>
      </c>
      <c r="C9618">
        <v>924866890</v>
      </c>
    </row>
    <row r="9619" spans="1:3">
      <c r="A9619">
        <v>9618</v>
      </c>
      <c r="B9619">
        <v>925059240</v>
      </c>
      <c r="C9619">
        <v>925059240</v>
      </c>
    </row>
    <row r="9620" spans="1:3">
      <c r="A9620">
        <v>9619</v>
      </c>
      <c r="B9620">
        <v>925251610</v>
      </c>
      <c r="C9620">
        <v>925251610</v>
      </c>
    </row>
    <row r="9621" spans="1:3">
      <c r="A9621">
        <v>9620</v>
      </c>
      <c r="B9621">
        <v>925444000</v>
      </c>
      <c r="C9621">
        <v>925444000</v>
      </c>
    </row>
    <row r="9622" spans="1:3">
      <c r="A9622">
        <v>9621</v>
      </c>
      <c r="B9622">
        <v>925636410</v>
      </c>
      <c r="C9622">
        <v>925636410</v>
      </c>
    </row>
    <row r="9623" spans="1:3">
      <c r="A9623">
        <v>9622</v>
      </c>
      <c r="B9623">
        <v>925828840</v>
      </c>
      <c r="C9623">
        <v>925828840</v>
      </c>
    </row>
    <row r="9624" spans="1:3">
      <c r="A9624">
        <v>9623</v>
      </c>
      <c r="B9624">
        <v>926021290</v>
      </c>
      <c r="C9624">
        <v>926021290</v>
      </c>
    </row>
    <row r="9625" spans="1:3">
      <c r="A9625">
        <v>9624</v>
      </c>
      <c r="B9625">
        <v>926213760</v>
      </c>
      <c r="C9625">
        <v>926213760</v>
      </c>
    </row>
    <row r="9626" spans="1:3">
      <c r="A9626">
        <v>9625</v>
      </c>
      <c r="B9626">
        <v>926406250</v>
      </c>
      <c r="C9626">
        <v>926406250</v>
      </c>
    </row>
    <row r="9627" spans="1:3">
      <c r="A9627">
        <v>9626</v>
      </c>
      <c r="B9627">
        <v>926598760</v>
      </c>
      <c r="C9627">
        <v>926598760</v>
      </c>
    </row>
    <row r="9628" spans="1:3">
      <c r="A9628">
        <v>9627</v>
      </c>
      <c r="B9628">
        <v>926791290</v>
      </c>
      <c r="C9628">
        <v>926791290</v>
      </c>
    </row>
    <row r="9629" spans="1:3">
      <c r="A9629">
        <v>9628</v>
      </c>
      <c r="B9629">
        <v>926983840</v>
      </c>
      <c r="C9629">
        <v>926983840</v>
      </c>
    </row>
    <row r="9630" spans="1:3">
      <c r="A9630">
        <v>9629</v>
      </c>
      <c r="B9630">
        <v>927176410</v>
      </c>
      <c r="C9630">
        <v>927176410</v>
      </c>
    </row>
    <row r="9631" spans="1:3">
      <c r="A9631">
        <v>9630</v>
      </c>
      <c r="B9631">
        <v>927369000</v>
      </c>
      <c r="C9631">
        <v>927369000</v>
      </c>
    </row>
    <row r="9632" spans="1:3">
      <c r="A9632">
        <v>9631</v>
      </c>
      <c r="B9632">
        <v>927561610</v>
      </c>
      <c r="C9632">
        <v>927561610</v>
      </c>
    </row>
    <row r="9633" spans="1:3">
      <c r="A9633">
        <v>9632</v>
      </c>
      <c r="B9633">
        <v>927754240</v>
      </c>
      <c r="C9633">
        <v>927754240</v>
      </c>
    </row>
    <row r="9634" spans="1:3">
      <c r="A9634">
        <v>9633</v>
      </c>
      <c r="B9634">
        <v>927946890</v>
      </c>
      <c r="C9634">
        <v>927946890</v>
      </c>
    </row>
    <row r="9635" spans="1:3">
      <c r="A9635">
        <v>9634</v>
      </c>
      <c r="B9635">
        <v>928139560</v>
      </c>
      <c r="C9635">
        <v>928139560</v>
      </c>
    </row>
    <row r="9636" spans="1:3">
      <c r="A9636">
        <v>9635</v>
      </c>
      <c r="B9636">
        <v>928332250</v>
      </c>
      <c r="C9636">
        <v>928332250</v>
      </c>
    </row>
    <row r="9637" spans="1:3">
      <c r="A9637">
        <v>9636</v>
      </c>
      <c r="B9637">
        <v>928524960</v>
      </c>
      <c r="C9637">
        <v>928524960</v>
      </c>
    </row>
    <row r="9638" spans="1:3">
      <c r="A9638">
        <v>9637</v>
      </c>
      <c r="B9638">
        <v>928717690</v>
      </c>
      <c r="C9638">
        <v>928717690</v>
      </c>
    </row>
    <row r="9639" spans="1:3">
      <c r="A9639">
        <v>9638</v>
      </c>
      <c r="B9639">
        <v>928910440</v>
      </c>
      <c r="C9639">
        <v>928910440</v>
      </c>
    </row>
    <row r="9640" spans="1:3">
      <c r="A9640">
        <v>9639</v>
      </c>
      <c r="B9640">
        <v>929103210</v>
      </c>
      <c r="C9640">
        <v>929103210</v>
      </c>
    </row>
    <row r="9641" spans="1:3">
      <c r="A9641">
        <v>9640</v>
      </c>
      <c r="B9641">
        <v>929296000</v>
      </c>
      <c r="C9641">
        <v>929296000</v>
      </c>
    </row>
    <row r="9642" spans="1:3">
      <c r="A9642">
        <v>9641</v>
      </c>
      <c r="B9642">
        <v>929488810</v>
      </c>
      <c r="C9642">
        <v>929488810</v>
      </c>
    </row>
    <row r="9643" spans="1:3">
      <c r="A9643">
        <v>9642</v>
      </c>
      <c r="B9643">
        <v>929681640</v>
      </c>
      <c r="C9643">
        <v>929681640</v>
      </c>
    </row>
    <row r="9644" spans="1:3">
      <c r="A9644">
        <v>9643</v>
      </c>
      <c r="B9644">
        <v>929874490</v>
      </c>
      <c r="C9644">
        <v>929874490</v>
      </c>
    </row>
    <row r="9645" spans="1:3">
      <c r="A9645">
        <v>9644</v>
      </c>
      <c r="B9645">
        <v>930067360</v>
      </c>
      <c r="C9645">
        <v>930067360</v>
      </c>
    </row>
    <row r="9646" spans="1:3">
      <c r="A9646">
        <v>9645</v>
      </c>
      <c r="B9646">
        <v>930260250</v>
      </c>
      <c r="C9646">
        <v>930260250</v>
      </c>
    </row>
    <row r="9647" spans="1:3">
      <c r="A9647">
        <v>9646</v>
      </c>
      <c r="B9647">
        <v>930453160</v>
      </c>
      <c r="C9647">
        <v>930453160</v>
      </c>
    </row>
    <row r="9648" spans="1:3">
      <c r="A9648">
        <v>9647</v>
      </c>
      <c r="B9648">
        <v>930646090</v>
      </c>
      <c r="C9648">
        <v>930646090</v>
      </c>
    </row>
    <row r="9649" spans="1:3">
      <c r="A9649">
        <v>9648</v>
      </c>
      <c r="B9649">
        <v>930839040</v>
      </c>
      <c r="C9649">
        <v>930839040</v>
      </c>
    </row>
    <row r="9650" spans="1:3">
      <c r="A9650">
        <v>9649</v>
      </c>
      <c r="B9650">
        <v>931032010</v>
      </c>
      <c r="C9650">
        <v>931032010</v>
      </c>
    </row>
    <row r="9651" spans="1:3">
      <c r="A9651">
        <v>9650</v>
      </c>
      <c r="B9651">
        <v>931225000</v>
      </c>
      <c r="C9651">
        <v>931225000</v>
      </c>
    </row>
    <row r="9652" spans="1:3">
      <c r="A9652">
        <v>9651</v>
      </c>
      <c r="B9652">
        <v>931418010</v>
      </c>
      <c r="C9652">
        <v>931418010</v>
      </c>
    </row>
    <row r="9653" spans="1:3">
      <c r="A9653">
        <v>9652</v>
      </c>
      <c r="B9653">
        <v>931611040</v>
      </c>
      <c r="C9653">
        <v>931611040</v>
      </c>
    </row>
    <row r="9654" spans="1:3">
      <c r="A9654">
        <v>9653</v>
      </c>
      <c r="B9654">
        <v>931804090</v>
      </c>
      <c r="C9654">
        <v>931804090</v>
      </c>
    </row>
    <row r="9655" spans="1:3">
      <c r="A9655">
        <v>9654</v>
      </c>
      <c r="B9655">
        <v>931997160</v>
      </c>
      <c r="C9655">
        <v>931997160</v>
      </c>
    </row>
    <row r="9656" spans="1:3">
      <c r="A9656">
        <v>9655</v>
      </c>
      <c r="B9656">
        <v>932190250</v>
      </c>
      <c r="C9656">
        <v>932190250</v>
      </c>
    </row>
    <row r="9657" spans="1:3">
      <c r="A9657">
        <v>9656</v>
      </c>
      <c r="B9657">
        <v>932383360</v>
      </c>
      <c r="C9657">
        <v>932383360</v>
      </c>
    </row>
    <row r="9658" spans="1:3">
      <c r="A9658">
        <v>9657</v>
      </c>
      <c r="B9658">
        <v>932576490</v>
      </c>
      <c r="C9658">
        <v>932576490</v>
      </c>
    </row>
    <row r="9659" spans="1:3">
      <c r="A9659">
        <v>9658</v>
      </c>
      <c r="B9659">
        <v>932769640</v>
      </c>
      <c r="C9659">
        <v>932769640</v>
      </c>
    </row>
    <row r="9660" spans="1:3">
      <c r="A9660">
        <v>9659</v>
      </c>
      <c r="B9660">
        <v>932962810</v>
      </c>
      <c r="C9660">
        <v>932962810</v>
      </c>
    </row>
    <row r="9661" spans="1:3">
      <c r="A9661">
        <v>9660</v>
      </c>
      <c r="B9661">
        <v>933156000</v>
      </c>
      <c r="C9661">
        <v>933156000</v>
      </c>
    </row>
    <row r="9662" spans="1:3">
      <c r="A9662">
        <v>9661</v>
      </c>
      <c r="B9662">
        <v>933349210</v>
      </c>
      <c r="C9662">
        <v>933349210</v>
      </c>
    </row>
    <row r="9663" spans="1:3">
      <c r="A9663">
        <v>9662</v>
      </c>
      <c r="B9663">
        <v>933542440</v>
      </c>
      <c r="C9663">
        <v>933542440</v>
      </c>
    </row>
    <row r="9664" spans="1:3">
      <c r="A9664">
        <v>9663</v>
      </c>
      <c r="B9664">
        <v>933735690</v>
      </c>
      <c r="C9664">
        <v>933735690</v>
      </c>
    </row>
    <row r="9665" spans="1:3">
      <c r="A9665">
        <v>9664</v>
      </c>
      <c r="B9665">
        <v>933928960</v>
      </c>
      <c r="C9665">
        <v>933928960</v>
      </c>
    </row>
    <row r="9666" spans="1:3">
      <c r="A9666">
        <v>9665</v>
      </c>
      <c r="B9666">
        <v>934122250</v>
      </c>
      <c r="C9666">
        <v>934122250</v>
      </c>
    </row>
    <row r="9667" spans="1:3">
      <c r="A9667">
        <v>9666</v>
      </c>
      <c r="B9667">
        <v>934315560</v>
      </c>
      <c r="C9667">
        <v>934315560</v>
      </c>
    </row>
    <row r="9668" spans="1:3">
      <c r="A9668">
        <v>9667</v>
      </c>
      <c r="B9668">
        <v>934508890</v>
      </c>
      <c r="C9668">
        <v>934508890</v>
      </c>
    </row>
    <row r="9669" spans="1:3">
      <c r="A9669">
        <v>9668</v>
      </c>
      <c r="B9669">
        <v>934702240</v>
      </c>
      <c r="C9669">
        <v>934702240</v>
      </c>
    </row>
    <row r="9670" spans="1:3">
      <c r="A9670">
        <v>9669</v>
      </c>
      <c r="B9670">
        <v>934895610</v>
      </c>
      <c r="C9670">
        <v>934895610</v>
      </c>
    </row>
    <row r="9671" spans="1:3">
      <c r="A9671">
        <v>9670</v>
      </c>
      <c r="B9671">
        <v>935089000</v>
      </c>
      <c r="C9671">
        <v>935089000</v>
      </c>
    </row>
    <row r="9672" spans="1:3">
      <c r="A9672">
        <v>9671</v>
      </c>
      <c r="B9672">
        <v>935282410</v>
      </c>
      <c r="C9672">
        <v>935282410</v>
      </c>
    </row>
    <row r="9673" spans="1:3">
      <c r="A9673">
        <v>9672</v>
      </c>
      <c r="B9673">
        <v>935475840</v>
      </c>
      <c r="C9673">
        <v>935475840</v>
      </c>
    </row>
    <row r="9674" spans="1:3">
      <c r="A9674">
        <v>9673</v>
      </c>
      <c r="B9674">
        <v>935669290</v>
      </c>
      <c r="C9674">
        <v>935669290</v>
      </c>
    </row>
    <row r="9675" spans="1:3">
      <c r="A9675">
        <v>9674</v>
      </c>
      <c r="B9675">
        <v>935862760</v>
      </c>
      <c r="C9675">
        <v>935862760</v>
      </c>
    </row>
    <row r="9676" spans="1:3">
      <c r="A9676">
        <v>9675</v>
      </c>
      <c r="B9676">
        <v>936056250</v>
      </c>
      <c r="C9676">
        <v>936056250</v>
      </c>
    </row>
    <row r="9677" spans="1:3">
      <c r="A9677">
        <v>9676</v>
      </c>
      <c r="B9677">
        <v>936249760</v>
      </c>
      <c r="C9677">
        <v>936249760</v>
      </c>
    </row>
    <row r="9678" spans="1:3">
      <c r="A9678">
        <v>9677</v>
      </c>
      <c r="B9678">
        <v>936443290</v>
      </c>
      <c r="C9678">
        <v>936443290</v>
      </c>
    </row>
    <row r="9679" spans="1:3">
      <c r="A9679">
        <v>9678</v>
      </c>
      <c r="B9679">
        <v>936636840</v>
      </c>
      <c r="C9679">
        <v>936636840</v>
      </c>
    </row>
    <row r="9680" spans="1:3">
      <c r="A9680">
        <v>9679</v>
      </c>
      <c r="B9680">
        <v>936830410</v>
      </c>
      <c r="C9680">
        <v>936830410</v>
      </c>
    </row>
    <row r="9681" spans="1:3">
      <c r="A9681">
        <v>9680</v>
      </c>
      <c r="B9681">
        <v>937024000</v>
      </c>
      <c r="C9681">
        <v>937024000</v>
      </c>
    </row>
    <row r="9682" spans="1:3">
      <c r="A9682">
        <v>9681</v>
      </c>
      <c r="B9682">
        <v>937217610</v>
      </c>
      <c r="C9682">
        <v>937217610</v>
      </c>
    </row>
    <row r="9683" spans="1:3">
      <c r="A9683">
        <v>9682</v>
      </c>
      <c r="B9683">
        <v>937411240</v>
      </c>
      <c r="C9683">
        <v>937411240</v>
      </c>
    </row>
    <row r="9684" spans="1:3">
      <c r="A9684">
        <v>9683</v>
      </c>
      <c r="B9684">
        <v>937604890</v>
      </c>
      <c r="C9684">
        <v>937604890</v>
      </c>
    </row>
    <row r="9685" spans="1:3">
      <c r="A9685">
        <v>9684</v>
      </c>
      <c r="B9685">
        <v>937798560</v>
      </c>
      <c r="C9685">
        <v>937798560</v>
      </c>
    </row>
    <row r="9686" spans="1:3">
      <c r="A9686">
        <v>9685</v>
      </c>
      <c r="B9686">
        <v>937992250</v>
      </c>
      <c r="C9686">
        <v>937992250</v>
      </c>
    </row>
    <row r="9687" spans="1:3">
      <c r="A9687">
        <v>9686</v>
      </c>
      <c r="B9687">
        <v>938185960</v>
      </c>
      <c r="C9687">
        <v>938185960</v>
      </c>
    </row>
    <row r="9688" spans="1:3">
      <c r="A9688">
        <v>9687</v>
      </c>
      <c r="B9688">
        <v>938379690</v>
      </c>
      <c r="C9688">
        <v>938379690</v>
      </c>
    </row>
    <row r="9689" spans="1:3">
      <c r="A9689">
        <v>9688</v>
      </c>
      <c r="B9689">
        <v>938573440</v>
      </c>
      <c r="C9689">
        <v>938573440</v>
      </c>
    </row>
    <row r="9690" spans="1:3">
      <c r="A9690">
        <v>9689</v>
      </c>
      <c r="B9690">
        <v>938767210</v>
      </c>
      <c r="C9690">
        <v>938767210</v>
      </c>
    </row>
    <row r="9691" spans="1:3">
      <c r="A9691">
        <v>9690</v>
      </c>
      <c r="B9691">
        <v>938961000</v>
      </c>
      <c r="C9691">
        <v>938961000</v>
      </c>
    </row>
    <row r="9692" spans="1:3">
      <c r="A9692">
        <v>9691</v>
      </c>
      <c r="B9692">
        <v>939154810</v>
      </c>
      <c r="C9692">
        <v>939154810</v>
      </c>
    </row>
    <row r="9693" spans="1:3">
      <c r="A9693">
        <v>9692</v>
      </c>
      <c r="B9693">
        <v>939348640</v>
      </c>
      <c r="C9693">
        <v>939348640</v>
      </c>
    </row>
    <row r="9694" spans="1:3">
      <c r="A9694">
        <v>9693</v>
      </c>
      <c r="B9694">
        <v>939542490</v>
      </c>
      <c r="C9694">
        <v>939542490</v>
      </c>
    </row>
    <row r="9695" spans="1:3">
      <c r="A9695">
        <v>9694</v>
      </c>
      <c r="B9695">
        <v>939736360</v>
      </c>
      <c r="C9695">
        <v>939736360</v>
      </c>
    </row>
    <row r="9696" spans="1:3">
      <c r="A9696">
        <v>9695</v>
      </c>
      <c r="B9696">
        <v>939930250</v>
      </c>
      <c r="C9696">
        <v>939930250</v>
      </c>
    </row>
    <row r="9697" spans="1:3">
      <c r="A9697">
        <v>9696</v>
      </c>
      <c r="B9697">
        <v>940124160</v>
      </c>
      <c r="C9697">
        <v>940124160</v>
      </c>
    </row>
    <row r="9698" spans="1:3">
      <c r="A9698">
        <v>9697</v>
      </c>
      <c r="B9698">
        <v>940318090</v>
      </c>
      <c r="C9698">
        <v>940318090</v>
      </c>
    </row>
    <row r="9699" spans="1:3">
      <c r="A9699">
        <v>9698</v>
      </c>
      <c r="B9699">
        <v>940512040</v>
      </c>
      <c r="C9699">
        <v>940512040</v>
      </c>
    </row>
    <row r="9700" spans="1:3">
      <c r="A9700">
        <v>9699</v>
      </c>
      <c r="B9700">
        <v>940706010</v>
      </c>
      <c r="C9700">
        <v>940706010</v>
      </c>
    </row>
    <row r="9701" spans="1:3">
      <c r="A9701">
        <v>9700</v>
      </c>
      <c r="B9701">
        <v>940900000</v>
      </c>
      <c r="C9701">
        <v>940900000</v>
      </c>
    </row>
    <row r="9702" spans="1:3">
      <c r="A9702">
        <v>9701</v>
      </c>
      <c r="B9702">
        <v>941094010</v>
      </c>
      <c r="C9702">
        <v>941094010</v>
      </c>
    </row>
    <row r="9703" spans="1:3">
      <c r="A9703">
        <v>9702</v>
      </c>
      <c r="B9703">
        <v>941288040</v>
      </c>
      <c r="C9703">
        <v>941288040</v>
      </c>
    </row>
    <row r="9704" spans="1:3">
      <c r="A9704">
        <v>9703</v>
      </c>
      <c r="B9704">
        <v>941482090</v>
      </c>
      <c r="C9704">
        <v>941482090</v>
      </c>
    </row>
    <row r="9705" spans="1:3">
      <c r="A9705">
        <v>9704</v>
      </c>
      <c r="B9705">
        <v>941676160</v>
      </c>
      <c r="C9705">
        <v>941676160</v>
      </c>
    </row>
    <row r="9706" spans="1:3">
      <c r="A9706">
        <v>9705</v>
      </c>
      <c r="B9706">
        <v>941870250</v>
      </c>
      <c r="C9706">
        <v>941870250</v>
      </c>
    </row>
    <row r="9707" spans="1:3">
      <c r="A9707">
        <v>9706</v>
      </c>
      <c r="B9707">
        <v>942064360</v>
      </c>
      <c r="C9707">
        <v>942064360</v>
      </c>
    </row>
    <row r="9708" spans="1:3">
      <c r="A9708">
        <v>9707</v>
      </c>
      <c r="B9708">
        <v>942258490</v>
      </c>
      <c r="C9708">
        <v>942258490</v>
      </c>
    </row>
    <row r="9709" spans="1:3">
      <c r="A9709">
        <v>9708</v>
      </c>
      <c r="B9709">
        <v>942452640</v>
      </c>
      <c r="C9709">
        <v>942452640</v>
      </c>
    </row>
    <row r="9710" spans="1:3">
      <c r="A9710">
        <v>9709</v>
      </c>
      <c r="B9710">
        <v>942646810</v>
      </c>
      <c r="C9710">
        <v>942646810</v>
      </c>
    </row>
    <row r="9711" spans="1:3">
      <c r="A9711">
        <v>9710</v>
      </c>
      <c r="B9711">
        <v>942841000</v>
      </c>
      <c r="C9711">
        <v>942841000</v>
      </c>
    </row>
    <row r="9712" spans="1:3">
      <c r="A9712">
        <v>9711</v>
      </c>
      <c r="B9712">
        <v>943035210</v>
      </c>
      <c r="C9712">
        <v>943035210</v>
      </c>
    </row>
    <row r="9713" spans="1:3">
      <c r="A9713">
        <v>9712</v>
      </c>
      <c r="B9713">
        <v>943229440</v>
      </c>
      <c r="C9713">
        <v>943229440</v>
      </c>
    </row>
    <row r="9714" spans="1:3">
      <c r="A9714">
        <v>9713</v>
      </c>
      <c r="B9714">
        <v>943423690</v>
      </c>
      <c r="C9714">
        <v>943423690</v>
      </c>
    </row>
    <row r="9715" spans="1:3">
      <c r="A9715">
        <v>9714</v>
      </c>
      <c r="B9715">
        <v>943617960</v>
      </c>
      <c r="C9715">
        <v>943617960</v>
      </c>
    </row>
    <row r="9716" spans="1:3">
      <c r="A9716">
        <v>9715</v>
      </c>
      <c r="B9716">
        <v>943812250</v>
      </c>
      <c r="C9716">
        <v>943812250</v>
      </c>
    </row>
    <row r="9717" spans="1:3">
      <c r="A9717">
        <v>9716</v>
      </c>
      <c r="B9717">
        <v>944006560</v>
      </c>
      <c r="C9717">
        <v>944006560</v>
      </c>
    </row>
    <row r="9718" spans="1:3">
      <c r="A9718">
        <v>9717</v>
      </c>
      <c r="B9718">
        <v>944200890</v>
      </c>
      <c r="C9718">
        <v>944200890</v>
      </c>
    </row>
    <row r="9719" spans="1:3">
      <c r="A9719">
        <v>9718</v>
      </c>
      <c r="B9719">
        <v>944395240</v>
      </c>
      <c r="C9719">
        <v>944395240</v>
      </c>
    </row>
    <row r="9720" spans="1:3">
      <c r="A9720">
        <v>9719</v>
      </c>
      <c r="B9720">
        <v>944589610</v>
      </c>
      <c r="C9720">
        <v>944589610</v>
      </c>
    </row>
    <row r="9721" spans="1:3">
      <c r="A9721">
        <v>9720</v>
      </c>
      <c r="B9721">
        <v>944784000</v>
      </c>
      <c r="C9721">
        <v>944784000</v>
      </c>
    </row>
    <row r="9722" spans="1:3">
      <c r="A9722">
        <v>9721</v>
      </c>
      <c r="B9722">
        <v>944978410</v>
      </c>
      <c r="C9722">
        <v>944978410</v>
      </c>
    </row>
    <row r="9723" spans="1:3">
      <c r="A9723">
        <v>9722</v>
      </c>
      <c r="B9723">
        <v>945172840</v>
      </c>
      <c r="C9723">
        <v>945172840</v>
      </c>
    </row>
    <row r="9724" spans="1:3">
      <c r="A9724">
        <v>9723</v>
      </c>
      <c r="B9724">
        <v>945367290</v>
      </c>
      <c r="C9724">
        <v>945367290</v>
      </c>
    </row>
    <row r="9725" spans="1:3">
      <c r="A9725">
        <v>9724</v>
      </c>
      <c r="B9725">
        <v>945561760</v>
      </c>
      <c r="C9725">
        <v>945561760</v>
      </c>
    </row>
    <row r="9726" spans="1:3">
      <c r="A9726">
        <v>9725</v>
      </c>
      <c r="B9726">
        <v>945756250</v>
      </c>
      <c r="C9726">
        <v>945756250</v>
      </c>
    </row>
    <row r="9727" spans="1:3">
      <c r="A9727">
        <v>9726</v>
      </c>
      <c r="B9727">
        <v>945950760</v>
      </c>
      <c r="C9727">
        <v>945950760</v>
      </c>
    </row>
    <row r="9728" spans="1:3">
      <c r="A9728">
        <v>9727</v>
      </c>
      <c r="B9728">
        <v>946145290</v>
      </c>
      <c r="C9728">
        <v>946145290</v>
      </c>
    </row>
    <row r="9729" spans="1:3">
      <c r="A9729">
        <v>9728</v>
      </c>
      <c r="B9729">
        <v>946339840</v>
      </c>
      <c r="C9729">
        <v>946339840</v>
      </c>
    </row>
    <row r="9730" spans="1:3">
      <c r="A9730">
        <v>9729</v>
      </c>
      <c r="B9730">
        <v>946534410</v>
      </c>
      <c r="C9730">
        <v>946534410</v>
      </c>
    </row>
    <row r="9731" spans="1:3">
      <c r="A9731">
        <v>9730</v>
      </c>
      <c r="B9731">
        <v>946729000</v>
      </c>
      <c r="C9731">
        <v>946729000</v>
      </c>
    </row>
    <row r="9732" spans="1:3">
      <c r="A9732">
        <v>9731</v>
      </c>
      <c r="B9732">
        <v>946923610</v>
      </c>
      <c r="C9732">
        <v>946923610</v>
      </c>
    </row>
    <row r="9733" spans="1:3">
      <c r="A9733">
        <v>9732</v>
      </c>
      <c r="B9733">
        <v>947118240</v>
      </c>
      <c r="C9733">
        <v>947118240</v>
      </c>
    </row>
    <row r="9734" spans="1:3">
      <c r="A9734">
        <v>9733</v>
      </c>
      <c r="B9734">
        <v>947312890</v>
      </c>
      <c r="C9734">
        <v>947312890</v>
      </c>
    </row>
    <row r="9735" spans="1:3">
      <c r="A9735">
        <v>9734</v>
      </c>
      <c r="B9735">
        <v>947507560</v>
      </c>
      <c r="C9735">
        <v>947507560</v>
      </c>
    </row>
    <row r="9736" spans="1:3">
      <c r="A9736">
        <v>9735</v>
      </c>
      <c r="B9736">
        <v>947702250</v>
      </c>
      <c r="C9736">
        <v>947702250</v>
      </c>
    </row>
    <row r="9737" spans="1:3">
      <c r="A9737">
        <v>9736</v>
      </c>
      <c r="B9737">
        <v>947896960</v>
      </c>
      <c r="C9737">
        <v>947896960</v>
      </c>
    </row>
    <row r="9738" spans="1:3">
      <c r="A9738">
        <v>9737</v>
      </c>
      <c r="B9738">
        <v>948091690</v>
      </c>
      <c r="C9738">
        <v>948091690</v>
      </c>
    </row>
    <row r="9739" spans="1:3">
      <c r="A9739">
        <v>9738</v>
      </c>
      <c r="B9739">
        <v>948286440</v>
      </c>
      <c r="C9739">
        <v>948286440</v>
      </c>
    </row>
    <row r="9740" spans="1:3">
      <c r="A9740">
        <v>9739</v>
      </c>
      <c r="B9740">
        <v>948481210</v>
      </c>
      <c r="C9740">
        <v>948481210</v>
      </c>
    </row>
    <row r="9741" spans="1:3">
      <c r="A9741">
        <v>9740</v>
      </c>
      <c r="B9741">
        <v>948676000</v>
      </c>
      <c r="C9741">
        <v>948676000</v>
      </c>
    </row>
    <row r="9742" spans="1:3">
      <c r="A9742">
        <v>9741</v>
      </c>
      <c r="B9742">
        <v>948870810</v>
      </c>
      <c r="C9742">
        <v>948870810</v>
      </c>
    </row>
    <row r="9743" spans="1:3">
      <c r="A9743">
        <v>9742</v>
      </c>
      <c r="B9743">
        <v>949065640</v>
      </c>
      <c r="C9743">
        <v>949065640</v>
      </c>
    </row>
    <row r="9744" spans="1:3">
      <c r="A9744">
        <v>9743</v>
      </c>
      <c r="B9744">
        <v>949260490</v>
      </c>
      <c r="C9744">
        <v>949260490</v>
      </c>
    </row>
    <row r="9745" spans="1:3">
      <c r="A9745">
        <v>9744</v>
      </c>
      <c r="B9745">
        <v>949455360</v>
      </c>
      <c r="C9745">
        <v>949455360</v>
      </c>
    </row>
    <row r="9746" spans="1:3">
      <c r="A9746">
        <v>9745</v>
      </c>
      <c r="B9746">
        <v>949650250</v>
      </c>
      <c r="C9746">
        <v>949650250</v>
      </c>
    </row>
    <row r="9747" spans="1:3">
      <c r="A9747">
        <v>9746</v>
      </c>
      <c r="B9747">
        <v>949845160</v>
      </c>
      <c r="C9747">
        <v>949845160</v>
      </c>
    </row>
    <row r="9748" spans="1:3">
      <c r="A9748">
        <v>9747</v>
      </c>
      <c r="B9748">
        <v>950040090</v>
      </c>
      <c r="C9748">
        <v>950040090</v>
      </c>
    </row>
    <row r="9749" spans="1:3">
      <c r="A9749">
        <v>9748</v>
      </c>
      <c r="B9749">
        <v>950235040</v>
      </c>
      <c r="C9749">
        <v>950235040</v>
      </c>
    </row>
    <row r="9750" spans="1:3">
      <c r="A9750">
        <v>9749</v>
      </c>
      <c r="B9750">
        <v>950430010</v>
      </c>
      <c r="C9750">
        <v>950430010</v>
      </c>
    </row>
    <row r="9751" spans="1:3">
      <c r="A9751">
        <v>9750</v>
      </c>
      <c r="B9751">
        <v>950625000</v>
      </c>
      <c r="C9751">
        <v>950625000</v>
      </c>
    </row>
    <row r="9752" spans="1:3">
      <c r="A9752">
        <v>9751</v>
      </c>
      <c r="B9752">
        <v>950820010</v>
      </c>
      <c r="C9752">
        <v>950820010</v>
      </c>
    </row>
    <row r="9753" spans="1:3">
      <c r="A9753">
        <v>9752</v>
      </c>
      <c r="B9753">
        <v>951015040</v>
      </c>
      <c r="C9753">
        <v>951015040</v>
      </c>
    </row>
    <row r="9754" spans="1:3">
      <c r="A9754">
        <v>9753</v>
      </c>
      <c r="B9754">
        <v>951210090</v>
      </c>
      <c r="C9754">
        <v>951210090</v>
      </c>
    </row>
    <row r="9755" spans="1:3">
      <c r="A9755">
        <v>9754</v>
      </c>
      <c r="B9755">
        <v>951405160</v>
      </c>
      <c r="C9755">
        <v>951405160</v>
      </c>
    </row>
    <row r="9756" spans="1:3">
      <c r="A9756">
        <v>9755</v>
      </c>
      <c r="B9756">
        <v>951600250</v>
      </c>
      <c r="C9756">
        <v>951600250</v>
      </c>
    </row>
    <row r="9757" spans="1:3">
      <c r="A9757">
        <v>9756</v>
      </c>
      <c r="B9757">
        <v>951795360</v>
      </c>
      <c r="C9757">
        <v>951795360</v>
      </c>
    </row>
    <row r="9758" spans="1:3">
      <c r="A9758">
        <v>9757</v>
      </c>
      <c r="B9758">
        <v>951990490</v>
      </c>
      <c r="C9758">
        <v>951990490</v>
      </c>
    </row>
    <row r="9759" spans="1:3">
      <c r="A9759">
        <v>9758</v>
      </c>
      <c r="B9759">
        <v>952185640</v>
      </c>
      <c r="C9759">
        <v>952185640</v>
      </c>
    </row>
    <row r="9760" spans="1:3">
      <c r="A9760">
        <v>9759</v>
      </c>
      <c r="B9760">
        <v>952380810</v>
      </c>
      <c r="C9760">
        <v>952380810</v>
      </c>
    </row>
    <row r="9761" spans="1:3">
      <c r="A9761">
        <v>9760</v>
      </c>
      <c r="B9761">
        <v>952576000</v>
      </c>
      <c r="C9761">
        <v>952576000</v>
      </c>
    </row>
    <row r="9762" spans="1:3">
      <c r="A9762">
        <v>9761</v>
      </c>
      <c r="B9762">
        <v>952771210</v>
      </c>
      <c r="C9762">
        <v>952771210</v>
      </c>
    </row>
    <row r="9763" spans="1:3">
      <c r="A9763">
        <v>9762</v>
      </c>
      <c r="B9763">
        <v>952966440</v>
      </c>
      <c r="C9763">
        <v>952966440</v>
      </c>
    </row>
    <row r="9764" spans="1:3">
      <c r="A9764">
        <v>9763</v>
      </c>
      <c r="B9764">
        <v>953161690</v>
      </c>
      <c r="C9764">
        <v>953161690</v>
      </c>
    </row>
    <row r="9765" spans="1:3">
      <c r="A9765">
        <v>9764</v>
      </c>
      <c r="B9765">
        <v>953356960</v>
      </c>
      <c r="C9765">
        <v>953356960</v>
      </c>
    </row>
    <row r="9766" spans="1:3">
      <c r="A9766">
        <v>9765</v>
      </c>
      <c r="B9766">
        <v>953552250</v>
      </c>
      <c r="C9766">
        <v>953552250</v>
      </c>
    </row>
    <row r="9767" spans="1:3">
      <c r="A9767">
        <v>9766</v>
      </c>
      <c r="B9767">
        <v>953747560</v>
      </c>
      <c r="C9767">
        <v>953747560</v>
      </c>
    </row>
    <row r="9768" spans="1:3">
      <c r="A9768">
        <v>9767</v>
      </c>
      <c r="B9768">
        <v>953942890</v>
      </c>
      <c r="C9768">
        <v>953942890</v>
      </c>
    </row>
    <row r="9769" spans="1:3">
      <c r="A9769">
        <v>9768</v>
      </c>
      <c r="B9769">
        <v>954138240</v>
      </c>
      <c r="C9769">
        <v>954138240</v>
      </c>
    </row>
    <row r="9770" spans="1:3">
      <c r="A9770">
        <v>9769</v>
      </c>
      <c r="B9770">
        <v>954333610</v>
      </c>
      <c r="C9770">
        <v>954333610</v>
      </c>
    </row>
    <row r="9771" spans="1:3">
      <c r="A9771">
        <v>9770</v>
      </c>
      <c r="B9771">
        <v>954529000</v>
      </c>
      <c r="C9771">
        <v>954529000</v>
      </c>
    </row>
    <row r="9772" spans="1:3">
      <c r="A9772">
        <v>9771</v>
      </c>
      <c r="B9772">
        <v>954724410</v>
      </c>
      <c r="C9772">
        <v>954724410</v>
      </c>
    </row>
    <row r="9773" spans="1:3">
      <c r="A9773">
        <v>9772</v>
      </c>
      <c r="B9773">
        <v>954919840</v>
      </c>
      <c r="C9773">
        <v>954919840</v>
      </c>
    </row>
    <row r="9774" spans="1:3">
      <c r="A9774">
        <v>9773</v>
      </c>
      <c r="B9774">
        <v>955115290</v>
      </c>
      <c r="C9774">
        <v>955115290</v>
      </c>
    </row>
    <row r="9775" spans="1:3">
      <c r="A9775">
        <v>9774</v>
      </c>
      <c r="B9775">
        <v>955310760</v>
      </c>
      <c r="C9775">
        <v>955310760</v>
      </c>
    </row>
    <row r="9776" spans="1:3">
      <c r="A9776">
        <v>9775</v>
      </c>
      <c r="B9776">
        <v>955506250</v>
      </c>
      <c r="C9776">
        <v>955506250</v>
      </c>
    </row>
    <row r="9777" spans="1:3">
      <c r="A9777">
        <v>9776</v>
      </c>
      <c r="B9777">
        <v>955701760</v>
      </c>
      <c r="C9777">
        <v>955701760</v>
      </c>
    </row>
    <row r="9778" spans="1:3">
      <c r="A9778">
        <v>9777</v>
      </c>
      <c r="B9778">
        <v>955897290</v>
      </c>
      <c r="C9778">
        <v>955897290</v>
      </c>
    </row>
    <row r="9779" spans="1:3">
      <c r="A9779">
        <v>9778</v>
      </c>
      <c r="B9779">
        <v>956092840</v>
      </c>
      <c r="C9779">
        <v>956092840</v>
      </c>
    </row>
    <row r="9780" spans="1:3">
      <c r="A9780">
        <v>9779</v>
      </c>
      <c r="B9780">
        <v>956288410</v>
      </c>
      <c r="C9780">
        <v>956288410</v>
      </c>
    </row>
    <row r="9781" spans="1:3">
      <c r="A9781">
        <v>9780</v>
      </c>
      <c r="B9781">
        <v>956484000</v>
      </c>
      <c r="C9781">
        <v>956484000</v>
      </c>
    </row>
    <row r="9782" spans="1:3">
      <c r="A9782">
        <v>9781</v>
      </c>
      <c r="B9782">
        <v>956679610</v>
      </c>
      <c r="C9782">
        <v>956679610</v>
      </c>
    </row>
    <row r="9783" spans="1:3">
      <c r="A9783">
        <v>9782</v>
      </c>
      <c r="B9783">
        <v>956875240</v>
      </c>
      <c r="C9783">
        <v>956875240</v>
      </c>
    </row>
    <row r="9784" spans="1:3">
      <c r="A9784">
        <v>9783</v>
      </c>
      <c r="B9784">
        <v>957070890</v>
      </c>
      <c r="C9784">
        <v>957070890</v>
      </c>
    </row>
    <row r="9785" spans="1:3">
      <c r="A9785">
        <v>9784</v>
      </c>
      <c r="B9785">
        <v>957266560</v>
      </c>
      <c r="C9785">
        <v>957266560</v>
      </c>
    </row>
    <row r="9786" spans="1:3">
      <c r="A9786">
        <v>9785</v>
      </c>
      <c r="B9786">
        <v>957462250</v>
      </c>
      <c r="C9786">
        <v>957462250</v>
      </c>
    </row>
    <row r="9787" spans="1:3">
      <c r="A9787">
        <v>9786</v>
      </c>
      <c r="B9787">
        <v>957657960</v>
      </c>
      <c r="C9787">
        <v>957657960</v>
      </c>
    </row>
    <row r="9788" spans="1:3">
      <c r="A9788">
        <v>9787</v>
      </c>
      <c r="B9788">
        <v>957853690</v>
      </c>
      <c r="C9788">
        <v>957853690</v>
      </c>
    </row>
    <row r="9789" spans="1:3">
      <c r="A9789">
        <v>9788</v>
      </c>
      <c r="B9789">
        <v>958049440</v>
      </c>
      <c r="C9789">
        <v>958049440</v>
      </c>
    </row>
    <row r="9790" spans="1:3">
      <c r="A9790">
        <v>9789</v>
      </c>
      <c r="B9790">
        <v>958245210</v>
      </c>
      <c r="C9790">
        <v>958245210</v>
      </c>
    </row>
    <row r="9791" spans="1:3">
      <c r="A9791">
        <v>9790</v>
      </c>
      <c r="B9791">
        <v>958441000</v>
      </c>
      <c r="C9791">
        <v>958441000</v>
      </c>
    </row>
    <row r="9792" spans="1:3">
      <c r="A9792">
        <v>9791</v>
      </c>
      <c r="B9792">
        <v>958636810</v>
      </c>
      <c r="C9792">
        <v>958636810</v>
      </c>
    </row>
    <row r="9793" spans="1:3">
      <c r="A9793">
        <v>9792</v>
      </c>
      <c r="B9793">
        <v>958832640</v>
      </c>
      <c r="C9793">
        <v>958832640</v>
      </c>
    </row>
    <row r="9794" spans="1:3">
      <c r="A9794">
        <v>9793</v>
      </c>
      <c r="B9794">
        <v>959028490</v>
      </c>
      <c r="C9794">
        <v>959028490</v>
      </c>
    </row>
    <row r="9795" spans="1:3">
      <c r="A9795">
        <v>9794</v>
      </c>
      <c r="B9795">
        <v>959224360</v>
      </c>
      <c r="C9795">
        <v>959224360</v>
      </c>
    </row>
    <row r="9796" spans="1:3">
      <c r="A9796">
        <v>9795</v>
      </c>
      <c r="B9796">
        <v>959420250</v>
      </c>
      <c r="C9796">
        <v>959420250</v>
      </c>
    </row>
    <row r="9797" spans="1:3">
      <c r="A9797">
        <v>9796</v>
      </c>
      <c r="B9797">
        <v>959616160</v>
      </c>
      <c r="C9797">
        <v>959616160</v>
      </c>
    </row>
    <row r="9798" spans="1:3">
      <c r="A9798">
        <v>9797</v>
      </c>
      <c r="B9798">
        <v>959812090</v>
      </c>
      <c r="C9798">
        <v>959812090</v>
      </c>
    </row>
    <row r="9799" spans="1:3">
      <c r="A9799">
        <v>9798</v>
      </c>
      <c r="B9799">
        <v>960008040</v>
      </c>
      <c r="C9799">
        <v>960008040</v>
      </c>
    </row>
    <row r="9800" spans="1:3">
      <c r="A9800">
        <v>9799</v>
      </c>
      <c r="B9800">
        <v>960204010</v>
      </c>
      <c r="C9800">
        <v>960204010</v>
      </c>
    </row>
    <row r="9801" spans="1:3">
      <c r="A9801">
        <v>9800</v>
      </c>
      <c r="B9801">
        <v>960400000</v>
      </c>
      <c r="C9801">
        <v>960400000</v>
      </c>
    </row>
    <row r="9802" spans="1:3">
      <c r="A9802">
        <v>9801</v>
      </c>
      <c r="B9802">
        <v>960596010</v>
      </c>
      <c r="C9802">
        <v>960596010</v>
      </c>
    </row>
    <row r="9803" spans="1:3">
      <c r="A9803">
        <v>9802</v>
      </c>
      <c r="B9803">
        <v>960792040</v>
      </c>
      <c r="C9803">
        <v>960792040</v>
      </c>
    </row>
    <row r="9804" spans="1:3">
      <c r="A9804">
        <v>9803</v>
      </c>
      <c r="B9804">
        <v>960988090</v>
      </c>
      <c r="C9804">
        <v>960988090</v>
      </c>
    </row>
    <row r="9805" spans="1:3">
      <c r="A9805">
        <v>9804</v>
      </c>
      <c r="B9805">
        <v>961184160</v>
      </c>
      <c r="C9805">
        <v>961184160</v>
      </c>
    </row>
    <row r="9806" spans="1:3">
      <c r="A9806">
        <v>9805</v>
      </c>
      <c r="B9806">
        <v>961380250</v>
      </c>
      <c r="C9806">
        <v>961380250</v>
      </c>
    </row>
    <row r="9807" spans="1:3">
      <c r="A9807">
        <v>9806</v>
      </c>
      <c r="B9807">
        <v>961576360</v>
      </c>
      <c r="C9807">
        <v>961576360</v>
      </c>
    </row>
    <row r="9808" spans="1:3">
      <c r="A9808">
        <v>9807</v>
      </c>
      <c r="B9808">
        <v>961772490</v>
      </c>
      <c r="C9808">
        <v>961772490</v>
      </c>
    </row>
    <row r="9809" spans="1:3">
      <c r="A9809">
        <v>9808</v>
      </c>
      <c r="B9809">
        <v>961968640</v>
      </c>
      <c r="C9809">
        <v>961968640</v>
      </c>
    </row>
    <row r="9810" spans="1:3">
      <c r="A9810">
        <v>9809</v>
      </c>
      <c r="B9810">
        <v>962164810</v>
      </c>
      <c r="C9810">
        <v>962164810</v>
      </c>
    </row>
    <row r="9811" spans="1:3">
      <c r="A9811">
        <v>9810</v>
      </c>
      <c r="B9811">
        <v>962361000</v>
      </c>
      <c r="C9811">
        <v>962361000</v>
      </c>
    </row>
    <row r="9812" spans="1:3">
      <c r="A9812">
        <v>9811</v>
      </c>
      <c r="B9812">
        <v>962557210</v>
      </c>
      <c r="C9812">
        <v>962557210</v>
      </c>
    </row>
    <row r="9813" spans="1:3">
      <c r="A9813">
        <v>9812</v>
      </c>
      <c r="B9813">
        <v>962753440</v>
      </c>
      <c r="C9813">
        <v>962753440</v>
      </c>
    </row>
    <row r="9814" spans="1:3">
      <c r="A9814">
        <v>9813</v>
      </c>
      <c r="B9814">
        <v>962949690</v>
      </c>
      <c r="C9814">
        <v>962949690</v>
      </c>
    </row>
    <row r="9815" spans="1:3">
      <c r="A9815">
        <v>9814</v>
      </c>
      <c r="B9815">
        <v>963145960</v>
      </c>
      <c r="C9815">
        <v>963145960</v>
      </c>
    </row>
    <row r="9816" spans="1:3">
      <c r="A9816">
        <v>9815</v>
      </c>
      <c r="B9816">
        <v>963342250</v>
      </c>
      <c r="C9816">
        <v>963342250</v>
      </c>
    </row>
    <row r="9817" spans="1:3">
      <c r="A9817">
        <v>9816</v>
      </c>
      <c r="B9817">
        <v>963538560</v>
      </c>
      <c r="C9817">
        <v>963538560</v>
      </c>
    </row>
    <row r="9818" spans="1:3">
      <c r="A9818">
        <v>9817</v>
      </c>
      <c r="B9818">
        <v>963734890</v>
      </c>
      <c r="C9818">
        <v>963734890</v>
      </c>
    </row>
    <row r="9819" spans="1:3">
      <c r="A9819">
        <v>9818</v>
      </c>
      <c r="B9819">
        <v>963931240</v>
      </c>
      <c r="C9819">
        <v>963931240</v>
      </c>
    </row>
    <row r="9820" spans="1:3">
      <c r="A9820">
        <v>9819</v>
      </c>
      <c r="B9820">
        <v>964127610</v>
      </c>
      <c r="C9820">
        <v>964127610</v>
      </c>
    </row>
    <row r="9821" spans="1:3">
      <c r="A9821">
        <v>9820</v>
      </c>
      <c r="B9821">
        <v>964324000</v>
      </c>
      <c r="C9821">
        <v>964324000</v>
      </c>
    </row>
    <row r="9822" spans="1:3">
      <c r="A9822">
        <v>9821</v>
      </c>
      <c r="B9822">
        <v>964520410</v>
      </c>
      <c r="C9822">
        <v>964520410</v>
      </c>
    </row>
    <row r="9823" spans="1:3">
      <c r="A9823">
        <v>9822</v>
      </c>
      <c r="B9823">
        <v>964716840</v>
      </c>
      <c r="C9823">
        <v>964716840</v>
      </c>
    </row>
    <row r="9824" spans="1:3">
      <c r="A9824">
        <v>9823</v>
      </c>
      <c r="B9824">
        <v>964913290</v>
      </c>
      <c r="C9824">
        <v>964913290</v>
      </c>
    </row>
    <row r="9825" spans="1:3">
      <c r="A9825">
        <v>9824</v>
      </c>
      <c r="B9825">
        <v>965109760</v>
      </c>
      <c r="C9825">
        <v>965109760</v>
      </c>
    </row>
    <row r="9826" spans="1:3">
      <c r="A9826">
        <v>9825</v>
      </c>
      <c r="B9826">
        <v>965306250</v>
      </c>
      <c r="C9826">
        <v>965306250</v>
      </c>
    </row>
    <row r="9827" spans="1:3">
      <c r="A9827">
        <v>9826</v>
      </c>
      <c r="B9827">
        <v>965502760</v>
      </c>
      <c r="C9827">
        <v>965502760</v>
      </c>
    </row>
    <row r="9828" spans="1:3">
      <c r="A9828">
        <v>9827</v>
      </c>
      <c r="B9828">
        <v>965699290</v>
      </c>
      <c r="C9828">
        <v>965699290</v>
      </c>
    </row>
    <row r="9829" spans="1:3">
      <c r="A9829">
        <v>9828</v>
      </c>
      <c r="B9829">
        <v>965895840</v>
      </c>
      <c r="C9829">
        <v>965895840</v>
      </c>
    </row>
    <row r="9830" spans="1:3">
      <c r="A9830">
        <v>9829</v>
      </c>
      <c r="B9830">
        <v>966092410</v>
      </c>
      <c r="C9830">
        <v>966092410</v>
      </c>
    </row>
    <row r="9831" spans="1:3">
      <c r="A9831">
        <v>9830</v>
      </c>
      <c r="B9831">
        <v>966289000</v>
      </c>
      <c r="C9831">
        <v>966289000</v>
      </c>
    </row>
    <row r="9832" spans="1:3">
      <c r="A9832">
        <v>9831</v>
      </c>
      <c r="B9832">
        <v>966485610</v>
      </c>
      <c r="C9832">
        <v>966485610</v>
      </c>
    </row>
    <row r="9833" spans="1:3">
      <c r="A9833">
        <v>9832</v>
      </c>
      <c r="B9833">
        <v>966682240</v>
      </c>
      <c r="C9833">
        <v>966682240</v>
      </c>
    </row>
    <row r="9834" spans="1:3">
      <c r="A9834">
        <v>9833</v>
      </c>
      <c r="B9834">
        <v>966878890</v>
      </c>
      <c r="C9834">
        <v>966878890</v>
      </c>
    </row>
    <row r="9835" spans="1:3">
      <c r="A9835">
        <v>9834</v>
      </c>
      <c r="B9835">
        <v>967075560</v>
      </c>
      <c r="C9835">
        <v>967075560</v>
      </c>
    </row>
    <row r="9836" spans="1:3">
      <c r="A9836">
        <v>9835</v>
      </c>
      <c r="B9836">
        <v>967272250</v>
      </c>
      <c r="C9836">
        <v>967272250</v>
      </c>
    </row>
    <row r="9837" spans="1:3">
      <c r="A9837">
        <v>9836</v>
      </c>
      <c r="B9837">
        <v>967468960</v>
      </c>
      <c r="C9837">
        <v>967468960</v>
      </c>
    </row>
    <row r="9838" spans="1:3">
      <c r="A9838">
        <v>9837</v>
      </c>
      <c r="B9838">
        <v>967665690</v>
      </c>
      <c r="C9838">
        <v>967665690</v>
      </c>
    </row>
    <row r="9839" spans="1:3">
      <c r="A9839">
        <v>9838</v>
      </c>
      <c r="B9839">
        <v>967862440</v>
      </c>
      <c r="C9839">
        <v>967862440</v>
      </c>
    </row>
    <row r="9840" spans="1:3">
      <c r="A9840">
        <v>9839</v>
      </c>
      <c r="B9840">
        <v>968059210</v>
      </c>
      <c r="C9840">
        <v>968059210</v>
      </c>
    </row>
    <row r="9841" spans="1:3">
      <c r="A9841">
        <v>9840</v>
      </c>
      <c r="B9841">
        <v>968256000</v>
      </c>
      <c r="C9841">
        <v>968256000</v>
      </c>
    </row>
    <row r="9842" spans="1:3">
      <c r="A9842">
        <v>9841</v>
      </c>
      <c r="B9842">
        <v>968452810</v>
      </c>
      <c r="C9842">
        <v>968452810</v>
      </c>
    </row>
    <row r="9843" spans="1:3">
      <c r="A9843">
        <v>9842</v>
      </c>
      <c r="B9843">
        <v>968649640</v>
      </c>
      <c r="C9843">
        <v>968649640</v>
      </c>
    </row>
    <row r="9844" spans="1:3">
      <c r="A9844">
        <v>9843</v>
      </c>
      <c r="B9844">
        <v>968846490</v>
      </c>
      <c r="C9844">
        <v>968846490</v>
      </c>
    </row>
    <row r="9845" spans="1:3">
      <c r="A9845">
        <v>9844</v>
      </c>
      <c r="B9845">
        <v>969043360</v>
      </c>
      <c r="C9845">
        <v>969043360</v>
      </c>
    </row>
    <row r="9846" spans="1:3">
      <c r="A9846">
        <v>9845</v>
      </c>
      <c r="B9846">
        <v>969240250</v>
      </c>
      <c r="C9846">
        <v>969240250</v>
      </c>
    </row>
    <row r="9847" spans="1:3">
      <c r="A9847">
        <v>9846</v>
      </c>
      <c r="B9847">
        <v>969437160</v>
      </c>
      <c r="C9847">
        <v>969437160</v>
      </c>
    </row>
    <row r="9848" spans="1:3">
      <c r="A9848">
        <v>9847</v>
      </c>
      <c r="B9848">
        <v>969634090</v>
      </c>
      <c r="C9848">
        <v>969634090</v>
      </c>
    </row>
    <row r="9849" spans="1:3">
      <c r="A9849">
        <v>9848</v>
      </c>
      <c r="B9849">
        <v>969831040</v>
      </c>
      <c r="C9849">
        <v>969831040</v>
      </c>
    </row>
    <row r="9850" spans="1:3">
      <c r="A9850">
        <v>9849</v>
      </c>
      <c r="B9850">
        <v>970028010</v>
      </c>
      <c r="C9850">
        <v>970028010</v>
      </c>
    </row>
    <row r="9851" spans="1:3">
      <c r="A9851">
        <v>9850</v>
      </c>
      <c r="B9851">
        <v>970225000</v>
      </c>
      <c r="C9851">
        <v>970225000</v>
      </c>
    </row>
    <row r="9852" spans="1:3">
      <c r="A9852">
        <v>9851</v>
      </c>
      <c r="B9852">
        <v>970422010</v>
      </c>
      <c r="C9852">
        <v>970422010</v>
      </c>
    </row>
    <row r="9853" spans="1:3">
      <c r="A9853">
        <v>9852</v>
      </c>
      <c r="B9853">
        <v>970619040</v>
      </c>
      <c r="C9853">
        <v>970619040</v>
      </c>
    </row>
    <row r="9854" spans="1:3">
      <c r="A9854">
        <v>9853</v>
      </c>
      <c r="B9854">
        <v>970816090</v>
      </c>
      <c r="C9854">
        <v>970816090</v>
      </c>
    </row>
    <row r="9855" spans="1:3">
      <c r="A9855">
        <v>9854</v>
      </c>
      <c r="B9855">
        <v>971013160</v>
      </c>
      <c r="C9855">
        <v>971013160</v>
      </c>
    </row>
    <row r="9856" spans="1:3">
      <c r="A9856">
        <v>9855</v>
      </c>
      <c r="B9856">
        <v>971210250</v>
      </c>
      <c r="C9856">
        <v>971210250</v>
      </c>
    </row>
    <row r="9857" spans="1:3">
      <c r="A9857">
        <v>9856</v>
      </c>
      <c r="B9857">
        <v>971407360</v>
      </c>
      <c r="C9857">
        <v>971407360</v>
      </c>
    </row>
    <row r="9858" spans="1:3">
      <c r="A9858">
        <v>9857</v>
      </c>
      <c r="B9858">
        <v>971604490</v>
      </c>
      <c r="C9858">
        <v>971604490</v>
      </c>
    </row>
    <row r="9859" spans="1:3">
      <c r="A9859">
        <v>9858</v>
      </c>
      <c r="B9859">
        <v>971801640</v>
      </c>
      <c r="C9859">
        <v>971801640</v>
      </c>
    </row>
    <row r="9860" spans="1:3">
      <c r="A9860">
        <v>9859</v>
      </c>
      <c r="B9860">
        <v>971998810</v>
      </c>
      <c r="C9860">
        <v>971998810</v>
      </c>
    </row>
    <row r="9861" spans="1:3">
      <c r="A9861">
        <v>9860</v>
      </c>
      <c r="B9861">
        <v>972196000</v>
      </c>
      <c r="C9861">
        <v>972196000</v>
      </c>
    </row>
    <row r="9862" spans="1:3">
      <c r="A9862">
        <v>9861</v>
      </c>
      <c r="B9862">
        <v>972393210</v>
      </c>
      <c r="C9862">
        <v>972393210</v>
      </c>
    </row>
    <row r="9863" spans="1:3">
      <c r="A9863">
        <v>9862</v>
      </c>
      <c r="B9863">
        <v>972590440</v>
      </c>
      <c r="C9863">
        <v>972590440</v>
      </c>
    </row>
    <row r="9864" spans="1:3">
      <c r="A9864">
        <v>9863</v>
      </c>
      <c r="B9864">
        <v>972787690</v>
      </c>
      <c r="C9864">
        <v>972787690</v>
      </c>
    </row>
    <row r="9865" spans="1:3">
      <c r="A9865">
        <v>9864</v>
      </c>
      <c r="B9865">
        <v>972984960</v>
      </c>
      <c r="C9865">
        <v>972984960</v>
      </c>
    </row>
    <row r="9866" spans="1:3">
      <c r="A9866">
        <v>9865</v>
      </c>
      <c r="B9866">
        <v>973182250</v>
      </c>
      <c r="C9866">
        <v>973182250</v>
      </c>
    </row>
    <row r="9867" spans="1:3">
      <c r="A9867">
        <v>9866</v>
      </c>
      <c r="B9867">
        <v>973379560</v>
      </c>
      <c r="C9867">
        <v>973379560</v>
      </c>
    </row>
    <row r="9868" spans="1:3">
      <c r="A9868">
        <v>9867</v>
      </c>
      <c r="B9868">
        <v>973576890</v>
      </c>
      <c r="C9868">
        <v>973576890</v>
      </c>
    </row>
    <row r="9869" spans="1:3">
      <c r="A9869">
        <v>9868</v>
      </c>
      <c r="B9869">
        <v>973774240</v>
      </c>
      <c r="C9869">
        <v>973774240</v>
      </c>
    </row>
    <row r="9870" spans="1:3">
      <c r="A9870">
        <v>9869</v>
      </c>
      <c r="B9870">
        <v>973971610</v>
      </c>
      <c r="C9870">
        <v>973971610</v>
      </c>
    </row>
    <row r="9871" spans="1:3">
      <c r="A9871">
        <v>9870</v>
      </c>
      <c r="B9871">
        <v>974169000</v>
      </c>
      <c r="C9871">
        <v>974169000</v>
      </c>
    </row>
    <row r="9872" spans="1:3">
      <c r="A9872">
        <v>9871</v>
      </c>
      <c r="B9872">
        <v>974366410</v>
      </c>
      <c r="C9872">
        <v>974366410</v>
      </c>
    </row>
    <row r="9873" spans="1:3">
      <c r="A9873">
        <v>9872</v>
      </c>
      <c r="B9873">
        <v>974563840</v>
      </c>
      <c r="C9873">
        <v>974563840</v>
      </c>
    </row>
    <row r="9874" spans="1:3">
      <c r="A9874">
        <v>9873</v>
      </c>
      <c r="B9874">
        <v>974761290</v>
      </c>
      <c r="C9874">
        <v>974761290</v>
      </c>
    </row>
    <row r="9875" spans="1:3">
      <c r="A9875">
        <v>9874</v>
      </c>
      <c r="B9875">
        <v>974958760</v>
      </c>
      <c r="C9875">
        <v>974958760</v>
      </c>
    </row>
    <row r="9876" spans="1:3">
      <c r="A9876">
        <v>9875</v>
      </c>
      <c r="B9876">
        <v>975156250</v>
      </c>
      <c r="C9876">
        <v>975156250</v>
      </c>
    </row>
    <row r="9877" spans="1:3">
      <c r="A9877">
        <v>9876</v>
      </c>
      <c r="B9877">
        <v>975353760</v>
      </c>
      <c r="C9877">
        <v>975353760</v>
      </c>
    </row>
    <row r="9878" spans="1:3">
      <c r="A9878">
        <v>9877</v>
      </c>
      <c r="B9878">
        <v>975551290</v>
      </c>
      <c r="C9878">
        <v>975551290</v>
      </c>
    </row>
    <row r="9879" spans="1:3">
      <c r="A9879">
        <v>9878</v>
      </c>
      <c r="B9879">
        <v>975748840</v>
      </c>
      <c r="C9879">
        <v>975748840</v>
      </c>
    </row>
    <row r="9880" spans="1:3">
      <c r="A9880">
        <v>9879</v>
      </c>
      <c r="B9880">
        <v>975946410</v>
      </c>
      <c r="C9880">
        <v>975946410</v>
      </c>
    </row>
    <row r="9881" spans="1:3">
      <c r="A9881">
        <v>9880</v>
      </c>
      <c r="B9881">
        <v>976144000</v>
      </c>
      <c r="C9881">
        <v>976144000</v>
      </c>
    </row>
    <row r="9882" spans="1:3">
      <c r="A9882">
        <v>9881</v>
      </c>
      <c r="B9882">
        <v>976341610</v>
      </c>
      <c r="C9882">
        <v>976341610</v>
      </c>
    </row>
    <row r="9883" spans="1:3">
      <c r="A9883">
        <v>9882</v>
      </c>
      <c r="B9883">
        <v>976539240</v>
      </c>
      <c r="C9883">
        <v>976539240</v>
      </c>
    </row>
    <row r="9884" spans="1:3">
      <c r="A9884">
        <v>9883</v>
      </c>
      <c r="B9884">
        <v>976736890</v>
      </c>
      <c r="C9884">
        <v>976736890</v>
      </c>
    </row>
    <row r="9885" spans="1:3">
      <c r="A9885">
        <v>9884</v>
      </c>
      <c r="B9885">
        <v>976934560</v>
      </c>
      <c r="C9885">
        <v>976934560</v>
      </c>
    </row>
    <row r="9886" spans="1:3">
      <c r="A9886">
        <v>9885</v>
      </c>
      <c r="B9886">
        <v>977132250</v>
      </c>
      <c r="C9886">
        <v>977132250</v>
      </c>
    </row>
    <row r="9887" spans="1:3">
      <c r="A9887">
        <v>9886</v>
      </c>
      <c r="B9887">
        <v>977329960</v>
      </c>
      <c r="C9887">
        <v>977329960</v>
      </c>
    </row>
    <row r="9888" spans="1:3">
      <c r="A9888">
        <v>9887</v>
      </c>
      <c r="B9888">
        <v>977527690</v>
      </c>
      <c r="C9888">
        <v>977527690</v>
      </c>
    </row>
    <row r="9889" spans="1:3">
      <c r="A9889">
        <v>9888</v>
      </c>
      <c r="B9889">
        <v>977725440</v>
      </c>
      <c r="C9889">
        <v>977725440</v>
      </c>
    </row>
    <row r="9890" spans="1:3">
      <c r="A9890">
        <v>9889</v>
      </c>
      <c r="B9890">
        <v>977923210</v>
      </c>
      <c r="C9890">
        <v>977923210</v>
      </c>
    </row>
    <row r="9891" spans="1:3">
      <c r="A9891">
        <v>9890</v>
      </c>
      <c r="B9891">
        <v>978121000</v>
      </c>
      <c r="C9891">
        <v>978121000</v>
      </c>
    </row>
    <row r="9892" spans="1:3">
      <c r="A9892">
        <v>9891</v>
      </c>
      <c r="B9892">
        <v>978318810</v>
      </c>
      <c r="C9892">
        <v>978318810</v>
      </c>
    </row>
    <row r="9893" spans="1:3">
      <c r="A9893">
        <v>9892</v>
      </c>
      <c r="B9893">
        <v>978516640</v>
      </c>
      <c r="C9893">
        <v>978516640</v>
      </c>
    </row>
    <row r="9894" spans="1:3">
      <c r="A9894">
        <v>9893</v>
      </c>
      <c r="B9894">
        <v>978714490</v>
      </c>
      <c r="C9894">
        <v>978714490</v>
      </c>
    </row>
    <row r="9895" spans="1:3">
      <c r="A9895">
        <v>9894</v>
      </c>
      <c r="B9895">
        <v>978912360</v>
      </c>
      <c r="C9895">
        <v>978912360</v>
      </c>
    </row>
    <row r="9896" spans="1:3">
      <c r="A9896">
        <v>9895</v>
      </c>
      <c r="B9896">
        <v>979110250</v>
      </c>
      <c r="C9896">
        <v>979110250</v>
      </c>
    </row>
    <row r="9897" spans="1:3">
      <c r="A9897">
        <v>9896</v>
      </c>
      <c r="B9897">
        <v>979308160</v>
      </c>
      <c r="C9897">
        <v>979308160</v>
      </c>
    </row>
    <row r="9898" spans="1:3">
      <c r="A9898">
        <v>9897</v>
      </c>
      <c r="B9898">
        <v>979506090</v>
      </c>
      <c r="C9898">
        <v>979506090</v>
      </c>
    </row>
    <row r="9899" spans="1:3">
      <c r="A9899">
        <v>9898</v>
      </c>
      <c r="B9899">
        <v>979704040</v>
      </c>
      <c r="C9899">
        <v>979704040</v>
      </c>
    </row>
    <row r="9900" spans="1:3">
      <c r="A9900">
        <v>9899</v>
      </c>
      <c r="B9900">
        <v>979902010</v>
      </c>
      <c r="C9900">
        <v>979902010</v>
      </c>
    </row>
    <row r="9901" spans="1:3">
      <c r="A9901">
        <v>9900</v>
      </c>
      <c r="B9901">
        <v>980100000</v>
      </c>
      <c r="C9901">
        <v>980100000</v>
      </c>
    </row>
    <row r="9902" spans="1:3">
      <c r="A9902">
        <v>9901</v>
      </c>
      <c r="B9902">
        <v>980298010</v>
      </c>
      <c r="C9902">
        <v>980298010</v>
      </c>
    </row>
    <row r="9903" spans="1:3">
      <c r="A9903">
        <v>9902</v>
      </c>
      <c r="B9903">
        <v>980496040</v>
      </c>
      <c r="C9903">
        <v>980496040</v>
      </c>
    </row>
    <row r="9904" spans="1:3">
      <c r="A9904">
        <v>9903</v>
      </c>
      <c r="B9904">
        <v>980694090</v>
      </c>
      <c r="C9904">
        <v>980694090</v>
      </c>
    </row>
    <row r="9905" spans="1:3">
      <c r="A9905">
        <v>9904</v>
      </c>
      <c r="B9905">
        <v>980892160</v>
      </c>
      <c r="C9905">
        <v>980892160</v>
      </c>
    </row>
    <row r="9906" spans="1:3">
      <c r="A9906">
        <v>9905</v>
      </c>
      <c r="B9906">
        <v>981090250</v>
      </c>
      <c r="C9906">
        <v>981090250</v>
      </c>
    </row>
    <row r="9907" spans="1:3">
      <c r="A9907">
        <v>9906</v>
      </c>
      <c r="B9907">
        <v>981288360</v>
      </c>
      <c r="C9907">
        <v>981288360</v>
      </c>
    </row>
    <row r="9908" spans="1:3">
      <c r="A9908">
        <v>9907</v>
      </c>
      <c r="B9908">
        <v>981486490</v>
      </c>
      <c r="C9908">
        <v>981486490</v>
      </c>
    </row>
    <row r="9909" spans="1:3">
      <c r="A9909">
        <v>9908</v>
      </c>
      <c r="B9909">
        <v>981684640</v>
      </c>
      <c r="C9909">
        <v>981684640</v>
      </c>
    </row>
    <row r="9910" spans="1:3">
      <c r="A9910">
        <v>9909</v>
      </c>
      <c r="B9910">
        <v>981882810</v>
      </c>
      <c r="C9910">
        <v>981882810</v>
      </c>
    </row>
    <row r="9911" spans="1:3">
      <c r="A9911">
        <v>9910</v>
      </c>
      <c r="B9911">
        <v>982081000</v>
      </c>
      <c r="C9911">
        <v>982081000</v>
      </c>
    </row>
    <row r="9912" spans="1:3">
      <c r="A9912">
        <v>9911</v>
      </c>
      <c r="B9912">
        <v>982279210</v>
      </c>
      <c r="C9912">
        <v>982279210</v>
      </c>
    </row>
    <row r="9913" spans="1:3">
      <c r="A9913">
        <v>9912</v>
      </c>
      <c r="B9913">
        <v>982477440</v>
      </c>
      <c r="C9913">
        <v>982477440</v>
      </c>
    </row>
    <row r="9914" spans="1:3">
      <c r="A9914">
        <v>9913</v>
      </c>
      <c r="B9914">
        <v>982675690</v>
      </c>
      <c r="C9914">
        <v>982675690</v>
      </c>
    </row>
    <row r="9915" spans="1:3">
      <c r="A9915">
        <v>9914</v>
      </c>
      <c r="B9915">
        <v>982873960</v>
      </c>
      <c r="C9915">
        <v>982873960</v>
      </c>
    </row>
    <row r="9916" spans="1:3">
      <c r="A9916">
        <v>9915</v>
      </c>
      <c r="B9916">
        <v>983072250</v>
      </c>
      <c r="C9916">
        <v>983072250</v>
      </c>
    </row>
    <row r="9917" spans="1:3">
      <c r="A9917">
        <v>9916</v>
      </c>
      <c r="B9917">
        <v>983270560</v>
      </c>
      <c r="C9917">
        <v>983270560</v>
      </c>
    </row>
    <row r="9918" spans="1:3">
      <c r="A9918">
        <v>9917</v>
      </c>
      <c r="B9918">
        <v>983468890</v>
      </c>
      <c r="C9918">
        <v>983468890</v>
      </c>
    </row>
    <row r="9919" spans="1:3">
      <c r="A9919">
        <v>9918</v>
      </c>
      <c r="B9919">
        <v>983667240</v>
      </c>
      <c r="C9919">
        <v>983667240</v>
      </c>
    </row>
    <row r="9920" spans="1:3">
      <c r="A9920">
        <v>9919</v>
      </c>
      <c r="B9920">
        <v>983865610</v>
      </c>
      <c r="C9920">
        <v>983865610</v>
      </c>
    </row>
    <row r="9921" spans="1:3">
      <c r="A9921">
        <v>9920</v>
      </c>
      <c r="B9921">
        <v>984064000</v>
      </c>
      <c r="C9921">
        <v>984064000</v>
      </c>
    </row>
    <row r="9922" spans="1:3">
      <c r="A9922">
        <v>9921</v>
      </c>
      <c r="B9922">
        <v>984262410</v>
      </c>
      <c r="C9922">
        <v>984262410</v>
      </c>
    </row>
    <row r="9923" spans="1:3">
      <c r="A9923">
        <v>9922</v>
      </c>
      <c r="B9923">
        <v>984460840</v>
      </c>
      <c r="C9923">
        <v>984460840</v>
      </c>
    </row>
    <row r="9924" spans="1:3">
      <c r="A9924">
        <v>9923</v>
      </c>
      <c r="B9924">
        <v>984659290</v>
      </c>
      <c r="C9924">
        <v>984659290</v>
      </c>
    </row>
    <row r="9925" spans="1:3">
      <c r="A9925">
        <v>9924</v>
      </c>
      <c r="B9925">
        <v>984857760</v>
      </c>
      <c r="C9925">
        <v>984857760</v>
      </c>
    </row>
    <row r="9926" spans="1:3">
      <c r="A9926">
        <v>9925</v>
      </c>
      <c r="B9926">
        <v>985056250</v>
      </c>
      <c r="C9926">
        <v>985056250</v>
      </c>
    </row>
    <row r="9927" spans="1:3">
      <c r="A9927">
        <v>9926</v>
      </c>
      <c r="B9927">
        <v>985254760</v>
      </c>
      <c r="C9927">
        <v>985254760</v>
      </c>
    </row>
    <row r="9928" spans="1:3">
      <c r="A9928">
        <v>9927</v>
      </c>
      <c r="B9928">
        <v>985453290</v>
      </c>
      <c r="C9928">
        <v>985453290</v>
      </c>
    </row>
    <row r="9929" spans="1:3">
      <c r="A9929">
        <v>9928</v>
      </c>
      <c r="B9929">
        <v>985651840</v>
      </c>
      <c r="C9929">
        <v>985651840</v>
      </c>
    </row>
    <row r="9930" spans="1:3">
      <c r="A9930">
        <v>9929</v>
      </c>
      <c r="B9930">
        <v>985850410</v>
      </c>
      <c r="C9930">
        <v>985850410</v>
      </c>
    </row>
    <row r="9931" spans="1:3">
      <c r="A9931">
        <v>9930</v>
      </c>
      <c r="B9931">
        <v>986049000</v>
      </c>
      <c r="C9931">
        <v>986049000</v>
      </c>
    </row>
    <row r="9932" spans="1:3">
      <c r="A9932">
        <v>9931</v>
      </c>
      <c r="B9932">
        <v>986247610</v>
      </c>
      <c r="C9932">
        <v>986247610</v>
      </c>
    </row>
    <row r="9933" spans="1:3">
      <c r="A9933">
        <v>9932</v>
      </c>
      <c r="B9933">
        <v>986446240</v>
      </c>
      <c r="C9933">
        <v>986446240</v>
      </c>
    </row>
    <row r="9934" spans="1:3">
      <c r="A9934">
        <v>9933</v>
      </c>
      <c r="B9934">
        <v>986644890</v>
      </c>
      <c r="C9934">
        <v>986644890</v>
      </c>
    </row>
    <row r="9935" spans="1:3">
      <c r="A9935">
        <v>9934</v>
      </c>
      <c r="B9935">
        <v>986843560</v>
      </c>
      <c r="C9935">
        <v>986843560</v>
      </c>
    </row>
    <row r="9936" spans="1:3">
      <c r="A9936">
        <v>9935</v>
      </c>
      <c r="B9936">
        <v>987042250</v>
      </c>
      <c r="C9936">
        <v>987042250</v>
      </c>
    </row>
    <row r="9937" spans="1:3">
      <c r="A9937">
        <v>9936</v>
      </c>
      <c r="B9937">
        <v>987240960</v>
      </c>
      <c r="C9937">
        <v>987240960</v>
      </c>
    </row>
    <row r="9938" spans="1:3">
      <c r="A9938">
        <v>9937</v>
      </c>
      <c r="B9938">
        <v>987439690</v>
      </c>
      <c r="C9938">
        <v>987439690</v>
      </c>
    </row>
    <row r="9939" spans="1:3">
      <c r="A9939">
        <v>9938</v>
      </c>
      <c r="B9939">
        <v>987638440</v>
      </c>
      <c r="C9939">
        <v>987638440</v>
      </c>
    </row>
    <row r="9940" spans="1:3">
      <c r="A9940">
        <v>9939</v>
      </c>
      <c r="B9940">
        <v>987837210</v>
      </c>
      <c r="C9940">
        <v>987837210</v>
      </c>
    </row>
    <row r="9941" spans="1:3">
      <c r="A9941">
        <v>9940</v>
      </c>
      <c r="B9941">
        <v>988036000</v>
      </c>
      <c r="C9941">
        <v>988036000</v>
      </c>
    </row>
    <row r="9942" spans="1:3">
      <c r="A9942">
        <v>9941</v>
      </c>
      <c r="B9942">
        <v>988234810</v>
      </c>
      <c r="C9942">
        <v>988234810</v>
      </c>
    </row>
    <row r="9943" spans="1:3">
      <c r="A9943">
        <v>9942</v>
      </c>
      <c r="B9943">
        <v>988433640</v>
      </c>
      <c r="C9943">
        <v>988433640</v>
      </c>
    </row>
    <row r="9944" spans="1:3">
      <c r="A9944">
        <v>9943</v>
      </c>
      <c r="B9944">
        <v>988632490</v>
      </c>
      <c r="C9944">
        <v>988632490</v>
      </c>
    </row>
    <row r="9945" spans="1:3">
      <c r="A9945">
        <v>9944</v>
      </c>
      <c r="B9945">
        <v>988831360</v>
      </c>
      <c r="C9945">
        <v>988831360</v>
      </c>
    </row>
    <row r="9946" spans="1:3">
      <c r="A9946">
        <v>9945</v>
      </c>
      <c r="B9946">
        <v>989030250</v>
      </c>
      <c r="C9946">
        <v>989030250</v>
      </c>
    </row>
    <row r="9947" spans="1:3">
      <c r="A9947">
        <v>9946</v>
      </c>
      <c r="B9947">
        <v>989229160</v>
      </c>
      <c r="C9947">
        <v>989229160</v>
      </c>
    </row>
    <row r="9948" spans="1:3">
      <c r="A9948">
        <v>9947</v>
      </c>
      <c r="B9948">
        <v>989428090</v>
      </c>
      <c r="C9948">
        <v>989428090</v>
      </c>
    </row>
    <row r="9949" spans="1:3">
      <c r="A9949">
        <v>9948</v>
      </c>
      <c r="B9949">
        <v>989627040</v>
      </c>
      <c r="C9949">
        <v>989627040</v>
      </c>
    </row>
    <row r="9950" spans="1:3">
      <c r="A9950">
        <v>9949</v>
      </c>
      <c r="B9950">
        <v>989826010</v>
      </c>
      <c r="C9950">
        <v>989826010</v>
      </c>
    </row>
    <row r="9951" spans="1:3">
      <c r="A9951">
        <v>9950</v>
      </c>
      <c r="B9951">
        <v>990025000</v>
      </c>
      <c r="C9951">
        <v>990025000</v>
      </c>
    </row>
    <row r="9952" spans="1:3">
      <c r="A9952">
        <v>9951</v>
      </c>
      <c r="B9952">
        <v>990224010</v>
      </c>
      <c r="C9952">
        <v>990224010</v>
      </c>
    </row>
    <row r="9953" spans="1:3">
      <c r="A9953">
        <v>9952</v>
      </c>
      <c r="B9953">
        <v>990423040</v>
      </c>
      <c r="C9953">
        <v>990423040</v>
      </c>
    </row>
    <row r="9954" spans="1:3">
      <c r="A9954">
        <v>9953</v>
      </c>
      <c r="B9954">
        <v>990622090</v>
      </c>
      <c r="C9954">
        <v>990622090</v>
      </c>
    </row>
    <row r="9955" spans="1:3">
      <c r="A9955">
        <v>9954</v>
      </c>
      <c r="B9955">
        <v>990821160</v>
      </c>
      <c r="C9955">
        <v>990821160</v>
      </c>
    </row>
    <row r="9956" spans="1:3">
      <c r="A9956">
        <v>9955</v>
      </c>
      <c r="B9956">
        <v>991020250</v>
      </c>
      <c r="C9956">
        <v>991020250</v>
      </c>
    </row>
    <row r="9957" spans="1:3">
      <c r="A9957">
        <v>9956</v>
      </c>
      <c r="B9957">
        <v>991219360</v>
      </c>
      <c r="C9957">
        <v>991219360</v>
      </c>
    </row>
    <row r="9958" spans="1:3">
      <c r="A9958">
        <v>9957</v>
      </c>
      <c r="B9958">
        <v>991418490</v>
      </c>
      <c r="C9958">
        <v>991418490</v>
      </c>
    </row>
    <row r="9959" spans="1:3">
      <c r="A9959">
        <v>9958</v>
      </c>
      <c r="B9959">
        <v>991617640</v>
      </c>
      <c r="C9959">
        <v>991617640</v>
      </c>
    </row>
    <row r="9960" spans="1:3">
      <c r="A9960">
        <v>9959</v>
      </c>
      <c r="B9960">
        <v>991816810</v>
      </c>
      <c r="C9960">
        <v>991816810</v>
      </c>
    </row>
    <row r="9961" spans="1:3">
      <c r="A9961">
        <v>9960</v>
      </c>
      <c r="B9961">
        <v>992016000</v>
      </c>
      <c r="C9961">
        <v>992016000</v>
      </c>
    </row>
    <row r="9962" spans="1:3">
      <c r="A9962">
        <v>9961</v>
      </c>
      <c r="B9962">
        <v>992215210</v>
      </c>
      <c r="C9962">
        <v>992215210</v>
      </c>
    </row>
    <row r="9963" spans="1:3">
      <c r="A9963">
        <v>9962</v>
      </c>
      <c r="B9963">
        <v>992414440</v>
      </c>
      <c r="C9963">
        <v>992414440</v>
      </c>
    </row>
    <row r="9964" spans="1:3">
      <c r="A9964">
        <v>9963</v>
      </c>
      <c r="B9964">
        <v>992613690</v>
      </c>
      <c r="C9964">
        <v>992613690</v>
      </c>
    </row>
    <row r="9965" spans="1:3">
      <c r="A9965">
        <v>9964</v>
      </c>
      <c r="B9965">
        <v>992812960</v>
      </c>
      <c r="C9965">
        <v>992812960</v>
      </c>
    </row>
    <row r="9966" spans="1:3">
      <c r="A9966">
        <v>9965</v>
      </c>
      <c r="B9966">
        <v>993012250</v>
      </c>
      <c r="C9966">
        <v>993012250</v>
      </c>
    </row>
    <row r="9967" spans="1:3">
      <c r="A9967">
        <v>9966</v>
      </c>
      <c r="B9967">
        <v>993211560</v>
      </c>
      <c r="C9967">
        <v>993211560</v>
      </c>
    </row>
    <row r="9968" spans="1:3">
      <c r="A9968">
        <v>9967</v>
      </c>
      <c r="B9968">
        <v>993410890</v>
      </c>
      <c r="C9968">
        <v>993410890</v>
      </c>
    </row>
    <row r="9969" spans="1:3">
      <c r="A9969">
        <v>9968</v>
      </c>
      <c r="B9969">
        <v>993610240</v>
      </c>
      <c r="C9969">
        <v>993610240</v>
      </c>
    </row>
    <row r="9970" spans="1:3">
      <c r="A9970">
        <v>9969</v>
      </c>
      <c r="B9970">
        <v>993809610</v>
      </c>
      <c r="C9970">
        <v>993809610</v>
      </c>
    </row>
    <row r="9971" spans="1:3">
      <c r="A9971">
        <v>9970</v>
      </c>
      <c r="B9971">
        <v>994009000</v>
      </c>
      <c r="C9971">
        <v>994009000</v>
      </c>
    </row>
    <row r="9972" spans="1:3">
      <c r="A9972">
        <v>9971</v>
      </c>
      <c r="B9972">
        <v>994208410</v>
      </c>
      <c r="C9972">
        <v>994208410</v>
      </c>
    </row>
    <row r="9973" spans="1:3">
      <c r="A9973">
        <v>9972</v>
      </c>
      <c r="B9973">
        <v>994407840</v>
      </c>
      <c r="C9973">
        <v>994407840</v>
      </c>
    </row>
    <row r="9974" spans="1:3">
      <c r="A9974">
        <v>9973</v>
      </c>
      <c r="B9974">
        <v>994607290</v>
      </c>
      <c r="C9974">
        <v>994607290</v>
      </c>
    </row>
    <row r="9975" spans="1:3">
      <c r="A9975">
        <v>9974</v>
      </c>
      <c r="B9975">
        <v>994806760</v>
      </c>
      <c r="C9975">
        <v>994806760</v>
      </c>
    </row>
    <row r="9976" spans="1:3">
      <c r="A9976">
        <v>9975</v>
      </c>
      <c r="B9976">
        <v>995006250</v>
      </c>
      <c r="C9976">
        <v>995006250</v>
      </c>
    </row>
    <row r="9977" spans="1:3">
      <c r="A9977">
        <v>9976</v>
      </c>
      <c r="B9977">
        <v>995205760</v>
      </c>
      <c r="C9977">
        <v>995205760</v>
      </c>
    </row>
    <row r="9978" spans="1:3">
      <c r="A9978">
        <v>9977</v>
      </c>
      <c r="B9978">
        <v>995405290</v>
      </c>
      <c r="C9978">
        <v>995405290</v>
      </c>
    </row>
    <row r="9979" spans="1:3">
      <c r="A9979">
        <v>9978</v>
      </c>
      <c r="B9979">
        <v>995604840</v>
      </c>
      <c r="C9979">
        <v>995604840</v>
      </c>
    </row>
    <row r="9980" spans="1:3">
      <c r="A9980">
        <v>9979</v>
      </c>
      <c r="B9980">
        <v>995804410</v>
      </c>
      <c r="C9980">
        <v>995804410</v>
      </c>
    </row>
    <row r="9981" spans="1:3">
      <c r="A9981">
        <v>9980</v>
      </c>
      <c r="B9981">
        <v>996004000</v>
      </c>
      <c r="C9981">
        <v>996004000</v>
      </c>
    </row>
    <row r="9982" spans="1:3">
      <c r="A9982">
        <v>9981</v>
      </c>
      <c r="B9982">
        <v>996203610</v>
      </c>
      <c r="C9982">
        <v>996203610</v>
      </c>
    </row>
    <row r="9983" spans="1:3">
      <c r="A9983">
        <v>9982</v>
      </c>
      <c r="B9983">
        <v>996403240</v>
      </c>
      <c r="C9983">
        <v>996403240</v>
      </c>
    </row>
    <row r="9984" spans="1:3">
      <c r="A9984">
        <v>9983</v>
      </c>
      <c r="B9984">
        <v>996602890</v>
      </c>
      <c r="C9984">
        <v>996602890</v>
      </c>
    </row>
    <row r="9985" spans="1:3">
      <c r="A9985">
        <v>9984</v>
      </c>
      <c r="B9985">
        <v>996802560</v>
      </c>
      <c r="C9985">
        <v>996802560</v>
      </c>
    </row>
    <row r="9986" spans="1:3">
      <c r="A9986">
        <v>9985</v>
      </c>
      <c r="B9986">
        <v>997002250</v>
      </c>
      <c r="C9986">
        <v>997002250</v>
      </c>
    </row>
    <row r="9987" spans="1:3">
      <c r="A9987">
        <v>9986</v>
      </c>
      <c r="B9987">
        <v>997201960</v>
      </c>
      <c r="C9987">
        <v>997201960</v>
      </c>
    </row>
    <row r="9988" spans="1:3">
      <c r="A9988">
        <v>9987</v>
      </c>
      <c r="B9988">
        <v>997401690</v>
      </c>
      <c r="C9988">
        <v>997401690</v>
      </c>
    </row>
    <row r="9989" spans="1:3">
      <c r="A9989">
        <v>9988</v>
      </c>
      <c r="B9989">
        <v>997601440</v>
      </c>
      <c r="C9989">
        <v>997601440</v>
      </c>
    </row>
    <row r="9990" spans="1:3">
      <c r="A9990">
        <v>9989</v>
      </c>
      <c r="B9990">
        <v>997801210</v>
      </c>
      <c r="C9990">
        <v>997801210</v>
      </c>
    </row>
    <row r="9991" spans="1:3">
      <c r="A9991">
        <v>9990</v>
      </c>
      <c r="B9991">
        <v>998001000</v>
      </c>
      <c r="C9991">
        <v>998001000</v>
      </c>
    </row>
    <row r="9992" spans="1:3">
      <c r="A9992">
        <v>9991</v>
      </c>
      <c r="B9992">
        <v>998200810</v>
      </c>
      <c r="C9992">
        <v>998200810</v>
      </c>
    </row>
    <row r="9993" spans="1:3">
      <c r="A9993">
        <v>9992</v>
      </c>
      <c r="B9993">
        <v>998400640</v>
      </c>
      <c r="C9993">
        <v>998400640</v>
      </c>
    </row>
    <row r="9994" spans="1:3">
      <c r="A9994">
        <v>9993</v>
      </c>
      <c r="B9994">
        <v>998600490</v>
      </c>
      <c r="C9994">
        <v>998600490</v>
      </c>
    </row>
    <row r="9995" spans="1:3">
      <c r="A9995">
        <v>9994</v>
      </c>
      <c r="B9995">
        <v>998800360</v>
      </c>
      <c r="C9995">
        <v>998800360</v>
      </c>
    </row>
    <row r="9996" spans="1:3">
      <c r="A9996">
        <v>9995</v>
      </c>
      <c r="B9996">
        <v>999000250</v>
      </c>
      <c r="C9996">
        <v>999000250</v>
      </c>
    </row>
    <row r="9997" spans="1:3">
      <c r="A9997">
        <v>9996</v>
      </c>
      <c r="B9997">
        <v>999200160</v>
      </c>
      <c r="C9997">
        <v>999200160</v>
      </c>
    </row>
    <row r="9998" spans="1:3">
      <c r="A9998">
        <v>9997</v>
      </c>
      <c r="B9998">
        <v>999400090</v>
      </c>
      <c r="C9998">
        <v>999400090</v>
      </c>
    </row>
    <row r="9999" spans="1:3">
      <c r="A9999">
        <v>9998</v>
      </c>
      <c r="B9999">
        <v>999600040</v>
      </c>
      <c r="C9999">
        <v>999600040</v>
      </c>
    </row>
    <row r="10000" spans="1:3">
      <c r="A10000">
        <v>9999</v>
      </c>
      <c r="B10000">
        <v>0</v>
      </c>
      <c r="C10000">
        <v>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60F0-8862-4F85-9C19-3480B0A33C25}">
  <dimension ref="A1:E7"/>
  <sheetViews>
    <sheetView workbookViewId="0">
      <selection activeCell="E9" sqref="E9"/>
    </sheetView>
  </sheetViews>
  <sheetFormatPr defaultRowHeight="18.75"/>
  <sheetData>
    <row r="1" spans="1:5">
      <c r="A1" t="s">
        <v>44</v>
      </c>
      <c r="B1" t="s">
        <v>50</v>
      </c>
      <c r="C1" t="s">
        <v>60</v>
      </c>
      <c r="D1" t="b">
        <v>1</v>
      </c>
      <c r="E1" t="s">
        <v>146</v>
      </c>
    </row>
    <row r="2" spans="1:5">
      <c r="A2" t="s">
        <v>45</v>
      </c>
      <c r="B2" t="s">
        <v>52</v>
      </c>
      <c r="C2" t="s">
        <v>62</v>
      </c>
      <c r="D2" t="b">
        <v>0</v>
      </c>
      <c r="E2" t="s">
        <v>147</v>
      </c>
    </row>
    <row r="3" spans="1:5">
      <c r="A3" t="s">
        <v>46</v>
      </c>
      <c r="B3" t="s">
        <v>54</v>
      </c>
      <c r="E3" t="s">
        <v>148</v>
      </c>
    </row>
    <row r="4" spans="1:5">
      <c r="A4" t="s">
        <v>57</v>
      </c>
      <c r="B4" t="s">
        <v>58</v>
      </c>
    </row>
    <row r="5" spans="1:5">
      <c r="A5" t="s">
        <v>47</v>
      </c>
      <c r="B5" t="s">
        <v>56</v>
      </c>
    </row>
    <row r="6" spans="1:5">
      <c r="A6" t="s">
        <v>48</v>
      </c>
      <c r="B6" t="s">
        <v>77</v>
      </c>
    </row>
    <row r="7" spans="1:5">
      <c r="A7" t="s">
        <v>75</v>
      </c>
      <c r="B7" t="s">
        <v>75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E06E-BA01-416D-B10A-FD884F219AEC}">
  <dimension ref="A1"/>
  <sheetViews>
    <sheetView zoomScale="130" zoomScaleNormal="130" workbookViewId="0">
      <selection activeCell="D5" sqref="D5"/>
    </sheetView>
  </sheetViews>
  <sheetFormatPr defaultColWidth="12.5" defaultRowHeight="75" customHeight="1"/>
  <cols>
    <col min="1" max="1" width="12.5" style="1" customWidth="1"/>
    <col min="2" max="16384" width="12.5" style="1"/>
  </cols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D1F1-1762-4F84-A326-8DC0937774F6}">
  <dimension ref="A1:A48"/>
  <sheetViews>
    <sheetView workbookViewId="0">
      <selection activeCell="A19" sqref="A19"/>
    </sheetView>
  </sheetViews>
  <sheetFormatPr defaultRowHeight="18.75"/>
  <cols>
    <col min="1" max="1" width="217.5" bestFit="1" customWidth="1"/>
  </cols>
  <sheetData>
    <row r="1" spans="1:1">
      <c r="A1" t="s">
        <v>1645</v>
      </c>
    </row>
    <row r="2" spans="1:1">
      <c r="A2" t="s">
        <v>1650</v>
      </c>
    </row>
    <row r="8" spans="1:1">
      <c r="A8" t="s">
        <v>1646</v>
      </c>
    </row>
    <row r="9" spans="1:1">
      <c r="A9" t="s">
        <v>1647</v>
      </c>
    </row>
    <row r="10" spans="1:1">
      <c r="A10" t="s">
        <v>1648</v>
      </c>
    </row>
    <row r="11" spans="1:1">
      <c r="A11" t="s">
        <v>1649</v>
      </c>
    </row>
    <row r="48" spans="1:1">
      <c r="A48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モンスター</vt:lpstr>
      <vt:lpstr>特殊配合</vt:lpstr>
      <vt:lpstr>称号</vt:lpstr>
      <vt:lpstr>装備</vt:lpstr>
      <vt:lpstr>スキル</vt:lpstr>
      <vt:lpstr>素材</vt:lpstr>
      <vt:lpstr>マップ</vt:lpstr>
      <vt:lpstr>マップ地形</vt:lpstr>
      <vt:lpstr>GPTマップ作製</vt:lpstr>
      <vt:lpstr>必要経験値</vt:lpstr>
      <vt:lpstr>入力規制リスト</vt:lpstr>
      <vt:lpstr>画像編集用</vt:lpstr>
      <vt:lpstr>やることリスト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圭哉 相原</dc:creator>
  <cp:lastModifiedBy>圭哉 相原</cp:lastModifiedBy>
  <dcterms:created xsi:type="dcterms:W3CDTF">2026-10-06T18:55:13Z</dcterms:created>
  <dcterms:modified xsi:type="dcterms:W3CDTF">2026-10-31T18:09:27Z</dcterms:modified>
</cp:coreProperties>
</file>