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045ef2cea4465f" /></Relationships>
</file>

<file path=xl/workbook.xml><?xml version="1.0" encoding="utf-8"?>
<x:workbook xmlns:x="http://schemas.openxmlformats.org/spreadsheetml/2006/main">
  <x:sheets>
    <x:sheet xmlns:r="http://schemas.openxmlformats.org/officeDocument/2006/relationships" name="スキル" sheetId="1" r:id="Rd90710111c414c16"/>
    <x:sheet xmlns:r="http://schemas.openxmlformats.org/officeDocument/2006/relationships" name="モンスター列追加例" sheetId="2" r:id="Rb4464bc53c6b4419"/>
    <x:sheet xmlns:r="http://schemas.openxmlformats.org/officeDocument/2006/relationships" name="入力ガイド" sheetId="3" r:id="R5376a4b0798c4df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
  </x:numFmts>
  <x:fonts count="13">
    <x:font>
      <x:sz val="11"/>
      <x:name val="Carlito"/>
    </x:font>
    <x:font>
      <x:sz val="11"/>
      <x:color rgb="FF203047"/>
      <x:name val="Noto Sans JP"/>
    </x:font>
    <x:font>
      <x:b/>
      <x:sz val="11"/>
      <x:color rgb="FFFFFFFF"/>
      <x:name val="Noto Sans JP"/>
    </x:font>
    <x:font>
      <x:sz val="11"/>
      <x:color rgb="FF1D4F91"/>
      <x:name val="Noto Sans JP"/>
    </x:font>
    <x:font>
      <x:b/>
      <x:sz val="16"/>
      <x:color rgb="FF263D5C"/>
      <x:name val="Noto Sans JP"/>
    </x:font>
    <x:font>
      <x:b/>
      <x:sz val="11"/>
      <x:color rgb="FF203047"/>
      <x:name val="Noto Sans JP"/>
    </x:font>
    <x:font>
      <x:sz val="11"/>
      <x:color rgb="FF263D5C"/>
      <x:name val="Noto Sans JP"/>
    </x:font>
    <x:font>
      <x:b/>
      <x:sz val="14"/>
      <x:color rgb="FF263D5C"/>
      <x:name val="Noto Sans JP"/>
    </x:font>
    <x:font>
      <x:b/>
      <x:sz val="11"/>
      <x:color rgb="FF1D4F91"/>
      <x:name val="Noto Sans JP"/>
    </x:font>
    <x:font>
      <x:b/>
      <x:sz val="11"/>
      <x:color rgb="FFFFFFFF"/>
      <x:name val="Carlito"/>
    </x:font>
    <x:font>
      <x:sz val="11"/>
      <x:color rgb="FF1B3543"/>
      <x:name val="Carlito"/>
    </x:font>
    <x:font>
      <x:sz val="11"/>
      <x:color rgb="FF1B3543"/>
      <x:name val="Noto Sans JP"/>
    </x:font>
    <x:font>
      <x:sz val="11"/>
      <x:name val="Noto Sans JP"/>
    </x:font>
  </x:fonts>
  <x:fills count="18">
    <x:fill>
      <x:patternFill patternType="none"/>
    </x:fill>
    <x:fill>
      <x:patternFill patternType="gray125"/>
    </x:fill>
    <x:fill>
      <x:patternFill patternType="solid">
        <x:fgColor rgb="FF263D5C"/>
      </x:patternFill>
    </x:fill>
    <x:fill>
      <x:patternFill patternType="solid">
        <x:fgColor rgb="FF263D5C"/>
      </x:patternFill>
    </x:fill>
    <x:fill>
      <x:patternFill patternType="solid">
        <x:fgColor rgb="FF35685A"/>
      </x:patternFill>
    </x:fill>
    <x:fill>
      <x:patternFill patternType="solid">
        <x:fgColor rgb="FF825B36"/>
      </x:patternFill>
    </x:fill>
    <x:fill>
      <x:patternFill patternType="solid">
        <x:fgColor rgb="FF69527E"/>
      </x:patternFill>
    </x:fill>
    <x:fill>
      <x:patternFill patternType="solid">
        <x:fgColor rgb="FF775C24"/>
      </x:patternFill>
    </x:fill>
    <x:fill>
      <x:patternFill patternType="solid">
        <x:fgColor rgb="FFE9EDF2"/>
      </x:patternFill>
    </x:fill>
    <x:fill>
      <x:patternFill patternType="solid">
        <x:fgColor rgb="FFFFF0C9"/>
      </x:patternFill>
    </x:fill>
    <x:fill>
      <x:patternFill patternType="solid">
        <x:fgColor rgb="FF365C78"/>
      </x:patternFill>
    </x:fill>
    <x:fill>
      <x:patternFill patternType="solid">
        <x:fgColor rgb="FF365C78"/>
      </x:patternFill>
    </x:fill>
    <x:fill>
      <x:patternFill patternType="solid">
        <x:fgColor rgb="FF365C78"/>
      </x:patternFill>
    </x:fill>
    <x:fill>
      <x:patternFill patternType="solid">
        <x:fgColor rgb="FF365C78"/>
      </x:patternFill>
    </x:fill>
    <x:fill>
      <x:patternFill patternType="solid">
        <x:fgColor rgb="FF365C78"/>
      </x:patternFill>
    </x:fill>
    <x:fill>
      <x:patternFill patternType="solid">
        <x:fgColor rgb="FF365C78"/>
      </x:patternFill>
    </x:fill>
    <x:fill>
      <x:patternFill patternType="solid">
        <x:fgColor rgb="FF214E66"/>
      </x:patternFill>
    </x:fill>
    <x:fill>
      <x:patternFill patternType="solid">
        <x:fgColor rgb="FFFFF3D5"/>
      </x:patternFill>
    </x:fill>
  </x:fills>
  <x:borders count="1">
    <x:border>
      <x:left/>
      <x:right/>
      <x:top/>
      <x:bottom/>
      <x:diagonal/>
    </x:border>
  </x:borders>
  <x:cellStyleXfs count="1">
    <x:xf numFmtId="0" fontId="0" fillId="0" borderId="0"/>
  </x:cellStyleXfs>
  <x:cellXfs count="9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200" fontId="3" fillId="0" borderId="0" xfId="0" applyNumberFormat="1" applyFont="1" applyFill="1" applyBorder="1" applyAlignment="1">
      <x:alignment vertical="center"/>
    </x:xf>
    <x:xf numFmtId="200" fontId="0" fillId="0" borderId="0" xfId="0" applyNumberFormat="1" applyFont="1" applyFill="1" applyBorder="1"/>
    <x:xf numFmtId="201" fontId="3" fillId="0" borderId="0" xfId="0" applyNumberFormat="1" applyFont="1" applyFill="1" applyBorder="1" applyAlignment="1">
      <x:alignment vertical="center"/>
    </x:xf>
    <x:xf numFmtId="201" fontId="0" fillId="0" borderId="0" xfId="0" applyNumberFormat="1" applyFont="1" applyFill="1" applyBorder="1"/>
    <x:xf numFmtId="202" fontId="3" fillId="0" borderId="0" xfId="0" applyNumberFormat="1" applyFont="1" applyFill="1" applyBorder="1" applyAlignment="1">
      <x:alignment vertical="center"/>
    </x:xf>
    <x:xf numFmtId="202" fontId="0" fillId="0" borderId="0" xfId="0" applyNumberFormat="1" applyFont="1" applyFill="1" applyBorder="1"/>
    <x:xf numFmtId="200"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2"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center"/>
    </x:xf>
    <x:xf numFmtId="0" fontId="2" fillId="4" borderId="0"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horizontal="center" vertical="center" wrapText="1"/>
    </x:xf>
    <x:xf numFmtId="0" fontId="1" fillId="5" borderId="0" xfId="0" applyNumberFormat="1" applyFont="1" applyFill="1" applyBorder="1" applyAlignment="1">
      <x:alignment vertical="center"/>
    </x:xf>
    <x:xf numFmtId="0" fontId="2" fillId="5" borderId="0" xfId="0" applyNumberFormat="1" applyFont="1" applyFill="1" applyBorder="1" applyAlignment="1">
      <x:alignment vertical="center"/>
    </x:xf>
    <x:xf numFmtId="0" fontId="2" fillId="5" borderId="0" xfId="0" applyNumberFormat="1" applyFont="1" applyFill="1" applyBorder="1" applyAlignment="1">
      <x:alignment vertical="center" wrapText="1"/>
    </x:xf>
    <x:xf numFmtId="0" fontId="2" fillId="5" borderId="0" xfId="0" applyNumberFormat="1" applyFont="1" applyFill="1" applyBorder="1" applyAlignment="1">
      <x:alignment horizontal="center" vertical="center" wrapText="1"/>
    </x:xf>
    <x:xf numFmtId="0" fontId="1" fillId="6" borderId="0" xfId="0" applyNumberFormat="1" applyFont="1" applyFill="1" applyBorder="1" applyAlignment="1">
      <x:alignment vertical="center"/>
    </x:xf>
    <x:xf numFmtId="0" fontId="2" fillId="6" borderId="0" xfId="0" applyNumberFormat="1" applyFont="1" applyFill="1" applyBorder="1" applyAlignment="1">
      <x:alignment vertical="center"/>
    </x:xf>
    <x:xf numFmtId="0" fontId="2" fillId="6" borderId="0" xfId="0" applyNumberFormat="1" applyFont="1" applyFill="1" applyBorder="1" applyAlignment="1">
      <x:alignment vertical="center" wrapText="1"/>
    </x:xf>
    <x:xf numFmtId="0" fontId="2" fillId="6" borderId="0" xfId="0" applyNumberFormat="1" applyFont="1" applyFill="1" applyBorder="1" applyAlignment="1">
      <x:alignment horizontal="center" vertical="center" wrapText="1"/>
    </x:xf>
    <x:xf numFmtId="0" fontId="1" fillId="7" borderId="0" xfId="0" applyNumberFormat="1" applyFont="1" applyFill="1" applyBorder="1" applyAlignment="1">
      <x:alignment vertical="center"/>
    </x:xf>
    <x:xf numFmtId="0" fontId="2" fillId="7" borderId="0" xfId="0" applyNumberFormat="1" applyFont="1" applyFill="1" applyBorder="1" applyAlignment="1">
      <x:alignment vertical="center"/>
    </x:xf>
    <x:xf numFmtId="0" fontId="2" fillId="7" borderId="0" xfId="0" applyNumberFormat="1" applyFont="1" applyFill="1" applyBorder="1" applyAlignment="1">
      <x:alignment vertical="center" wrapText="1"/>
    </x:xf>
    <x:xf numFmtId="0" fontId="2" fillId="7" borderId="0" xfId="0" applyNumberFormat="1" applyFont="1" applyFill="1" applyBorder="1" applyAlignment="1">
      <x:alignment horizontal="center" vertical="center" wrapText="1"/>
    </x:xf>
    <x:xf numFmtId="0" fontId="3" fillId="8" borderId="0" xfId="0" applyNumberFormat="1" applyFont="1" applyFill="1" applyBorder="1" applyAlignment="1">
      <x:alignment vertical="center"/>
    </x:xf>
    <x:xf numFmtId="0" fontId="0" fillId="8" borderId="0" xfId="0" applyNumberFormat="1" applyFont="1" applyFill="1" applyBorder="1"/>
    <x:xf numFmtId="0" fontId="6" fillId="8" borderId="0" xfId="0" applyNumberFormat="1" applyFont="1" applyFill="1" applyBorder="1" applyAlignment="1">
      <x:alignment vertical="center"/>
    </x:xf>
    <x:xf numFmtId="0" fontId="6" fillId="8" borderId="0" xfId="0" applyNumberFormat="1" applyFont="1" applyFill="1" applyBorder="1"/>
    <x:xf numFmtId="202" fontId="3" fillId="9" borderId="0" xfId="0" applyNumberFormat="1" applyFont="1" applyFill="1" applyBorder="1" applyAlignment="1">
      <x:alignment vertical="center"/>
    </x:xf>
    <x:xf numFmtId="0" fontId="3" fillId="9" borderId="0" xfId="0" applyNumberFormat="1" applyFont="1" applyFill="1" applyBorder="1" applyAlignment="1">
      <x:alignment vertical="center"/>
    </x:xf>
    <x:xf numFmtId="0" fontId="3" fillId="0" borderId="0" xfId="0" applyNumberFormat="1" applyFont="1" applyFill="1" applyBorder="1"/>
    <x:xf numFmtId="0" fontId="3"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202" fontId="3" fillId="0" borderId="0" xfId="0" applyNumberFormat="1" applyFont="1" applyFill="1" applyBorder="1"/>
    <x:xf numFmtId="0" fontId="7" fillId="0" borderId="0" xfId="0" applyNumberFormat="1" applyFont="1" applyFill="1" applyBorder="1" applyAlignment="1">
      <x:alignment vertical="center"/>
    </x:xf>
    <x:xf numFmtId="0" fontId="0" fillId="10" borderId="0" xfId="0" applyNumberFormat="1" applyFont="1" applyFill="1" applyBorder="1"/>
    <x:xf numFmtId="0" fontId="1" fillId="0" borderId="0" xfId="0" applyNumberFormat="1" applyFont="1" applyFill="1" applyBorder="1" applyAlignment="1">
      <x:alignment wrapText="1"/>
    </x:xf>
    <x:xf numFmtId="0" fontId="8" fillId="10" borderId="0" xfId="0" applyNumberFormat="1" applyFont="1" applyFill="1" applyBorder="1" applyAlignment="1">
      <x:alignment horizontal="center" vertical="center" wrapText="1"/>
    </x:xf>
    <x:xf numFmtId="0" fontId="8" fillId="11" borderId="0" xfId="0" applyNumberFormat="1" applyFont="1" applyFill="1" applyBorder="1" applyAlignment="1">
      <x:alignment horizontal="center" vertical="center" wrapText="1"/>
    </x:xf>
    <x:xf numFmtId="0" fontId="2" fillId="11" borderId="0" xfId="0" applyNumberFormat="1" applyFont="1" applyFill="1" applyBorder="1" applyAlignment="1">
      <x:alignment horizontal="center" vertical="center" wrapText="1"/>
    </x:xf>
    <x:xf numFmtId="0" fontId="2" fillId="11" borderId="0" xfId="0" applyNumberFormat="1" applyFont="1" applyFill="1" applyBorder="1"/>
    <x:xf numFmtId="0" fontId="8" fillId="12" borderId="0" xfId="0" applyNumberFormat="1" applyFont="1" applyFill="1" applyBorder="1" applyAlignment="1">
      <x:alignment horizontal="center" vertical="center" wrapText="1"/>
    </x:xf>
    <x:xf numFmtId="0" fontId="2" fillId="12" borderId="0" xfId="0" applyNumberFormat="1" applyFont="1" applyFill="1" applyBorder="1" applyAlignment="1">
      <x:alignment horizontal="center" vertical="center" wrapText="1"/>
    </x:xf>
    <x:xf numFmtId="0" fontId="2" fillId="12" borderId="0" xfId="0" applyNumberFormat="1" applyFont="1" applyFill="1" applyBorder="1"/>
    <x:xf numFmtId="0" fontId="3"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horizontal="center" wrapText="1"/>
    </x:xf>
    <x:xf numFmtId="0" fontId="2" fillId="13" borderId="0" xfId="0" applyNumberFormat="1" applyFont="1" applyFill="1" applyBorder="1" applyAlignment="1">
      <x:alignment horizontal="center" vertical="center" wrapText="1"/>
    </x:xf>
    <x:xf numFmtId="0" fontId="7" fillId="0" borderId="0" xfId="0" applyNumberFormat="1" applyFont="1" applyFill="1" applyBorder="1"/>
    <x:xf numFmtId="0" fontId="1" fillId="13" borderId="0" xfId="0" applyNumberFormat="1" applyFont="1" applyFill="1" applyBorder="1"/>
    <x:xf numFmtId="0" fontId="8" fillId="14" borderId="0" xfId="0" applyNumberFormat="1" applyFont="1" applyFill="1" applyBorder="1" applyAlignment="1">
      <x:alignment horizontal="center" vertical="center" wrapText="1"/>
    </x:xf>
    <x:xf numFmtId="0" fontId="2" fillId="14" borderId="0" xfId="0" applyNumberFormat="1" applyFont="1" applyFill="1" applyBorder="1" applyAlignment="1">
      <x:alignment horizontal="center" vertical="center" wrapText="1"/>
    </x:xf>
    <x:xf numFmtId="0" fontId="5" fillId="10" borderId="0" xfId="0" applyNumberFormat="1" applyFont="1" applyFill="1" applyBorder="1"/>
    <x:xf numFmtId="0" fontId="5" fillId="14" borderId="0" xfId="0" applyNumberFormat="1" applyFont="1" applyFill="1" applyBorder="1"/>
    <x:xf numFmtId="0" fontId="2" fillId="14" borderId="0" xfId="0" applyNumberFormat="1" applyFont="1" applyFill="1" applyBorder="1"/>
    <x:xf numFmtId="0" fontId="1" fillId="0" borderId="0" xfId="0" applyNumberFormat="1" applyFont="1" applyFill="1" applyBorder="1" applyAlignment="1">
      <x:alignment horizontal="center"/>
    </x:xf>
    <x:xf numFmtId="0" fontId="8" fillId="15" borderId="0" xfId="0" applyNumberFormat="1" applyFont="1" applyFill="1" applyBorder="1" applyAlignment="1">
      <x:alignment horizontal="center" vertical="center" wrapText="1"/>
    </x:xf>
    <x:xf numFmtId="0" fontId="2" fillId="15" borderId="0" xfId="0" applyNumberFormat="1" applyFont="1" applyFill="1" applyBorder="1" applyAlignment="1">
      <x:alignment horizontal="center" vertical="center" wrapText="1"/>
    </x:xf>
    <x:xf numFmtId="0" fontId="3" fillId="0" borderId="0" xfId="0" applyNumberFormat="1" applyFont="1" applyFill="1" applyBorder="1" applyAlignment="1">
      <x:alignment horizontal="center"/>
    </x:xf>
    <x:xf numFmtId="0" fontId="5" fillId="15" borderId="0" xfId="0" applyNumberFormat="1" applyFont="1" applyFill="1" applyBorder="1"/>
    <x:xf numFmtId="0" fontId="2" fillId="15" borderId="0" xfId="0" applyNumberFormat="1" applyFont="1" applyFill="1" applyBorder="1"/>
    <x:xf numFmtId="0" fontId="0" fillId="16" borderId="0" xfId="0" applyNumberFormat="1" applyFont="1" applyFill="1" applyBorder="1"/>
    <x:xf numFmtId="0" fontId="9" fillId="16" borderId="0" xfId="0" applyNumberFormat="1" applyFont="1" applyFill="1" applyBorder="1"/>
    <x:xf numFmtId="0" fontId="9" fillId="16" borderId="0" xfId="0" applyNumberFormat="1" applyFont="1" applyFill="1" applyBorder="1" applyAlignment="1">
      <x:alignment wrapText="1"/>
    </x:xf>
    <x:xf numFmtId="0" fontId="0" fillId="17" borderId="0" xfId="0" applyNumberFormat="1" applyFont="1" applyFill="1" applyBorder="1"/>
    <x:xf numFmtId="0" fontId="10" fillId="17" borderId="0" xfId="0" applyNumberFormat="1" applyFont="1" applyFill="1" applyBorder="1"/>
    <x:xf numFmtId="0" fontId="0" fillId="0" borderId="0" xfId="0" applyNumberFormat="1" applyFont="1" applyFill="1" applyBorder="1" applyAlignment="1">
      <x:alignment wrapText="1"/>
    </x:xf>
    <x:xf numFmtId="0" fontId="0" fillId="16" borderId="0" xfId="0" applyNumberFormat="1" applyFont="1" applyFill="1" applyBorder="1" applyAlignment="1">
      <x:alignment wrapText="1"/>
    </x:xf>
    <x:xf numFmtId="0" fontId="2" fillId="16" borderId="0" xfId="0" applyNumberFormat="1" applyFont="1" applyFill="1" applyBorder="1" applyAlignment="1">
      <x:alignment wrapText="1"/>
    </x:xf>
    <x:xf numFmtId="0" fontId="11" fillId="17" borderId="0" xfId="0" applyNumberFormat="1" applyFont="1" applyFill="1" applyBorder="1"/>
    <x:xf numFmtId="0" fontId="12"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44f29e048349fd" /><Relationship Type="http://schemas.openxmlformats.org/officeDocument/2006/relationships/theme" Target="/xl/theme/theme1.xml" Id="R4ee84c5984a4499f" /><Relationship Type="http://schemas.openxmlformats.org/officeDocument/2006/relationships/sharedStrings" Target="/xl/sharedStrings.xml" Id="R51ac2ba144ca450f" /><Relationship Type="http://schemas.openxmlformats.org/officeDocument/2006/relationships/worksheet" Target="/xl/worksheets/sheet1.xml" Id="Rd90710111c414c16" /><Relationship Type="http://schemas.openxmlformats.org/officeDocument/2006/relationships/worksheet" Target="/xl/worksheets/sheet2.xml" Id="Rb4464bc53c6b4419" /><Relationship Type="http://schemas.openxmlformats.org/officeDocument/2006/relationships/worksheet" Target="/xl/worksheets/sheet3.xml" Id="R5376a4b0798c4dfc" /></Relationships>
</file>

<file path=xl/tables/table1.xml><?xml version="1.0" encoding="utf-8"?>
<x:table xmlns:x="http://schemas.openxmlformats.org/spreadsheetml/2006/main" id="5" name="SkillsTable" displayName="SkillsTable" ref="A1:DH13" headerRowCount="1" totalsRowCount="0" totalsRowShown="0">
  <x:autoFilter ref="A1:DH13"/>
  <x:tableColumns count="112">
    <x:tableColumn id="1" name="ID"/>
    <x:tableColumn id="2" name="名前"/>
    <x:tableColumn id="3" name="説明"/>
    <x:tableColumn id="4" name="必要レベル"/>
    <x:tableColumn id="5" name="習得ポイント"/>
    <x:tableColumn id="6" name="消費MP"/>
    <x:tableColumn id="7" name="再使用時間秒"/>
    <x:tableColumn id="8" name="詠唱時間秒"/>
    <x:tableColumn id="9" name="共通待機時間秒"/>
    <x:tableColumn id="10" name="射程"/>
    <x:tableColumn id="11" name="対象"/>
    <x:tableColumn id="12" name="基本効果"/>
    <x:tableColumn id="13" name="参照能力"/>
    <x:tableColumn id="14" name="倍率"/>
    <x:tableColumn id="15" name="固定値"/>
    <x:tableColumn id="16" name="属性"/>
    <x:tableColumn id="17" name="会心有効"/>
    <x:tableColumn id="18" name="適用先"/>
    <x:tableColumn id="19" name="範囲半径"/>
    <x:tableColumn id="20" name="命中上限"/>
    <x:tableColumn id="21" name="発動形式"/>
    <x:tableColumn id="22" name="発射物速度"/>
    <x:tableColumn id="23" name="発射物寿命秒"/>
    <x:tableColumn id="24" name="追尾"/>
    <x:tableColumn id="25" name="画像パス"/>
    <x:tableColumn id="26" name="演出パス"/>
    <x:tableColumn id="27" name="追加効果1_種別"/>
    <x:tableColumn id="28" name="追加効果1_対象能力"/>
    <x:tableColumn id="29" name="追加効果1_変化方式"/>
    <x:tableColumn id="30" name="追加効果1_効果量"/>
    <x:tableColumn id="31" name="追加効果1_持続秒"/>
    <x:tableColumn id="32" name="追加効果1_付与確率％"/>
    <x:tableColumn id="33" name="追加効果1_状態異常"/>
    <x:tableColumn id="34" name="追加効果1_継続間隔秒"/>
    <x:tableColumn id="35" name="追加効果1_重複方式"/>
    <x:tableColumn id="36" name="追加効果1_重複上限"/>
    <x:tableColumn id="37" name="追加効果2_種別"/>
    <x:tableColumn id="38" name="追加効果2_対象能力"/>
    <x:tableColumn id="39" name="追加効果2_変化方式"/>
    <x:tableColumn id="40" name="追加効果2_効果量"/>
    <x:tableColumn id="41" name="追加効果2_持続秒"/>
    <x:tableColumn id="42" name="追加効果2_付与確率％"/>
    <x:tableColumn id="43" name="追加効果2_状態異常"/>
    <x:tableColumn id="44" name="追加効果2_継続間隔秒"/>
    <x:tableColumn id="45" name="追加効果2_重複方式"/>
    <x:tableColumn id="46" name="追加効果2_重複上限"/>
    <x:tableColumn id="47" name="追加効果3_種別"/>
    <x:tableColumn id="48" name="追加効果3_対象能力"/>
    <x:tableColumn id="49" name="追加効果3_変化方式"/>
    <x:tableColumn id="50" name="追加効果3_効果量"/>
    <x:tableColumn id="51" name="追加効果3_持続秒"/>
    <x:tableColumn id="52" name="追加効果3_付与確率％"/>
    <x:tableColumn id="53" name="追加効果3_状態異常"/>
    <x:tableColumn id="54" name="追加効果3_継続間隔秒"/>
    <x:tableColumn id="55" name="追加効果3_重複方式"/>
    <x:tableColumn id="56" name="追加効果3_重複上限"/>
    <x:tableColumn id="57" name="発射物速度入力"/>
    <x:tableColumn id="58" name="発射物寿命入力秒"/>
    <x:tableColumn id="59" name="追尾入力"/>
    <x:tableColumn id="60" name="発射物プレファブパス"/>
    <x:tableColumn id="61" name="発射物_貫通"/>
    <x:tableColumn id="62" name="発射物_回転"/>
    <x:tableColumn id="63" name="発射物_回転速度"/>
    <x:tableColumn id="64" name="発射物_蛇行"/>
    <x:tableColumn id="65" name="発射物_蛇行幅"/>
    <x:tableColumn id="66" name="発射物_蛇行回数"/>
    <x:tableColumn id="67" name="発射物_加速"/>
    <x:tableColumn id="68" name="発射物_加速度"/>
    <x:tableColumn id="69" name="発射物_最高速度"/>
    <x:tableColumn id="70" name="発射物_命中半径"/>
    <x:tableColumn id="71" name="発射物_移動タイプ"/>
    <x:tableColumn id="72" name="発射物_追尾旋回速度"/>
    <x:tableColumn id="73" name="発射物_拡大速度"/>
    <x:tableColumn id="74" name="発射物_最大拡大倍率"/>
    <x:tableColumn id="75" name="発射物_直進秒"/>
    <x:tableColumn id="76" name="発射物_帰還速度"/>
    <x:tableColumn id="77" name="発射物_周回秒"/>
    <x:tableColumn id="78" name="発射物_周回半径"/>
    <x:tableColumn id="79" name="発射物_周回角速度"/>
    <x:tableColumn id="80" name="発射物_追尾開始秒"/>
    <x:tableColumn id="81" name="発射物_螺旋角速度"/>
    <x:tableColumn id="82" name="発射物_螺旋拡大速度"/>
    <x:tableColumn id="83" name="発射物_往復距離"/>
    <x:tableColumn id="84" name="発射物_反転回数"/>
    <x:tableColumn id="85" name="発射物_反転終了で消滅"/>
    <x:tableColumn id="86" name="発射物_使用者に追従"/>
    <x:tableColumn id="87" name="発射物_再命中"/>
    <x:tableColumn id="88" name="発射物_再命中間隔秒"/>
    <x:tableColumn id="89" name="発射物_収束秒"/>
    <x:tableColumn id="90" name="発射物_収束最大拡大倍率"/>
    <x:tableColumn id="91" name="発射物_収束最大威力倍率"/>
    <x:tableColumn id="92" name="発射物_時間切替"/>
    <x:tableColumn id="93" name="発射物_切替秒"/>
    <x:tableColumn id="94" name="発射物_切替後移動タイプ"/>
    <x:tableColumn id="95" name="発射物_切替後速度"/>
    <x:tableColumn id="96" name="発射物_連鎖"/>
    <x:tableColumn id="97" name="発射物_連鎖回数"/>
    <x:tableColumn id="98" name="発射物_連鎖半径"/>
    <x:tableColumn id="99" name="発射物_連鎖威力倍率"/>
    <x:tableColumn id="100" name="発射物_分裂"/>
    <x:tableColumn id="101" name="発射物_子弾数"/>
    <x:tableColumn id="102" name="発射物_分裂角度"/>
    <x:tableColumn id="103" name="発射物_子弾威力倍率"/>
    <x:tableColumn id="104" name="発射物_分裂世代数"/>
    <x:tableColumn id="105" name="発射物_命中時爆発"/>
    <x:tableColumn id="106" name="発射物_停止時爆発"/>
    <x:tableColumn id="107" name="発射物_爆発半径"/>
    <x:tableColumn id="108" name="発射物_爆発表示秒"/>
    <x:tableColumn id="109" name="発射物_表示倍率"/>
    <x:tableColumn id="110" name="発射物_色"/>
    <x:tableColumn id="111" name="発射物_描画順"/>
    <x:tableColumn id="112" name="発射物_画像角度"/>
  </x:tableColumns>
  <x:tableStyleInfo name="TableStyleMedium2" showFirstColumn="0" showLastColumn="0" showRowStripes="1" showColumnStripes="0"/>
</x:table>
</file>

<file path=xl/tables/table2.xml><?xml version="1.0" encoding="utf-8"?>
<x:table xmlns:x="http://schemas.openxmlformats.org/spreadsheetml/2006/main" id="4" name="MonsterSkillColumns" displayName="MonsterSkillColumns" ref="A1:C2" headerRowCount="1" totalsRowCount="0" totalsRowShown="0">
  <x:tableColumns count="3">
    <x:tableColumn id="1" name="ID"/>
    <x:tableColumn id="2" name="習得可能スキル"/>
    <x:tableColumn id="3" name="敵使用スキル"/>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85f1149c16b48b8" /></Relationships>
</file>

<file path=xl/worksheets/_rels/sheet2.xml.rels>&#65279;<?xml version="1.0" encoding="utf-8"?><Relationships xmlns="http://schemas.openxmlformats.org/package/2006/relationships"><Relationship Type="http://schemas.openxmlformats.org/officeDocument/2006/relationships/table" Target="/xl/tables/table2.xml" Id="R56965fdc623d47e8" /></Relationships>
</file>

<file path=xl/worksheets/sheet1.xml><?xml version="1.0" encoding="utf-8"?>
<x:worksheet xmlns:x="http://schemas.openxmlformats.org/spreadsheetml/2006/main">
  <x:sheetPr>
    <x:tabColor rgb="FF263D5C"/>
  </x:sheetPr>
  <x:sheetViews>
    <x:sheetView showGridLines="0" workbookViewId="0">
      <x:pane xSplit="2" ySplit="1" topLeftCell="C2" activePane="bottomRight" state="frozen"/>
    </x:sheetView>
  </x:sheetViews>
  <x:sheetFormatPr defaultRowHeight="15"/>
  <x:cols>
    <x:col min="1" max="1" width="22" hidden="0" customWidth="1"/>
    <x:col min="2" max="2" width="24" hidden="0" customWidth="1"/>
    <x:col min="3" max="3" width="48" hidden="0" customWidth="1"/>
    <x:col min="4" max="4" width="14" hidden="0" customWidth="1"/>
    <x:col min="5" max="5" width="16" hidden="0" customWidth="1"/>
    <x:col min="6" max="6" width="14" hidden="0" customWidth="1"/>
    <x:col min="7" max="7" width="17" hidden="0" customWidth="1"/>
    <x:col min="8" max="8" width="15" hidden="0" customWidth="1"/>
    <x:col min="9" max="9" width="18" hidden="0" customWidth="1"/>
    <x:col min="10" max="10" width="12" hidden="0" customWidth="1"/>
    <x:col min="11" max="11" width="20" hidden="0" customWidth="1"/>
    <x:col min="12" max="12" width="16" hidden="0" customWidth="1"/>
    <x:col min="13" max="13" width="19" hidden="0" customWidth="1"/>
    <x:col min="14" max="14" width="12" hidden="0" customWidth="1"/>
    <x:col min="15" max="15" width="14" hidden="0" customWidth="1"/>
    <x:col min="16" max="16" width="18" hidden="0" customWidth="1"/>
    <x:col min="17" max="17" width="14" hidden="0" customWidth="1"/>
    <x:col min="18" max="18" width="22" hidden="0" customWidth="1"/>
    <x:col min="19" max="19" width="14" hidden="0" customWidth="1"/>
    <x:col min="20" max="20" width="14" hidden="0" customWidth="1"/>
    <x:col min="21" max="21" width="16" hidden="0" customWidth="1"/>
    <x:col min="22" max="22" width="16" hidden="0" customWidth="1"/>
    <x:col min="23" max="23" width="17" hidden="0" customWidth="1"/>
    <x:col min="24" max="24" width="12" hidden="0" customWidth="1"/>
    <x:col min="25" max="25" width="42" hidden="0" customWidth="1"/>
    <x:col min="26" max="26" width="42" hidden="0" customWidth="1"/>
    <x:col min="27" max="27" width="16" hidden="0" customWidth="1"/>
    <x:col min="28" max="28" width="19" hidden="0" customWidth="1"/>
    <x:col min="29" max="29" width="19" hidden="0" customWidth="1"/>
    <x:col min="30" max="30" width="14" hidden="0" customWidth="1"/>
    <x:col min="31" max="31" width="14" hidden="0" customWidth="1"/>
    <x:col min="32" max="32" width="16" hidden="0" customWidth="1"/>
    <x:col min="33" max="33" width="16" hidden="0" customWidth="1"/>
    <x:col min="34" max="34" width="17" hidden="0" customWidth="1"/>
    <x:col min="35" max="35" width="17" hidden="0" customWidth="1"/>
    <x:col min="36" max="36" width="14" hidden="0" customWidth="1"/>
    <x:col min="37" max="37" width="16" hidden="0" customWidth="1"/>
    <x:col min="38" max="38" width="19" hidden="0" customWidth="1"/>
    <x:col min="39" max="39" width="19" hidden="0" customWidth="1"/>
    <x:col min="40" max="40" width="14" hidden="0" customWidth="1"/>
    <x:col min="41" max="41" width="14" hidden="0" customWidth="1"/>
    <x:col min="42" max="42" width="16" hidden="0" customWidth="1"/>
    <x:col min="43" max="43" width="16" hidden="0" customWidth="1"/>
    <x:col min="44" max="44" width="17" hidden="0" customWidth="1"/>
    <x:col min="45" max="45" width="17" hidden="0" customWidth="1"/>
    <x:col min="46" max="46" width="14" hidden="0" customWidth="1"/>
    <x:col min="47" max="47" width="16" hidden="0" customWidth="1"/>
    <x:col min="48" max="48" width="19" hidden="0" customWidth="1"/>
    <x:col min="49" max="49" width="19" hidden="0" customWidth="1"/>
    <x:col min="50" max="50" width="14" hidden="0" customWidth="1"/>
    <x:col min="51" max="51" width="14" hidden="0" customWidth="1"/>
    <x:col min="52" max="52" width="16" hidden="0" customWidth="1"/>
    <x:col min="53" max="53" width="16" hidden="0" customWidth="1"/>
    <x:col min="54" max="54" width="17" hidden="0" customWidth="1"/>
    <x:col min="55" max="55" width="17" hidden="0" customWidth="1"/>
    <x:col min="56" max="56" width="14" hidden="0" customWidth="1"/>
    <x:col min="57" max="57" width="19" hidden="0" customWidth="1"/>
    <x:col min="58" max="58" width="20" hidden="0" customWidth="1"/>
    <x:col min="59" max="59" width="14" hidden="0" customWidth="1"/>
    <x:col min="60" max="60" width="46" hidden="0" customWidth="1"/>
    <x:col min="61" max="61" width="23" hidden="0" customWidth="1"/>
    <x:col min="62" max="62" width="23" hidden="0" customWidth="1"/>
    <x:col min="63" max="63" width="23" hidden="0" customWidth="1"/>
    <x:col min="64" max="64" width="23" hidden="0" customWidth="1"/>
    <x:col min="65" max="65" width="23" hidden="0" customWidth="1"/>
    <x:col min="66" max="66" width="23" hidden="0" customWidth="1"/>
    <x:col min="67" max="67" width="23" hidden="0" customWidth="1"/>
    <x:col min="68" max="68" width="23" hidden="0" customWidth="1"/>
    <x:col min="69" max="69" width="23" hidden="0" customWidth="1"/>
    <x:col min="70" max="70" width="23" hidden="0" customWidth="1"/>
    <x:col min="71" max="71" width="23" hidden="0" customWidth="1"/>
    <x:col min="72" max="72" width="23" hidden="0" customWidth="1"/>
    <x:col min="73" max="73" width="23" hidden="0" customWidth="1"/>
    <x:col min="74" max="74" width="23" hidden="0" customWidth="1"/>
    <x:col min="75" max="75" width="23" hidden="0" customWidth="1"/>
    <x:col min="76" max="76" width="23" hidden="0" customWidth="1"/>
    <x:col min="77" max="77" width="23" hidden="0" customWidth="1"/>
    <x:col min="78" max="78" width="23" hidden="0" customWidth="1"/>
    <x:col min="79" max="79" width="23" hidden="0" customWidth="1"/>
    <x:col min="80" max="80" width="23" hidden="0" customWidth="1"/>
    <x:col min="81" max="81" width="23" hidden="0" customWidth="1"/>
    <x:col min="82" max="82" width="23" hidden="0" customWidth="1"/>
    <x:col min="83" max="83" width="23" hidden="0" customWidth="1"/>
    <x:col min="84" max="84" width="23" hidden="0" customWidth="1"/>
    <x:col min="85" max="85" width="23" hidden="0" customWidth="1"/>
    <x:col min="86" max="86" width="23" hidden="0" customWidth="1"/>
    <x:col min="87" max="87" width="23" hidden="0" customWidth="1"/>
    <x:col min="88" max="88" width="23" hidden="0" customWidth="1"/>
    <x:col min="89" max="89" width="23" hidden="0" customWidth="1"/>
    <x:col min="90" max="90" width="23" hidden="0" customWidth="1"/>
    <x:col min="91" max="91" width="23" hidden="0" customWidth="1"/>
    <x:col min="92" max="92" width="23" hidden="0" customWidth="1"/>
    <x:col min="93" max="93" width="23" hidden="0" customWidth="1"/>
    <x:col min="94" max="94" width="23" hidden="0" customWidth="1"/>
    <x:col min="95" max="95" width="23" hidden="0" customWidth="1"/>
    <x:col min="96" max="96" width="23" hidden="0" customWidth="1"/>
    <x:col min="97" max="97" width="23" hidden="0" customWidth="1"/>
    <x:col min="98" max="98" width="23" hidden="0" customWidth="1"/>
    <x:col min="99" max="99" width="23" hidden="0" customWidth="1"/>
    <x:col min="100" max="100" width="23" hidden="0" customWidth="1"/>
    <x:col min="101" max="101" width="23" hidden="0" customWidth="1"/>
    <x:col min="102" max="102" width="23" hidden="0" customWidth="1"/>
    <x:col min="103" max="103" width="23" hidden="0" customWidth="1"/>
    <x:col min="104" max="104" width="23" hidden="0" customWidth="1"/>
    <x:col min="105" max="105" width="23" hidden="0" customWidth="1"/>
    <x:col min="106" max="106" width="23" hidden="0" customWidth="1"/>
    <x:col min="107" max="107" width="23" hidden="0" customWidth="1"/>
    <x:col min="108" max="108" width="23" hidden="0" customWidth="1"/>
    <x:col min="109" max="109" width="23" hidden="0" customWidth="1"/>
    <x:col min="110" max="110" width="23" hidden="0" customWidth="1"/>
    <x:col min="111" max="111" width="23" hidden="0" customWidth="1"/>
    <x:col min="112" max="112" width="23" hidden="0" customWidth="1"/>
    <x:col min="113" max="113" width="22" hidden="0" customWidth="1"/>
    <x:col min="114" max="114" width="22" hidden="0" customWidth="1"/>
    <x:col min="115" max="115" width="22" hidden="0" customWidth="1"/>
    <x:col min="116" max="116" width="22" hidden="0" customWidth="1"/>
    <x:col min="117" max="117" width="22" hidden="0" customWidth="1"/>
    <x:col min="118" max="118" width="22" hidden="0" customWidth="1"/>
    <x:col min="119" max="119" width="22" hidden="0" customWidth="1"/>
    <x:col min="120" max="120" width="22" hidden="0" customWidth="1"/>
    <x:col min="121" max="121" width="22" hidden="0" customWidth="1"/>
    <x:col min="122" max="122" width="22" hidden="0" customWidth="1"/>
    <x:col min="123" max="123" width="22" hidden="0" customWidth="1"/>
  </x:cols>
  <x:sheetData>
    <x:row r="1" ht="42" customHeight="1">
      <x:c r="A1" s="22" t="str">
        <x:v>ID</x:v>
      </x:c>
      <x:c r="B1" s="22" t="str">
        <x:v>名前</x:v>
      </x:c>
      <x:c r="C1" s="22" t="str">
        <x:v>説明</x:v>
      </x:c>
      <x:c r="D1" s="22" t="str">
        <x:v>必要レベル</x:v>
      </x:c>
      <x:c r="E1" s="22" t="str">
        <x:v>習得ポイント</x:v>
      </x:c>
      <x:c r="F1" s="22" t="str">
        <x:v>消費MP</x:v>
      </x:c>
      <x:c r="G1" s="22" t="str">
        <x:v>再使用時間秒</x:v>
      </x:c>
      <x:c r="H1" s="22" t="str">
        <x:v>詠唱時間秒</x:v>
      </x:c>
      <x:c r="I1" s="22" t="str">
        <x:v>共通待機時間秒</x:v>
      </x:c>
      <x:c r="J1" s="22" t="str">
        <x:v>射程</x:v>
      </x:c>
      <x:c r="K1" s="22" t="str">
        <x:v>対象</x:v>
      </x:c>
      <x:c r="L1" s="22" t="str">
        <x:v>基本効果</x:v>
      </x:c>
      <x:c r="M1" s="22" t="str">
        <x:v>参照能力</x:v>
      </x:c>
      <x:c r="N1" s="22" t="str">
        <x:v>倍率</x:v>
      </x:c>
      <x:c r="O1" s="22" t="str">
        <x:v>固定値</x:v>
      </x:c>
      <x:c r="P1" s="22" t="str">
        <x:v>属性</x:v>
      </x:c>
      <x:c r="Q1" s="22" t="str">
        <x:v>会心有効</x:v>
      </x:c>
      <x:c r="R1" s="22" t="str">
        <x:v>適用先</x:v>
      </x:c>
      <x:c r="S1" s="22" t="str">
        <x:v>範囲半径</x:v>
      </x:c>
      <x:c r="T1" s="22" t="str">
        <x:v>命中上限</x:v>
      </x:c>
      <x:c r="U1" s="22" t="str">
        <x:v>発動形式</x:v>
      </x:c>
      <x:c r="V1" s="22" t="str">
        <x:v>発射物速度</x:v>
      </x:c>
      <x:c r="W1" s="22" t="str">
        <x:v>発射物寿命秒</x:v>
      </x:c>
      <x:c r="X1" s="22" t="str">
        <x:v>追尾</x:v>
      </x:c>
      <x:c r="Y1" s="22" t="str">
        <x:v>画像パス</x:v>
      </x:c>
      <x:c r="Z1" s="22" t="str">
        <x:v>演出パス</x:v>
      </x:c>
      <x:c r="AA1" s="26" t="str">
        <x:v>追加効果1_種別</x:v>
      </x:c>
      <x:c r="AB1" s="26" t="str">
        <x:v>追加効果1_対象能力</x:v>
      </x:c>
      <x:c r="AC1" s="26" t="str">
        <x:v>追加効果1_変化方式</x:v>
      </x:c>
      <x:c r="AD1" s="26" t="str">
        <x:v>追加効果1_効果量</x:v>
      </x:c>
      <x:c r="AE1" s="26" t="str">
        <x:v>追加効果1_持続秒</x:v>
      </x:c>
      <x:c r="AF1" s="26" t="str">
        <x:v>追加効果1_付与確率％</x:v>
      </x:c>
      <x:c r="AG1" s="26" t="str">
        <x:v>追加効果1_状態異常</x:v>
      </x:c>
      <x:c r="AH1" s="26" t="str">
        <x:v>追加効果1_継続間隔秒</x:v>
      </x:c>
      <x:c r="AI1" s="26" t="str">
        <x:v>追加効果1_重複方式</x:v>
      </x:c>
      <x:c r="AJ1" s="26" t="str">
        <x:v>追加効果1_重複上限</x:v>
      </x:c>
      <x:c r="AK1" s="30" t="str">
        <x:v>追加効果2_種別</x:v>
      </x:c>
      <x:c r="AL1" s="30" t="str">
        <x:v>追加効果2_対象能力</x:v>
      </x:c>
      <x:c r="AM1" s="30" t="str">
        <x:v>追加効果2_変化方式</x:v>
      </x:c>
      <x:c r="AN1" s="30" t="str">
        <x:v>追加効果2_効果量</x:v>
      </x:c>
      <x:c r="AO1" s="30" t="str">
        <x:v>追加効果2_持続秒</x:v>
      </x:c>
      <x:c r="AP1" s="30" t="str">
        <x:v>追加効果2_付与確率％</x:v>
      </x:c>
      <x:c r="AQ1" s="30" t="str">
        <x:v>追加効果2_状態異常</x:v>
      </x:c>
      <x:c r="AR1" s="30" t="str">
        <x:v>追加効果2_継続間隔秒</x:v>
      </x:c>
      <x:c r="AS1" s="30" t="str">
        <x:v>追加効果2_重複方式</x:v>
      </x:c>
      <x:c r="AT1" s="30" t="str">
        <x:v>追加効果2_重複上限</x:v>
      </x:c>
      <x:c r="AU1" s="34" t="str">
        <x:v>追加効果3_種別</x:v>
      </x:c>
      <x:c r="AV1" s="34" t="str">
        <x:v>追加効果3_対象能力</x:v>
      </x:c>
      <x:c r="AW1" s="34" t="str">
        <x:v>追加効果3_変化方式</x:v>
      </x:c>
      <x:c r="AX1" s="34" t="str">
        <x:v>追加効果3_効果量</x:v>
      </x:c>
      <x:c r="AY1" s="34" t="str">
        <x:v>追加効果3_持続秒</x:v>
      </x:c>
      <x:c r="AZ1" s="34" t="str">
        <x:v>追加効果3_付与確率％</x:v>
      </x:c>
      <x:c r="BA1" s="34" t="str">
        <x:v>追加効果3_状態異常</x:v>
      </x:c>
      <x:c r="BB1" s="34" t="str">
        <x:v>追加効果3_継続間隔秒</x:v>
      </x:c>
      <x:c r="BC1" s="34" t="str">
        <x:v>追加効果3_重複方式</x:v>
      </x:c>
      <x:c r="BD1" s="34" t="str">
        <x:v>追加効果3_重複上限</x:v>
      </x:c>
      <x:c r="BE1" s="38" t="str">
        <x:v>発射物速度入力</x:v>
      </x:c>
      <x:c r="BF1" s="38" t="str">
        <x:v>発射物寿命入力秒</x:v>
      </x:c>
      <x:c r="BG1" s="38" t="str">
        <x:v>追尾入力</x:v>
      </x:c>
      <x:c r="BH1" s="60" t="str">
        <x:v>発射物プレファブパス</x:v>
      </x:c>
      <x:c r="BI1" s="60" t="str">
        <x:v>発射物_貫通</x:v>
      </x:c>
      <x:c r="BJ1" s="60" t="str">
        <x:v>発射物_回転</x:v>
      </x:c>
      <x:c r="BK1" s="60" t="str">
        <x:v>発射物_回転速度</x:v>
      </x:c>
      <x:c r="BL1" s="60" t="str">
        <x:v>発射物_蛇行</x:v>
      </x:c>
      <x:c r="BM1" s="60" t="str">
        <x:v>発射物_蛇行幅</x:v>
      </x:c>
      <x:c r="BN1" s="60" t="str">
        <x:v>発射物_蛇行回数</x:v>
      </x:c>
      <x:c r="BO1" s="60" t="str">
        <x:v>発射物_加速</x:v>
      </x:c>
      <x:c r="BP1" s="60" t="str">
        <x:v>発射物_加速度</x:v>
      </x:c>
      <x:c r="BQ1" s="60" t="str">
        <x:v>発射物_最高速度</x:v>
      </x:c>
      <x:c r="BR1" s="60" t="str">
        <x:v>発射物_命中半径</x:v>
      </x:c>
      <x:c r="BS1" s="60" t="str">
        <x:v>発射物_移動タイプ</x:v>
      </x:c>
      <x:c r="BT1" s="60" t="str">
        <x:v>発射物_追尾旋回速度</x:v>
      </x:c>
      <x:c r="BU1" s="60" t="str">
        <x:v>発射物_拡大速度</x:v>
      </x:c>
      <x:c r="BV1" s="60" t="str">
        <x:v>発射物_最大拡大倍率</x:v>
      </x:c>
      <x:c r="BW1" s="60" t="str">
        <x:v>発射物_直進秒</x:v>
      </x:c>
      <x:c r="BX1" s="60" t="str">
        <x:v>発射物_帰還速度</x:v>
      </x:c>
      <x:c r="BY1" s="60" t="str">
        <x:v>発射物_周回秒</x:v>
      </x:c>
      <x:c r="BZ1" s="60" t="str">
        <x:v>発射物_周回半径</x:v>
      </x:c>
      <x:c r="CA1" s="60" t="str">
        <x:v>発射物_周回角速度</x:v>
      </x:c>
      <x:c r="CB1" s="60" t="str">
        <x:v>発射物_追尾開始秒</x:v>
      </x:c>
      <x:c r="CC1" s="60" t="str">
        <x:v>発射物_螺旋角速度</x:v>
      </x:c>
      <x:c r="CD1" s="60" t="str">
        <x:v>発射物_螺旋拡大速度</x:v>
      </x:c>
      <x:c r="CE1" s="60" t="str">
        <x:v>発射物_往復距離</x:v>
      </x:c>
      <x:c r="CF1" s="60" t="str">
        <x:v>発射物_反転回数</x:v>
      </x:c>
      <x:c r="CG1" s="60" t="str">
        <x:v>発射物_反転終了で消滅</x:v>
      </x:c>
      <x:c r="CH1" s="60" t="str">
        <x:v>発射物_使用者に追従</x:v>
      </x:c>
      <x:c r="CI1" s="60" t="str">
        <x:v>発射物_再命中</x:v>
      </x:c>
      <x:c r="CJ1" s="60" t="str">
        <x:v>発射物_再命中間隔秒</x:v>
      </x:c>
      <x:c r="CK1" s="60" t="str">
        <x:v>発射物_収束秒</x:v>
      </x:c>
      <x:c r="CL1" s="60" t="str">
        <x:v>発射物_収束最大拡大倍率</x:v>
      </x:c>
      <x:c r="CM1" s="60" t="str">
        <x:v>発射物_収束最大威力倍率</x:v>
      </x:c>
      <x:c r="CN1" s="60" t="str">
        <x:v>発射物_時間切替</x:v>
      </x:c>
      <x:c r="CO1" s="60" t="str">
        <x:v>発射物_切替秒</x:v>
      </x:c>
      <x:c r="CP1" s="60" t="str">
        <x:v>発射物_切替後移動タイプ</x:v>
      </x:c>
      <x:c r="CQ1" s="60" t="str">
        <x:v>発射物_切替後速度</x:v>
      </x:c>
      <x:c r="CR1" s="60" t="str">
        <x:v>発射物_連鎖</x:v>
      </x:c>
      <x:c r="CS1" s="60" t="str">
        <x:v>発射物_連鎖回数</x:v>
      </x:c>
      <x:c r="CT1" s="60" t="str">
        <x:v>発射物_連鎖半径</x:v>
      </x:c>
      <x:c r="CU1" s="60" t="str">
        <x:v>発射物_連鎖威力倍率</x:v>
      </x:c>
      <x:c r="CV1" s="60" t="str">
        <x:v>発射物_分裂</x:v>
      </x:c>
      <x:c r="CW1" s="60" t="str">
        <x:v>発射物_子弾数</x:v>
      </x:c>
      <x:c r="CX1" s="60" t="str">
        <x:v>発射物_分裂角度</x:v>
      </x:c>
      <x:c r="CY1" s="60" t="str">
        <x:v>発射物_子弾威力倍率</x:v>
      </x:c>
      <x:c r="CZ1" s="60" t="str">
        <x:v>発射物_分裂世代数</x:v>
      </x:c>
      <x:c r="DA1" s="60" t="str">
        <x:v>発射物_命中時爆発</x:v>
      </x:c>
      <x:c r="DB1" s="60" t="str">
        <x:v>発射物_停止時爆発</x:v>
      </x:c>
      <x:c r="DC1" s="60" t="str">
        <x:v>発射物_爆発半径</x:v>
      </x:c>
      <x:c r="DD1" s="60" t="str">
        <x:v>発射物_爆発表示秒</x:v>
      </x:c>
      <x:c r="DE1" s="76" t="str">
        <x:v>発射物_表示倍率</x:v>
      </x:c>
      <x:c r="DF1" s="76" t="str">
        <x:v>発射物_色</x:v>
      </x:c>
      <x:c r="DG1" s="76" t="str">
        <x:v>発射物_描画順</x:v>
      </x:c>
      <x:c r="DH1" s="76" t="str">
        <x:v>発射物_画像角度</x:v>
      </x:c>
      <x:c r="DI1" s="87" t="str">
        <x:v>スキル種別</x:v>
      </x:c>
      <x:c r="DJ1" s="87" t="str">
        <x:v>生成位置</x:v>
      </x:c>
      <x:c r="DK1" s="87" t="str">
        <x:v>追従先</x:v>
      </x:c>
      <x:c r="DL1" s="87" t="str">
        <x:v>効果発生タイミング</x:v>
      </x:c>
      <x:c r="DM1" s="87" t="str">
        <x:v>効果間隔秒</x:v>
      </x:c>
      <x:c r="DN1" s="87" t="str">
        <x:v>パッシブ1_効果</x:v>
      </x:c>
      <x:c r="DO1" s="87" t="str">
        <x:v>パッシブ1_効果量</x:v>
      </x:c>
      <x:c r="DP1" s="87" t="str">
        <x:v>パッシブ2_効果</x:v>
      </x:c>
      <x:c r="DQ1" s="87" t="str">
        <x:v>パッシブ2_効果量</x:v>
      </x:c>
      <x:c r="DR1" s="87" t="str">
        <x:v>パッシブ3_効果</x:v>
      </x:c>
      <x:c r="DS1" s="87" t="str">
        <x:v>パッシブ3_効果量</x:v>
      </x:c>
    </x:row>
    <x:row r="2" ht="25" customHeight="1">
      <x:c r="A2" s="9" t="str">
        <x:v>1</x:v>
      </x:c>
      <x:c r="B2" s="7" t="str">
        <x:v>ファイアボール</x:v>
      </x:c>
      <x:c r="C2" s="8" t="str">
        <x:v>敵一体へ火属性の魔弾を放つ</x:v>
      </x:c>
      <x:c r="D2" s="11" t="n">
        <x:v>1</x:v>
      </x:c>
      <x:c r="E2" s="11" t="n">
        <x:v>1</x:v>
      </x:c>
      <x:c r="F2" s="11" t="n">
        <x:v>10</x:v>
      </x:c>
      <x:c r="G2" s="13" t="n">
        <x:v>5</x:v>
      </x:c>
      <x:c r="H2" s="13" t="n">
        <x:v>0</x:v>
      </x:c>
      <x:c r="I2" s="13" t="n">
        <x:v>0.2</x:v>
      </x:c>
      <x:c r="J2" s="13" t="n">
        <x:v>6</x:v>
      </x:c>
      <x:c r="K2" s="7" t="str">
        <x:v>敵一体</x:v>
      </x:c>
      <x:c r="L2" s="7" t="str">
        <x:v>ダメージ</x:v>
      </x:c>
      <x:c r="M2" s="7" t="str">
        <x:v>魔法攻撃力</x:v>
      </x:c>
      <x:c r="N2" s="13" t="n">
        <x:v>2</x:v>
      </x:c>
      <x:c r="O2" s="11" t="n">
        <x:v>0</x:v>
      </x:c>
      <x:c r="P2" s="7" t="str">
        <x:v>火</x:v>
      </x:c>
      <x:c r="Q2" s="7" t="str">
        <x:v>有効</x:v>
      </x:c>
      <x:c r="R2" s="7" t="str">
        <x:v>選択対象</x:v>
      </x:c>
      <x:c r="S2" s="13" t="n">
        <x:v>0</x:v>
      </x:c>
      <x:c r="T2" s="11" t="n">
        <x:v>1</x:v>
      </x:c>
      <x:c r="U2" s="7" t="str">
        <x:v>発射物</x:v>
      </x:c>
      <x:c r="V2" s="41" t="n">
        <x:f>IF($A2="","",IF(AND($U2="発射物",$DI2&lt;&gt;"パッシブ"),$BE2,0))</x:f>
        <x:v>8</x:v>
      </x:c>
      <x:c r="W2" s="41" t="n">
        <x:f>IF($A2="","",IF(AND($U2="発射物",$DI2&lt;&gt;"パッシブ"),$BF2,0))</x:f>
        <x:v>3</x:v>
      </x:c>
      <x:c r="X2" s="41" t="str">
        <x:f>IF($A2="","",IF(AND($U2="発射物",$DI2&lt;&gt;"パッシブ"),IF($BG2="有効","有効","無効"),"無効"))</x:f>
        <x:v>有効</x:v>
      </x:c>
      <x:c r="Y2" s="7" t="str"/>
      <x:c r="Z2" s="7" t="str"/>
      <x:c r="AA2" s="7" t="str">
        <x:v>なし</x:v>
      </x:c>
      <x:c r="AB2" s="7" t="str">
        <x:v>なし</x:v>
      </x:c>
      <x:c r="AC2" s="7" t="str">
        <x:v>なし</x:v>
      </x:c>
      <x:c r="AD2" s="13" t="n">
        <x:v>0</x:v>
      </x:c>
      <x:c r="AE2" s="13" t="n">
        <x:v>0</x:v>
      </x:c>
      <x:c r="AF2" s="13" t="n">
        <x:v>0</x:v>
      </x:c>
      <x:c r="AG2" s="7" t="str">
        <x:v>なし</x:v>
      </x:c>
      <x:c r="AH2" s="13" t="n">
        <x:v>0</x:v>
      </x:c>
      <x:c r="AI2" s="7" t="str">
        <x:v>時間更新</x:v>
      </x:c>
      <x:c r="AJ2" s="13" t="n">
        <x:v>1</x:v>
      </x:c>
      <x:c r="AK2" s="7" t="str">
        <x:v>なし</x:v>
      </x:c>
      <x:c r="AL2" s="7" t="str">
        <x:v>なし</x:v>
      </x:c>
      <x:c r="AM2" s="7" t="str">
        <x:v>なし</x:v>
      </x:c>
      <x:c r="AN2" s="13" t="n">
        <x:v>0</x:v>
      </x:c>
      <x:c r="AO2" s="13" t="n">
        <x:v>0</x:v>
      </x:c>
      <x:c r="AP2" s="13" t="n">
        <x:v>0</x:v>
      </x:c>
      <x:c r="AQ2" s="7" t="str">
        <x:v>なし</x:v>
      </x:c>
      <x:c r="AR2" s="13" t="n">
        <x:v>0</x:v>
      </x:c>
      <x:c r="AS2" s="7" t="str">
        <x:v>時間更新</x:v>
      </x:c>
      <x:c r="AT2" s="13" t="n">
        <x:v>1</x:v>
      </x:c>
      <x:c r="AU2" s="7" t="str">
        <x:v>なし</x:v>
      </x:c>
      <x:c r="AV2" s="7" t="str">
        <x:v>なし</x:v>
      </x:c>
      <x:c r="AW2" s="7" t="str">
        <x:v>なし</x:v>
      </x:c>
      <x:c r="AX2" s="13" t="n">
        <x:v>0</x:v>
      </x:c>
      <x:c r="AY2" s="13" t="n">
        <x:v>0</x:v>
      </x:c>
      <x:c r="AZ2" s="13" t="n">
        <x:v>0</x:v>
      </x:c>
      <x:c r="BA2" s="7" t="str">
        <x:v>なし</x:v>
      </x:c>
      <x:c r="BB2" s="13" t="n">
        <x:v>0</x:v>
      </x:c>
      <x:c r="BC2" s="7" t="str">
        <x:v>時間更新</x:v>
      </x:c>
      <x:c r="BD2" s="13" t="n">
        <x:v>1</x:v>
      </x:c>
      <x:c r="BE2" s="43" t="n">
        <x:v>8</x:v>
      </x:c>
      <x:c r="BF2" s="43" t="n">
        <x:v>3</x:v>
      </x:c>
      <x:c r="BG2" s="44" t="str">
        <x:v>有効</x:v>
      </x:c>
      <x:c r="BH2" s="45"/>
      <x:c r="BI2" s="45" t="str">
        <x:v>無効</x:v>
      </x:c>
      <x:c r="BJ2" s="45" t="str">
        <x:v>無効</x:v>
      </x:c>
      <x:c r="BK2" s="51" t="n">
        <x:v>360</x:v>
      </x:c>
      <x:c r="BL2" s="45" t="str">
        <x:v>無効</x:v>
      </x:c>
      <x:c r="BM2" s="51" t="n">
        <x:v>0.3</x:v>
      </x:c>
      <x:c r="BN2" s="51" t="n">
        <x:v>2</x:v>
      </x:c>
      <x:c r="BO2" s="45" t="str">
        <x:v>無効</x:v>
      </x:c>
      <x:c r="BP2" s="51" t="n">
        <x:v>3</x:v>
      </x:c>
      <x:c r="BQ2" s="51" t="n">
        <x:v>50</x:v>
      </x:c>
      <x:c r="BR2" s="51" t="n">
        <x:v>0.3</x:v>
      </x:c>
      <x:c r="BS2" s="45" t="str">
        <x:v>直進</x:v>
      </x:c>
      <x:c r="BT2" s="51" t="n">
        <x:v>8</x:v>
      </x:c>
      <x:c r="BU2" s="51" t="n">
        <x:v>0.8</x:v>
      </x:c>
      <x:c r="BV2" s="51" t="n">
        <x:v>2</x:v>
      </x:c>
      <x:c r="BW2" s="51" t="n">
        <x:v>0.8</x:v>
      </x:c>
      <x:c r="BX2" s="51" t="n">
        <x:v>12</x:v>
      </x:c>
      <x:c r="BY2" s="51" t="n">
        <x:v>0.8</x:v>
      </x:c>
      <x:c r="BZ2" s="51" t="n">
        <x:v>1.5</x:v>
      </x:c>
      <x:c r="CA2" s="51" t="n">
        <x:v>720</x:v>
      </x:c>
      <x:c r="CB2" s="51" t="n">
        <x:v>0.6</x:v>
      </x:c>
      <x:c r="CC2" s="51" t="n">
        <x:v>540</x:v>
      </x:c>
      <x:c r="CD2" s="51" t="n">
        <x:v>1.8</x:v>
      </x:c>
      <x:c r="CE2" s="51" t="n">
        <x:v>4</x:v>
      </x:c>
      <x:c r="CF2" s="51" t="n">
        <x:v>4</x:v>
      </x:c>
      <x:c r="CG2" s="45" t="str">
        <x:v>有効</x:v>
      </x:c>
      <x:c r="CH2" s="45" t="str">
        <x:v>無効</x:v>
      </x:c>
      <x:c r="CI2" s="45" t="str">
        <x:v>無効</x:v>
      </x:c>
      <x:c r="CJ2" s="51" t="n">
        <x:v>0.5</x:v>
      </x:c>
      <x:c r="CK2" s="51" t="n">
        <x:v>1.5</x:v>
      </x:c>
      <x:c r="CL2" s="51" t="n">
        <x:v>2.5</x:v>
      </x:c>
      <x:c r="CM2" s="51" t="n">
        <x:v>2.5</x:v>
      </x:c>
      <x:c r="CN2" s="45" t="str">
        <x:v>無効</x:v>
      </x:c>
      <x:c r="CO2" s="51" t="n">
        <x:v>1</x:v>
      </x:c>
      <x:c r="CP2" s="45" t="str">
        <x:v>追尾</x:v>
      </x:c>
      <x:c r="CQ2" s="51" t="n">
        <x:v>10</x:v>
      </x:c>
      <x:c r="CR2" s="45" t="str">
        <x:v>無効</x:v>
      </x:c>
      <x:c r="CS2" s="51" t="n">
        <x:v>4</x:v>
      </x:c>
      <x:c r="CT2" s="51" t="n">
        <x:v>8</x:v>
      </x:c>
      <x:c r="CU2" s="51" t="n">
        <x:v>0.85</x:v>
      </x:c>
      <x:c r="CV2" s="45" t="str">
        <x:v>無効</x:v>
      </x:c>
      <x:c r="CW2" s="51" t="n">
        <x:v>2</x:v>
      </x:c>
      <x:c r="CX2" s="51" t="n">
        <x:v>50</x:v>
      </x:c>
      <x:c r="CY2" s="51" t="n">
        <x:v>0.5</x:v>
      </x:c>
      <x:c r="CZ2" s="51" t="n">
        <x:v>1</x:v>
      </x:c>
      <x:c r="DA2" s="45" t="str">
        <x:v>無効</x:v>
      </x:c>
      <x:c r="DB2" s="45" t="str">
        <x:v>有効</x:v>
      </x:c>
      <x:c r="DC2" s="51" t="n">
        <x:v>2</x:v>
      </x:c>
      <x:c r="DD2" s="51" t="n">
        <x:v>0.4</x:v>
      </x:c>
      <x:c r="DE2" s="45" t="n">
        <x:v>0.3</x:v>
      </x:c>
      <x:c r="DF2" s="77" t="str">
        <x:v>#FFFFFFFF</x:v>
      </x:c>
      <x:c r="DG2" s="45" t="n">
        <x:v>60</x:v>
      </x:c>
      <x:c r="DH2" s="45" t="n">
        <x:v>0</x:v>
      </x:c>
      <x:c r="DI2" s="88" t="str">
        <x:v>アクティブ</x:v>
      </x:c>
      <x:c r="DJ2" s="88" t="str">
        <x:v>使用者</x:v>
      </x:c>
      <x:c r="DK2" s="88" t="str">
        <x:v>追従なし</x:v>
      </x:c>
      <x:c r="DL2" s="88" t="str">
        <x:v>命中時</x:v>
      </x:c>
      <x:c r="DM2" s="88" t="n">
        <x:v>1</x:v>
      </x:c>
      <x:c r="DN2" s="88"/>
      <x:c r="DO2" s="88"/>
      <x:c r="DP2" s="88"/>
      <x:c r="DQ2" s="88"/>
      <x:c r="DR2" s="88"/>
      <x:c r="DS2" s="88"/>
    </x:row>
    <x:row r="3" ht="25" customHeight="1">
      <x:c r="A3" s="9" t="str">
        <x:v>2</x:v>
      </x:c>
      <x:c r="B3" s="7" t="str">
        <x:v>ヒーリング</x:v>
      </x:c>
      <x:c r="C3" s="8" t="str">
        <x:v>自分または味方一体の体力を回復する</x:v>
      </x:c>
      <x:c r="D3" s="11" t="n">
        <x:v>1</x:v>
      </x:c>
      <x:c r="E3" s="11" t="n">
        <x:v>1</x:v>
      </x:c>
      <x:c r="F3" s="11" t="n">
        <x:v>15</x:v>
      </x:c>
      <x:c r="G3" s="13" t="n">
        <x:v>8</x:v>
      </x:c>
      <x:c r="H3" s="13" t="n">
        <x:v>0</x:v>
      </x:c>
      <x:c r="I3" s="13" t="n">
        <x:v>0.2</x:v>
      </x:c>
      <x:c r="J3" s="13" t="n">
        <x:v>5</x:v>
      </x:c>
      <x:c r="K3" s="7" t="str">
        <x:v>味方一体</x:v>
      </x:c>
      <x:c r="L3" s="7" t="str">
        <x:v>回復</x:v>
      </x:c>
      <x:c r="M3" s="7" t="str">
        <x:v>魔法攻撃力</x:v>
      </x:c>
      <x:c r="N3" s="13" t="n">
        <x:v>1.5</x:v>
      </x:c>
      <x:c r="O3" s="11" t="n">
        <x:v>200</x:v>
      </x:c>
      <x:c r="P3" s="7" t="str">
        <x:v>使用者と同じ</x:v>
      </x:c>
      <x:c r="Q3" s="7" t="str">
        <x:v>無効</x:v>
      </x:c>
      <x:c r="R3" s="7" t="str">
        <x:v>選択対象</x:v>
      </x:c>
      <x:c r="S3" s="13" t="n">
        <x:v>0</x:v>
      </x:c>
      <x:c r="T3" s="11" t="n">
        <x:v>1</x:v>
      </x:c>
      <x:c r="U3" s="7" t="str">
        <x:v>発射物</x:v>
      </x:c>
      <x:c r="V3" s="41" t="n">
        <x:f>IF($A3="","",IF(AND($U3="発射物",$DI3&lt;&gt;"パッシブ"),$BE3,0))</x:f>
        <x:v>1</x:v>
      </x:c>
      <x:c r="W3" s="41" t="n">
        <x:f>IF($A3="","",IF(AND($U3="発射物",$DI3&lt;&gt;"パッシブ"),$BF3,0))</x:f>
        <x:v>0.8</x:v>
      </x:c>
      <x:c r="X3" s="41" t="str">
        <x:f>IF($A3="","",IF(AND($U3="発射物",$DI3&lt;&gt;"パッシブ"),IF($BG3="有効","有効","無効"),"無効"))</x:f>
        <x:v>無効</x:v>
      </x:c>
      <x:c r="Y3" s="7" t="str"/>
      <x:c r="Z3" s="7" t="str"/>
      <x:c r="AA3" s="7" t="str">
        <x:v>なし</x:v>
      </x:c>
      <x:c r="AB3" s="7" t="str">
        <x:v>なし</x:v>
      </x:c>
      <x:c r="AC3" s="7" t="str">
        <x:v>なし</x:v>
      </x:c>
      <x:c r="AD3" s="13" t="n">
        <x:v>0</x:v>
      </x:c>
      <x:c r="AE3" s="13" t="n">
        <x:v>0</x:v>
      </x:c>
      <x:c r="AF3" s="13" t="n">
        <x:v>0</x:v>
      </x:c>
      <x:c r="AG3" s="7" t="str">
        <x:v>なし</x:v>
      </x:c>
      <x:c r="AH3" s="13" t="n">
        <x:v>0</x:v>
      </x:c>
      <x:c r="AI3" s="7" t="str">
        <x:v>時間更新</x:v>
      </x:c>
      <x:c r="AJ3" s="13" t="n">
        <x:v>1</x:v>
      </x:c>
      <x:c r="AK3" s="7" t="str">
        <x:v>なし</x:v>
      </x:c>
      <x:c r="AL3" s="7" t="str">
        <x:v>なし</x:v>
      </x:c>
      <x:c r="AM3" s="7" t="str">
        <x:v>なし</x:v>
      </x:c>
      <x:c r="AN3" s="13" t="n">
        <x:v>0</x:v>
      </x:c>
      <x:c r="AO3" s="13" t="n">
        <x:v>0</x:v>
      </x:c>
      <x:c r="AP3" s="13" t="n">
        <x:v>0</x:v>
      </x:c>
      <x:c r="AQ3" s="7" t="str">
        <x:v>なし</x:v>
      </x:c>
      <x:c r="AR3" s="13" t="n">
        <x:v>0</x:v>
      </x:c>
      <x:c r="AS3" s="7" t="str">
        <x:v>時間更新</x:v>
      </x:c>
      <x:c r="AT3" s="13" t="n">
        <x:v>1</x:v>
      </x:c>
      <x:c r="AU3" s="7" t="str">
        <x:v>なし</x:v>
      </x:c>
      <x:c r="AV3" s="7" t="str">
        <x:v>なし</x:v>
      </x:c>
      <x:c r="AW3" s="7" t="str">
        <x:v>なし</x:v>
      </x:c>
      <x:c r="AX3" s="13" t="n">
        <x:v>0</x:v>
      </x:c>
      <x:c r="AY3" s="13" t="n">
        <x:v>0</x:v>
      </x:c>
      <x:c r="AZ3" s="13" t="n">
        <x:v>0</x:v>
      </x:c>
      <x:c r="BA3" s="7" t="str">
        <x:v>なし</x:v>
      </x:c>
      <x:c r="BB3" s="13" t="n">
        <x:v>0</x:v>
      </x:c>
      <x:c r="BC3" s="7" t="str">
        <x:v>時間更新</x:v>
      </x:c>
      <x:c r="BD3" s="13" t="n">
        <x:v>1</x:v>
      </x:c>
      <x:c r="BE3" s="43" t="n">
        <x:v>1</x:v>
      </x:c>
      <x:c r="BF3" s="43" t="n">
        <x:v>0.8</x:v>
      </x:c>
      <x:c r="BG3" s="44" t="str">
        <x:v>無効</x:v>
      </x:c>
      <x:c r="BH3" s="45"/>
      <x:c r="BI3" s="45" t="str">
        <x:v>無効</x:v>
      </x:c>
      <x:c r="BJ3" s="45" t="str">
        <x:v>無効</x:v>
      </x:c>
      <x:c r="BK3" s="51" t="n">
        <x:v>360</x:v>
      </x:c>
      <x:c r="BL3" s="45" t="str">
        <x:v>無効</x:v>
      </x:c>
      <x:c r="BM3" s="51" t="n">
        <x:v>0.3</x:v>
      </x:c>
      <x:c r="BN3" s="51" t="n">
        <x:v>2</x:v>
      </x:c>
      <x:c r="BO3" s="45" t="str">
        <x:v>無効</x:v>
      </x:c>
      <x:c r="BP3" s="51" t="n">
        <x:v>3</x:v>
      </x:c>
      <x:c r="BQ3" s="51" t="n">
        <x:v>50</x:v>
      </x:c>
      <x:c r="BR3" s="51" t="n">
        <x:v>0.3</x:v>
      </x:c>
      <x:c r="BS3" s="45" t="str">
        <x:v>その場</x:v>
      </x:c>
      <x:c r="BT3" s="51" t="n">
        <x:v>8</x:v>
      </x:c>
      <x:c r="BU3" s="51" t="n">
        <x:v>0.8</x:v>
      </x:c>
      <x:c r="BV3" s="51" t="n">
        <x:v>2</x:v>
      </x:c>
      <x:c r="BW3" s="51" t="n">
        <x:v>0.8</x:v>
      </x:c>
      <x:c r="BX3" s="51" t="n">
        <x:v>12</x:v>
      </x:c>
      <x:c r="BY3" s="51" t="n">
        <x:v>0.8</x:v>
      </x:c>
      <x:c r="BZ3" s="51" t="n">
        <x:v>1.5</x:v>
      </x:c>
      <x:c r="CA3" s="51" t="n">
        <x:v>720</x:v>
      </x:c>
      <x:c r="CB3" s="51" t="n">
        <x:v>0.6</x:v>
      </x:c>
      <x:c r="CC3" s="51" t="n">
        <x:v>540</x:v>
      </x:c>
      <x:c r="CD3" s="51" t="n">
        <x:v>1.8</x:v>
      </x:c>
      <x:c r="CE3" s="51" t="n">
        <x:v>4</x:v>
      </x:c>
      <x:c r="CF3" s="51" t="n">
        <x:v>4</x:v>
      </x:c>
      <x:c r="CG3" s="45" t="str">
        <x:v>有効</x:v>
      </x:c>
      <x:c r="CH3" s="45" t="str">
        <x:v>無効</x:v>
      </x:c>
      <x:c r="CI3" s="45" t="str">
        <x:v>無効</x:v>
      </x:c>
      <x:c r="CJ3" s="51" t="n">
        <x:v>0.5</x:v>
      </x:c>
      <x:c r="CK3" s="51" t="n">
        <x:v>1.5</x:v>
      </x:c>
      <x:c r="CL3" s="51" t="n">
        <x:v>2.5</x:v>
      </x:c>
      <x:c r="CM3" s="51" t="n">
        <x:v>2.5</x:v>
      </x:c>
      <x:c r="CN3" s="45" t="str">
        <x:v>無効</x:v>
      </x:c>
      <x:c r="CO3" s="51" t="n">
        <x:v>1</x:v>
      </x:c>
      <x:c r="CP3" s="45" t="str">
        <x:v>追尾</x:v>
      </x:c>
      <x:c r="CQ3" s="51" t="n">
        <x:v>10</x:v>
      </x:c>
      <x:c r="CR3" s="45" t="str">
        <x:v>無効</x:v>
      </x:c>
      <x:c r="CS3" s="51" t="n">
        <x:v>4</x:v>
      </x:c>
      <x:c r="CT3" s="51" t="n">
        <x:v>8</x:v>
      </x:c>
      <x:c r="CU3" s="51" t="n">
        <x:v>0.85</x:v>
      </x:c>
      <x:c r="CV3" s="45" t="str">
        <x:v>無効</x:v>
      </x:c>
      <x:c r="CW3" s="51" t="n">
        <x:v>2</x:v>
      </x:c>
      <x:c r="CX3" s="51" t="n">
        <x:v>50</x:v>
      </x:c>
      <x:c r="CY3" s="51" t="n">
        <x:v>0.5</x:v>
      </x:c>
      <x:c r="CZ3" s="51" t="n">
        <x:v>1</x:v>
      </x:c>
      <x:c r="DA3" s="45" t="str">
        <x:v>無効</x:v>
      </x:c>
      <x:c r="DB3" s="45" t="str">
        <x:v>有効</x:v>
      </x:c>
      <x:c r="DC3" s="51" t="n">
        <x:v>2</x:v>
      </x:c>
      <x:c r="DD3" s="51" t="n">
        <x:v>0.4</x:v>
      </x:c>
      <x:c r="DE3" s="45" t="n">
        <x:v>0.3</x:v>
      </x:c>
      <x:c r="DF3" s="77" t="str">
        <x:v>#FFFFFFFF</x:v>
      </x:c>
      <x:c r="DG3" s="45" t="n">
        <x:v>60</x:v>
      </x:c>
      <x:c r="DH3" s="45" t="n">
        <x:v>0</x:v>
      </x:c>
      <x:c r="DI3" s="88" t="str">
        <x:v>アクティブ</x:v>
      </x:c>
      <x:c r="DJ3" s="88" t="str">
        <x:v>対象</x:v>
      </x:c>
      <x:c r="DK3" s="88" t="str">
        <x:v>対象</x:v>
      </x:c>
      <x:c r="DL3" s="88" t="str">
        <x:v>生成時</x:v>
      </x:c>
      <x:c r="DM3" s="88" t="n">
        <x:v>1</x:v>
      </x:c>
      <x:c r="DN3" s="88"/>
      <x:c r="DO3" s="88"/>
      <x:c r="DP3" s="88"/>
      <x:c r="DQ3" s="88"/>
      <x:c r="DR3" s="88"/>
      <x:c r="DS3" s="88"/>
    </x:row>
    <x:row r="4" ht="25" customHeight="1">
      <x:c r="A4" s="9" t="str">
        <x:v>3</x:v>
      </x:c>
      <x:c r="B4" s="7" t="str">
        <x:v>衝撃波</x:v>
      </x:c>
      <x:c r="C4" s="8" t="str">
        <x:v>自身の周囲の敵に物理ダメージ</x:v>
      </x:c>
      <x:c r="D4" s="11" t="n">
        <x:v>5</x:v>
      </x:c>
      <x:c r="E4" s="11" t="n">
        <x:v>2</x:v>
      </x:c>
      <x:c r="F4" s="11" t="n">
        <x:v>20</x:v>
      </x:c>
      <x:c r="G4" s="13" t="n">
        <x:v>10</x:v>
      </x:c>
      <x:c r="H4" s="13" t="n">
        <x:v>0.3</x:v>
      </x:c>
      <x:c r="I4" s="13" t="n">
        <x:v>0.2</x:v>
      </x:c>
      <x:c r="J4" s="13" t="n">
        <x:v>0</x:v>
      </x:c>
      <x:c r="K4" s="7" t="str">
        <x:v>自身中心</x:v>
      </x:c>
      <x:c r="L4" s="7" t="str">
        <x:v>ダメージ</x:v>
      </x:c>
      <x:c r="M4" s="7" t="str">
        <x:v>攻撃力</x:v>
      </x:c>
      <x:c r="N4" s="13" t="n">
        <x:v>1.5</x:v>
      </x:c>
      <x:c r="O4" s="11" t="n">
        <x:v>0</x:v>
      </x:c>
      <x:c r="P4" s="7" t="str">
        <x:v>使用者と同じ</x:v>
      </x:c>
      <x:c r="Q4" s="7" t="str">
        <x:v>有効</x:v>
      </x:c>
      <x:c r="R4" s="7" t="str">
        <x:v>範囲内の敵</x:v>
      </x:c>
      <x:c r="S4" s="13" t="n">
        <x:v>3</x:v>
      </x:c>
      <x:c r="T4" s="11" t="n">
        <x:v>0</x:v>
      </x:c>
      <x:c r="U4" s="7" t="str">
        <x:v>即時</x:v>
      </x:c>
      <x:c r="V4" s="41" t="n">
        <x:f>IF($A4="","",IF(AND($U4="発射物",$DI4&lt;&gt;"パッシブ"),$BE4,0))</x:f>
        <x:v>0</x:v>
      </x:c>
      <x:c r="W4" s="41" t="n">
        <x:f>IF($A4="","",IF(AND($U4="発射物",$DI4&lt;&gt;"パッシブ"),$BF4,0))</x:f>
        <x:v>0</x:v>
      </x:c>
      <x:c r="X4" s="41" t="str">
        <x:f>IF($A4="","",IF(AND($U4="発射物",$DI4&lt;&gt;"パッシブ"),IF($BG4="有効","有効","無効"),"無効"))</x:f>
        <x:v>無効</x:v>
      </x:c>
      <x:c r="Y4" s="7" t="str"/>
      <x:c r="Z4" s="7" t="str"/>
      <x:c r="AA4" s="7" t="str">
        <x:v>なし</x:v>
      </x:c>
      <x:c r="AB4" s="7" t="str">
        <x:v>なし</x:v>
      </x:c>
      <x:c r="AC4" s="7" t="str">
        <x:v>なし</x:v>
      </x:c>
      <x:c r="AD4" s="13" t="n">
        <x:v>0</x:v>
      </x:c>
      <x:c r="AE4" s="13" t="n">
        <x:v>0</x:v>
      </x:c>
      <x:c r="AF4" s="13" t="n">
        <x:v>0</x:v>
      </x:c>
      <x:c r="AG4" s="7" t="str">
        <x:v>なし</x:v>
      </x:c>
      <x:c r="AH4" s="13" t="n">
        <x:v>0</x:v>
      </x:c>
      <x:c r="AI4" s="7" t="str">
        <x:v>時間更新</x:v>
      </x:c>
      <x:c r="AJ4" s="13" t="n">
        <x:v>1</x:v>
      </x:c>
      <x:c r="AK4" s="7" t="str">
        <x:v>なし</x:v>
      </x:c>
      <x:c r="AL4" s="7" t="str">
        <x:v>なし</x:v>
      </x:c>
      <x:c r="AM4" s="7" t="str">
        <x:v>なし</x:v>
      </x:c>
      <x:c r="AN4" s="13" t="n">
        <x:v>0</x:v>
      </x:c>
      <x:c r="AO4" s="13" t="n">
        <x:v>0</x:v>
      </x:c>
      <x:c r="AP4" s="13" t="n">
        <x:v>0</x:v>
      </x:c>
      <x:c r="AQ4" s="7" t="str">
        <x:v>なし</x:v>
      </x:c>
      <x:c r="AR4" s="13" t="n">
        <x:v>0</x:v>
      </x:c>
      <x:c r="AS4" s="7" t="str">
        <x:v>時間更新</x:v>
      </x:c>
      <x:c r="AT4" s="13" t="n">
        <x:v>1</x:v>
      </x:c>
      <x:c r="AU4" s="7" t="str">
        <x:v>なし</x:v>
      </x:c>
      <x:c r="AV4" s="7" t="str">
        <x:v>なし</x:v>
      </x:c>
      <x:c r="AW4" s="7" t="str">
        <x:v>なし</x:v>
      </x:c>
      <x:c r="AX4" s="13" t="n">
        <x:v>0</x:v>
      </x:c>
      <x:c r="AY4" s="13" t="n">
        <x:v>0</x:v>
      </x:c>
      <x:c r="AZ4" s="13" t="n">
        <x:v>0</x:v>
      </x:c>
      <x:c r="BA4" s="7" t="str">
        <x:v>なし</x:v>
      </x:c>
      <x:c r="BB4" s="13" t="n">
        <x:v>0</x:v>
      </x:c>
      <x:c r="BC4" s="7" t="str">
        <x:v>時間更新</x:v>
      </x:c>
      <x:c r="BD4" s="13" t="n">
        <x:v>1</x:v>
      </x:c>
      <x:c r="BE4" s="43" t="n">
        <x:v>8</x:v>
      </x:c>
      <x:c r="BF4" s="43" t="n">
        <x:v>3</x:v>
      </x:c>
      <x:c r="BG4" s="44" t="str">
        <x:v>有効</x:v>
      </x:c>
      <x:c r="BH4" s="45"/>
      <x:c r="BI4" s="45" t="str">
        <x:v>無効</x:v>
      </x:c>
      <x:c r="BJ4" s="45" t="str">
        <x:v>無効</x:v>
      </x:c>
      <x:c r="BK4" s="51" t="n">
        <x:v>360</x:v>
      </x:c>
      <x:c r="BL4" s="45" t="str">
        <x:v>無効</x:v>
      </x:c>
      <x:c r="BM4" s="51" t="n">
        <x:v>0.3</x:v>
      </x:c>
      <x:c r="BN4" s="51" t="n">
        <x:v>2</x:v>
      </x:c>
      <x:c r="BO4" s="45" t="str">
        <x:v>無効</x:v>
      </x:c>
      <x:c r="BP4" s="51" t="n">
        <x:v>3</x:v>
      </x:c>
      <x:c r="BQ4" s="51" t="n">
        <x:v>50</x:v>
      </x:c>
      <x:c r="BR4" s="51" t="n">
        <x:v>0.3</x:v>
      </x:c>
      <x:c r="BS4" s="45" t="str">
        <x:v>直進</x:v>
      </x:c>
      <x:c r="BT4" s="51" t="n">
        <x:v>8</x:v>
      </x:c>
      <x:c r="BU4" s="51" t="n">
        <x:v>0.8</x:v>
      </x:c>
      <x:c r="BV4" s="51" t="n">
        <x:v>2</x:v>
      </x:c>
      <x:c r="BW4" s="51" t="n">
        <x:v>0.8</x:v>
      </x:c>
      <x:c r="BX4" s="51" t="n">
        <x:v>12</x:v>
      </x:c>
      <x:c r="BY4" s="51" t="n">
        <x:v>0.8</x:v>
      </x:c>
      <x:c r="BZ4" s="51" t="n">
        <x:v>1.5</x:v>
      </x:c>
      <x:c r="CA4" s="51" t="n">
        <x:v>720</x:v>
      </x:c>
      <x:c r="CB4" s="51" t="n">
        <x:v>0.6</x:v>
      </x:c>
      <x:c r="CC4" s="51" t="n">
        <x:v>540</x:v>
      </x:c>
      <x:c r="CD4" s="51" t="n">
        <x:v>1.8</x:v>
      </x:c>
      <x:c r="CE4" s="51" t="n">
        <x:v>4</x:v>
      </x:c>
      <x:c r="CF4" s="51" t="n">
        <x:v>4</x:v>
      </x:c>
      <x:c r="CG4" s="45" t="str">
        <x:v>有効</x:v>
      </x:c>
      <x:c r="CH4" s="45" t="str">
        <x:v>無効</x:v>
      </x:c>
      <x:c r="CI4" s="45" t="str">
        <x:v>無効</x:v>
      </x:c>
      <x:c r="CJ4" s="51" t="n">
        <x:v>0.5</x:v>
      </x:c>
      <x:c r="CK4" s="51" t="n">
        <x:v>1.5</x:v>
      </x:c>
      <x:c r="CL4" s="51" t="n">
        <x:v>2.5</x:v>
      </x:c>
      <x:c r="CM4" s="51" t="n">
        <x:v>2.5</x:v>
      </x:c>
      <x:c r="CN4" s="45" t="str">
        <x:v>無効</x:v>
      </x:c>
      <x:c r="CO4" s="51" t="n">
        <x:v>1</x:v>
      </x:c>
      <x:c r="CP4" s="45" t="str">
        <x:v>追尾</x:v>
      </x:c>
      <x:c r="CQ4" s="51" t="n">
        <x:v>10</x:v>
      </x:c>
      <x:c r="CR4" s="45" t="str">
        <x:v>無効</x:v>
      </x:c>
      <x:c r="CS4" s="51" t="n">
        <x:v>4</x:v>
      </x:c>
      <x:c r="CT4" s="51" t="n">
        <x:v>8</x:v>
      </x:c>
      <x:c r="CU4" s="51" t="n">
        <x:v>0.85</x:v>
      </x:c>
      <x:c r="CV4" s="45" t="str">
        <x:v>無効</x:v>
      </x:c>
      <x:c r="CW4" s="51" t="n">
        <x:v>2</x:v>
      </x:c>
      <x:c r="CX4" s="51" t="n">
        <x:v>50</x:v>
      </x:c>
      <x:c r="CY4" s="51" t="n">
        <x:v>0.5</x:v>
      </x:c>
      <x:c r="CZ4" s="51" t="n">
        <x:v>1</x:v>
      </x:c>
      <x:c r="DA4" s="45" t="str">
        <x:v>無効</x:v>
      </x:c>
      <x:c r="DB4" s="45" t="str">
        <x:v>有効</x:v>
      </x:c>
      <x:c r="DC4" s="51" t="n">
        <x:v>2</x:v>
      </x:c>
      <x:c r="DD4" s="51" t="n">
        <x:v>0.4</x:v>
      </x:c>
      <x:c r="DE4" s="45" t="n">
        <x:v>0.3</x:v>
      </x:c>
      <x:c r="DF4" s="77" t="str">
        <x:v>#FFFFFFFF</x:v>
      </x:c>
      <x:c r="DG4" s="45" t="n">
        <x:v>60</x:v>
      </x:c>
      <x:c r="DH4" s="45" t="n">
        <x:v>0</x:v>
      </x:c>
      <x:c r="DI4" s="88" t="str">
        <x:v>アクティブ</x:v>
      </x:c>
      <x:c r="DJ4" s="88" t="str">
        <x:v>使用者</x:v>
      </x:c>
      <x:c r="DK4" s="88" t="str">
        <x:v>追従なし</x:v>
      </x:c>
      <x:c r="DL4" s="88" t="str">
        <x:v>命中時</x:v>
      </x:c>
      <x:c r="DM4" s="88" t="n">
        <x:v>1</x:v>
      </x:c>
      <x:c r="DN4" s="88"/>
      <x:c r="DO4" s="88"/>
      <x:c r="DP4" s="88"/>
      <x:c r="DQ4" s="88"/>
      <x:c r="DR4" s="88"/>
      <x:c r="DS4" s="88"/>
    </x:row>
    <x:row r="5" ht="25" customHeight="1">
      <x:c r="A5" s="9" t="str">
        <x:v>4</x:v>
      </x:c>
      <x:c r="B5" s="7" t="str">
        <x:v>剛力の加護</x:v>
      </x:c>
      <x:c r="C5" s="8" t="str">
        <x:v>味方一体の攻撃力を20％上昇</x:v>
      </x:c>
      <x:c r="D5" s="11" t="n">
        <x:v>1</x:v>
      </x:c>
      <x:c r="E5" s="11" t="n">
        <x:v>1</x:v>
      </x:c>
      <x:c r="F5" s="11" t="n">
        <x:v>10</x:v>
      </x:c>
      <x:c r="G5" s="13" t="n">
        <x:v>5</x:v>
      </x:c>
      <x:c r="H5" s="13" t="n">
        <x:v>0</x:v>
      </x:c>
      <x:c r="I5" s="13" t="n">
        <x:v>0.2</x:v>
      </x:c>
      <x:c r="J5" s="13" t="n">
        <x:v>6</x:v>
      </x:c>
      <x:c r="K5" s="7" t="str">
        <x:v>味方一体</x:v>
      </x:c>
      <x:c r="L5" s="7" t="str">
        <x:v>なし</x:v>
      </x:c>
      <x:c r="M5" s="7" t="str">
        <x:v>なし</x:v>
      </x:c>
      <x:c r="N5" s="13" t="n">
        <x:v>0</x:v>
      </x:c>
      <x:c r="O5" s="11" t="n">
        <x:v>0</x:v>
      </x:c>
      <x:c r="P5" s="7" t="str">
        <x:v>使用者と同じ</x:v>
      </x:c>
      <x:c r="Q5" s="7" t="str">
        <x:v>無効</x:v>
      </x:c>
      <x:c r="R5" s="7" t="str">
        <x:v>選択対象</x:v>
      </x:c>
      <x:c r="S5" s="13" t="n">
        <x:v>0</x:v>
      </x:c>
      <x:c r="T5" s="11" t="n">
        <x:v>1</x:v>
      </x:c>
      <x:c r="U5" s="7" t="str">
        <x:v>発射物</x:v>
      </x:c>
      <x:c r="V5" s="41" t="n">
        <x:f>IF($A5="","",IF(AND($U5="発射物",$DI5&lt;&gt;"パッシブ"),$BE5,0))</x:f>
        <x:v>1</x:v>
      </x:c>
      <x:c r="W5" s="41" t="n">
        <x:f>IF($A5="","",IF(AND($U5="発射物",$DI5&lt;&gt;"パッシブ"),$BF5,0))</x:f>
        <x:v>0.8</x:v>
      </x:c>
      <x:c r="X5" s="41" t="str">
        <x:f>IF($A5="","",IF(AND($U5="発射物",$DI5&lt;&gt;"パッシブ"),IF($BG5="有効","有効","無効"),"無効"))</x:f>
        <x:v>無効</x:v>
      </x:c>
      <x:c r="Y5" s="7" t="str"/>
      <x:c r="Z5" s="7" t="str"/>
      <x:c r="AA5" s="7" t="str">
        <x:v>バフ</x:v>
      </x:c>
      <x:c r="AB5" s="7" t="str">
        <x:v>攻撃力</x:v>
      </x:c>
      <x:c r="AC5" s="7" t="str">
        <x:v>割合変化</x:v>
      </x:c>
      <x:c r="AD5" s="13" t="n">
        <x:v>20</x:v>
      </x:c>
      <x:c r="AE5" s="13" t="n">
        <x:v>10</x:v>
      </x:c>
      <x:c r="AF5" s="13" t="n">
        <x:v>100</x:v>
      </x:c>
      <x:c r="AG5" s="7" t="str">
        <x:v>なし</x:v>
      </x:c>
      <x:c r="AH5" s="13" t="n">
        <x:v>0</x:v>
      </x:c>
      <x:c r="AI5" s="7" t="str">
        <x:v>時間更新</x:v>
      </x:c>
      <x:c r="AJ5" s="13" t="n">
        <x:v>1</x:v>
      </x:c>
      <x:c r="AK5" s="7" t="str">
        <x:v>なし</x:v>
      </x:c>
      <x:c r="AL5" s="7" t="str">
        <x:v>なし</x:v>
      </x:c>
      <x:c r="AM5" s="7" t="str">
        <x:v>なし</x:v>
      </x:c>
      <x:c r="AN5" s="13" t="n">
        <x:v>0</x:v>
      </x:c>
      <x:c r="AO5" s="13" t="n">
        <x:v>0</x:v>
      </x:c>
      <x:c r="AP5" s="13" t="n">
        <x:v>0</x:v>
      </x:c>
      <x:c r="AQ5" s="7" t="str">
        <x:v>なし</x:v>
      </x:c>
      <x:c r="AR5" s="13" t="n">
        <x:v>0</x:v>
      </x:c>
      <x:c r="AS5" s="7" t="str">
        <x:v>時間更新</x:v>
      </x:c>
      <x:c r="AT5" s="13" t="n">
        <x:v>1</x:v>
      </x:c>
      <x:c r="AU5" s="7" t="str">
        <x:v>なし</x:v>
      </x:c>
      <x:c r="AV5" s="7" t="str">
        <x:v>なし</x:v>
      </x:c>
      <x:c r="AW5" s="7" t="str">
        <x:v>なし</x:v>
      </x:c>
      <x:c r="AX5" s="13" t="n">
        <x:v>0</x:v>
      </x:c>
      <x:c r="AY5" s="13" t="n">
        <x:v>0</x:v>
      </x:c>
      <x:c r="AZ5" s="13" t="n">
        <x:v>0</x:v>
      </x:c>
      <x:c r="BA5" s="7" t="str">
        <x:v>なし</x:v>
      </x:c>
      <x:c r="BB5" s="13" t="n">
        <x:v>0</x:v>
      </x:c>
      <x:c r="BC5" s="7" t="str">
        <x:v>時間更新</x:v>
      </x:c>
      <x:c r="BD5" s="13" t="n">
        <x:v>1</x:v>
      </x:c>
      <x:c r="BE5" s="43" t="n">
        <x:v>1</x:v>
      </x:c>
      <x:c r="BF5" s="43" t="n">
        <x:v>0.8</x:v>
      </x:c>
      <x:c r="BG5" s="44" t="str">
        <x:v>無効</x:v>
      </x:c>
      <x:c r="BH5" s="45"/>
      <x:c r="BI5" s="45" t="str">
        <x:v>無効</x:v>
      </x:c>
      <x:c r="BJ5" s="45" t="str">
        <x:v>無効</x:v>
      </x:c>
      <x:c r="BK5" s="51" t="n">
        <x:v>360</x:v>
      </x:c>
      <x:c r="BL5" s="45" t="str">
        <x:v>無効</x:v>
      </x:c>
      <x:c r="BM5" s="51" t="n">
        <x:v>0.3</x:v>
      </x:c>
      <x:c r="BN5" s="51" t="n">
        <x:v>2</x:v>
      </x:c>
      <x:c r="BO5" s="45" t="str">
        <x:v>無効</x:v>
      </x:c>
      <x:c r="BP5" s="51" t="n">
        <x:v>3</x:v>
      </x:c>
      <x:c r="BQ5" s="51" t="n">
        <x:v>50</x:v>
      </x:c>
      <x:c r="BR5" s="51" t="n">
        <x:v>0.3</x:v>
      </x:c>
      <x:c r="BS5" s="45" t="str">
        <x:v>その場</x:v>
      </x:c>
      <x:c r="BT5" s="51" t="n">
        <x:v>8</x:v>
      </x:c>
      <x:c r="BU5" s="51" t="n">
        <x:v>0.8</x:v>
      </x:c>
      <x:c r="BV5" s="51" t="n">
        <x:v>2</x:v>
      </x:c>
      <x:c r="BW5" s="51" t="n">
        <x:v>0.8</x:v>
      </x:c>
      <x:c r="BX5" s="51" t="n">
        <x:v>12</x:v>
      </x:c>
      <x:c r="BY5" s="51" t="n">
        <x:v>0.8</x:v>
      </x:c>
      <x:c r="BZ5" s="51" t="n">
        <x:v>1.5</x:v>
      </x:c>
      <x:c r="CA5" s="51" t="n">
        <x:v>720</x:v>
      </x:c>
      <x:c r="CB5" s="51" t="n">
        <x:v>0.6</x:v>
      </x:c>
      <x:c r="CC5" s="51" t="n">
        <x:v>540</x:v>
      </x:c>
      <x:c r="CD5" s="51" t="n">
        <x:v>1.8</x:v>
      </x:c>
      <x:c r="CE5" s="51" t="n">
        <x:v>4</x:v>
      </x:c>
      <x:c r="CF5" s="51" t="n">
        <x:v>4</x:v>
      </x:c>
      <x:c r="CG5" s="45" t="str">
        <x:v>有効</x:v>
      </x:c>
      <x:c r="CH5" s="45" t="str">
        <x:v>無効</x:v>
      </x:c>
      <x:c r="CI5" s="45" t="str">
        <x:v>無効</x:v>
      </x:c>
      <x:c r="CJ5" s="51" t="n">
        <x:v>0.5</x:v>
      </x:c>
      <x:c r="CK5" s="51" t="n">
        <x:v>1.5</x:v>
      </x:c>
      <x:c r="CL5" s="51" t="n">
        <x:v>2.5</x:v>
      </x:c>
      <x:c r="CM5" s="51" t="n">
        <x:v>2.5</x:v>
      </x:c>
      <x:c r="CN5" s="45" t="str">
        <x:v>無効</x:v>
      </x:c>
      <x:c r="CO5" s="51" t="n">
        <x:v>1</x:v>
      </x:c>
      <x:c r="CP5" s="45" t="str">
        <x:v>追尾</x:v>
      </x:c>
      <x:c r="CQ5" s="51" t="n">
        <x:v>10</x:v>
      </x:c>
      <x:c r="CR5" s="45" t="str">
        <x:v>無効</x:v>
      </x:c>
      <x:c r="CS5" s="51" t="n">
        <x:v>4</x:v>
      </x:c>
      <x:c r="CT5" s="51" t="n">
        <x:v>8</x:v>
      </x:c>
      <x:c r="CU5" s="51" t="n">
        <x:v>0.85</x:v>
      </x:c>
      <x:c r="CV5" s="45" t="str">
        <x:v>無効</x:v>
      </x:c>
      <x:c r="CW5" s="51" t="n">
        <x:v>2</x:v>
      </x:c>
      <x:c r="CX5" s="51" t="n">
        <x:v>50</x:v>
      </x:c>
      <x:c r="CY5" s="51" t="n">
        <x:v>0.5</x:v>
      </x:c>
      <x:c r="CZ5" s="51" t="n">
        <x:v>1</x:v>
      </x:c>
      <x:c r="DA5" s="45" t="str">
        <x:v>無効</x:v>
      </x:c>
      <x:c r="DB5" s="45" t="str">
        <x:v>有効</x:v>
      </x:c>
      <x:c r="DC5" s="51" t="n">
        <x:v>2</x:v>
      </x:c>
      <x:c r="DD5" s="51" t="n">
        <x:v>0.4</x:v>
      </x:c>
      <x:c r="DE5" s="45" t="n">
        <x:v>0.3</x:v>
      </x:c>
      <x:c r="DF5" s="77" t="str">
        <x:v>#FFFFFFFF</x:v>
      </x:c>
      <x:c r="DG5" s="45" t="n">
        <x:v>60</x:v>
      </x:c>
      <x:c r="DH5" s="45" t="n">
        <x:v>0</x:v>
      </x:c>
      <x:c r="DI5" s="88" t="str">
        <x:v>アクティブ</x:v>
      </x:c>
      <x:c r="DJ5" s="88" t="str">
        <x:v>対象</x:v>
      </x:c>
      <x:c r="DK5" s="88" t="str">
        <x:v>対象</x:v>
      </x:c>
      <x:c r="DL5" s="88" t="str">
        <x:v>生成時</x:v>
      </x:c>
      <x:c r="DM5" s="88" t="n">
        <x:v>1</x:v>
      </x:c>
      <x:c r="DN5" s="88"/>
      <x:c r="DO5" s="88"/>
      <x:c r="DP5" s="88"/>
      <x:c r="DQ5" s="88"/>
      <x:c r="DR5" s="88"/>
      <x:c r="DS5" s="88"/>
    </x:row>
    <x:row r="6" ht="25" customHeight="1">
      <x:c r="A6" s="9" t="str">
        <x:v>5</x:v>
      </x:c>
      <x:c r="B6" s="7" t="str">
        <x:v>疾風の光弾</x:v>
      </x:c>
      <x:c r="C6" s="8" t="str">
        <x:v>味方へ命中すると移動速度が30％上昇</x:v>
      </x:c>
      <x:c r="D6" s="11" t="n">
        <x:v>1</x:v>
      </x:c>
      <x:c r="E6" s="11" t="n">
        <x:v>1</x:v>
      </x:c>
      <x:c r="F6" s="11" t="n">
        <x:v>10</x:v>
      </x:c>
      <x:c r="G6" s="13" t="n">
        <x:v>5</x:v>
      </x:c>
      <x:c r="H6" s="13" t="n">
        <x:v>0</x:v>
      </x:c>
      <x:c r="I6" s="13" t="n">
        <x:v>0.2</x:v>
      </x:c>
      <x:c r="J6" s="13" t="n">
        <x:v>6</x:v>
      </x:c>
      <x:c r="K6" s="7" t="str">
        <x:v>味方一体</x:v>
      </x:c>
      <x:c r="L6" s="7" t="str">
        <x:v>なし</x:v>
      </x:c>
      <x:c r="M6" s="7" t="str">
        <x:v>なし</x:v>
      </x:c>
      <x:c r="N6" s="13" t="n">
        <x:v>0</x:v>
      </x:c>
      <x:c r="O6" s="11" t="n">
        <x:v>0</x:v>
      </x:c>
      <x:c r="P6" s="7" t="str">
        <x:v>使用者と同じ</x:v>
      </x:c>
      <x:c r="Q6" s="7" t="str">
        <x:v>無効</x:v>
      </x:c>
      <x:c r="R6" s="7" t="str">
        <x:v>選択対象</x:v>
      </x:c>
      <x:c r="S6" s="13" t="n">
        <x:v>0</x:v>
      </x:c>
      <x:c r="T6" s="11" t="n">
        <x:v>1</x:v>
      </x:c>
      <x:c r="U6" s="7" t="str">
        <x:v>発射物</x:v>
      </x:c>
      <x:c r="V6" s="41" t="n">
        <x:f>IF($A6="","",IF(AND($U6="発射物",$DI6&lt;&gt;"パッシブ"),$BE6,0))</x:f>
        <x:v>1</x:v>
      </x:c>
      <x:c r="W6" s="41" t="n">
        <x:f>IF($A6="","",IF(AND($U6="発射物",$DI6&lt;&gt;"パッシブ"),$BF6,0))</x:f>
        <x:v>0.8</x:v>
      </x:c>
      <x:c r="X6" s="41" t="str">
        <x:f>IF($A6="","",IF(AND($U6="発射物",$DI6&lt;&gt;"パッシブ"),IF($BG6="有効","有効","無効"),"無効"))</x:f>
        <x:v>無効</x:v>
      </x:c>
      <x:c r="Y6" s="7" t="str"/>
      <x:c r="Z6" s="7" t="str"/>
      <x:c r="AA6" s="7" t="str">
        <x:v>バフ</x:v>
      </x:c>
      <x:c r="AB6" s="7" t="str">
        <x:v>移動速度</x:v>
      </x:c>
      <x:c r="AC6" s="7" t="str">
        <x:v>割合変化</x:v>
      </x:c>
      <x:c r="AD6" s="13" t="n">
        <x:v>30</x:v>
      </x:c>
      <x:c r="AE6" s="13" t="n">
        <x:v>10</x:v>
      </x:c>
      <x:c r="AF6" s="13" t="n">
        <x:v>100</x:v>
      </x:c>
      <x:c r="AG6" s="7" t="str">
        <x:v>なし</x:v>
      </x:c>
      <x:c r="AH6" s="13" t="n">
        <x:v>0</x:v>
      </x:c>
      <x:c r="AI6" s="7" t="str">
        <x:v>時間更新</x:v>
      </x:c>
      <x:c r="AJ6" s="13" t="n">
        <x:v>1</x:v>
      </x:c>
      <x:c r="AK6" s="7" t="str">
        <x:v>なし</x:v>
      </x:c>
      <x:c r="AL6" s="7" t="str">
        <x:v>なし</x:v>
      </x:c>
      <x:c r="AM6" s="7" t="str">
        <x:v>なし</x:v>
      </x:c>
      <x:c r="AN6" s="13" t="n">
        <x:v>0</x:v>
      </x:c>
      <x:c r="AO6" s="13" t="n">
        <x:v>0</x:v>
      </x:c>
      <x:c r="AP6" s="13" t="n">
        <x:v>0</x:v>
      </x:c>
      <x:c r="AQ6" s="7" t="str">
        <x:v>なし</x:v>
      </x:c>
      <x:c r="AR6" s="13" t="n">
        <x:v>0</x:v>
      </x:c>
      <x:c r="AS6" s="7" t="str">
        <x:v>時間更新</x:v>
      </x:c>
      <x:c r="AT6" s="13" t="n">
        <x:v>1</x:v>
      </x:c>
      <x:c r="AU6" s="7" t="str">
        <x:v>なし</x:v>
      </x:c>
      <x:c r="AV6" s="7" t="str">
        <x:v>なし</x:v>
      </x:c>
      <x:c r="AW6" s="7" t="str">
        <x:v>なし</x:v>
      </x:c>
      <x:c r="AX6" s="13" t="n">
        <x:v>0</x:v>
      </x:c>
      <x:c r="AY6" s="13" t="n">
        <x:v>0</x:v>
      </x:c>
      <x:c r="AZ6" s="13" t="n">
        <x:v>0</x:v>
      </x:c>
      <x:c r="BA6" s="7" t="str">
        <x:v>なし</x:v>
      </x:c>
      <x:c r="BB6" s="13" t="n">
        <x:v>0</x:v>
      </x:c>
      <x:c r="BC6" s="7" t="str">
        <x:v>時間更新</x:v>
      </x:c>
      <x:c r="BD6" s="13" t="n">
        <x:v>1</x:v>
      </x:c>
      <x:c r="BE6" s="43" t="n">
        <x:v>1</x:v>
      </x:c>
      <x:c r="BF6" s="43" t="n">
        <x:v>0.8</x:v>
      </x:c>
      <x:c r="BG6" s="44" t="str">
        <x:v>無効</x:v>
      </x:c>
      <x:c r="BH6" s="45"/>
      <x:c r="BI6" s="45" t="str">
        <x:v>無効</x:v>
      </x:c>
      <x:c r="BJ6" s="45" t="str">
        <x:v>無効</x:v>
      </x:c>
      <x:c r="BK6" s="51" t="n">
        <x:v>360</x:v>
      </x:c>
      <x:c r="BL6" s="45" t="str">
        <x:v>無効</x:v>
      </x:c>
      <x:c r="BM6" s="51" t="n">
        <x:v>0.3</x:v>
      </x:c>
      <x:c r="BN6" s="51" t="n">
        <x:v>2</x:v>
      </x:c>
      <x:c r="BO6" s="45" t="str">
        <x:v>無効</x:v>
      </x:c>
      <x:c r="BP6" s="51" t="n">
        <x:v>3</x:v>
      </x:c>
      <x:c r="BQ6" s="51" t="n">
        <x:v>50</x:v>
      </x:c>
      <x:c r="BR6" s="51" t="n">
        <x:v>0.3</x:v>
      </x:c>
      <x:c r="BS6" s="45" t="str">
        <x:v>その場</x:v>
      </x:c>
      <x:c r="BT6" s="51" t="n">
        <x:v>8</x:v>
      </x:c>
      <x:c r="BU6" s="51" t="n">
        <x:v>0.8</x:v>
      </x:c>
      <x:c r="BV6" s="51" t="n">
        <x:v>2</x:v>
      </x:c>
      <x:c r="BW6" s="51" t="n">
        <x:v>0.8</x:v>
      </x:c>
      <x:c r="BX6" s="51" t="n">
        <x:v>12</x:v>
      </x:c>
      <x:c r="BY6" s="51" t="n">
        <x:v>0.8</x:v>
      </x:c>
      <x:c r="BZ6" s="51" t="n">
        <x:v>1.5</x:v>
      </x:c>
      <x:c r="CA6" s="51" t="n">
        <x:v>720</x:v>
      </x:c>
      <x:c r="CB6" s="51" t="n">
        <x:v>0.6</x:v>
      </x:c>
      <x:c r="CC6" s="51" t="n">
        <x:v>540</x:v>
      </x:c>
      <x:c r="CD6" s="51" t="n">
        <x:v>1.8</x:v>
      </x:c>
      <x:c r="CE6" s="51" t="n">
        <x:v>4</x:v>
      </x:c>
      <x:c r="CF6" s="51" t="n">
        <x:v>4</x:v>
      </x:c>
      <x:c r="CG6" s="45" t="str">
        <x:v>有効</x:v>
      </x:c>
      <x:c r="CH6" s="45" t="str">
        <x:v>無効</x:v>
      </x:c>
      <x:c r="CI6" s="45" t="str">
        <x:v>無効</x:v>
      </x:c>
      <x:c r="CJ6" s="51" t="n">
        <x:v>0.5</x:v>
      </x:c>
      <x:c r="CK6" s="51" t="n">
        <x:v>1.5</x:v>
      </x:c>
      <x:c r="CL6" s="51" t="n">
        <x:v>2.5</x:v>
      </x:c>
      <x:c r="CM6" s="51" t="n">
        <x:v>2.5</x:v>
      </x:c>
      <x:c r="CN6" s="45" t="str">
        <x:v>無効</x:v>
      </x:c>
      <x:c r="CO6" s="51" t="n">
        <x:v>1</x:v>
      </x:c>
      <x:c r="CP6" s="45" t="str">
        <x:v>追尾</x:v>
      </x:c>
      <x:c r="CQ6" s="51" t="n">
        <x:v>10</x:v>
      </x:c>
      <x:c r="CR6" s="45" t="str">
        <x:v>無効</x:v>
      </x:c>
      <x:c r="CS6" s="51" t="n">
        <x:v>4</x:v>
      </x:c>
      <x:c r="CT6" s="51" t="n">
        <x:v>8</x:v>
      </x:c>
      <x:c r="CU6" s="51" t="n">
        <x:v>0.85</x:v>
      </x:c>
      <x:c r="CV6" s="45" t="str">
        <x:v>無効</x:v>
      </x:c>
      <x:c r="CW6" s="51" t="n">
        <x:v>2</x:v>
      </x:c>
      <x:c r="CX6" s="51" t="n">
        <x:v>50</x:v>
      </x:c>
      <x:c r="CY6" s="51" t="n">
        <x:v>0.5</x:v>
      </x:c>
      <x:c r="CZ6" s="51" t="n">
        <x:v>1</x:v>
      </x:c>
      <x:c r="DA6" s="45" t="str">
        <x:v>無効</x:v>
      </x:c>
      <x:c r="DB6" s="45" t="str">
        <x:v>有効</x:v>
      </x:c>
      <x:c r="DC6" s="51" t="n">
        <x:v>2</x:v>
      </x:c>
      <x:c r="DD6" s="51" t="n">
        <x:v>0.4</x:v>
      </x:c>
      <x:c r="DE6" s="45" t="n">
        <x:v>0.3</x:v>
      </x:c>
      <x:c r="DF6" s="77" t="str">
        <x:v>#FFFFFFFF</x:v>
      </x:c>
      <x:c r="DG6" s="45" t="n">
        <x:v>60</x:v>
      </x:c>
      <x:c r="DH6" s="45" t="n">
        <x:v>0</x:v>
      </x:c>
      <x:c r="DI6" s="88" t="str">
        <x:v>アクティブ</x:v>
      </x:c>
      <x:c r="DJ6" s="88" t="str">
        <x:v>対象</x:v>
      </x:c>
      <x:c r="DK6" s="88" t="str">
        <x:v>対象</x:v>
      </x:c>
      <x:c r="DL6" s="88" t="str">
        <x:v>生成時</x:v>
      </x:c>
      <x:c r="DM6" s="88" t="n">
        <x:v>1</x:v>
      </x:c>
      <x:c r="DN6" s="88"/>
      <x:c r="DO6" s="88"/>
      <x:c r="DP6" s="88"/>
      <x:c r="DQ6" s="88"/>
      <x:c r="DR6" s="88"/>
      <x:c r="DS6" s="88"/>
    </x:row>
    <x:row r="7" ht="25" customHeight="1">
      <x:c r="A7" s="9" t="str">
        <x:v>6</x:v>
      </x:c>
      <x:c r="B7" s="7" t="str">
        <x:v>破甲弾</x:v>
      </x:c>
      <x:c r="C7" s="8" t="str">
        <x:v>敵に命中すると防御力が20％低下</x:v>
      </x:c>
      <x:c r="D7" s="11" t="n">
        <x:v>1</x:v>
      </x:c>
      <x:c r="E7" s="11" t="n">
        <x:v>1</x:v>
      </x:c>
      <x:c r="F7" s="11" t="n">
        <x:v>10</x:v>
      </x:c>
      <x:c r="G7" s="13" t="n">
        <x:v>5</x:v>
      </x:c>
      <x:c r="H7" s="13" t="n">
        <x:v>0</x:v>
      </x:c>
      <x:c r="I7" s="13" t="n">
        <x:v>0.2</x:v>
      </x:c>
      <x:c r="J7" s="13" t="n">
        <x:v>6</x:v>
      </x:c>
      <x:c r="K7" s="7" t="str">
        <x:v>敵一体</x:v>
      </x:c>
      <x:c r="L7" s="7" t="str">
        <x:v>ダメージ</x:v>
      </x:c>
      <x:c r="M7" s="7" t="str">
        <x:v>魔法攻撃力</x:v>
      </x:c>
      <x:c r="N7" s="13" t="n">
        <x:v>2</x:v>
      </x:c>
      <x:c r="O7" s="11" t="n">
        <x:v>0</x:v>
      </x:c>
      <x:c r="P7" s="7" t="str">
        <x:v>使用者と同じ</x:v>
      </x:c>
      <x:c r="Q7" s="7" t="str">
        <x:v>有効</x:v>
      </x:c>
      <x:c r="R7" s="7" t="str">
        <x:v>選択対象</x:v>
      </x:c>
      <x:c r="S7" s="13" t="n">
        <x:v>0</x:v>
      </x:c>
      <x:c r="T7" s="11" t="n">
        <x:v>1</x:v>
      </x:c>
      <x:c r="U7" s="7" t="str">
        <x:v>発射物</x:v>
      </x:c>
      <x:c r="V7" s="41" t="n">
        <x:f>IF($A7="","",IF(AND($U7="発射物",$DI7&lt;&gt;"パッシブ"),$BE7,0))</x:f>
        <x:v>8</x:v>
      </x:c>
      <x:c r="W7" s="41" t="n">
        <x:f>IF($A7="","",IF(AND($U7="発射物",$DI7&lt;&gt;"パッシブ"),$BF7,0))</x:f>
        <x:v>3</x:v>
      </x:c>
      <x:c r="X7" s="41" t="str">
        <x:f>IF($A7="","",IF(AND($U7="発射物",$DI7&lt;&gt;"パッシブ"),IF($BG7="有効","有効","無効"),"無効"))</x:f>
        <x:v>有効</x:v>
      </x:c>
      <x:c r="Y7" s="7" t="str"/>
      <x:c r="Z7" s="7" t="str"/>
      <x:c r="AA7" s="7" t="str">
        <x:v>デバフ</x:v>
      </x:c>
      <x:c r="AB7" s="7" t="str">
        <x:v>防御力</x:v>
      </x:c>
      <x:c r="AC7" s="7" t="str">
        <x:v>割合変化</x:v>
      </x:c>
      <x:c r="AD7" s="13" t="n">
        <x:v>20</x:v>
      </x:c>
      <x:c r="AE7" s="13" t="n">
        <x:v>8</x:v>
      </x:c>
      <x:c r="AF7" s="13" t="n">
        <x:v>100</x:v>
      </x:c>
      <x:c r="AG7" s="7" t="str">
        <x:v>なし</x:v>
      </x:c>
      <x:c r="AH7" s="13" t="n">
        <x:v>0</x:v>
      </x:c>
      <x:c r="AI7" s="7" t="str">
        <x:v>時間更新</x:v>
      </x:c>
      <x:c r="AJ7" s="13" t="n">
        <x:v>1</x:v>
      </x:c>
      <x:c r="AK7" s="7" t="str">
        <x:v>なし</x:v>
      </x:c>
      <x:c r="AL7" s="7" t="str">
        <x:v>なし</x:v>
      </x:c>
      <x:c r="AM7" s="7" t="str">
        <x:v>なし</x:v>
      </x:c>
      <x:c r="AN7" s="13" t="n">
        <x:v>0</x:v>
      </x:c>
      <x:c r="AO7" s="13" t="n">
        <x:v>0</x:v>
      </x:c>
      <x:c r="AP7" s="13" t="n">
        <x:v>0</x:v>
      </x:c>
      <x:c r="AQ7" s="7" t="str">
        <x:v>なし</x:v>
      </x:c>
      <x:c r="AR7" s="13" t="n">
        <x:v>0</x:v>
      </x:c>
      <x:c r="AS7" s="7" t="str">
        <x:v>時間更新</x:v>
      </x:c>
      <x:c r="AT7" s="13" t="n">
        <x:v>1</x:v>
      </x:c>
      <x:c r="AU7" s="7" t="str">
        <x:v>なし</x:v>
      </x:c>
      <x:c r="AV7" s="7" t="str">
        <x:v>なし</x:v>
      </x:c>
      <x:c r="AW7" s="7" t="str">
        <x:v>なし</x:v>
      </x:c>
      <x:c r="AX7" s="13" t="n">
        <x:v>0</x:v>
      </x:c>
      <x:c r="AY7" s="13" t="n">
        <x:v>0</x:v>
      </x:c>
      <x:c r="AZ7" s="13" t="n">
        <x:v>0</x:v>
      </x:c>
      <x:c r="BA7" s="7" t="str">
        <x:v>なし</x:v>
      </x:c>
      <x:c r="BB7" s="13" t="n">
        <x:v>0</x:v>
      </x:c>
      <x:c r="BC7" s="7" t="str">
        <x:v>時間更新</x:v>
      </x:c>
      <x:c r="BD7" s="13" t="n">
        <x:v>1</x:v>
      </x:c>
      <x:c r="BE7" s="43" t="n">
        <x:v>8</x:v>
      </x:c>
      <x:c r="BF7" s="43" t="n">
        <x:v>3</x:v>
      </x:c>
      <x:c r="BG7" s="44" t="str">
        <x:v>有効</x:v>
      </x:c>
      <x:c r="BH7" s="45"/>
      <x:c r="BI7" s="45" t="str">
        <x:v>無効</x:v>
      </x:c>
      <x:c r="BJ7" s="45" t="str">
        <x:v>無効</x:v>
      </x:c>
      <x:c r="BK7" s="51" t="n">
        <x:v>360</x:v>
      </x:c>
      <x:c r="BL7" s="45" t="str">
        <x:v>無効</x:v>
      </x:c>
      <x:c r="BM7" s="51" t="n">
        <x:v>0.3</x:v>
      </x:c>
      <x:c r="BN7" s="51" t="n">
        <x:v>2</x:v>
      </x:c>
      <x:c r="BO7" s="45" t="str">
        <x:v>無効</x:v>
      </x:c>
      <x:c r="BP7" s="51" t="n">
        <x:v>3</x:v>
      </x:c>
      <x:c r="BQ7" s="51" t="n">
        <x:v>50</x:v>
      </x:c>
      <x:c r="BR7" s="51" t="n">
        <x:v>0.3</x:v>
      </x:c>
      <x:c r="BS7" s="45" t="str">
        <x:v>直進</x:v>
      </x:c>
      <x:c r="BT7" s="51" t="n">
        <x:v>8</x:v>
      </x:c>
      <x:c r="BU7" s="51" t="n">
        <x:v>0.8</x:v>
      </x:c>
      <x:c r="BV7" s="51" t="n">
        <x:v>2</x:v>
      </x:c>
      <x:c r="BW7" s="51" t="n">
        <x:v>0.8</x:v>
      </x:c>
      <x:c r="BX7" s="51" t="n">
        <x:v>12</x:v>
      </x:c>
      <x:c r="BY7" s="51" t="n">
        <x:v>0.8</x:v>
      </x:c>
      <x:c r="BZ7" s="51" t="n">
        <x:v>1.5</x:v>
      </x:c>
      <x:c r="CA7" s="51" t="n">
        <x:v>720</x:v>
      </x:c>
      <x:c r="CB7" s="51" t="n">
        <x:v>0.6</x:v>
      </x:c>
      <x:c r="CC7" s="51" t="n">
        <x:v>540</x:v>
      </x:c>
      <x:c r="CD7" s="51" t="n">
        <x:v>1.8</x:v>
      </x:c>
      <x:c r="CE7" s="51" t="n">
        <x:v>4</x:v>
      </x:c>
      <x:c r="CF7" s="51" t="n">
        <x:v>4</x:v>
      </x:c>
      <x:c r="CG7" s="45" t="str">
        <x:v>有効</x:v>
      </x:c>
      <x:c r="CH7" s="45" t="str">
        <x:v>無効</x:v>
      </x:c>
      <x:c r="CI7" s="45" t="str">
        <x:v>無効</x:v>
      </x:c>
      <x:c r="CJ7" s="51" t="n">
        <x:v>0.5</x:v>
      </x:c>
      <x:c r="CK7" s="51" t="n">
        <x:v>1.5</x:v>
      </x:c>
      <x:c r="CL7" s="51" t="n">
        <x:v>2.5</x:v>
      </x:c>
      <x:c r="CM7" s="51" t="n">
        <x:v>2.5</x:v>
      </x:c>
      <x:c r="CN7" s="45" t="str">
        <x:v>無効</x:v>
      </x:c>
      <x:c r="CO7" s="51" t="n">
        <x:v>1</x:v>
      </x:c>
      <x:c r="CP7" s="45" t="str">
        <x:v>追尾</x:v>
      </x:c>
      <x:c r="CQ7" s="51" t="n">
        <x:v>10</x:v>
      </x:c>
      <x:c r="CR7" s="45" t="str">
        <x:v>無効</x:v>
      </x:c>
      <x:c r="CS7" s="51" t="n">
        <x:v>4</x:v>
      </x:c>
      <x:c r="CT7" s="51" t="n">
        <x:v>8</x:v>
      </x:c>
      <x:c r="CU7" s="51" t="n">
        <x:v>0.85</x:v>
      </x:c>
      <x:c r="CV7" s="45" t="str">
        <x:v>無効</x:v>
      </x:c>
      <x:c r="CW7" s="51" t="n">
        <x:v>2</x:v>
      </x:c>
      <x:c r="CX7" s="51" t="n">
        <x:v>50</x:v>
      </x:c>
      <x:c r="CY7" s="51" t="n">
        <x:v>0.5</x:v>
      </x:c>
      <x:c r="CZ7" s="51" t="n">
        <x:v>1</x:v>
      </x:c>
      <x:c r="DA7" s="45" t="str">
        <x:v>無効</x:v>
      </x:c>
      <x:c r="DB7" s="45" t="str">
        <x:v>有効</x:v>
      </x:c>
      <x:c r="DC7" s="51" t="n">
        <x:v>2</x:v>
      </x:c>
      <x:c r="DD7" s="51" t="n">
        <x:v>0.4</x:v>
      </x:c>
      <x:c r="DE7" s="45" t="n">
        <x:v>0.3</x:v>
      </x:c>
      <x:c r="DF7" s="77" t="str">
        <x:v>#FFFFFFFF</x:v>
      </x:c>
      <x:c r="DG7" s="45" t="n">
        <x:v>60</x:v>
      </x:c>
      <x:c r="DH7" s="45" t="n">
        <x:v>0</x:v>
      </x:c>
      <x:c r="DI7" s="88" t="str">
        <x:v>アクティブ</x:v>
      </x:c>
      <x:c r="DJ7" s="88" t="str">
        <x:v>使用者</x:v>
      </x:c>
      <x:c r="DK7" s="88" t="str">
        <x:v>追従なし</x:v>
      </x:c>
      <x:c r="DL7" s="88" t="str">
        <x:v>命中時</x:v>
      </x:c>
      <x:c r="DM7" s="88" t="n">
        <x:v>1</x:v>
      </x:c>
      <x:c r="DN7" s="88"/>
      <x:c r="DO7" s="88"/>
      <x:c r="DP7" s="88"/>
      <x:c r="DQ7" s="88"/>
      <x:c r="DR7" s="88"/>
      <x:c r="DS7" s="88"/>
    </x:row>
    <x:row r="8" ht="25" customHeight="1">
      <x:c r="A8" s="9" t="str">
        <x:v>7</x:v>
      </x:c>
      <x:c r="B8" s="7" t="str">
        <x:v>鈍足の陣</x:v>
      </x:c>
      <x:c r="C8" s="8" t="str">
        <x:v>周囲の敵の移動速度を30％低下</x:v>
      </x:c>
      <x:c r="D8" s="11" t="n">
        <x:v>1</x:v>
      </x:c>
      <x:c r="E8" s="11" t="n">
        <x:v>1</x:v>
      </x:c>
      <x:c r="F8" s="11" t="n">
        <x:v>10</x:v>
      </x:c>
      <x:c r="G8" s="13" t="n">
        <x:v>5</x:v>
      </x:c>
      <x:c r="H8" s="13" t="n">
        <x:v>0</x:v>
      </x:c>
      <x:c r="I8" s="13" t="n">
        <x:v>0.2</x:v>
      </x:c>
      <x:c r="J8" s="13" t="n">
        <x:v>0</x:v>
      </x:c>
      <x:c r="K8" s="7" t="str">
        <x:v>自身中心</x:v>
      </x:c>
      <x:c r="L8" s="7" t="str">
        <x:v>なし</x:v>
      </x:c>
      <x:c r="M8" s="7" t="str">
        <x:v>なし</x:v>
      </x:c>
      <x:c r="N8" s="13" t="n">
        <x:v>0</x:v>
      </x:c>
      <x:c r="O8" s="11" t="n">
        <x:v>0</x:v>
      </x:c>
      <x:c r="P8" s="7" t="str">
        <x:v>使用者と同じ</x:v>
      </x:c>
      <x:c r="Q8" s="7" t="str">
        <x:v>無効</x:v>
      </x:c>
      <x:c r="R8" s="7" t="str">
        <x:v>範囲内の敵</x:v>
      </x:c>
      <x:c r="S8" s="13" t="n">
        <x:v>3</x:v>
      </x:c>
      <x:c r="T8" s="11" t="n">
        <x:v>0</x:v>
      </x:c>
      <x:c r="U8" s="7" t="str">
        <x:v>即時</x:v>
      </x:c>
      <x:c r="V8" s="41" t="n">
        <x:f>IF($A8="","",IF(AND($U8="発射物",$DI8&lt;&gt;"パッシブ"),$BE8,0))</x:f>
        <x:v>0</x:v>
      </x:c>
      <x:c r="W8" s="41" t="n">
        <x:f>IF($A8="","",IF(AND($U8="発射物",$DI8&lt;&gt;"パッシブ"),$BF8,0))</x:f>
        <x:v>0</x:v>
      </x:c>
      <x:c r="X8" s="41" t="str">
        <x:f>IF($A8="","",IF(AND($U8="発射物",$DI8&lt;&gt;"パッシブ"),IF($BG8="有効","有効","無効"),"無効"))</x:f>
        <x:v>無効</x:v>
      </x:c>
      <x:c r="Y8" s="7" t="str"/>
      <x:c r="Z8" s="7" t="str"/>
      <x:c r="AA8" s="7" t="str">
        <x:v>デバフ</x:v>
      </x:c>
      <x:c r="AB8" s="7" t="str">
        <x:v>移動速度</x:v>
      </x:c>
      <x:c r="AC8" s="7" t="str">
        <x:v>割合変化</x:v>
      </x:c>
      <x:c r="AD8" s="13" t="n">
        <x:v>30</x:v>
      </x:c>
      <x:c r="AE8" s="13" t="n">
        <x:v>8</x:v>
      </x:c>
      <x:c r="AF8" s="13" t="n">
        <x:v>100</x:v>
      </x:c>
      <x:c r="AG8" s="7" t="str">
        <x:v>なし</x:v>
      </x:c>
      <x:c r="AH8" s="13" t="n">
        <x:v>0</x:v>
      </x:c>
      <x:c r="AI8" s="7" t="str">
        <x:v>時間更新</x:v>
      </x:c>
      <x:c r="AJ8" s="13" t="n">
        <x:v>1</x:v>
      </x:c>
      <x:c r="AK8" s="7" t="str">
        <x:v>なし</x:v>
      </x:c>
      <x:c r="AL8" s="7" t="str">
        <x:v>なし</x:v>
      </x:c>
      <x:c r="AM8" s="7" t="str">
        <x:v>なし</x:v>
      </x:c>
      <x:c r="AN8" s="13" t="n">
        <x:v>0</x:v>
      </x:c>
      <x:c r="AO8" s="13" t="n">
        <x:v>0</x:v>
      </x:c>
      <x:c r="AP8" s="13" t="n">
        <x:v>0</x:v>
      </x:c>
      <x:c r="AQ8" s="7" t="str">
        <x:v>なし</x:v>
      </x:c>
      <x:c r="AR8" s="13" t="n">
        <x:v>0</x:v>
      </x:c>
      <x:c r="AS8" s="7" t="str">
        <x:v>時間更新</x:v>
      </x:c>
      <x:c r="AT8" s="13" t="n">
        <x:v>1</x:v>
      </x:c>
      <x:c r="AU8" s="7" t="str">
        <x:v>なし</x:v>
      </x:c>
      <x:c r="AV8" s="7" t="str">
        <x:v>なし</x:v>
      </x:c>
      <x:c r="AW8" s="7" t="str">
        <x:v>なし</x:v>
      </x:c>
      <x:c r="AX8" s="13" t="n">
        <x:v>0</x:v>
      </x:c>
      <x:c r="AY8" s="13" t="n">
        <x:v>0</x:v>
      </x:c>
      <x:c r="AZ8" s="13" t="n">
        <x:v>0</x:v>
      </x:c>
      <x:c r="BA8" s="7" t="str">
        <x:v>なし</x:v>
      </x:c>
      <x:c r="BB8" s="13" t="n">
        <x:v>0</x:v>
      </x:c>
      <x:c r="BC8" s="7" t="str">
        <x:v>時間更新</x:v>
      </x:c>
      <x:c r="BD8" s="13" t="n">
        <x:v>1</x:v>
      </x:c>
      <x:c r="BE8" s="43" t="n">
        <x:v>8</x:v>
      </x:c>
      <x:c r="BF8" s="43" t="n">
        <x:v>3</x:v>
      </x:c>
      <x:c r="BG8" s="44" t="str">
        <x:v>有効</x:v>
      </x:c>
      <x:c r="BH8" s="45"/>
      <x:c r="BI8" s="45" t="str">
        <x:v>無効</x:v>
      </x:c>
      <x:c r="BJ8" s="45" t="str">
        <x:v>無効</x:v>
      </x:c>
      <x:c r="BK8" s="51" t="n">
        <x:v>360</x:v>
      </x:c>
      <x:c r="BL8" s="45" t="str">
        <x:v>無効</x:v>
      </x:c>
      <x:c r="BM8" s="51" t="n">
        <x:v>0.3</x:v>
      </x:c>
      <x:c r="BN8" s="51" t="n">
        <x:v>2</x:v>
      </x:c>
      <x:c r="BO8" s="45" t="str">
        <x:v>無効</x:v>
      </x:c>
      <x:c r="BP8" s="51" t="n">
        <x:v>3</x:v>
      </x:c>
      <x:c r="BQ8" s="51" t="n">
        <x:v>50</x:v>
      </x:c>
      <x:c r="BR8" s="51" t="n">
        <x:v>0.3</x:v>
      </x:c>
      <x:c r="BS8" s="45" t="str">
        <x:v>直進</x:v>
      </x:c>
      <x:c r="BT8" s="51" t="n">
        <x:v>8</x:v>
      </x:c>
      <x:c r="BU8" s="51" t="n">
        <x:v>0.8</x:v>
      </x:c>
      <x:c r="BV8" s="51" t="n">
        <x:v>2</x:v>
      </x:c>
      <x:c r="BW8" s="51" t="n">
        <x:v>0.8</x:v>
      </x:c>
      <x:c r="BX8" s="51" t="n">
        <x:v>12</x:v>
      </x:c>
      <x:c r="BY8" s="51" t="n">
        <x:v>0.8</x:v>
      </x:c>
      <x:c r="BZ8" s="51" t="n">
        <x:v>1.5</x:v>
      </x:c>
      <x:c r="CA8" s="51" t="n">
        <x:v>720</x:v>
      </x:c>
      <x:c r="CB8" s="51" t="n">
        <x:v>0.6</x:v>
      </x:c>
      <x:c r="CC8" s="51" t="n">
        <x:v>540</x:v>
      </x:c>
      <x:c r="CD8" s="51" t="n">
        <x:v>1.8</x:v>
      </x:c>
      <x:c r="CE8" s="51" t="n">
        <x:v>4</x:v>
      </x:c>
      <x:c r="CF8" s="51" t="n">
        <x:v>4</x:v>
      </x:c>
      <x:c r="CG8" s="45" t="str">
        <x:v>有効</x:v>
      </x:c>
      <x:c r="CH8" s="45" t="str">
        <x:v>無効</x:v>
      </x:c>
      <x:c r="CI8" s="45" t="str">
        <x:v>無効</x:v>
      </x:c>
      <x:c r="CJ8" s="51" t="n">
        <x:v>0.5</x:v>
      </x:c>
      <x:c r="CK8" s="51" t="n">
        <x:v>1.5</x:v>
      </x:c>
      <x:c r="CL8" s="51" t="n">
        <x:v>2.5</x:v>
      </x:c>
      <x:c r="CM8" s="51" t="n">
        <x:v>2.5</x:v>
      </x:c>
      <x:c r="CN8" s="45" t="str">
        <x:v>無効</x:v>
      </x:c>
      <x:c r="CO8" s="51" t="n">
        <x:v>1</x:v>
      </x:c>
      <x:c r="CP8" s="45" t="str">
        <x:v>追尾</x:v>
      </x:c>
      <x:c r="CQ8" s="51" t="n">
        <x:v>10</x:v>
      </x:c>
      <x:c r="CR8" s="45" t="str">
        <x:v>無効</x:v>
      </x:c>
      <x:c r="CS8" s="51" t="n">
        <x:v>4</x:v>
      </x:c>
      <x:c r="CT8" s="51" t="n">
        <x:v>8</x:v>
      </x:c>
      <x:c r="CU8" s="51" t="n">
        <x:v>0.85</x:v>
      </x:c>
      <x:c r="CV8" s="45" t="str">
        <x:v>無効</x:v>
      </x:c>
      <x:c r="CW8" s="51" t="n">
        <x:v>2</x:v>
      </x:c>
      <x:c r="CX8" s="51" t="n">
        <x:v>50</x:v>
      </x:c>
      <x:c r="CY8" s="51" t="n">
        <x:v>0.5</x:v>
      </x:c>
      <x:c r="CZ8" s="51" t="n">
        <x:v>1</x:v>
      </x:c>
      <x:c r="DA8" s="45" t="str">
        <x:v>無効</x:v>
      </x:c>
      <x:c r="DB8" s="45" t="str">
        <x:v>有効</x:v>
      </x:c>
      <x:c r="DC8" s="51" t="n">
        <x:v>2</x:v>
      </x:c>
      <x:c r="DD8" s="51" t="n">
        <x:v>0.4</x:v>
      </x:c>
      <x:c r="DE8" s="45" t="n">
        <x:v>0.3</x:v>
      </x:c>
      <x:c r="DF8" s="77" t="str">
        <x:v>#FFFFFFFF</x:v>
      </x:c>
      <x:c r="DG8" s="45" t="n">
        <x:v>60</x:v>
      </x:c>
      <x:c r="DH8" s="45" t="n">
        <x:v>0</x:v>
      </x:c>
      <x:c r="DI8" s="88" t="str">
        <x:v>アクティブ</x:v>
      </x:c>
      <x:c r="DJ8" s="88" t="str">
        <x:v>使用者</x:v>
      </x:c>
      <x:c r="DK8" s="88" t="str">
        <x:v>追従なし</x:v>
      </x:c>
      <x:c r="DL8" s="88" t="str">
        <x:v>命中時</x:v>
      </x:c>
      <x:c r="DM8" s="88" t="n">
        <x:v>1</x:v>
      </x:c>
      <x:c r="DN8" s="88"/>
      <x:c r="DO8" s="88"/>
      <x:c r="DP8" s="88"/>
      <x:c r="DQ8" s="88"/>
      <x:c r="DR8" s="88"/>
      <x:c r="DS8" s="88"/>
    </x:row>
    <x:row r="9" ht="25" customHeight="1">
      <x:c r="A9" s="9" t="str">
        <x:v>8</x:v>
      </x:c>
      <x:c r="B9" s="7" t="str">
        <x:v>毒弾</x:v>
      </x:c>
      <x:c r="C9" s="8" t="str">
        <x:v>命中時に毒。最大体力の1％を2秒ごとに与える</x:v>
      </x:c>
      <x:c r="D9" s="11" t="n">
        <x:v>1</x:v>
      </x:c>
      <x:c r="E9" s="11" t="n">
        <x:v>1</x:v>
      </x:c>
      <x:c r="F9" s="11" t="n">
        <x:v>10</x:v>
      </x:c>
      <x:c r="G9" s="13" t="n">
        <x:v>5</x:v>
      </x:c>
      <x:c r="H9" s="13" t="n">
        <x:v>0</x:v>
      </x:c>
      <x:c r="I9" s="13" t="n">
        <x:v>0.2</x:v>
      </x:c>
      <x:c r="J9" s="13" t="n">
        <x:v>6</x:v>
      </x:c>
      <x:c r="K9" s="7" t="str">
        <x:v>敵一体</x:v>
      </x:c>
      <x:c r="L9" s="7" t="str">
        <x:v>ダメージ</x:v>
      </x:c>
      <x:c r="M9" s="7" t="str">
        <x:v>魔法攻撃力</x:v>
      </x:c>
      <x:c r="N9" s="13" t="n">
        <x:v>2</x:v>
      </x:c>
      <x:c r="O9" s="11" t="n">
        <x:v>0</x:v>
      </x:c>
      <x:c r="P9" s="7" t="str">
        <x:v>使用者と同じ</x:v>
      </x:c>
      <x:c r="Q9" s="7" t="str">
        <x:v>有効</x:v>
      </x:c>
      <x:c r="R9" s="7" t="str">
        <x:v>選択対象</x:v>
      </x:c>
      <x:c r="S9" s="13" t="n">
        <x:v>0</x:v>
      </x:c>
      <x:c r="T9" s="11" t="n">
        <x:v>1</x:v>
      </x:c>
      <x:c r="U9" s="7" t="str">
        <x:v>発射物</x:v>
      </x:c>
      <x:c r="V9" s="41" t="n">
        <x:f>IF($A9="","",IF(AND($U9="発射物",$DI9&lt;&gt;"パッシブ"),$BE9,0))</x:f>
        <x:v>8</x:v>
      </x:c>
      <x:c r="W9" s="41" t="n">
        <x:f>IF($A9="","",IF(AND($U9="発射物",$DI9&lt;&gt;"パッシブ"),$BF9,0))</x:f>
        <x:v>3</x:v>
      </x:c>
      <x:c r="X9" s="41" t="str">
        <x:f>IF($A9="","",IF(AND($U9="発射物",$DI9&lt;&gt;"パッシブ"),IF($BG9="有効","有効","無効"),"無効"))</x:f>
        <x:v>有効</x:v>
      </x:c>
      <x:c r="Y9" s="7" t="str"/>
      <x:c r="Z9" s="7" t="str"/>
      <x:c r="AA9" s="7" t="str">
        <x:v>状態異常</x:v>
      </x:c>
      <x:c r="AB9" s="7" t="str">
        <x:v>なし</x:v>
      </x:c>
      <x:c r="AC9" s="7" t="str">
        <x:v>最大体力割合</x:v>
      </x:c>
      <x:c r="AD9" s="13" t="n">
        <x:v>1</x:v>
      </x:c>
      <x:c r="AE9" s="13" t="n">
        <x:v>10</x:v>
      </x:c>
      <x:c r="AF9" s="13" t="n">
        <x:v>80</x:v>
      </x:c>
      <x:c r="AG9" s="7" t="str">
        <x:v>毒</x:v>
      </x:c>
      <x:c r="AH9" s="13" t="n">
        <x:v>2</x:v>
      </x:c>
      <x:c r="AI9" s="7" t="str">
        <x:v>時間更新</x:v>
      </x:c>
      <x:c r="AJ9" s="13" t="n">
        <x:v>1</x:v>
      </x:c>
      <x:c r="AK9" s="7" t="str">
        <x:v>なし</x:v>
      </x:c>
      <x:c r="AL9" s="7" t="str">
        <x:v>なし</x:v>
      </x:c>
      <x:c r="AM9" s="7" t="str">
        <x:v>なし</x:v>
      </x:c>
      <x:c r="AN9" s="13" t="n">
        <x:v>0</x:v>
      </x:c>
      <x:c r="AO9" s="13" t="n">
        <x:v>0</x:v>
      </x:c>
      <x:c r="AP9" s="13" t="n">
        <x:v>0</x:v>
      </x:c>
      <x:c r="AQ9" s="7" t="str">
        <x:v>なし</x:v>
      </x:c>
      <x:c r="AR9" s="13" t="n">
        <x:v>0</x:v>
      </x:c>
      <x:c r="AS9" s="7" t="str">
        <x:v>時間更新</x:v>
      </x:c>
      <x:c r="AT9" s="13" t="n">
        <x:v>1</x:v>
      </x:c>
      <x:c r="AU9" s="7" t="str">
        <x:v>なし</x:v>
      </x:c>
      <x:c r="AV9" s="7" t="str">
        <x:v>なし</x:v>
      </x:c>
      <x:c r="AW9" s="7" t="str">
        <x:v>なし</x:v>
      </x:c>
      <x:c r="AX9" s="13" t="n">
        <x:v>0</x:v>
      </x:c>
      <x:c r="AY9" s="13" t="n">
        <x:v>0</x:v>
      </x:c>
      <x:c r="AZ9" s="13" t="n">
        <x:v>0</x:v>
      </x:c>
      <x:c r="BA9" s="7" t="str">
        <x:v>なし</x:v>
      </x:c>
      <x:c r="BB9" s="13" t="n">
        <x:v>0</x:v>
      </x:c>
      <x:c r="BC9" s="7" t="str">
        <x:v>時間更新</x:v>
      </x:c>
      <x:c r="BD9" s="13" t="n">
        <x:v>1</x:v>
      </x:c>
      <x:c r="BE9" s="43" t="n">
        <x:v>8</x:v>
      </x:c>
      <x:c r="BF9" s="43" t="n">
        <x:v>3</x:v>
      </x:c>
      <x:c r="BG9" s="44" t="str">
        <x:v>有効</x:v>
      </x:c>
      <x:c r="BH9" s="45"/>
      <x:c r="BI9" s="45" t="str">
        <x:v>無効</x:v>
      </x:c>
      <x:c r="BJ9" s="45" t="str">
        <x:v>無効</x:v>
      </x:c>
      <x:c r="BK9" s="51" t="n">
        <x:v>360</x:v>
      </x:c>
      <x:c r="BL9" s="45" t="str">
        <x:v>無効</x:v>
      </x:c>
      <x:c r="BM9" s="51" t="n">
        <x:v>0.3</x:v>
      </x:c>
      <x:c r="BN9" s="51" t="n">
        <x:v>2</x:v>
      </x:c>
      <x:c r="BO9" s="45" t="str">
        <x:v>無効</x:v>
      </x:c>
      <x:c r="BP9" s="51" t="n">
        <x:v>3</x:v>
      </x:c>
      <x:c r="BQ9" s="51" t="n">
        <x:v>50</x:v>
      </x:c>
      <x:c r="BR9" s="51" t="n">
        <x:v>0.3</x:v>
      </x:c>
      <x:c r="BS9" s="45" t="str">
        <x:v>直進</x:v>
      </x:c>
      <x:c r="BT9" s="51" t="n">
        <x:v>8</x:v>
      </x:c>
      <x:c r="BU9" s="51" t="n">
        <x:v>0.8</x:v>
      </x:c>
      <x:c r="BV9" s="51" t="n">
        <x:v>2</x:v>
      </x:c>
      <x:c r="BW9" s="51" t="n">
        <x:v>0.8</x:v>
      </x:c>
      <x:c r="BX9" s="51" t="n">
        <x:v>12</x:v>
      </x:c>
      <x:c r="BY9" s="51" t="n">
        <x:v>0.8</x:v>
      </x:c>
      <x:c r="BZ9" s="51" t="n">
        <x:v>1.5</x:v>
      </x:c>
      <x:c r="CA9" s="51" t="n">
        <x:v>720</x:v>
      </x:c>
      <x:c r="CB9" s="51" t="n">
        <x:v>0.6</x:v>
      </x:c>
      <x:c r="CC9" s="51" t="n">
        <x:v>540</x:v>
      </x:c>
      <x:c r="CD9" s="51" t="n">
        <x:v>1.8</x:v>
      </x:c>
      <x:c r="CE9" s="51" t="n">
        <x:v>4</x:v>
      </x:c>
      <x:c r="CF9" s="51" t="n">
        <x:v>4</x:v>
      </x:c>
      <x:c r="CG9" s="45" t="str">
        <x:v>有効</x:v>
      </x:c>
      <x:c r="CH9" s="45" t="str">
        <x:v>無効</x:v>
      </x:c>
      <x:c r="CI9" s="45" t="str">
        <x:v>無効</x:v>
      </x:c>
      <x:c r="CJ9" s="51" t="n">
        <x:v>0.5</x:v>
      </x:c>
      <x:c r="CK9" s="51" t="n">
        <x:v>1.5</x:v>
      </x:c>
      <x:c r="CL9" s="51" t="n">
        <x:v>2.5</x:v>
      </x:c>
      <x:c r="CM9" s="51" t="n">
        <x:v>2.5</x:v>
      </x:c>
      <x:c r="CN9" s="45" t="str">
        <x:v>無効</x:v>
      </x:c>
      <x:c r="CO9" s="51" t="n">
        <x:v>1</x:v>
      </x:c>
      <x:c r="CP9" s="45" t="str">
        <x:v>追尾</x:v>
      </x:c>
      <x:c r="CQ9" s="51" t="n">
        <x:v>10</x:v>
      </x:c>
      <x:c r="CR9" s="45" t="str">
        <x:v>無効</x:v>
      </x:c>
      <x:c r="CS9" s="51" t="n">
        <x:v>4</x:v>
      </x:c>
      <x:c r="CT9" s="51" t="n">
        <x:v>8</x:v>
      </x:c>
      <x:c r="CU9" s="51" t="n">
        <x:v>0.85</x:v>
      </x:c>
      <x:c r="CV9" s="45" t="str">
        <x:v>無効</x:v>
      </x:c>
      <x:c r="CW9" s="51" t="n">
        <x:v>2</x:v>
      </x:c>
      <x:c r="CX9" s="51" t="n">
        <x:v>50</x:v>
      </x:c>
      <x:c r="CY9" s="51" t="n">
        <x:v>0.5</x:v>
      </x:c>
      <x:c r="CZ9" s="51" t="n">
        <x:v>1</x:v>
      </x:c>
      <x:c r="DA9" s="45" t="str">
        <x:v>無効</x:v>
      </x:c>
      <x:c r="DB9" s="45" t="str">
        <x:v>有効</x:v>
      </x:c>
      <x:c r="DC9" s="51" t="n">
        <x:v>2</x:v>
      </x:c>
      <x:c r="DD9" s="51" t="n">
        <x:v>0.4</x:v>
      </x:c>
      <x:c r="DE9" s="45" t="n">
        <x:v>0.3</x:v>
      </x:c>
      <x:c r="DF9" s="77" t="str">
        <x:v>#FFFFFFFF</x:v>
      </x:c>
      <x:c r="DG9" s="45" t="n">
        <x:v>60</x:v>
      </x:c>
      <x:c r="DH9" s="45" t="n">
        <x:v>0</x:v>
      </x:c>
      <x:c r="DI9" s="88" t="str">
        <x:v>アクティブ</x:v>
      </x:c>
      <x:c r="DJ9" s="88" t="str">
        <x:v>使用者</x:v>
      </x:c>
      <x:c r="DK9" s="88" t="str">
        <x:v>追従なし</x:v>
      </x:c>
      <x:c r="DL9" s="88" t="str">
        <x:v>命中時</x:v>
      </x:c>
      <x:c r="DM9" s="88" t="n">
        <x:v>1</x:v>
      </x:c>
      <x:c r="DN9" s="88"/>
      <x:c r="DO9" s="88"/>
      <x:c r="DP9" s="88"/>
      <x:c r="DQ9" s="88"/>
      <x:c r="DR9" s="88"/>
      <x:c r="DS9" s="88"/>
    </x:row>
    <x:row r="10" ht="25" customHeight="1">
      <x:c r="A10" s="9" t="str">
        <x:v>9</x:v>
      </x:c>
      <x:c r="B10" s="7" t="str">
        <x:v>灼熱弾</x:v>
      </x:c>
      <x:c r="C10" s="8" t="str">
        <x:v>火傷により固定50ダメージを1秒ごとに与える</x:v>
      </x:c>
      <x:c r="D10" s="11" t="n">
        <x:v>1</x:v>
      </x:c>
      <x:c r="E10" s="11" t="n">
        <x:v>1</x:v>
      </x:c>
      <x:c r="F10" s="11" t="n">
        <x:v>10</x:v>
      </x:c>
      <x:c r="G10" s="13" t="n">
        <x:v>5</x:v>
      </x:c>
      <x:c r="H10" s="13" t="n">
        <x:v>0</x:v>
      </x:c>
      <x:c r="I10" s="13" t="n">
        <x:v>0.2</x:v>
      </x:c>
      <x:c r="J10" s="13" t="n">
        <x:v>6</x:v>
      </x:c>
      <x:c r="K10" s="7" t="str">
        <x:v>敵一体</x:v>
      </x:c>
      <x:c r="L10" s="7" t="str">
        <x:v>ダメージ</x:v>
      </x:c>
      <x:c r="M10" s="7" t="str">
        <x:v>魔法攻撃力</x:v>
      </x:c>
      <x:c r="N10" s="13" t="n">
        <x:v>2</x:v>
      </x:c>
      <x:c r="O10" s="11" t="n">
        <x:v>0</x:v>
      </x:c>
      <x:c r="P10" s="7" t="str">
        <x:v>火</x:v>
      </x:c>
      <x:c r="Q10" s="7" t="str">
        <x:v>有効</x:v>
      </x:c>
      <x:c r="R10" s="7" t="str">
        <x:v>選択対象</x:v>
      </x:c>
      <x:c r="S10" s="13" t="n">
        <x:v>0</x:v>
      </x:c>
      <x:c r="T10" s="11" t="n">
        <x:v>1</x:v>
      </x:c>
      <x:c r="U10" s="7" t="str">
        <x:v>発射物</x:v>
      </x:c>
      <x:c r="V10" s="41" t="n">
        <x:f>IF($A10="","",IF(AND($U10="発射物",$DI10&lt;&gt;"パッシブ"),$BE10,0))</x:f>
        <x:v>8</x:v>
      </x:c>
      <x:c r="W10" s="41" t="n">
        <x:f>IF($A10="","",IF(AND($U10="発射物",$DI10&lt;&gt;"パッシブ"),$BF10,0))</x:f>
        <x:v>3</x:v>
      </x:c>
      <x:c r="X10" s="41" t="str">
        <x:f>IF($A10="","",IF(AND($U10="発射物",$DI10&lt;&gt;"パッシブ"),IF($BG10="有効","有効","無効"),"無効"))</x:f>
        <x:v>有効</x:v>
      </x:c>
      <x:c r="Y10" s="7" t="str"/>
      <x:c r="Z10" s="7" t="str"/>
      <x:c r="AA10" s="7" t="str">
        <x:v>状態異常</x:v>
      </x:c>
      <x:c r="AB10" s="7" t="str">
        <x:v>なし</x:v>
      </x:c>
      <x:c r="AC10" s="7" t="str">
        <x:v>固定ダメージ</x:v>
      </x:c>
      <x:c r="AD10" s="13" t="n">
        <x:v>50</x:v>
      </x:c>
      <x:c r="AE10" s="13" t="n">
        <x:v>5</x:v>
      </x:c>
      <x:c r="AF10" s="13" t="n">
        <x:v>100</x:v>
      </x:c>
      <x:c r="AG10" s="7" t="str">
        <x:v>火傷</x:v>
      </x:c>
      <x:c r="AH10" s="13" t="n">
        <x:v>1</x:v>
      </x:c>
      <x:c r="AI10" s="7" t="str">
        <x:v>時間更新</x:v>
      </x:c>
      <x:c r="AJ10" s="13" t="n">
        <x:v>1</x:v>
      </x:c>
      <x:c r="AK10" s="7" t="str">
        <x:v>なし</x:v>
      </x:c>
      <x:c r="AL10" s="7" t="str">
        <x:v>なし</x:v>
      </x:c>
      <x:c r="AM10" s="7" t="str">
        <x:v>なし</x:v>
      </x:c>
      <x:c r="AN10" s="13" t="n">
        <x:v>0</x:v>
      </x:c>
      <x:c r="AO10" s="13" t="n">
        <x:v>0</x:v>
      </x:c>
      <x:c r="AP10" s="13" t="n">
        <x:v>0</x:v>
      </x:c>
      <x:c r="AQ10" s="7" t="str">
        <x:v>なし</x:v>
      </x:c>
      <x:c r="AR10" s="13" t="n">
        <x:v>0</x:v>
      </x:c>
      <x:c r="AS10" s="7" t="str">
        <x:v>時間更新</x:v>
      </x:c>
      <x:c r="AT10" s="13" t="n">
        <x:v>1</x:v>
      </x:c>
      <x:c r="AU10" s="7" t="str">
        <x:v>なし</x:v>
      </x:c>
      <x:c r="AV10" s="7" t="str">
        <x:v>なし</x:v>
      </x:c>
      <x:c r="AW10" s="7" t="str">
        <x:v>なし</x:v>
      </x:c>
      <x:c r="AX10" s="13" t="n">
        <x:v>0</x:v>
      </x:c>
      <x:c r="AY10" s="13" t="n">
        <x:v>0</x:v>
      </x:c>
      <x:c r="AZ10" s="13" t="n">
        <x:v>0</x:v>
      </x:c>
      <x:c r="BA10" s="7" t="str">
        <x:v>なし</x:v>
      </x:c>
      <x:c r="BB10" s="13" t="n">
        <x:v>0</x:v>
      </x:c>
      <x:c r="BC10" s="7" t="str">
        <x:v>時間更新</x:v>
      </x:c>
      <x:c r="BD10" s="13" t="n">
        <x:v>1</x:v>
      </x:c>
      <x:c r="BE10" s="43" t="n">
        <x:v>8</x:v>
      </x:c>
      <x:c r="BF10" s="43" t="n">
        <x:v>3</x:v>
      </x:c>
      <x:c r="BG10" s="44" t="str">
        <x:v>有効</x:v>
      </x:c>
      <x:c r="BH10" s="45"/>
      <x:c r="BI10" s="45" t="str">
        <x:v>無効</x:v>
      </x:c>
      <x:c r="BJ10" s="45" t="str">
        <x:v>無効</x:v>
      </x:c>
      <x:c r="BK10" s="51" t="n">
        <x:v>360</x:v>
      </x:c>
      <x:c r="BL10" s="45" t="str">
        <x:v>無効</x:v>
      </x:c>
      <x:c r="BM10" s="51" t="n">
        <x:v>0.3</x:v>
      </x:c>
      <x:c r="BN10" s="51" t="n">
        <x:v>2</x:v>
      </x:c>
      <x:c r="BO10" s="45" t="str">
        <x:v>無効</x:v>
      </x:c>
      <x:c r="BP10" s="51" t="n">
        <x:v>3</x:v>
      </x:c>
      <x:c r="BQ10" s="51" t="n">
        <x:v>50</x:v>
      </x:c>
      <x:c r="BR10" s="51" t="n">
        <x:v>0.3</x:v>
      </x:c>
      <x:c r="BS10" s="45" t="str">
        <x:v>直進</x:v>
      </x:c>
      <x:c r="BT10" s="51" t="n">
        <x:v>8</x:v>
      </x:c>
      <x:c r="BU10" s="51" t="n">
        <x:v>0.8</x:v>
      </x:c>
      <x:c r="BV10" s="51" t="n">
        <x:v>2</x:v>
      </x:c>
      <x:c r="BW10" s="51" t="n">
        <x:v>0.8</x:v>
      </x:c>
      <x:c r="BX10" s="51" t="n">
        <x:v>12</x:v>
      </x:c>
      <x:c r="BY10" s="51" t="n">
        <x:v>0.8</x:v>
      </x:c>
      <x:c r="BZ10" s="51" t="n">
        <x:v>1.5</x:v>
      </x:c>
      <x:c r="CA10" s="51" t="n">
        <x:v>720</x:v>
      </x:c>
      <x:c r="CB10" s="51" t="n">
        <x:v>0.6</x:v>
      </x:c>
      <x:c r="CC10" s="51" t="n">
        <x:v>540</x:v>
      </x:c>
      <x:c r="CD10" s="51" t="n">
        <x:v>1.8</x:v>
      </x:c>
      <x:c r="CE10" s="51" t="n">
        <x:v>4</x:v>
      </x:c>
      <x:c r="CF10" s="51" t="n">
        <x:v>4</x:v>
      </x:c>
      <x:c r="CG10" s="45" t="str">
        <x:v>有効</x:v>
      </x:c>
      <x:c r="CH10" s="45" t="str">
        <x:v>無効</x:v>
      </x:c>
      <x:c r="CI10" s="45" t="str">
        <x:v>無効</x:v>
      </x:c>
      <x:c r="CJ10" s="51" t="n">
        <x:v>0.5</x:v>
      </x:c>
      <x:c r="CK10" s="51" t="n">
        <x:v>1.5</x:v>
      </x:c>
      <x:c r="CL10" s="51" t="n">
        <x:v>2.5</x:v>
      </x:c>
      <x:c r="CM10" s="51" t="n">
        <x:v>2.5</x:v>
      </x:c>
      <x:c r="CN10" s="45" t="str">
        <x:v>無効</x:v>
      </x:c>
      <x:c r="CO10" s="51" t="n">
        <x:v>1</x:v>
      </x:c>
      <x:c r="CP10" s="45" t="str">
        <x:v>追尾</x:v>
      </x:c>
      <x:c r="CQ10" s="51" t="n">
        <x:v>10</x:v>
      </x:c>
      <x:c r="CR10" s="45" t="str">
        <x:v>無効</x:v>
      </x:c>
      <x:c r="CS10" s="51" t="n">
        <x:v>4</x:v>
      </x:c>
      <x:c r="CT10" s="51" t="n">
        <x:v>8</x:v>
      </x:c>
      <x:c r="CU10" s="51" t="n">
        <x:v>0.85</x:v>
      </x:c>
      <x:c r="CV10" s="45" t="str">
        <x:v>無効</x:v>
      </x:c>
      <x:c r="CW10" s="51" t="n">
        <x:v>2</x:v>
      </x:c>
      <x:c r="CX10" s="51" t="n">
        <x:v>50</x:v>
      </x:c>
      <x:c r="CY10" s="51" t="n">
        <x:v>0.5</x:v>
      </x:c>
      <x:c r="CZ10" s="51" t="n">
        <x:v>1</x:v>
      </x:c>
      <x:c r="DA10" s="45" t="str">
        <x:v>無効</x:v>
      </x:c>
      <x:c r="DB10" s="45" t="str">
        <x:v>有効</x:v>
      </x:c>
      <x:c r="DC10" s="51" t="n">
        <x:v>2</x:v>
      </x:c>
      <x:c r="DD10" s="51" t="n">
        <x:v>0.4</x:v>
      </x:c>
      <x:c r="DE10" s="45" t="n">
        <x:v>0.3</x:v>
      </x:c>
      <x:c r="DF10" s="77" t="str">
        <x:v>#FFFFFFFF</x:v>
      </x:c>
      <x:c r="DG10" s="45" t="n">
        <x:v>60</x:v>
      </x:c>
      <x:c r="DH10" s="45" t="n">
        <x:v>0</x:v>
      </x:c>
      <x:c r="DI10" s="88" t="str">
        <x:v>アクティブ</x:v>
      </x:c>
      <x:c r="DJ10" s="88" t="str">
        <x:v>使用者</x:v>
      </x:c>
      <x:c r="DK10" s="88" t="str">
        <x:v>追従なし</x:v>
      </x:c>
      <x:c r="DL10" s="88" t="str">
        <x:v>命中時</x:v>
      </x:c>
      <x:c r="DM10" s="88" t="n">
        <x:v>1</x:v>
      </x:c>
      <x:c r="DN10" s="88"/>
      <x:c r="DO10" s="88"/>
      <x:c r="DP10" s="88"/>
      <x:c r="DQ10" s="88"/>
      <x:c r="DR10" s="88"/>
      <x:c r="DS10" s="88"/>
    </x:row>
    <x:row r="11" ht="25" customHeight="1">
      <x:c r="A11" s="9" t="str">
        <x:v>10</x:v>
      </x:c>
      <x:c r="B11" s="7" t="str">
        <x:v>凍結弾</x:v>
      </x:c>
      <x:c r="C11" s="8" t="str">
        <x:v>命中時に3秒間凍結させる</x:v>
      </x:c>
      <x:c r="D11" s="11" t="n">
        <x:v>1</x:v>
      </x:c>
      <x:c r="E11" s="11" t="n">
        <x:v>1</x:v>
      </x:c>
      <x:c r="F11" s="11" t="n">
        <x:v>10</x:v>
      </x:c>
      <x:c r="G11" s="13" t="n">
        <x:v>5</x:v>
      </x:c>
      <x:c r="H11" s="13" t="n">
        <x:v>0</x:v>
      </x:c>
      <x:c r="I11" s="13" t="n">
        <x:v>0.2</x:v>
      </x:c>
      <x:c r="J11" s="13" t="n">
        <x:v>6</x:v>
      </x:c>
      <x:c r="K11" s="7" t="str">
        <x:v>敵一体</x:v>
      </x:c>
      <x:c r="L11" s="7" t="str">
        <x:v>ダメージ</x:v>
      </x:c>
      <x:c r="M11" s="7" t="str">
        <x:v>魔法攻撃力</x:v>
      </x:c>
      <x:c r="N11" s="13" t="n">
        <x:v>2</x:v>
      </x:c>
      <x:c r="O11" s="11" t="n">
        <x:v>0</x:v>
      </x:c>
      <x:c r="P11" s="7" t="str">
        <x:v>水</x:v>
      </x:c>
      <x:c r="Q11" s="7" t="str">
        <x:v>有効</x:v>
      </x:c>
      <x:c r="R11" s="7" t="str">
        <x:v>選択対象</x:v>
      </x:c>
      <x:c r="S11" s="13" t="n">
        <x:v>0</x:v>
      </x:c>
      <x:c r="T11" s="11" t="n">
        <x:v>1</x:v>
      </x:c>
      <x:c r="U11" s="7" t="str">
        <x:v>発射物</x:v>
      </x:c>
      <x:c r="V11" s="41" t="n">
        <x:f>IF($A11="","",IF(AND($U11="発射物",$DI11&lt;&gt;"パッシブ"),$BE11,0))</x:f>
        <x:v>8</x:v>
      </x:c>
      <x:c r="W11" s="41" t="n">
        <x:f>IF($A11="","",IF(AND($U11="発射物",$DI11&lt;&gt;"パッシブ"),$BF11,0))</x:f>
        <x:v>3</x:v>
      </x:c>
      <x:c r="X11" s="41" t="str">
        <x:f>IF($A11="","",IF(AND($U11="発射物",$DI11&lt;&gt;"パッシブ"),IF($BG11="有効","有効","無効"),"無効"))</x:f>
        <x:v>有効</x:v>
      </x:c>
      <x:c r="Y11" s="7" t="str"/>
      <x:c r="Z11" s="7" t="str"/>
      <x:c r="AA11" s="7" t="str">
        <x:v>状態異常</x:v>
      </x:c>
      <x:c r="AB11" s="7" t="str">
        <x:v>なし</x:v>
      </x:c>
      <x:c r="AC11" s="7" t="str">
        <x:v>なし</x:v>
      </x:c>
      <x:c r="AD11" s="13" t="n">
        <x:v>0</x:v>
      </x:c>
      <x:c r="AE11" s="13" t="n">
        <x:v>3</x:v>
      </x:c>
      <x:c r="AF11" s="13" t="n">
        <x:v>50</x:v>
      </x:c>
      <x:c r="AG11" s="7" t="str">
        <x:v>凍結</x:v>
      </x:c>
      <x:c r="AH11" s="13" t="n">
        <x:v>0</x:v>
      </x:c>
      <x:c r="AI11" s="7" t="str">
        <x:v>時間更新</x:v>
      </x:c>
      <x:c r="AJ11" s="13" t="n">
        <x:v>1</x:v>
      </x:c>
      <x:c r="AK11" s="7" t="str">
        <x:v>なし</x:v>
      </x:c>
      <x:c r="AL11" s="7" t="str">
        <x:v>なし</x:v>
      </x:c>
      <x:c r="AM11" s="7" t="str">
        <x:v>なし</x:v>
      </x:c>
      <x:c r="AN11" s="13" t="n">
        <x:v>0</x:v>
      </x:c>
      <x:c r="AO11" s="13" t="n">
        <x:v>0</x:v>
      </x:c>
      <x:c r="AP11" s="13" t="n">
        <x:v>0</x:v>
      </x:c>
      <x:c r="AQ11" s="7" t="str">
        <x:v>なし</x:v>
      </x:c>
      <x:c r="AR11" s="13" t="n">
        <x:v>0</x:v>
      </x:c>
      <x:c r="AS11" s="7" t="str">
        <x:v>時間更新</x:v>
      </x:c>
      <x:c r="AT11" s="13" t="n">
        <x:v>1</x:v>
      </x:c>
      <x:c r="AU11" s="7" t="str">
        <x:v>なし</x:v>
      </x:c>
      <x:c r="AV11" s="7" t="str">
        <x:v>なし</x:v>
      </x:c>
      <x:c r="AW11" s="7" t="str">
        <x:v>なし</x:v>
      </x:c>
      <x:c r="AX11" s="13" t="n">
        <x:v>0</x:v>
      </x:c>
      <x:c r="AY11" s="13" t="n">
        <x:v>0</x:v>
      </x:c>
      <x:c r="AZ11" s="13" t="n">
        <x:v>0</x:v>
      </x:c>
      <x:c r="BA11" s="7" t="str">
        <x:v>なし</x:v>
      </x:c>
      <x:c r="BB11" s="13" t="n">
        <x:v>0</x:v>
      </x:c>
      <x:c r="BC11" s="7" t="str">
        <x:v>時間更新</x:v>
      </x:c>
      <x:c r="BD11" s="13" t="n">
        <x:v>1</x:v>
      </x:c>
      <x:c r="BE11" s="43" t="n">
        <x:v>8</x:v>
      </x:c>
      <x:c r="BF11" s="43" t="n">
        <x:v>3</x:v>
      </x:c>
      <x:c r="BG11" s="44" t="str">
        <x:v>有効</x:v>
      </x:c>
      <x:c r="BH11" s="45"/>
      <x:c r="BI11" s="45" t="str">
        <x:v>無効</x:v>
      </x:c>
      <x:c r="BJ11" s="45" t="str">
        <x:v>無効</x:v>
      </x:c>
      <x:c r="BK11" s="51" t="n">
        <x:v>360</x:v>
      </x:c>
      <x:c r="BL11" s="45" t="str">
        <x:v>無効</x:v>
      </x:c>
      <x:c r="BM11" s="51" t="n">
        <x:v>0.3</x:v>
      </x:c>
      <x:c r="BN11" s="51" t="n">
        <x:v>2</x:v>
      </x:c>
      <x:c r="BO11" s="45" t="str">
        <x:v>無効</x:v>
      </x:c>
      <x:c r="BP11" s="51" t="n">
        <x:v>3</x:v>
      </x:c>
      <x:c r="BQ11" s="51" t="n">
        <x:v>50</x:v>
      </x:c>
      <x:c r="BR11" s="51" t="n">
        <x:v>0.3</x:v>
      </x:c>
      <x:c r="BS11" s="45" t="str">
        <x:v>直進</x:v>
      </x:c>
      <x:c r="BT11" s="51" t="n">
        <x:v>8</x:v>
      </x:c>
      <x:c r="BU11" s="51" t="n">
        <x:v>0.8</x:v>
      </x:c>
      <x:c r="BV11" s="51" t="n">
        <x:v>2</x:v>
      </x:c>
      <x:c r="BW11" s="51" t="n">
        <x:v>0.8</x:v>
      </x:c>
      <x:c r="BX11" s="51" t="n">
        <x:v>12</x:v>
      </x:c>
      <x:c r="BY11" s="51" t="n">
        <x:v>0.8</x:v>
      </x:c>
      <x:c r="BZ11" s="51" t="n">
        <x:v>1.5</x:v>
      </x:c>
      <x:c r="CA11" s="51" t="n">
        <x:v>720</x:v>
      </x:c>
      <x:c r="CB11" s="51" t="n">
        <x:v>0.6</x:v>
      </x:c>
      <x:c r="CC11" s="51" t="n">
        <x:v>540</x:v>
      </x:c>
      <x:c r="CD11" s="51" t="n">
        <x:v>1.8</x:v>
      </x:c>
      <x:c r="CE11" s="51" t="n">
        <x:v>4</x:v>
      </x:c>
      <x:c r="CF11" s="51" t="n">
        <x:v>4</x:v>
      </x:c>
      <x:c r="CG11" s="45" t="str">
        <x:v>有効</x:v>
      </x:c>
      <x:c r="CH11" s="45" t="str">
        <x:v>無効</x:v>
      </x:c>
      <x:c r="CI11" s="45" t="str">
        <x:v>無効</x:v>
      </x:c>
      <x:c r="CJ11" s="51" t="n">
        <x:v>0.5</x:v>
      </x:c>
      <x:c r="CK11" s="51" t="n">
        <x:v>1.5</x:v>
      </x:c>
      <x:c r="CL11" s="51" t="n">
        <x:v>2.5</x:v>
      </x:c>
      <x:c r="CM11" s="51" t="n">
        <x:v>2.5</x:v>
      </x:c>
      <x:c r="CN11" s="45" t="str">
        <x:v>無効</x:v>
      </x:c>
      <x:c r="CO11" s="51" t="n">
        <x:v>1</x:v>
      </x:c>
      <x:c r="CP11" s="45" t="str">
        <x:v>追尾</x:v>
      </x:c>
      <x:c r="CQ11" s="51" t="n">
        <x:v>10</x:v>
      </x:c>
      <x:c r="CR11" s="45" t="str">
        <x:v>無効</x:v>
      </x:c>
      <x:c r="CS11" s="51" t="n">
        <x:v>4</x:v>
      </x:c>
      <x:c r="CT11" s="51" t="n">
        <x:v>8</x:v>
      </x:c>
      <x:c r="CU11" s="51" t="n">
        <x:v>0.85</x:v>
      </x:c>
      <x:c r="CV11" s="45" t="str">
        <x:v>無効</x:v>
      </x:c>
      <x:c r="CW11" s="51" t="n">
        <x:v>2</x:v>
      </x:c>
      <x:c r="CX11" s="51" t="n">
        <x:v>50</x:v>
      </x:c>
      <x:c r="CY11" s="51" t="n">
        <x:v>0.5</x:v>
      </x:c>
      <x:c r="CZ11" s="51" t="n">
        <x:v>1</x:v>
      </x:c>
      <x:c r="DA11" s="45" t="str">
        <x:v>無効</x:v>
      </x:c>
      <x:c r="DB11" s="45" t="str">
        <x:v>有効</x:v>
      </x:c>
      <x:c r="DC11" s="51" t="n">
        <x:v>2</x:v>
      </x:c>
      <x:c r="DD11" s="51" t="n">
        <x:v>0.4</x:v>
      </x:c>
      <x:c r="DE11" s="45" t="n">
        <x:v>0.3</x:v>
      </x:c>
      <x:c r="DF11" s="77" t="str">
        <x:v>#FFFFFFFF</x:v>
      </x:c>
      <x:c r="DG11" s="45" t="n">
        <x:v>60</x:v>
      </x:c>
      <x:c r="DH11" s="45" t="n">
        <x:v>0</x:v>
      </x:c>
      <x:c r="DI11" s="88" t="str">
        <x:v>アクティブ</x:v>
      </x:c>
      <x:c r="DJ11" s="88" t="str">
        <x:v>使用者</x:v>
      </x:c>
      <x:c r="DK11" s="88" t="str">
        <x:v>追従なし</x:v>
      </x:c>
      <x:c r="DL11" s="88" t="str">
        <x:v>命中時</x:v>
      </x:c>
      <x:c r="DM11" s="88" t="n">
        <x:v>1</x:v>
      </x:c>
      <x:c r="DN11" s="88"/>
      <x:c r="DO11" s="88"/>
      <x:c r="DP11" s="88"/>
      <x:c r="DQ11" s="88"/>
      <x:c r="DR11" s="88"/>
      <x:c r="DS11" s="88"/>
    </x:row>
    <x:row r="12" ht="25" customHeight="1">
      <x:c r="A12" s="9" t="str">
        <x:v>11</x:v>
      </x:c>
      <x:c r="B12" s="7" t="str">
        <x:v>封魔</x:v>
      </x:c>
      <x:c r="C12" s="8" t="str">
        <x:v>敵一体のスキル使用を5秒間封じる</x:v>
      </x:c>
      <x:c r="D12" s="11" t="n">
        <x:v>1</x:v>
      </x:c>
      <x:c r="E12" s="11" t="n">
        <x:v>1</x:v>
      </x:c>
      <x:c r="F12" s="11" t="n">
        <x:v>10</x:v>
      </x:c>
      <x:c r="G12" s="13" t="n">
        <x:v>5</x:v>
      </x:c>
      <x:c r="H12" s="13" t="n">
        <x:v>0</x:v>
      </x:c>
      <x:c r="I12" s="13" t="n">
        <x:v>0.2</x:v>
      </x:c>
      <x:c r="J12" s="13" t="n">
        <x:v>6</x:v>
      </x:c>
      <x:c r="K12" s="7" t="str">
        <x:v>敵一体</x:v>
      </x:c>
      <x:c r="L12" s="7" t="str">
        <x:v>なし</x:v>
      </x:c>
      <x:c r="M12" s="7" t="str">
        <x:v>なし</x:v>
      </x:c>
      <x:c r="N12" s="13" t="n">
        <x:v>0</x:v>
      </x:c>
      <x:c r="O12" s="11" t="n">
        <x:v>0</x:v>
      </x:c>
      <x:c r="P12" s="7" t="str">
        <x:v>使用者と同じ</x:v>
      </x:c>
      <x:c r="Q12" s="7" t="str">
        <x:v>無効</x:v>
      </x:c>
      <x:c r="R12" s="7" t="str">
        <x:v>選択対象</x:v>
      </x:c>
      <x:c r="S12" s="13" t="n">
        <x:v>0</x:v>
      </x:c>
      <x:c r="T12" s="11" t="n">
        <x:v>1</x:v>
      </x:c>
      <x:c r="U12" s="7" t="str">
        <x:v>即時</x:v>
      </x:c>
      <x:c r="V12" s="41" t="n">
        <x:f>IF($A12="","",IF(AND($U12="発射物",$DI12&lt;&gt;"パッシブ"),$BE12,0))</x:f>
        <x:v>0</x:v>
      </x:c>
      <x:c r="W12" s="41" t="n">
        <x:f>IF($A12="","",IF(AND($U12="発射物",$DI12&lt;&gt;"パッシブ"),$BF12,0))</x:f>
        <x:v>0</x:v>
      </x:c>
      <x:c r="X12" s="41" t="str">
        <x:f>IF($A12="","",IF(AND($U12="発射物",$DI12&lt;&gt;"パッシブ"),IF($BG12="有効","有効","無効"),"無効"))</x:f>
        <x:v>無効</x:v>
      </x:c>
      <x:c r="Y12" s="7" t="str"/>
      <x:c r="Z12" s="7" t="str"/>
      <x:c r="AA12" s="7" t="str">
        <x:v>状態異常</x:v>
      </x:c>
      <x:c r="AB12" s="7" t="str">
        <x:v>なし</x:v>
      </x:c>
      <x:c r="AC12" s="7" t="str">
        <x:v>なし</x:v>
      </x:c>
      <x:c r="AD12" s="13" t="n">
        <x:v>0</x:v>
      </x:c>
      <x:c r="AE12" s="13" t="n">
        <x:v>5</x:v>
      </x:c>
      <x:c r="AF12" s="13" t="n">
        <x:v>70</x:v>
      </x:c>
      <x:c r="AG12" s="7" t="str">
        <x:v>沈黙</x:v>
      </x:c>
      <x:c r="AH12" s="13" t="n">
        <x:v>0</x:v>
      </x:c>
      <x:c r="AI12" s="7" t="str">
        <x:v>時間更新</x:v>
      </x:c>
      <x:c r="AJ12" s="13" t="n">
        <x:v>1</x:v>
      </x:c>
      <x:c r="AK12" s="7" t="str">
        <x:v>なし</x:v>
      </x:c>
      <x:c r="AL12" s="7" t="str">
        <x:v>なし</x:v>
      </x:c>
      <x:c r="AM12" s="7" t="str">
        <x:v>なし</x:v>
      </x:c>
      <x:c r="AN12" s="13" t="n">
        <x:v>0</x:v>
      </x:c>
      <x:c r="AO12" s="13" t="n">
        <x:v>0</x:v>
      </x:c>
      <x:c r="AP12" s="13" t="n">
        <x:v>0</x:v>
      </x:c>
      <x:c r="AQ12" s="7" t="str">
        <x:v>なし</x:v>
      </x:c>
      <x:c r="AR12" s="13" t="n">
        <x:v>0</x:v>
      </x:c>
      <x:c r="AS12" s="7" t="str">
        <x:v>時間更新</x:v>
      </x:c>
      <x:c r="AT12" s="13" t="n">
        <x:v>1</x:v>
      </x:c>
      <x:c r="AU12" s="7" t="str">
        <x:v>なし</x:v>
      </x:c>
      <x:c r="AV12" s="7" t="str">
        <x:v>なし</x:v>
      </x:c>
      <x:c r="AW12" s="7" t="str">
        <x:v>なし</x:v>
      </x:c>
      <x:c r="AX12" s="13" t="n">
        <x:v>0</x:v>
      </x:c>
      <x:c r="AY12" s="13" t="n">
        <x:v>0</x:v>
      </x:c>
      <x:c r="AZ12" s="13" t="n">
        <x:v>0</x:v>
      </x:c>
      <x:c r="BA12" s="7" t="str">
        <x:v>なし</x:v>
      </x:c>
      <x:c r="BB12" s="13" t="n">
        <x:v>0</x:v>
      </x:c>
      <x:c r="BC12" s="7" t="str">
        <x:v>時間更新</x:v>
      </x:c>
      <x:c r="BD12" s="13" t="n">
        <x:v>1</x:v>
      </x:c>
      <x:c r="BE12" s="43" t="n">
        <x:v>8</x:v>
      </x:c>
      <x:c r="BF12" s="43" t="n">
        <x:v>3</x:v>
      </x:c>
      <x:c r="BG12" s="44" t="str">
        <x:v>有効</x:v>
      </x:c>
      <x:c r="BH12" s="45"/>
      <x:c r="BI12" s="45" t="str">
        <x:v>無効</x:v>
      </x:c>
      <x:c r="BJ12" s="45" t="str">
        <x:v>無効</x:v>
      </x:c>
      <x:c r="BK12" s="51" t="n">
        <x:v>360</x:v>
      </x:c>
      <x:c r="BL12" s="45" t="str">
        <x:v>無効</x:v>
      </x:c>
      <x:c r="BM12" s="51" t="n">
        <x:v>0.3</x:v>
      </x:c>
      <x:c r="BN12" s="51" t="n">
        <x:v>2</x:v>
      </x:c>
      <x:c r="BO12" s="45" t="str">
        <x:v>無効</x:v>
      </x:c>
      <x:c r="BP12" s="51" t="n">
        <x:v>3</x:v>
      </x:c>
      <x:c r="BQ12" s="51" t="n">
        <x:v>50</x:v>
      </x:c>
      <x:c r="BR12" s="51" t="n">
        <x:v>0.3</x:v>
      </x:c>
      <x:c r="BS12" s="45" t="str">
        <x:v>直進</x:v>
      </x:c>
      <x:c r="BT12" s="51" t="n">
        <x:v>8</x:v>
      </x:c>
      <x:c r="BU12" s="51" t="n">
        <x:v>0.8</x:v>
      </x:c>
      <x:c r="BV12" s="51" t="n">
        <x:v>2</x:v>
      </x:c>
      <x:c r="BW12" s="51" t="n">
        <x:v>0.8</x:v>
      </x:c>
      <x:c r="BX12" s="51" t="n">
        <x:v>12</x:v>
      </x:c>
      <x:c r="BY12" s="51" t="n">
        <x:v>0.8</x:v>
      </x:c>
      <x:c r="BZ12" s="51" t="n">
        <x:v>1.5</x:v>
      </x:c>
      <x:c r="CA12" s="51" t="n">
        <x:v>720</x:v>
      </x:c>
      <x:c r="CB12" s="51" t="n">
        <x:v>0.6</x:v>
      </x:c>
      <x:c r="CC12" s="51" t="n">
        <x:v>540</x:v>
      </x:c>
      <x:c r="CD12" s="51" t="n">
        <x:v>1.8</x:v>
      </x:c>
      <x:c r="CE12" s="51" t="n">
        <x:v>4</x:v>
      </x:c>
      <x:c r="CF12" s="51" t="n">
        <x:v>4</x:v>
      </x:c>
      <x:c r="CG12" s="45" t="str">
        <x:v>有効</x:v>
      </x:c>
      <x:c r="CH12" s="45" t="str">
        <x:v>無効</x:v>
      </x:c>
      <x:c r="CI12" s="45" t="str">
        <x:v>無効</x:v>
      </x:c>
      <x:c r="CJ12" s="51" t="n">
        <x:v>0.5</x:v>
      </x:c>
      <x:c r="CK12" s="51" t="n">
        <x:v>1.5</x:v>
      </x:c>
      <x:c r="CL12" s="51" t="n">
        <x:v>2.5</x:v>
      </x:c>
      <x:c r="CM12" s="51" t="n">
        <x:v>2.5</x:v>
      </x:c>
      <x:c r="CN12" s="45" t="str">
        <x:v>無効</x:v>
      </x:c>
      <x:c r="CO12" s="51" t="n">
        <x:v>1</x:v>
      </x:c>
      <x:c r="CP12" s="45" t="str">
        <x:v>追尾</x:v>
      </x:c>
      <x:c r="CQ12" s="51" t="n">
        <x:v>10</x:v>
      </x:c>
      <x:c r="CR12" s="45" t="str">
        <x:v>無効</x:v>
      </x:c>
      <x:c r="CS12" s="51" t="n">
        <x:v>4</x:v>
      </x:c>
      <x:c r="CT12" s="51" t="n">
        <x:v>8</x:v>
      </x:c>
      <x:c r="CU12" s="51" t="n">
        <x:v>0.85</x:v>
      </x:c>
      <x:c r="CV12" s="45" t="str">
        <x:v>無効</x:v>
      </x:c>
      <x:c r="CW12" s="51" t="n">
        <x:v>2</x:v>
      </x:c>
      <x:c r="CX12" s="51" t="n">
        <x:v>50</x:v>
      </x:c>
      <x:c r="CY12" s="51" t="n">
        <x:v>0.5</x:v>
      </x:c>
      <x:c r="CZ12" s="51" t="n">
        <x:v>1</x:v>
      </x:c>
      <x:c r="DA12" s="45" t="str">
        <x:v>無効</x:v>
      </x:c>
      <x:c r="DB12" s="45" t="str">
        <x:v>有効</x:v>
      </x:c>
      <x:c r="DC12" s="51" t="n">
        <x:v>2</x:v>
      </x:c>
      <x:c r="DD12" s="51" t="n">
        <x:v>0.4</x:v>
      </x:c>
      <x:c r="DE12" s="45" t="n">
        <x:v>0.3</x:v>
      </x:c>
      <x:c r="DF12" s="77" t="str">
        <x:v>#FFFFFFFF</x:v>
      </x:c>
      <x:c r="DG12" s="45" t="n">
        <x:v>60</x:v>
      </x:c>
      <x:c r="DH12" s="45" t="n">
        <x:v>0</x:v>
      </x:c>
      <x:c r="DI12" s="88" t="str">
        <x:v>アクティブ</x:v>
      </x:c>
      <x:c r="DJ12" s="88" t="str">
        <x:v>使用者</x:v>
      </x:c>
      <x:c r="DK12" s="88" t="str">
        <x:v>追従なし</x:v>
      </x:c>
      <x:c r="DL12" s="88" t="str">
        <x:v>命中時</x:v>
      </x:c>
      <x:c r="DM12" s="88" t="n">
        <x:v>1</x:v>
      </x:c>
      <x:c r="DN12" s="88"/>
      <x:c r="DO12" s="88"/>
      <x:c r="DP12" s="88"/>
      <x:c r="DQ12" s="88"/>
      <x:c r="DR12" s="88"/>
      <x:c r="DS12" s="88"/>
    </x:row>
    <x:row r="13" ht="25" customHeight="1">
      <x:c r="A13" s="9" t="str">
        <x:v>12</x:v>
      </x:c>
      <x:c r="B13" s="7" t="str">
        <x:v>腐食毒弾</x:v>
      </x:c>
      <x:c r="C13" s="8" t="str">
        <x:v>ダメージと同時に防御力低下と毒を付与</x:v>
      </x:c>
      <x:c r="D13" s="11" t="n">
        <x:v>1</x:v>
      </x:c>
      <x:c r="E13" s="11" t="n">
        <x:v>1</x:v>
      </x:c>
      <x:c r="F13" s="11" t="n">
        <x:v>10</x:v>
      </x:c>
      <x:c r="G13" s="13" t="n">
        <x:v>5</x:v>
      </x:c>
      <x:c r="H13" s="13" t="n">
        <x:v>0</x:v>
      </x:c>
      <x:c r="I13" s="13" t="n">
        <x:v>0.2</x:v>
      </x:c>
      <x:c r="J13" s="13" t="n">
        <x:v>6</x:v>
      </x:c>
      <x:c r="K13" s="7" t="str">
        <x:v>敵一体</x:v>
      </x:c>
      <x:c r="L13" s="7" t="str">
        <x:v>ダメージ</x:v>
      </x:c>
      <x:c r="M13" s="7" t="str">
        <x:v>魔法攻撃力</x:v>
      </x:c>
      <x:c r="N13" s="13" t="n">
        <x:v>2</x:v>
      </x:c>
      <x:c r="O13" s="11" t="n">
        <x:v>0</x:v>
      </x:c>
      <x:c r="P13" s="7" t="str">
        <x:v>使用者と同じ</x:v>
      </x:c>
      <x:c r="Q13" s="7" t="str">
        <x:v>有効</x:v>
      </x:c>
      <x:c r="R13" s="7" t="str">
        <x:v>選択対象</x:v>
      </x:c>
      <x:c r="S13" s="13" t="n">
        <x:v>0</x:v>
      </x:c>
      <x:c r="T13" s="11" t="n">
        <x:v>1</x:v>
      </x:c>
      <x:c r="U13" s="7" t="str">
        <x:v>発射物</x:v>
      </x:c>
      <x:c r="V13" s="41" t="n">
        <x:f>IF($A13="","",IF(AND($U13="発射物",$DI13&lt;&gt;"パッシブ"),$BE13,0))</x:f>
        <x:v>8</x:v>
      </x:c>
      <x:c r="W13" s="41" t="n">
        <x:f>IF($A13="","",IF(AND($U13="発射物",$DI13&lt;&gt;"パッシブ"),$BF13,0))</x:f>
        <x:v>3</x:v>
      </x:c>
      <x:c r="X13" s="41" t="str">
        <x:f>IF($A13="","",IF(AND($U13="発射物",$DI13&lt;&gt;"パッシブ"),IF($BG13="有効","有効","無効"),"無効"))</x:f>
        <x:v>有効</x:v>
      </x:c>
      <x:c r="Y13" s="7" t="str"/>
      <x:c r="Z13" s="7" t="str"/>
      <x:c r="AA13" s="7" t="str">
        <x:v>デバフ</x:v>
      </x:c>
      <x:c r="AB13" s="7" t="str">
        <x:v>防御力</x:v>
      </x:c>
      <x:c r="AC13" s="7" t="str">
        <x:v>割合変化</x:v>
      </x:c>
      <x:c r="AD13" s="13" t="n">
        <x:v>20</x:v>
      </x:c>
      <x:c r="AE13" s="13" t="n">
        <x:v>10</x:v>
      </x:c>
      <x:c r="AF13" s="13" t="n">
        <x:v>100</x:v>
      </x:c>
      <x:c r="AG13" s="7" t="str">
        <x:v>なし</x:v>
      </x:c>
      <x:c r="AH13" s="13" t="n">
        <x:v>0</x:v>
      </x:c>
      <x:c r="AI13" s="7" t="str">
        <x:v>時間更新</x:v>
      </x:c>
      <x:c r="AJ13" s="13" t="n">
        <x:v>1</x:v>
      </x:c>
      <x:c r="AK13" s="7" t="str">
        <x:v>状態異常</x:v>
      </x:c>
      <x:c r="AL13" s="7" t="str">
        <x:v>なし</x:v>
      </x:c>
      <x:c r="AM13" s="7" t="str">
        <x:v>最大体力割合</x:v>
      </x:c>
      <x:c r="AN13" s="13" t="n">
        <x:v>1</x:v>
      </x:c>
      <x:c r="AO13" s="13" t="n">
        <x:v>10</x:v>
      </x:c>
      <x:c r="AP13" s="13" t="n">
        <x:v>80</x:v>
      </x:c>
      <x:c r="AQ13" s="7" t="str">
        <x:v>毒</x:v>
      </x:c>
      <x:c r="AR13" s="13" t="n">
        <x:v>2</x:v>
      </x:c>
      <x:c r="AS13" s="7" t="str">
        <x:v>時間更新</x:v>
      </x:c>
      <x:c r="AT13" s="13" t="n">
        <x:v>1</x:v>
      </x:c>
      <x:c r="AU13" s="7" t="str">
        <x:v>なし</x:v>
      </x:c>
      <x:c r="AV13" s="7" t="str">
        <x:v>なし</x:v>
      </x:c>
      <x:c r="AW13" s="7" t="str">
        <x:v>なし</x:v>
      </x:c>
      <x:c r="AX13" s="13" t="n">
        <x:v>0</x:v>
      </x:c>
      <x:c r="AY13" s="13" t="n">
        <x:v>0</x:v>
      </x:c>
      <x:c r="AZ13" s="13" t="n">
        <x:v>0</x:v>
      </x:c>
      <x:c r="BA13" s="7" t="str">
        <x:v>なし</x:v>
      </x:c>
      <x:c r="BB13" s="13" t="n">
        <x:v>0</x:v>
      </x:c>
      <x:c r="BC13" s="7" t="str">
        <x:v>時間更新</x:v>
      </x:c>
      <x:c r="BD13" s="13" t="n">
        <x:v>1</x:v>
      </x:c>
      <x:c r="BE13" s="43" t="n">
        <x:v>8</x:v>
      </x:c>
      <x:c r="BF13" s="43" t="n">
        <x:v>3</x:v>
      </x:c>
      <x:c r="BG13" s="44" t="str">
        <x:v>有効</x:v>
      </x:c>
      <x:c r="BH13" s="45"/>
      <x:c r="BI13" s="45" t="str">
        <x:v>無効</x:v>
      </x:c>
      <x:c r="BJ13" s="45" t="str">
        <x:v>無効</x:v>
      </x:c>
      <x:c r="BK13" s="51" t="n">
        <x:v>360</x:v>
      </x:c>
      <x:c r="BL13" s="45" t="str">
        <x:v>無効</x:v>
      </x:c>
      <x:c r="BM13" s="51" t="n">
        <x:v>0.3</x:v>
      </x:c>
      <x:c r="BN13" s="51" t="n">
        <x:v>2</x:v>
      </x:c>
      <x:c r="BO13" s="45" t="str">
        <x:v>無効</x:v>
      </x:c>
      <x:c r="BP13" s="51" t="n">
        <x:v>3</x:v>
      </x:c>
      <x:c r="BQ13" s="51" t="n">
        <x:v>50</x:v>
      </x:c>
      <x:c r="BR13" s="51" t="n">
        <x:v>0.3</x:v>
      </x:c>
      <x:c r="BS13" s="45" t="str">
        <x:v>直進</x:v>
      </x:c>
      <x:c r="BT13" s="51" t="n">
        <x:v>8</x:v>
      </x:c>
      <x:c r="BU13" s="51" t="n">
        <x:v>0.8</x:v>
      </x:c>
      <x:c r="BV13" s="51" t="n">
        <x:v>2</x:v>
      </x:c>
      <x:c r="BW13" s="51" t="n">
        <x:v>0.8</x:v>
      </x:c>
      <x:c r="BX13" s="51" t="n">
        <x:v>12</x:v>
      </x:c>
      <x:c r="BY13" s="51" t="n">
        <x:v>0.8</x:v>
      </x:c>
      <x:c r="BZ13" s="51" t="n">
        <x:v>1.5</x:v>
      </x:c>
      <x:c r="CA13" s="51" t="n">
        <x:v>720</x:v>
      </x:c>
      <x:c r="CB13" s="51" t="n">
        <x:v>0.6</x:v>
      </x:c>
      <x:c r="CC13" s="51" t="n">
        <x:v>540</x:v>
      </x:c>
      <x:c r="CD13" s="51" t="n">
        <x:v>1.8</x:v>
      </x:c>
      <x:c r="CE13" s="51" t="n">
        <x:v>4</x:v>
      </x:c>
      <x:c r="CF13" s="51" t="n">
        <x:v>4</x:v>
      </x:c>
      <x:c r="CG13" s="45" t="str">
        <x:v>有効</x:v>
      </x:c>
      <x:c r="CH13" s="45" t="str">
        <x:v>無効</x:v>
      </x:c>
      <x:c r="CI13" s="45" t="str">
        <x:v>無効</x:v>
      </x:c>
      <x:c r="CJ13" s="51" t="n">
        <x:v>0.5</x:v>
      </x:c>
      <x:c r="CK13" s="51" t="n">
        <x:v>1.5</x:v>
      </x:c>
      <x:c r="CL13" s="51" t="n">
        <x:v>2.5</x:v>
      </x:c>
      <x:c r="CM13" s="51" t="n">
        <x:v>2.5</x:v>
      </x:c>
      <x:c r="CN13" s="45" t="str">
        <x:v>無効</x:v>
      </x:c>
      <x:c r="CO13" s="51" t="n">
        <x:v>1</x:v>
      </x:c>
      <x:c r="CP13" s="45" t="str">
        <x:v>追尾</x:v>
      </x:c>
      <x:c r="CQ13" s="51" t="n">
        <x:v>10</x:v>
      </x:c>
      <x:c r="CR13" s="45" t="str">
        <x:v>無効</x:v>
      </x:c>
      <x:c r="CS13" s="51" t="n">
        <x:v>4</x:v>
      </x:c>
      <x:c r="CT13" s="51" t="n">
        <x:v>8</x:v>
      </x:c>
      <x:c r="CU13" s="51" t="n">
        <x:v>0.85</x:v>
      </x:c>
      <x:c r="CV13" s="45" t="str">
        <x:v>無効</x:v>
      </x:c>
      <x:c r="CW13" s="51" t="n">
        <x:v>2</x:v>
      </x:c>
      <x:c r="CX13" s="51" t="n">
        <x:v>50</x:v>
      </x:c>
      <x:c r="CY13" s="51" t="n">
        <x:v>0.5</x:v>
      </x:c>
      <x:c r="CZ13" s="51" t="n">
        <x:v>1</x:v>
      </x:c>
      <x:c r="DA13" s="45" t="str">
        <x:v>無効</x:v>
      </x:c>
      <x:c r="DB13" s="45" t="str">
        <x:v>有効</x:v>
      </x:c>
      <x:c r="DC13" s="51" t="n">
        <x:v>2</x:v>
      </x:c>
      <x:c r="DD13" s="51" t="n">
        <x:v>0.4</x:v>
      </x:c>
      <x:c r="DE13" s="45" t="n">
        <x:v>0.3</x:v>
      </x:c>
      <x:c r="DF13" s="77" t="str">
        <x:v>#FFFFFFFF</x:v>
      </x:c>
      <x:c r="DG13" s="45" t="n">
        <x:v>60</x:v>
      </x:c>
      <x:c r="DH13" s="45" t="n">
        <x:v>0</x:v>
      </x:c>
      <x:c r="DI13" s="88" t="str">
        <x:v>アクティブ</x:v>
      </x:c>
      <x:c r="DJ13" s="88" t="str">
        <x:v>使用者</x:v>
      </x:c>
      <x:c r="DK13" s="88" t="str">
        <x:v>追従なし</x:v>
      </x:c>
      <x:c r="DL13" s="88" t="str">
        <x:v>命中時</x:v>
      </x:c>
      <x:c r="DM13" s="88" t="n">
        <x:v>1</x:v>
      </x:c>
      <x:c r="DN13" s="88"/>
      <x:c r="DO13" s="88"/>
      <x:c r="DP13" s="88"/>
      <x:c r="DQ13" s="88"/>
      <x:c r="DR13" s="88"/>
      <x:c r="DS13" s="88"/>
    </x:row>
    <x:row r="14" ht="25" customHeight="1">
      <x:c r="A14" s="10" t="str">
        <x:v>13</x:v>
      </x:c>
      <x:c r="B14" t="str">
        <x:v>最大HP＋10％</x:v>
      </x:c>
      <x:c r="C14" t="str">
        <x:v>枠にセット中のみ有効。</x:v>
      </x:c>
      <x:c r="D14" s="12" t="n">
        <x:v>1</x:v>
      </x:c>
      <x:c r="E14" s="12" t="n">
        <x:v>1</x:v>
      </x:c>
      <x:c r="F14" s="12" t="n">
        <x:v>0</x:v>
      </x:c>
      <x:c r="G14" s="14" t="n">
        <x:v>0</x:v>
      </x:c>
      <x:c r="H14" s="14" t="n">
        <x:v>0</x:v>
      </x:c>
      <x:c r="I14" s="14" t="n">
        <x:v>0</x:v>
      </x:c>
      <x:c r="J14" s="14" t="n">
        <x:v>0</x:v>
      </x:c>
      <x:c r="K14" t="str">
        <x:v>自身</x:v>
      </x:c>
      <x:c r="L14" t="str">
        <x:v>なし</x:v>
      </x:c>
      <x:c r="M14" t="str">
        <x:v>なし</x:v>
      </x:c>
      <x:c r="N14" s="14" t="n">
        <x:v>0</x:v>
      </x:c>
      <x:c r="O14" s="12" t="n">
        <x:v>0</x:v>
      </x:c>
      <x:c r="P14" t="str">
        <x:v>使用者と同じ</x:v>
      </x:c>
      <x:c r="Q14" t="str">
        <x:v>無効</x:v>
      </x:c>
      <x:c r="R14" t="str">
        <x:v>自身</x:v>
      </x:c>
      <x:c r="S14" s="14" t="n">
        <x:v>0</x:v>
      </x:c>
      <x:c r="T14" s="12" t="n">
        <x:v>1</x:v>
      </x:c>
      <x:c r="U14" t="str">
        <x:v>即時</x:v>
      </x:c>
      <x:c r="V14" s="42" t="n">
        <x:f>IF($A14="","",IF(AND($U14="発射物",$DI14&lt;&gt;"パッシブ"),$BE14,0))</x:f>
        <x:v>0</x:v>
      </x:c>
      <x:c r="W14" s="42" t="n">
        <x:f>IF($A14="","",IF(AND($U14="発射物",$DI14&lt;&gt;"パッシブ"),$BF14,0))</x:f>
        <x:v>0</x:v>
      </x:c>
      <x:c r="X14" s="42" t="str">
        <x:f>IF($A14="","",IF(AND($U14="発射物",$DI14&lt;&gt;"パッシブ"),IF($BG14="有効","有効","無効"),"無効"))</x:f>
        <x:v>無効</x:v>
      </x:c>
      <x:c r="AD14" s="14"/>
      <x:c r="AE14" s="14"/>
      <x:c r="AF14" s="14"/>
      <x:c r="AH14" s="14"/>
      <x:c r="AJ14" s="14"/>
      <x:c r="AN14" s="14"/>
      <x:c r="AO14" s="14"/>
      <x:c r="AP14" s="14"/>
      <x:c r="AR14" s="14"/>
      <x:c r="AT14" s="14"/>
      <x:c r="AX14" s="14"/>
      <x:c r="AY14" s="14"/>
      <x:c r="AZ14" s="14"/>
      <x:c r="BB14" s="14"/>
      <x:c r="BD14" s="14"/>
      <x:c r="BE14" s="14"/>
      <x:c r="BF14" s="14"/>
      <x:c r="BK14" s="14"/>
      <x:c r="BM14" s="14"/>
      <x:c r="BN14" s="14"/>
      <x:c r="BP14" s="14"/>
      <x:c r="BQ14" s="14"/>
      <x:c r="BR14" s="14"/>
      <x:c r="BT14" s="14"/>
      <x:c r="BU14" s="14"/>
      <x:c r="BV14" s="14"/>
      <x:c r="BW14" s="14"/>
      <x:c r="BX14" s="14"/>
      <x:c r="BY14" s="14"/>
      <x:c r="BZ14" s="14"/>
      <x:c r="CA14" s="14"/>
      <x:c r="CB14" s="14"/>
      <x:c r="CC14" s="14"/>
      <x:c r="CD14" s="14"/>
      <x:c r="CE14" s="14"/>
      <x:c r="CF14" s="14"/>
      <x:c r="CJ14" s="14"/>
      <x:c r="CK14" s="14"/>
      <x:c r="CL14" s="14"/>
      <x:c r="CM14" s="14"/>
      <x:c r="CO14" s="14"/>
      <x:c r="CQ14" s="14"/>
      <x:c r="CS14" s="14"/>
      <x:c r="CT14" s="14"/>
      <x:c r="CU14" s="14"/>
      <x:c r="CW14" s="14"/>
      <x:c r="CX14" s="14"/>
      <x:c r="CY14" s="14"/>
      <x:c r="CZ14" s="14"/>
      <x:c r="DC14" s="14"/>
      <x:c r="DD14" s="14"/>
      <x:c r="DI14" s="88" t="str">
        <x:v>パッシブ</x:v>
      </x:c>
      <x:c r="DJ14" s="88" t="str">
        <x:v>使用者</x:v>
      </x:c>
      <x:c r="DK14" s="88" t="str">
        <x:v>追従なし</x:v>
      </x:c>
      <x:c r="DL14" s="88" t="str">
        <x:v>命中時</x:v>
      </x:c>
      <x:c r="DM14" s="88" t="n">
        <x:v>1</x:v>
      </x:c>
      <x:c r="DN14" s="88" t="str">
        <x:v>最大HP</x:v>
      </x:c>
      <x:c r="DO14" s="88" t="n">
        <x:v>10</x:v>
      </x:c>
      <x:c r="DP14" s="88" t="str">
        <x:v>なし</x:v>
      </x:c>
      <x:c r="DQ14" s="88" t="n">
        <x:v>0</x:v>
      </x:c>
      <x:c r="DR14" s="88" t="str">
        <x:v>なし</x:v>
      </x:c>
      <x:c r="DS14" s="88" t="n">
        <x:v>0</x:v>
      </x:c>
    </x:row>
    <x:row r="15" ht="25" customHeight="1">
      <x:c r="A15" s="10" t="str">
        <x:v>14</x:v>
      </x:c>
      <x:c r="B15" t="str">
        <x:v>最大MP＋10％</x:v>
      </x:c>
      <x:c r="C15" t="str">
        <x:v>枠にセット中のみ有効。</x:v>
      </x:c>
      <x:c r="D15" s="12" t="n">
        <x:v>1</x:v>
      </x:c>
      <x:c r="E15" s="12" t="n">
        <x:v>1</x:v>
      </x:c>
      <x:c r="F15" s="12" t="n">
        <x:v>0</x:v>
      </x:c>
      <x:c r="G15" s="14" t="n">
        <x:v>0</x:v>
      </x:c>
      <x:c r="H15" s="14" t="n">
        <x:v>0</x:v>
      </x:c>
      <x:c r="I15" s="14" t="n">
        <x:v>0</x:v>
      </x:c>
      <x:c r="J15" s="14" t="n">
        <x:v>0</x:v>
      </x:c>
      <x:c r="K15" t="str">
        <x:v>自身</x:v>
      </x:c>
      <x:c r="L15" t="str">
        <x:v>なし</x:v>
      </x:c>
      <x:c r="M15" t="str">
        <x:v>なし</x:v>
      </x:c>
      <x:c r="N15" s="14" t="n">
        <x:v>0</x:v>
      </x:c>
      <x:c r="O15" s="12" t="n">
        <x:v>0</x:v>
      </x:c>
      <x:c r="P15" t="str">
        <x:v>使用者と同じ</x:v>
      </x:c>
      <x:c r="Q15" t="str">
        <x:v>無効</x:v>
      </x:c>
      <x:c r="R15" t="str">
        <x:v>自身</x:v>
      </x:c>
      <x:c r="S15" s="14" t="n">
        <x:v>0</x:v>
      </x:c>
      <x:c r="T15" s="12" t="n">
        <x:v>1</x:v>
      </x:c>
      <x:c r="U15" t="str">
        <x:v>即時</x:v>
      </x:c>
      <x:c r="V15" s="42" t="n">
        <x:f>IF($A15="","",IF(AND($U15="発射物",$DI15&lt;&gt;"パッシブ"),$BE15,0))</x:f>
        <x:v>0</x:v>
      </x:c>
      <x:c r="W15" s="42" t="n">
        <x:f>IF($A15="","",IF(AND($U15="発射物",$DI15&lt;&gt;"パッシブ"),$BF15,0))</x:f>
        <x:v>0</x:v>
      </x:c>
      <x:c r="X15" s="42" t="str">
        <x:f>IF($A15="","",IF(AND($U15="発射物",$DI15&lt;&gt;"パッシブ"),IF($BG15="有効","有効","無効"),"無効"))</x:f>
        <x:v>無効</x:v>
      </x:c>
      <x:c r="AD15" s="14"/>
      <x:c r="AE15" s="14"/>
      <x:c r="AF15" s="14"/>
      <x:c r="AH15" s="14"/>
      <x:c r="AJ15" s="14"/>
      <x:c r="AN15" s="14"/>
      <x:c r="AO15" s="14"/>
      <x:c r="AP15" s="14"/>
      <x:c r="AR15" s="14"/>
      <x:c r="AT15" s="14"/>
      <x:c r="AX15" s="14"/>
      <x:c r="AY15" s="14"/>
      <x:c r="AZ15" s="14"/>
      <x:c r="BB15" s="14"/>
      <x:c r="BD15" s="14"/>
      <x:c r="BE15" s="14"/>
      <x:c r="BF15" s="14"/>
      <x:c r="BK15" s="14"/>
      <x:c r="BM15" s="14"/>
      <x:c r="BN15" s="14"/>
      <x:c r="BP15" s="14"/>
      <x:c r="BQ15" s="14"/>
      <x:c r="BR15" s="14"/>
      <x:c r="BT15" s="14"/>
      <x:c r="BU15" s="14"/>
      <x:c r="BV15" s="14"/>
      <x:c r="BW15" s="14"/>
      <x:c r="BX15" s="14"/>
      <x:c r="BY15" s="14"/>
      <x:c r="BZ15" s="14"/>
      <x:c r="CA15" s="14"/>
      <x:c r="CB15" s="14"/>
      <x:c r="CC15" s="14"/>
      <x:c r="CD15" s="14"/>
      <x:c r="CE15" s="14"/>
      <x:c r="CF15" s="14"/>
      <x:c r="CJ15" s="14"/>
      <x:c r="CK15" s="14"/>
      <x:c r="CL15" s="14"/>
      <x:c r="CM15" s="14"/>
      <x:c r="CO15" s="14"/>
      <x:c r="CQ15" s="14"/>
      <x:c r="CS15" s="14"/>
      <x:c r="CT15" s="14"/>
      <x:c r="CU15" s="14"/>
      <x:c r="CW15" s="14"/>
      <x:c r="CX15" s="14"/>
      <x:c r="CY15" s="14"/>
      <x:c r="CZ15" s="14"/>
      <x:c r="DC15" s="14"/>
      <x:c r="DD15" s="14"/>
      <x:c r="DI15" s="88" t="str">
        <x:v>パッシブ</x:v>
      </x:c>
      <x:c r="DJ15" s="88" t="str">
        <x:v>使用者</x:v>
      </x:c>
      <x:c r="DK15" s="88" t="str">
        <x:v>追従なし</x:v>
      </x:c>
      <x:c r="DL15" s="88" t="str">
        <x:v>命中時</x:v>
      </x:c>
      <x:c r="DM15" s="88" t="n">
        <x:v>1</x:v>
      </x:c>
      <x:c r="DN15" s="88" t="str">
        <x:v>最大MP</x:v>
      </x:c>
      <x:c r="DO15" s="88" t="n">
        <x:v>10</x:v>
      </x:c>
      <x:c r="DP15" s="88" t="str">
        <x:v>なし</x:v>
      </x:c>
      <x:c r="DQ15" s="88" t="n">
        <x:v>0</x:v>
      </x:c>
      <x:c r="DR15" s="88" t="str">
        <x:v>なし</x:v>
      </x:c>
      <x:c r="DS15" s="88" t="n">
        <x:v>0</x:v>
      </x:c>
    </x:row>
    <x:row r="16" ht="25" customHeight="1">
      <x:c r="A16" s="10" t="str">
        <x:v>15</x:v>
      </x:c>
      <x:c r="B16" t="str">
        <x:v>攻撃力＋10％</x:v>
      </x:c>
      <x:c r="C16" t="str">
        <x:v>枠にセット中のみ有効。</x:v>
      </x:c>
      <x:c r="D16" s="12" t="n">
        <x:v>1</x:v>
      </x:c>
      <x:c r="E16" s="12" t="n">
        <x:v>1</x:v>
      </x:c>
      <x:c r="F16" s="12" t="n">
        <x:v>0</x:v>
      </x:c>
      <x:c r="G16" s="14" t="n">
        <x:v>0</x:v>
      </x:c>
      <x:c r="H16" s="14" t="n">
        <x:v>0</x:v>
      </x:c>
      <x:c r="I16" s="14" t="n">
        <x:v>0</x:v>
      </x:c>
      <x:c r="J16" s="14" t="n">
        <x:v>0</x:v>
      </x:c>
      <x:c r="K16" t="str">
        <x:v>自身</x:v>
      </x:c>
      <x:c r="L16" t="str">
        <x:v>なし</x:v>
      </x:c>
      <x:c r="M16" t="str">
        <x:v>なし</x:v>
      </x:c>
      <x:c r="N16" s="14" t="n">
        <x:v>0</x:v>
      </x:c>
      <x:c r="O16" s="12" t="n">
        <x:v>0</x:v>
      </x:c>
      <x:c r="P16" t="str">
        <x:v>使用者と同じ</x:v>
      </x:c>
      <x:c r="Q16" t="str">
        <x:v>無効</x:v>
      </x:c>
      <x:c r="R16" t="str">
        <x:v>自身</x:v>
      </x:c>
      <x:c r="S16" s="14" t="n">
        <x:v>0</x:v>
      </x:c>
      <x:c r="T16" s="12" t="n">
        <x:v>1</x:v>
      </x:c>
      <x:c r="U16" t="str">
        <x:v>即時</x:v>
      </x:c>
      <x:c r="V16" s="42" t="n">
        <x:f>IF($A16="","",IF(AND($U16="発射物",$DI16&lt;&gt;"パッシブ"),$BE16,0))</x:f>
        <x:v>0</x:v>
      </x:c>
      <x:c r="W16" s="42" t="n">
        <x:f>IF($A16="","",IF(AND($U16="発射物",$DI16&lt;&gt;"パッシブ"),$BF16,0))</x:f>
        <x:v>0</x:v>
      </x:c>
      <x:c r="X16" s="42" t="str">
        <x:f>IF($A16="","",IF(AND($U16="発射物",$DI16&lt;&gt;"パッシブ"),IF($BG16="有効","有効","無効"),"無効"))</x:f>
        <x:v>無効</x:v>
      </x:c>
      <x:c r="AD16" s="14"/>
      <x:c r="AE16" s="14"/>
      <x:c r="AF16" s="14"/>
      <x:c r="AH16" s="14"/>
      <x:c r="AJ16" s="14"/>
      <x:c r="AN16" s="14"/>
      <x:c r="AO16" s="14"/>
      <x:c r="AP16" s="14"/>
      <x:c r="AR16" s="14"/>
      <x:c r="AT16" s="14"/>
      <x:c r="AX16" s="14"/>
      <x:c r="AY16" s="14"/>
      <x:c r="AZ16" s="14"/>
      <x:c r="BB16" s="14"/>
      <x:c r="BD16" s="14"/>
      <x:c r="BE16" s="14"/>
      <x:c r="BF16" s="14"/>
      <x:c r="BK16" s="14"/>
      <x:c r="BM16" s="14"/>
      <x:c r="BN16" s="14"/>
      <x:c r="BP16" s="14"/>
      <x:c r="BQ16" s="14"/>
      <x:c r="BR16" s="14"/>
      <x:c r="BT16" s="14"/>
      <x:c r="BU16" s="14"/>
      <x:c r="BV16" s="14"/>
      <x:c r="BW16" s="14"/>
      <x:c r="BX16" s="14"/>
      <x:c r="BY16" s="14"/>
      <x:c r="BZ16" s="14"/>
      <x:c r="CA16" s="14"/>
      <x:c r="CB16" s="14"/>
      <x:c r="CC16" s="14"/>
      <x:c r="CD16" s="14"/>
      <x:c r="CE16" s="14"/>
      <x:c r="CF16" s="14"/>
      <x:c r="CJ16" s="14"/>
      <x:c r="CK16" s="14"/>
      <x:c r="CL16" s="14"/>
      <x:c r="CM16" s="14"/>
      <x:c r="CO16" s="14"/>
      <x:c r="CQ16" s="14"/>
      <x:c r="CS16" s="14"/>
      <x:c r="CT16" s="14"/>
      <x:c r="CU16" s="14"/>
      <x:c r="CW16" s="14"/>
      <x:c r="CX16" s="14"/>
      <x:c r="CY16" s="14"/>
      <x:c r="CZ16" s="14"/>
      <x:c r="DC16" s="14"/>
      <x:c r="DD16" s="14"/>
      <x:c r="DI16" s="88" t="str">
        <x:v>パッシブ</x:v>
      </x:c>
      <x:c r="DJ16" s="88" t="str">
        <x:v>使用者</x:v>
      </x:c>
      <x:c r="DK16" s="88" t="str">
        <x:v>追従なし</x:v>
      </x:c>
      <x:c r="DL16" s="88" t="str">
        <x:v>命中時</x:v>
      </x:c>
      <x:c r="DM16" s="88" t="n">
        <x:v>1</x:v>
      </x:c>
      <x:c r="DN16" s="88" t="str">
        <x:v>攻撃力</x:v>
      </x:c>
      <x:c r="DO16" s="88" t="n">
        <x:v>10</x:v>
      </x:c>
      <x:c r="DP16" s="88" t="str">
        <x:v>なし</x:v>
      </x:c>
      <x:c r="DQ16" s="88" t="n">
        <x:v>0</x:v>
      </x:c>
      <x:c r="DR16" s="88" t="str">
        <x:v>なし</x:v>
      </x:c>
      <x:c r="DS16" s="88" t="n">
        <x:v>0</x:v>
      </x:c>
    </x:row>
    <x:row r="17" ht="25" customHeight="1">
      <x:c r="A17" s="10" t="str">
        <x:v>16</x:v>
      </x:c>
      <x:c r="B17" t="str">
        <x:v>魔法攻撃力＋10％</x:v>
      </x:c>
      <x:c r="C17" t="str">
        <x:v>枠にセット中のみ有効。</x:v>
      </x:c>
      <x:c r="D17" s="12" t="n">
        <x:v>1</x:v>
      </x:c>
      <x:c r="E17" s="12" t="n">
        <x:v>1</x:v>
      </x:c>
      <x:c r="F17" s="12" t="n">
        <x:v>0</x:v>
      </x:c>
      <x:c r="G17" s="14" t="n">
        <x:v>0</x:v>
      </x:c>
      <x:c r="H17" s="14" t="n">
        <x:v>0</x:v>
      </x:c>
      <x:c r="I17" s="14" t="n">
        <x:v>0</x:v>
      </x:c>
      <x:c r="J17" s="14" t="n">
        <x:v>0</x:v>
      </x:c>
      <x:c r="K17" t="str">
        <x:v>自身</x:v>
      </x:c>
      <x:c r="L17" t="str">
        <x:v>なし</x:v>
      </x:c>
      <x:c r="M17" t="str">
        <x:v>なし</x:v>
      </x:c>
      <x:c r="N17" s="14" t="n">
        <x:v>0</x:v>
      </x:c>
      <x:c r="O17" s="12" t="n">
        <x:v>0</x:v>
      </x:c>
      <x:c r="P17" t="str">
        <x:v>使用者と同じ</x:v>
      </x:c>
      <x:c r="Q17" t="str">
        <x:v>無効</x:v>
      </x:c>
      <x:c r="R17" t="str">
        <x:v>自身</x:v>
      </x:c>
      <x:c r="S17" s="14" t="n">
        <x:v>0</x:v>
      </x:c>
      <x:c r="T17" s="12" t="n">
        <x:v>1</x:v>
      </x:c>
      <x:c r="U17" t="str">
        <x:v>即時</x:v>
      </x:c>
      <x:c r="V17" s="42" t="n">
        <x:f>IF($A17="","",IF(AND($U17="発射物",$DI17&lt;&gt;"パッシブ"),$BE17,0))</x:f>
        <x:v>0</x:v>
      </x:c>
      <x:c r="W17" s="42" t="n">
        <x:f>IF($A17="","",IF(AND($U17="発射物",$DI17&lt;&gt;"パッシブ"),$BF17,0))</x:f>
        <x:v>0</x:v>
      </x:c>
      <x:c r="X17" s="42" t="str">
        <x:f>IF($A17="","",IF(AND($U17="発射物",$DI17&lt;&gt;"パッシブ"),IF($BG17="有効","有効","無効"),"無効"))</x:f>
        <x:v>無効</x:v>
      </x:c>
      <x:c r="AD17" s="14"/>
      <x:c r="AE17" s="14"/>
      <x:c r="AF17" s="14"/>
      <x:c r="AH17" s="14"/>
      <x:c r="AJ17" s="14"/>
      <x:c r="AN17" s="14"/>
      <x:c r="AO17" s="14"/>
      <x:c r="AP17" s="14"/>
      <x:c r="AR17" s="14"/>
      <x:c r="AT17" s="14"/>
      <x:c r="AX17" s="14"/>
      <x:c r="AY17" s="14"/>
      <x:c r="AZ17" s="14"/>
      <x:c r="BB17" s="14"/>
      <x:c r="BD17" s="14"/>
      <x:c r="BE17" s="14"/>
      <x:c r="BF17" s="14"/>
      <x:c r="BK17" s="14"/>
      <x:c r="BM17" s="14"/>
      <x:c r="BN17" s="14"/>
      <x:c r="BP17" s="14"/>
      <x:c r="BQ17" s="14"/>
      <x:c r="BR17" s="14"/>
      <x:c r="BT17" s="14"/>
      <x:c r="BU17" s="14"/>
      <x:c r="BV17" s="14"/>
      <x:c r="BW17" s="14"/>
      <x:c r="BX17" s="14"/>
      <x:c r="BY17" s="14"/>
      <x:c r="BZ17" s="14"/>
      <x:c r="CA17" s="14"/>
      <x:c r="CB17" s="14"/>
      <x:c r="CC17" s="14"/>
      <x:c r="CD17" s="14"/>
      <x:c r="CE17" s="14"/>
      <x:c r="CF17" s="14"/>
      <x:c r="CJ17" s="14"/>
      <x:c r="CK17" s="14"/>
      <x:c r="CL17" s="14"/>
      <x:c r="CM17" s="14"/>
      <x:c r="CO17" s="14"/>
      <x:c r="CQ17" s="14"/>
      <x:c r="CS17" s="14"/>
      <x:c r="CT17" s="14"/>
      <x:c r="CU17" s="14"/>
      <x:c r="CW17" s="14"/>
      <x:c r="CX17" s="14"/>
      <x:c r="CY17" s="14"/>
      <x:c r="CZ17" s="14"/>
      <x:c r="DC17" s="14"/>
      <x:c r="DD17" s="14"/>
      <x:c r="DI17" s="88" t="str">
        <x:v>パッシブ</x:v>
      </x:c>
      <x:c r="DJ17" s="88" t="str">
        <x:v>使用者</x:v>
      </x:c>
      <x:c r="DK17" s="88" t="str">
        <x:v>追従なし</x:v>
      </x:c>
      <x:c r="DL17" s="88" t="str">
        <x:v>命中時</x:v>
      </x:c>
      <x:c r="DM17" s="88" t="n">
        <x:v>1</x:v>
      </x:c>
      <x:c r="DN17" s="88" t="str">
        <x:v>魔法攻撃力</x:v>
      </x:c>
      <x:c r="DO17" s="88" t="n">
        <x:v>10</x:v>
      </x:c>
      <x:c r="DP17" s="88" t="str">
        <x:v>なし</x:v>
      </x:c>
      <x:c r="DQ17" s="88" t="n">
        <x:v>0</x:v>
      </x:c>
      <x:c r="DR17" s="88" t="str">
        <x:v>なし</x:v>
      </x:c>
      <x:c r="DS17" s="88" t="n">
        <x:v>0</x:v>
      </x:c>
    </x:row>
    <x:row r="18" ht="25" customHeight="1">
      <x:c r="A18" s="10" t="str">
        <x:v>17</x:v>
      </x:c>
      <x:c r="B18" t="str">
        <x:v>防御力＋10％</x:v>
      </x:c>
      <x:c r="C18" t="str">
        <x:v>枠にセット中のみ有効。</x:v>
      </x:c>
      <x:c r="D18" s="12" t="n">
        <x:v>1</x:v>
      </x:c>
      <x:c r="E18" s="12" t="n">
        <x:v>1</x:v>
      </x:c>
      <x:c r="F18" s="12" t="n">
        <x:v>0</x:v>
      </x:c>
      <x:c r="G18" s="14" t="n">
        <x:v>0</x:v>
      </x:c>
      <x:c r="H18" s="14" t="n">
        <x:v>0</x:v>
      </x:c>
      <x:c r="I18" s="14" t="n">
        <x:v>0</x:v>
      </x:c>
      <x:c r="J18" s="14" t="n">
        <x:v>0</x:v>
      </x:c>
      <x:c r="K18" t="str">
        <x:v>自身</x:v>
      </x:c>
      <x:c r="L18" t="str">
        <x:v>なし</x:v>
      </x:c>
      <x:c r="M18" t="str">
        <x:v>なし</x:v>
      </x:c>
      <x:c r="N18" s="14" t="n">
        <x:v>0</x:v>
      </x:c>
      <x:c r="O18" s="12" t="n">
        <x:v>0</x:v>
      </x:c>
      <x:c r="P18" t="str">
        <x:v>使用者と同じ</x:v>
      </x:c>
      <x:c r="Q18" t="str">
        <x:v>無効</x:v>
      </x:c>
      <x:c r="R18" t="str">
        <x:v>自身</x:v>
      </x:c>
      <x:c r="S18" s="14" t="n">
        <x:v>0</x:v>
      </x:c>
      <x:c r="T18" s="12" t="n">
        <x:v>1</x:v>
      </x:c>
      <x:c r="U18" t="str">
        <x:v>即時</x:v>
      </x:c>
      <x:c r="V18" s="42" t="n">
        <x:f>IF($A18="","",IF(AND($U18="発射物",$DI18&lt;&gt;"パッシブ"),$BE18,0))</x:f>
        <x:v>0</x:v>
      </x:c>
      <x:c r="W18" s="42" t="n">
        <x:f>IF($A18="","",IF(AND($U18="発射物",$DI18&lt;&gt;"パッシブ"),$BF18,0))</x:f>
        <x:v>0</x:v>
      </x:c>
      <x:c r="X18" s="42" t="str">
        <x:f>IF($A18="","",IF(AND($U18="発射物",$DI18&lt;&gt;"パッシブ"),IF($BG18="有効","有効","無効"),"無効"))</x:f>
        <x:v>無効</x:v>
      </x:c>
      <x:c r="AD18" s="14"/>
      <x:c r="AE18" s="14"/>
      <x:c r="AF18" s="14"/>
      <x:c r="AH18" s="14"/>
      <x:c r="AJ18" s="14"/>
      <x:c r="AN18" s="14"/>
      <x:c r="AO18" s="14"/>
      <x:c r="AP18" s="14"/>
      <x:c r="AR18" s="14"/>
      <x:c r="AT18" s="14"/>
      <x:c r="AX18" s="14"/>
      <x:c r="AY18" s="14"/>
      <x:c r="AZ18" s="14"/>
      <x:c r="BB18" s="14"/>
      <x:c r="BD18" s="14"/>
      <x:c r="BE18" s="14"/>
      <x:c r="BF18" s="14"/>
      <x:c r="BK18" s="14"/>
      <x:c r="BM18" s="14"/>
      <x:c r="BN18" s="14"/>
      <x:c r="BP18" s="14"/>
      <x:c r="BQ18" s="14"/>
      <x:c r="BR18" s="14"/>
      <x:c r="BT18" s="14"/>
      <x:c r="BU18" s="14"/>
      <x:c r="BV18" s="14"/>
      <x:c r="BW18" s="14"/>
      <x:c r="BX18" s="14"/>
      <x:c r="BY18" s="14"/>
      <x:c r="BZ18" s="14"/>
      <x:c r="CA18" s="14"/>
      <x:c r="CB18" s="14"/>
      <x:c r="CC18" s="14"/>
      <x:c r="CD18" s="14"/>
      <x:c r="CE18" s="14"/>
      <x:c r="CF18" s="14"/>
      <x:c r="CJ18" s="14"/>
      <x:c r="CK18" s="14"/>
      <x:c r="CL18" s="14"/>
      <x:c r="CM18" s="14"/>
      <x:c r="CO18" s="14"/>
      <x:c r="CQ18" s="14"/>
      <x:c r="CS18" s="14"/>
      <x:c r="CT18" s="14"/>
      <x:c r="CU18" s="14"/>
      <x:c r="CW18" s="14"/>
      <x:c r="CX18" s="14"/>
      <x:c r="CY18" s="14"/>
      <x:c r="CZ18" s="14"/>
      <x:c r="DC18" s="14"/>
      <x:c r="DD18" s="14"/>
      <x:c r="DI18" s="88" t="str">
        <x:v>パッシブ</x:v>
      </x:c>
      <x:c r="DJ18" s="88" t="str">
        <x:v>使用者</x:v>
      </x:c>
      <x:c r="DK18" s="88" t="str">
        <x:v>追従なし</x:v>
      </x:c>
      <x:c r="DL18" s="88" t="str">
        <x:v>命中時</x:v>
      </x:c>
      <x:c r="DM18" s="88" t="n">
        <x:v>1</x:v>
      </x:c>
      <x:c r="DN18" s="88" t="str">
        <x:v>防御力</x:v>
      </x:c>
      <x:c r="DO18" s="88" t="n">
        <x:v>10</x:v>
      </x:c>
      <x:c r="DP18" s="88" t="str">
        <x:v>なし</x:v>
      </x:c>
      <x:c r="DQ18" s="88" t="n">
        <x:v>0</x:v>
      </x:c>
      <x:c r="DR18" s="88" t="str">
        <x:v>なし</x:v>
      </x:c>
      <x:c r="DS18" s="88" t="n">
        <x:v>0</x:v>
      </x:c>
    </x:row>
    <x:row r="19" ht="25" customHeight="1">
      <x:c r="A19" s="10" t="str">
        <x:v>18</x:v>
      </x:c>
      <x:c r="B19" t="str">
        <x:v>魔法防御力＋10％</x:v>
      </x:c>
      <x:c r="C19" t="str">
        <x:v>枠にセット中のみ有効。</x:v>
      </x:c>
      <x:c r="D19" s="12" t="n">
        <x:v>1</x:v>
      </x:c>
      <x:c r="E19" s="12" t="n">
        <x:v>1</x:v>
      </x:c>
      <x:c r="F19" s="12" t="n">
        <x:v>0</x:v>
      </x:c>
      <x:c r="G19" s="14" t="n">
        <x:v>0</x:v>
      </x:c>
      <x:c r="H19" s="14" t="n">
        <x:v>0</x:v>
      </x:c>
      <x:c r="I19" s="14" t="n">
        <x:v>0</x:v>
      </x:c>
      <x:c r="J19" s="14" t="n">
        <x:v>0</x:v>
      </x:c>
      <x:c r="K19" t="str">
        <x:v>自身</x:v>
      </x:c>
      <x:c r="L19" t="str">
        <x:v>なし</x:v>
      </x:c>
      <x:c r="M19" t="str">
        <x:v>なし</x:v>
      </x:c>
      <x:c r="N19" s="14" t="n">
        <x:v>0</x:v>
      </x:c>
      <x:c r="O19" s="12" t="n">
        <x:v>0</x:v>
      </x:c>
      <x:c r="P19" t="str">
        <x:v>使用者と同じ</x:v>
      </x:c>
      <x:c r="Q19" t="str">
        <x:v>無効</x:v>
      </x:c>
      <x:c r="R19" t="str">
        <x:v>自身</x:v>
      </x:c>
      <x:c r="S19" s="14" t="n">
        <x:v>0</x:v>
      </x:c>
      <x:c r="T19" s="12" t="n">
        <x:v>1</x:v>
      </x:c>
      <x:c r="U19" t="str">
        <x:v>即時</x:v>
      </x:c>
      <x:c r="V19" s="42" t="n">
        <x:f>IF($A19="","",IF(AND($U19="発射物",$DI19&lt;&gt;"パッシブ"),$BE19,0))</x:f>
        <x:v>0</x:v>
      </x:c>
      <x:c r="W19" s="42" t="n">
        <x:f>IF($A19="","",IF(AND($U19="発射物",$DI19&lt;&gt;"パッシブ"),$BF19,0))</x:f>
        <x:v>0</x:v>
      </x:c>
      <x:c r="X19" s="42" t="str">
        <x:f>IF($A19="","",IF(AND($U19="発射物",$DI19&lt;&gt;"パッシブ"),IF($BG19="有効","有効","無効"),"無効"))</x:f>
        <x:v>無効</x:v>
      </x:c>
      <x:c r="AD19" s="14"/>
      <x:c r="AE19" s="14"/>
      <x:c r="AF19" s="14"/>
      <x:c r="AH19" s="14"/>
      <x:c r="AJ19" s="14"/>
      <x:c r="AN19" s="14"/>
      <x:c r="AO19" s="14"/>
      <x:c r="AP19" s="14"/>
      <x:c r="AR19" s="14"/>
      <x:c r="AT19" s="14"/>
      <x:c r="AX19" s="14"/>
      <x:c r="AY19" s="14"/>
      <x:c r="AZ19" s="14"/>
      <x:c r="BB19" s="14"/>
      <x:c r="BD19" s="14"/>
      <x:c r="BE19" s="14"/>
      <x:c r="BF19" s="14"/>
      <x:c r="BK19" s="14"/>
      <x:c r="BM19" s="14"/>
      <x:c r="BN19" s="14"/>
      <x:c r="BP19" s="14"/>
      <x:c r="BQ19" s="14"/>
      <x:c r="BR19" s="14"/>
      <x:c r="BT19" s="14"/>
      <x:c r="BU19" s="14"/>
      <x:c r="BV19" s="14"/>
      <x:c r="BW19" s="14"/>
      <x:c r="BX19" s="14"/>
      <x:c r="BY19" s="14"/>
      <x:c r="BZ19" s="14"/>
      <x:c r="CA19" s="14"/>
      <x:c r="CB19" s="14"/>
      <x:c r="CC19" s="14"/>
      <x:c r="CD19" s="14"/>
      <x:c r="CE19" s="14"/>
      <x:c r="CF19" s="14"/>
      <x:c r="CJ19" s="14"/>
      <x:c r="CK19" s="14"/>
      <x:c r="CL19" s="14"/>
      <x:c r="CM19" s="14"/>
      <x:c r="CO19" s="14"/>
      <x:c r="CQ19" s="14"/>
      <x:c r="CS19" s="14"/>
      <x:c r="CT19" s="14"/>
      <x:c r="CU19" s="14"/>
      <x:c r="CW19" s="14"/>
      <x:c r="CX19" s="14"/>
      <x:c r="CY19" s="14"/>
      <x:c r="CZ19" s="14"/>
      <x:c r="DC19" s="14"/>
      <x:c r="DD19" s="14"/>
      <x:c r="DI19" s="88" t="str">
        <x:v>パッシブ</x:v>
      </x:c>
      <x:c r="DJ19" s="88" t="str">
        <x:v>使用者</x:v>
      </x:c>
      <x:c r="DK19" s="88" t="str">
        <x:v>追従なし</x:v>
      </x:c>
      <x:c r="DL19" s="88" t="str">
        <x:v>命中時</x:v>
      </x:c>
      <x:c r="DM19" s="88" t="n">
        <x:v>1</x:v>
      </x:c>
      <x:c r="DN19" s="88" t="str">
        <x:v>魔法防御力</x:v>
      </x:c>
      <x:c r="DO19" s="88" t="n">
        <x:v>10</x:v>
      </x:c>
      <x:c r="DP19" s="88" t="str">
        <x:v>なし</x:v>
      </x:c>
      <x:c r="DQ19" s="88" t="n">
        <x:v>0</x:v>
      </x:c>
      <x:c r="DR19" s="88" t="str">
        <x:v>なし</x:v>
      </x:c>
      <x:c r="DS19" s="88" t="n">
        <x:v>0</x:v>
      </x:c>
    </x:row>
    <x:row r="20" ht="25" customHeight="1">
      <x:c r="A20" s="10" t="str">
        <x:v>19</x:v>
      </x:c>
      <x:c r="B20" t="str">
        <x:v>移動速度＋10％</x:v>
      </x:c>
      <x:c r="C20" t="str">
        <x:v>枠にセット中のみ有効。</x:v>
      </x:c>
      <x:c r="D20" s="12" t="n">
        <x:v>1</x:v>
      </x:c>
      <x:c r="E20" s="12" t="n">
        <x:v>1</x:v>
      </x:c>
      <x:c r="F20" s="12" t="n">
        <x:v>0</x:v>
      </x:c>
      <x:c r="G20" s="14" t="n">
        <x:v>0</x:v>
      </x:c>
      <x:c r="H20" s="14" t="n">
        <x:v>0</x:v>
      </x:c>
      <x:c r="I20" s="14" t="n">
        <x:v>0</x:v>
      </x:c>
      <x:c r="J20" s="14" t="n">
        <x:v>0</x:v>
      </x:c>
      <x:c r="K20" t="str">
        <x:v>自身</x:v>
      </x:c>
      <x:c r="L20" t="str">
        <x:v>なし</x:v>
      </x:c>
      <x:c r="M20" t="str">
        <x:v>なし</x:v>
      </x:c>
      <x:c r="N20" s="14" t="n">
        <x:v>0</x:v>
      </x:c>
      <x:c r="O20" s="12" t="n">
        <x:v>0</x:v>
      </x:c>
      <x:c r="P20" t="str">
        <x:v>使用者と同じ</x:v>
      </x:c>
      <x:c r="Q20" t="str">
        <x:v>無効</x:v>
      </x:c>
      <x:c r="R20" t="str">
        <x:v>自身</x:v>
      </x:c>
      <x:c r="S20" s="14" t="n">
        <x:v>0</x:v>
      </x:c>
      <x:c r="T20" s="12" t="n">
        <x:v>1</x:v>
      </x:c>
      <x:c r="U20" t="str">
        <x:v>即時</x:v>
      </x:c>
      <x:c r="V20" s="42" t="n">
        <x:f>IF($A20="","",IF(AND($U20="発射物",$DI20&lt;&gt;"パッシブ"),$BE20,0))</x:f>
        <x:v>0</x:v>
      </x:c>
      <x:c r="W20" s="42" t="n">
        <x:f>IF($A20="","",IF(AND($U20="発射物",$DI20&lt;&gt;"パッシブ"),$BF20,0))</x:f>
        <x:v>0</x:v>
      </x:c>
      <x:c r="X20" s="42" t="str">
        <x:f>IF($A20="","",IF(AND($U20="発射物",$DI20&lt;&gt;"パッシブ"),IF($BG20="有効","有効","無効"),"無効"))</x:f>
        <x:v>無効</x:v>
      </x:c>
      <x:c r="AD20" s="14"/>
      <x:c r="AE20" s="14"/>
      <x:c r="AF20" s="14"/>
      <x:c r="AH20" s="14"/>
      <x:c r="AJ20" s="14"/>
      <x:c r="AN20" s="14"/>
      <x:c r="AO20" s="14"/>
      <x:c r="AP20" s="14"/>
      <x:c r="AR20" s="14"/>
      <x:c r="AT20" s="14"/>
      <x:c r="AX20" s="14"/>
      <x:c r="AY20" s="14"/>
      <x:c r="AZ20" s="14"/>
      <x:c r="BB20" s="14"/>
      <x:c r="BD20" s="14"/>
      <x:c r="BE20" s="14"/>
      <x:c r="BF20" s="14"/>
      <x:c r="BK20" s="14"/>
      <x:c r="BM20" s="14"/>
      <x:c r="BN20" s="14"/>
      <x:c r="BP20" s="14"/>
      <x:c r="BQ20" s="14"/>
      <x:c r="BR20" s="14"/>
      <x:c r="BT20" s="14"/>
      <x:c r="BU20" s="14"/>
      <x:c r="BV20" s="14"/>
      <x:c r="BW20" s="14"/>
      <x:c r="BX20" s="14"/>
      <x:c r="BY20" s="14"/>
      <x:c r="BZ20" s="14"/>
      <x:c r="CA20" s="14"/>
      <x:c r="CB20" s="14"/>
      <x:c r="CC20" s="14"/>
      <x:c r="CD20" s="14"/>
      <x:c r="CE20" s="14"/>
      <x:c r="CF20" s="14"/>
      <x:c r="CJ20" s="14"/>
      <x:c r="CK20" s="14"/>
      <x:c r="CL20" s="14"/>
      <x:c r="CM20" s="14"/>
      <x:c r="CO20" s="14"/>
      <x:c r="CQ20" s="14"/>
      <x:c r="CS20" s="14"/>
      <x:c r="CT20" s="14"/>
      <x:c r="CU20" s="14"/>
      <x:c r="CW20" s="14"/>
      <x:c r="CX20" s="14"/>
      <x:c r="CY20" s="14"/>
      <x:c r="CZ20" s="14"/>
      <x:c r="DC20" s="14"/>
      <x:c r="DD20" s="14"/>
      <x:c r="DI20" s="88" t="str">
        <x:v>パッシブ</x:v>
      </x:c>
      <x:c r="DJ20" s="88" t="str">
        <x:v>使用者</x:v>
      </x:c>
      <x:c r="DK20" s="88" t="str">
        <x:v>追従なし</x:v>
      </x:c>
      <x:c r="DL20" s="88" t="str">
        <x:v>命中時</x:v>
      </x:c>
      <x:c r="DM20" s="88" t="n">
        <x:v>1</x:v>
      </x:c>
      <x:c r="DN20" s="88" t="str">
        <x:v>移動速度</x:v>
      </x:c>
      <x:c r="DO20" s="88" t="n">
        <x:v>10</x:v>
      </x:c>
      <x:c r="DP20" s="88" t="str">
        <x:v>なし</x:v>
      </x:c>
      <x:c r="DQ20" s="88" t="n">
        <x:v>0</x:v>
      </x:c>
      <x:c r="DR20" s="88" t="str">
        <x:v>なし</x:v>
      </x:c>
      <x:c r="DS20" s="88" t="n">
        <x:v>0</x:v>
      </x:c>
    </x:row>
    <x:row r="21" ht="25" customHeight="1">
      <x:c r="A21" s="10" t="str">
        <x:v>20</x:v>
      </x:c>
      <x:c r="B21" t="str">
        <x:v>攻撃速度＋10％</x:v>
      </x:c>
      <x:c r="C21" t="str">
        <x:v>枠にセット中のみ有効。</x:v>
      </x:c>
      <x:c r="D21" s="12" t="n">
        <x:v>1</x:v>
      </x:c>
      <x:c r="E21" s="12" t="n">
        <x:v>1</x:v>
      </x:c>
      <x:c r="F21" s="12" t="n">
        <x:v>0</x:v>
      </x:c>
      <x:c r="G21" s="14" t="n">
        <x:v>0</x:v>
      </x:c>
      <x:c r="H21" s="14" t="n">
        <x:v>0</x:v>
      </x:c>
      <x:c r="I21" s="14" t="n">
        <x:v>0</x:v>
      </x:c>
      <x:c r="J21" s="14" t="n">
        <x:v>0</x:v>
      </x:c>
      <x:c r="K21" t="str">
        <x:v>自身</x:v>
      </x:c>
      <x:c r="L21" t="str">
        <x:v>なし</x:v>
      </x:c>
      <x:c r="M21" t="str">
        <x:v>なし</x:v>
      </x:c>
      <x:c r="N21" s="14" t="n">
        <x:v>0</x:v>
      </x:c>
      <x:c r="O21" s="12" t="n">
        <x:v>0</x:v>
      </x:c>
      <x:c r="P21" t="str">
        <x:v>使用者と同じ</x:v>
      </x:c>
      <x:c r="Q21" t="str">
        <x:v>無効</x:v>
      </x:c>
      <x:c r="R21" t="str">
        <x:v>自身</x:v>
      </x:c>
      <x:c r="S21" s="14" t="n">
        <x:v>0</x:v>
      </x:c>
      <x:c r="T21" s="12" t="n">
        <x:v>1</x:v>
      </x:c>
      <x:c r="U21" t="str">
        <x:v>即時</x:v>
      </x:c>
      <x:c r="V21" s="42" t="n">
        <x:f>IF($A21="","",IF(AND($U21="発射物",$DI21&lt;&gt;"パッシブ"),$BE21,0))</x:f>
        <x:v>0</x:v>
      </x:c>
      <x:c r="W21" s="42" t="n">
        <x:f>IF($A21="","",IF(AND($U21="発射物",$DI21&lt;&gt;"パッシブ"),$BF21,0))</x:f>
        <x:v>0</x:v>
      </x:c>
      <x:c r="X21" s="42" t="str">
        <x:f>IF($A21="","",IF(AND($U21="発射物",$DI21&lt;&gt;"パッシブ"),IF($BG21="有効","有効","無効"),"無効"))</x:f>
        <x:v>無効</x:v>
      </x:c>
      <x:c r="AD21" s="14"/>
      <x:c r="AE21" s="14"/>
      <x:c r="AF21" s="14"/>
      <x:c r="AH21" s="14"/>
      <x:c r="AJ21" s="14"/>
      <x:c r="AN21" s="14"/>
      <x:c r="AO21" s="14"/>
      <x:c r="AP21" s="14"/>
      <x:c r="AR21" s="14"/>
      <x:c r="AT21" s="14"/>
      <x:c r="AX21" s="14"/>
      <x:c r="AY21" s="14"/>
      <x:c r="AZ21" s="14"/>
      <x:c r="BB21" s="14"/>
      <x:c r="BD21" s="14"/>
      <x:c r="BE21" s="14"/>
      <x:c r="BF21" s="14"/>
      <x:c r="BK21" s="14"/>
      <x:c r="BM21" s="14"/>
      <x:c r="BN21" s="14"/>
      <x:c r="BP21" s="14"/>
      <x:c r="BQ21" s="14"/>
      <x:c r="BR21" s="14"/>
      <x:c r="BT21" s="14"/>
      <x:c r="BU21" s="14"/>
      <x:c r="BV21" s="14"/>
      <x:c r="BW21" s="14"/>
      <x:c r="BX21" s="14"/>
      <x:c r="BY21" s="14"/>
      <x:c r="BZ21" s="14"/>
      <x:c r="CA21" s="14"/>
      <x:c r="CB21" s="14"/>
      <x:c r="CC21" s="14"/>
      <x:c r="CD21" s="14"/>
      <x:c r="CE21" s="14"/>
      <x:c r="CF21" s="14"/>
      <x:c r="CJ21" s="14"/>
      <x:c r="CK21" s="14"/>
      <x:c r="CL21" s="14"/>
      <x:c r="CM21" s="14"/>
      <x:c r="CO21" s="14"/>
      <x:c r="CQ21" s="14"/>
      <x:c r="CS21" s="14"/>
      <x:c r="CT21" s="14"/>
      <x:c r="CU21" s="14"/>
      <x:c r="CW21" s="14"/>
      <x:c r="CX21" s="14"/>
      <x:c r="CY21" s="14"/>
      <x:c r="CZ21" s="14"/>
      <x:c r="DC21" s="14"/>
      <x:c r="DD21" s="14"/>
      <x:c r="DI21" s="88" t="str">
        <x:v>パッシブ</x:v>
      </x:c>
      <x:c r="DJ21" s="88" t="str">
        <x:v>使用者</x:v>
      </x:c>
      <x:c r="DK21" s="88" t="str">
        <x:v>追従なし</x:v>
      </x:c>
      <x:c r="DL21" s="88" t="str">
        <x:v>命中時</x:v>
      </x:c>
      <x:c r="DM21" s="88" t="n">
        <x:v>1</x:v>
      </x:c>
      <x:c r="DN21" s="88" t="str">
        <x:v>攻撃速度</x:v>
      </x:c>
      <x:c r="DO21" s="88" t="n">
        <x:v>10</x:v>
      </x:c>
      <x:c r="DP21" s="88" t="str">
        <x:v>なし</x:v>
      </x:c>
      <x:c r="DQ21" s="88" t="n">
        <x:v>0</x:v>
      </x:c>
      <x:c r="DR21" s="88" t="str">
        <x:v>なし</x:v>
      </x:c>
      <x:c r="DS21" s="88" t="n">
        <x:v>0</x:v>
      </x:c>
    </x:row>
    <x:row r="22" ht="25" customHeight="1">
      <x:c r="A22" s="10" t="str">
        <x:v>21</x:v>
      </x:c>
      <x:c r="B22" t="str">
        <x:v>攻撃範囲＋10％</x:v>
      </x:c>
      <x:c r="C22" t="str">
        <x:v>枠にセット中のみ有効。</x:v>
      </x:c>
      <x:c r="D22" s="12" t="n">
        <x:v>1</x:v>
      </x:c>
      <x:c r="E22" s="12" t="n">
        <x:v>1</x:v>
      </x:c>
      <x:c r="F22" s="12" t="n">
        <x:v>0</x:v>
      </x:c>
      <x:c r="G22" s="14" t="n">
        <x:v>0</x:v>
      </x:c>
      <x:c r="H22" s="14" t="n">
        <x:v>0</x:v>
      </x:c>
      <x:c r="I22" s="14" t="n">
        <x:v>0</x:v>
      </x:c>
      <x:c r="J22" s="14" t="n">
        <x:v>0</x:v>
      </x:c>
      <x:c r="K22" t="str">
        <x:v>自身</x:v>
      </x:c>
      <x:c r="L22" t="str">
        <x:v>なし</x:v>
      </x:c>
      <x:c r="M22" t="str">
        <x:v>なし</x:v>
      </x:c>
      <x:c r="N22" s="14" t="n">
        <x:v>0</x:v>
      </x:c>
      <x:c r="O22" s="12" t="n">
        <x:v>0</x:v>
      </x:c>
      <x:c r="P22" t="str">
        <x:v>使用者と同じ</x:v>
      </x:c>
      <x:c r="Q22" t="str">
        <x:v>無効</x:v>
      </x:c>
      <x:c r="R22" t="str">
        <x:v>自身</x:v>
      </x:c>
      <x:c r="S22" s="14" t="n">
        <x:v>0</x:v>
      </x:c>
      <x:c r="T22" s="12" t="n">
        <x:v>1</x:v>
      </x:c>
      <x:c r="U22" t="str">
        <x:v>即時</x:v>
      </x:c>
      <x:c r="V22" s="42" t="n">
        <x:f>IF($A22="","",IF(AND($U22="発射物",$DI22&lt;&gt;"パッシブ"),$BE22,0))</x:f>
        <x:v>0</x:v>
      </x:c>
      <x:c r="W22" s="42" t="n">
        <x:f>IF($A22="","",IF(AND($U22="発射物",$DI22&lt;&gt;"パッシブ"),$BF22,0))</x:f>
        <x:v>0</x:v>
      </x:c>
      <x:c r="X22" s="42" t="str">
        <x:f>IF($A22="","",IF(AND($U22="発射物",$DI22&lt;&gt;"パッシブ"),IF($BG22="有効","有効","無効"),"無効"))</x:f>
        <x:v>無効</x:v>
      </x:c>
      <x:c r="AD22" s="14"/>
      <x:c r="AE22" s="14"/>
      <x:c r="AF22" s="14"/>
      <x:c r="AH22" s="14"/>
      <x:c r="AJ22" s="14"/>
      <x:c r="AN22" s="14"/>
      <x:c r="AO22" s="14"/>
      <x:c r="AP22" s="14"/>
      <x:c r="AR22" s="14"/>
      <x:c r="AT22" s="14"/>
      <x:c r="AX22" s="14"/>
      <x:c r="AY22" s="14"/>
      <x:c r="AZ22" s="14"/>
      <x:c r="BB22" s="14"/>
      <x:c r="BD22" s="14"/>
      <x:c r="BE22" s="14"/>
      <x:c r="BF22" s="14"/>
      <x:c r="BK22" s="14"/>
      <x:c r="BM22" s="14"/>
      <x:c r="BN22" s="14"/>
      <x:c r="BP22" s="14"/>
      <x:c r="BQ22" s="14"/>
      <x:c r="BR22" s="14"/>
      <x:c r="BT22" s="14"/>
      <x:c r="BU22" s="14"/>
      <x:c r="BV22" s="14"/>
      <x:c r="BW22" s="14"/>
      <x:c r="BX22" s="14"/>
      <x:c r="BY22" s="14"/>
      <x:c r="BZ22" s="14"/>
      <x:c r="CA22" s="14"/>
      <x:c r="CB22" s="14"/>
      <x:c r="CC22" s="14"/>
      <x:c r="CD22" s="14"/>
      <x:c r="CE22" s="14"/>
      <x:c r="CF22" s="14"/>
      <x:c r="CJ22" s="14"/>
      <x:c r="CK22" s="14"/>
      <x:c r="CL22" s="14"/>
      <x:c r="CM22" s="14"/>
      <x:c r="CO22" s="14"/>
      <x:c r="CQ22" s="14"/>
      <x:c r="CS22" s="14"/>
      <x:c r="CT22" s="14"/>
      <x:c r="CU22" s="14"/>
      <x:c r="CW22" s="14"/>
      <x:c r="CX22" s="14"/>
      <x:c r="CY22" s="14"/>
      <x:c r="CZ22" s="14"/>
      <x:c r="DC22" s="14"/>
      <x:c r="DD22" s="14"/>
      <x:c r="DI22" s="88" t="str">
        <x:v>パッシブ</x:v>
      </x:c>
      <x:c r="DJ22" s="88" t="str">
        <x:v>使用者</x:v>
      </x:c>
      <x:c r="DK22" s="88" t="str">
        <x:v>追従なし</x:v>
      </x:c>
      <x:c r="DL22" s="88" t="str">
        <x:v>命中時</x:v>
      </x:c>
      <x:c r="DM22" s="88" t="n">
        <x:v>1</x:v>
      </x:c>
      <x:c r="DN22" s="88" t="str">
        <x:v>攻撃範囲</x:v>
      </x:c>
      <x:c r="DO22" s="88" t="n">
        <x:v>10</x:v>
      </x:c>
      <x:c r="DP22" s="88" t="str">
        <x:v>なし</x:v>
      </x:c>
      <x:c r="DQ22" s="88" t="n">
        <x:v>0</x:v>
      </x:c>
      <x:c r="DR22" s="88" t="str">
        <x:v>なし</x:v>
      </x:c>
      <x:c r="DS22" s="88" t="n">
        <x:v>0</x:v>
      </x:c>
    </x:row>
    <x:row r="23" ht="25" customHeight="1">
      <x:c r="A23" s="10" t="str">
        <x:v>22</x:v>
      </x:c>
      <x:c r="B23" t="str">
        <x:v>会心率＋10％</x:v>
      </x:c>
      <x:c r="C23" t="str">
        <x:v>枠にセット中のみ有効。</x:v>
      </x:c>
      <x:c r="D23" s="12" t="n">
        <x:v>1</x:v>
      </x:c>
      <x:c r="E23" s="12" t="n">
        <x:v>1</x:v>
      </x:c>
      <x:c r="F23" s="12" t="n">
        <x:v>0</x:v>
      </x:c>
      <x:c r="G23" s="14" t="n">
        <x:v>0</x:v>
      </x:c>
      <x:c r="H23" s="14" t="n">
        <x:v>0</x:v>
      </x:c>
      <x:c r="I23" s="14" t="n">
        <x:v>0</x:v>
      </x:c>
      <x:c r="J23" s="14" t="n">
        <x:v>0</x:v>
      </x:c>
      <x:c r="K23" t="str">
        <x:v>自身</x:v>
      </x:c>
      <x:c r="L23" t="str">
        <x:v>なし</x:v>
      </x:c>
      <x:c r="M23" t="str">
        <x:v>なし</x:v>
      </x:c>
      <x:c r="N23" s="14" t="n">
        <x:v>0</x:v>
      </x:c>
      <x:c r="O23" s="12" t="n">
        <x:v>0</x:v>
      </x:c>
      <x:c r="P23" t="str">
        <x:v>使用者と同じ</x:v>
      </x:c>
      <x:c r="Q23" t="str">
        <x:v>無効</x:v>
      </x:c>
      <x:c r="R23" t="str">
        <x:v>自身</x:v>
      </x:c>
      <x:c r="S23" s="14" t="n">
        <x:v>0</x:v>
      </x:c>
      <x:c r="T23" s="12" t="n">
        <x:v>1</x:v>
      </x:c>
      <x:c r="U23" t="str">
        <x:v>即時</x:v>
      </x:c>
      <x:c r="V23" s="42" t="n">
        <x:f>IF($A23="","",IF(AND($U23="発射物",$DI23&lt;&gt;"パッシブ"),$BE23,0))</x:f>
        <x:v>0</x:v>
      </x:c>
      <x:c r="W23" s="42" t="n">
        <x:f>IF($A23="","",IF(AND($U23="発射物",$DI23&lt;&gt;"パッシブ"),$BF23,0))</x:f>
        <x:v>0</x:v>
      </x:c>
      <x:c r="X23" s="42" t="str">
        <x:f>IF($A23="","",IF(AND($U23="発射物",$DI23&lt;&gt;"パッシブ"),IF($BG23="有効","有効","無効"),"無効"))</x:f>
        <x:v>無効</x:v>
      </x:c>
      <x:c r="AD23" s="14"/>
      <x:c r="AE23" s="14"/>
      <x:c r="AF23" s="14"/>
      <x:c r="AH23" s="14"/>
      <x:c r="AJ23" s="14"/>
      <x:c r="AN23" s="14"/>
      <x:c r="AO23" s="14"/>
      <x:c r="AP23" s="14"/>
      <x:c r="AR23" s="14"/>
      <x:c r="AT23" s="14"/>
      <x:c r="AX23" s="14"/>
      <x:c r="AY23" s="14"/>
      <x:c r="AZ23" s="14"/>
      <x:c r="BB23" s="14"/>
      <x:c r="BD23" s="14"/>
      <x:c r="BE23" s="14"/>
      <x:c r="BF23" s="14"/>
      <x:c r="BK23" s="14"/>
      <x:c r="BM23" s="14"/>
      <x:c r="BN23" s="14"/>
      <x:c r="BP23" s="14"/>
      <x:c r="BQ23" s="14"/>
      <x:c r="BR23" s="14"/>
      <x:c r="BT23" s="14"/>
      <x:c r="BU23" s="14"/>
      <x:c r="BV23" s="14"/>
      <x:c r="BW23" s="14"/>
      <x:c r="BX23" s="14"/>
      <x:c r="BY23" s="14"/>
      <x:c r="BZ23" s="14"/>
      <x:c r="CA23" s="14"/>
      <x:c r="CB23" s="14"/>
      <x:c r="CC23" s="14"/>
      <x:c r="CD23" s="14"/>
      <x:c r="CE23" s="14"/>
      <x:c r="CF23" s="14"/>
      <x:c r="CJ23" s="14"/>
      <x:c r="CK23" s="14"/>
      <x:c r="CL23" s="14"/>
      <x:c r="CM23" s="14"/>
      <x:c r="CO23" s="14"/>
      <x:c r="CQ23" s="14"/>
      <x:c r="CS23" s="14"/>
      <x:c r="CT23" s="14"/>
      <x:c r="CU23" s="14"/>
      <x:c r="CW23" s="14"/>
      <x:c r="CX23" s="14"/>
      <x:c r="CY23" s="14"/>
      <x:c r="CZ23" s="14"/>
      <x:c r="DC23" s="14"/>
      <x:c r="DD23" s="14"/>
      <x:c r="DI23" s="88" t="str">
        <x:v>パッシブ</x:v>
      </x:c>
      <x:c r="DJ23" s="88" t="str">
        <x:v>使用者</x:v>
      </x:c>
      <x:c r="DK23" s="88" t="str">
        <x:v>追従なし</x:v>
      </x:c>
      <x:c r="DL23" s="88" t="str">
        <x:v>命中時</x:v>
      </x:c>
      <x:c r="DM23" s="88" t="n">
        <x:v>1</x:v>
      </x:c>
      <x:c r="DN23" s="88" t="str">
        <x:v>会心率</x:v>
      </x:c>
      <x:c r="DO23" s="88" t="n">
        <x:v>10</x:v>
      </x:c>
      <x:c r="DP23" s="88" t="str">
        <x:v>なし</x:v>
      </x:c>
      <x:c r="DQ23" s="88" t="n">
        <x:v>0</x:v>
      </x:c>
      <x:c r="DR23" s="88" t="str">
        <x:v>なし</x:v>
      </x:c>
      <x:c r="DS23" s="88" t="n">
        <x:v>0</x:v>
      </x:c>
    </x:row>
    <x:row r="24" ht="25" customHeight="1">
      <x:c r="A24" s="10" t="str">
        <x:v>23</x:v>
      </x:c>
      <x:c r="B24" t="str">
        <x:v>会心倍率＋10％</x:v>
      </x:c>
      <x:c r="C24" t="str">
        <x:v>枠にセット中のみ有効。</x:v>
      </x:c>
      <x:c r="D24" s="12" t="n">
        <x:v>1</x:v>
      </x:c>
      <x:c r="E24" s="12" t="n">
        <x:v>1</x:v>
      </x:c>
      <x:c r="F24" s="12" t="n">
        <x:v>0</x:v>
      </x:c>
      <x:c r="G24" s="14" t="n">
        <x:v>0</x:v>
      </x:c>
      <x:c r="H24" s="14" t="n">
        <x:v>0</x:v>
      </x:c>
      <x:c r="I24" s="14" t="n">
        <x:v>0</x:v>
      </x:c>
      <x:c r="J24" s="14" t="n">
        <x:v>0</x:v>
      </x:c>
      <x:c r="K24" t="str">
        <x:v>自身</x:v>
      </x:c>
      <x:c r="L24" t="str">
        <x:v>なし</x:v>
      </x:c>
      <x:c r="M24" t="str">
        <x:v>なし</x:v>
      </x:c>
      <x:c r="N24" s="14" t="n">
        <x:v>0</x:v>
      </x:c>
      <x:c r="O24" s="12" t="n">
        <x:v>0</x:v>
      </x:c>
      <x:c r="P24" t="str">
        <x:v>使用者と同じ</x:v>
      </x:c>
      <x:c r="Q24" t="str">
        <x:v>無効</x:v>
      </x:c>
      <x:c r="R24" t="str">
        <x:v>自身</x:v>
      </x:c>
      <x:c r="S24" s="14" t="n">
        <x:v>0</x:v>
      </x:c>
      <x:c r="T24" s="12" t="n">
        <x:v>1</x:v>
      </x:c>
      <x:c r="U24" t="str">
        <x:v>即時</x:v>
      </x:c>
      <x:c r="V24" s="42" t="n">
        <x:f>IF($A24="","",IF(AND($U24="発射物",$DI24&lt;&gt;"パッシブ"),$BE24,0))</x:f>
        <x:v>0</x:v>
      </x:c>
      <x:c r="W24" s="42" t="n">
        <x:f>IF($A24="","",IF(AND($U24="発射物",$DI24&lt;&gt;"パッシブ"),$BF24,0))</x:f>
        <x:v>0</x:v>
      </x:c>
      <x:c r="X24" s="42" t="str">
        <x:f>IF($A24="","",IF(AND($U24="発射物",$DI24&lt;&gt;"パッシブ"),IF($BG24="有効","有効","無効"),"無効"))</x:f>
        <x:v>無効</x:v>
      </x:c>
      <x:c r="AD24" s="14"/>
      <x:c r="AE24" s="14"/>
      <x:c r="AF24" s="14"/>
      <x:c r="AH24" s="14"/>
      <x:c r="AJ24" s="14"/>
      <x:c r="AN24" s="14"/>
      <x:c r="AO24" s="14"/>
      <x:c r="AP24" s="14"/>
      <x:c r="AR24" s="14"/>
      <x:c r="AT24" s="14"/>
      <x:c r="AX24" s="14"/>
      <x:c r="AY24" s="14"/>
      <x:c r="AZ24" s="14"/>
      <x:c r="BB24" s="14"/>
      <x:c r="BD24" s="14"/>
      <x:c r="BE24" s="14"/>
      <x:c r="BF24" s="14"/>
      <x:c r="BK24" s="14"/>
      <x:c r="BM24" s="14"/>
      <x:c r="BN24" s="14"/>
      <x:c r="BP24" s="14"/>
      <x:c r="BQ24" s="14"/>
      <x:c r="BR24" s="14"/>
      <x:c r="BT24" s="14"/>
      <x:c r="BU24" s="14"/>
      <x:c r="BV24" s="14"/>
      <x:c r="BW24" s="14"/>
      <x:c r="BX24" s="14"/>
      <x:c r="BY24" s="14"/>
      <x:c r="BZ24" s="14"/>
      <x:c r="CA24" s="14"/>
      <x:c r="CB24" s="14"/>
      <x:c r="CC24" s="14"/>
      <x:c r="CD24" s="14"/>
      <x:c r="CE24" s="14"/>
      <x:c r="CF24" s="14"/>
      <x:c r="CJ24" s="14"/>
      <x:c r="CK24" s="14"/>
      <x:c r="CL24" s="14"/>
      <x:c r="CM24" s="14"/>
      <x:c r="CO24" s="14"/>
      <x:c r="CQ24" s="14"/>
      <x:c r="CS24" s="14"/>
      <x:c r="CT24" s="14"/>
      <x:c r="CU24" s="14"/>
      <x:c r="CW24" s="14"/>
      <x:c r="CX24" s="14"/>
      <x:c r="CY24" s="14"/>
      <x:c r="CZ24" s="14"/>
      <x:c r="DC24" s="14"/>
      <x:c r="DD24" s="14"/>
      <x:c r="DI24" s="88" t="str">
        <x:v>パッシブ</x:v>
      </x:c>
      <x:c r="DJ24" s="88" t="str">
        <x:v>使用者</x:v>
      </x:c>
      <x:c r="DK24" s="88" t="str">
        <x:v>追従なし</x:v>
      </x:c>
      <x:c r="DL24" s="88" t="str">
        <x:v>命中時</x:v>
      </x:c>
      <x:c r="DM24" s="88" t="n">
        <x:v>1</x:v>
      </x:c>
      <x:c r="DN24" s="88" t="str">
        <x:v>会心倍率</x:v>
      </x:c>
      <x:c r="DO24" s="88" t="n">
        <x:v>10</x:v>
      </x:c>
      <x:c r="DP24" s="88" t="str">
        <x:v>なし</x:v>
      </x:c>
      <x:c r="DQ24" s="88" t="n">
        <x:v>0</x:v>
      </x:c>
      <x:c r="DR24" s="88" t="str">
        <x:v>なし</x:v>
      </x:c>
      <x:c r="DS24" s="88" t="n">
        <x:v>0</x:v>
      </x:c>
    </x:row>
    <x:row r="25" ht="25" customHeight="1">
      <x:c r="A25" s="10" t="str">
        <x:v>24</x:v>
      </x:c>
      <x:c r="B25" t="str">
        <x:v>素材ドロップ率＋10％</x:v>
      </x:c>
      <x:c r="C25" t="str">
        <x:v>枠にセット中のみ有効。</x:v>
      </x:c>
      <x:c r="D25" s="12" t="n">
        <x:v>1</x:v>
      </x:c>
      <x:c r="E25" s="12" t="n">
        <x:v>1</x:v>
      </x:c>
      <x:c r="F25" s="12" t="n">
        <x:v>0</x:v>
      </x:c>
      <x:c r="G25" s="14" t="n">
        <x:v>0</x:v>
      </x:c>
      <x:c r="H25" s="14" t="n">
        <x:v>0</x:v>
      </x:c>
      <x:c r="I25" s="14" t="n">
        <x:v>0</x:v>
      </x:c>
      <x:c r="J25" s="14" t="n">
        <x:v>0</x:v>
      </x:c>
      <x:c r="K25" t="str">
        <x:v>自身</x:v>
      </x:c>
      <x:c r="L25" t="str">
        <x:v>なし</x:v>
      </x:c>
      <x:c r="M25" t="str">
        <x:v>なし</x:v>
      </x:c>
      <x:c r="N25" s="14" t="n">
        <x:v>0</x:v>
      </x:c>
      <x:c r="O25" s="12" t="n">
        <x:v>0</x:v>
      </x:c>
      <x:c r="P25" t="str">
        <x:v>使用者と同じ</x:v>
      </x:c>
      <x:c r="Q25" t="str">
        <x:v>無効</x:v>
      </x:c>
      <x:c r="R25" t="str">
        <x:v>自身</x:v>
      </x:c>
      <x:c r="S25" s="14" t="n">
        <x:v>0</x:v>
      </x:c>
      <x:c r="T25" s="12" t="n">
        <x:v>1</x:v>
      </x:c>
      <x:c r="U25" t="str">
        <x:v>即時</x:v>
      </x:c>
      <x:c r="V25" s="42" t="n">
        <x:f>IF($A25="","",IF(AND($U25="発射物",$DI25&lt;&gt;"パッシブ"),$BE25,0))</x:f>
        <x:v>0</x:v>
      </x:c>
      <x:c r="W25" s="42" t="n">
        <x:f>IF($A25="","",IF(AND($U25="発射物",$DI25&lt;&gt;"パッシブ"),$BF25,0))</x:f>
        <x:v>0</x:v>
      </x:c>
      <x:c r="X25" s="42" t="str">
        <x:f>IF($A25="","",IF(AND($U25="発射物",$DI25&lt;&gt;"パッシブ"),IF($BG25="有効","有効","無効"),"無効"))</x:f>
        <x:v>無効</x:v>
      </x:c>
      <x:c r="AD25" s="14"/>
      <x:c r="AE25" s="14"/>
      <x:c r="AF25" s="14"/>
      <x:c r="AH25" s="14"/>
      <x:c r="AJ25" s="14"/>
      <x:c r="AN25" s="14"/>
      <x:c r="AO25" s="14"/>
      <x:c r="AP25" s="14"/>
      <x:c r="AR25" s="14"/>
      <x:c r="AT25" s="14"/>
      <x:c r="AX25" s="14"/>
      <x:c r="AY25" s="14"/>
      <x:c r="AZ25" s="14"/>
      <x:c r="BB25" s="14"/>
      <x:c r="BD25" s="14"/>
      <x:c r="BE25" s="14"/>
      <x:c r="BF25" s="14"/>
      <x:c r="BK25" s="14"/>
      <x:c r="BM25" s="14"/>
      <x:c r="BN25" s="14"/>
      <x:c r="BP25" s="14"/>
      <x:c r="BQ25" s="14"/>
      <x:c r="BR25" s="14"/>
      <x:c r="BT25" s="14"/>
      <x:c r="BU25" s="14"/>
      <x:c r="BV25" s="14"/>
      <x:c r="BW25" s="14"/>
      <x:c r="BX25" s="14"/>
      <x:c r="BY25" s="14"/>
      <x:c r="BZ25" s="14"/>
      <x:c r="CA25" s="14"/>
      <x:c r="CB25" s="14"/>
      <x:c r="CC25" s="14"/>
      <x:c r="CD25" s="14"/>
      <x:c r="CE25" s="14"/>
      <x:c r="CF25" s="14"/>
      <x:c r="CJ25" s="14"/>
      <x:c r="CK25" s="14"/>
      <x:c r="CL25" s="14"/>
      <x:c r="CM25" s="14"/>
      <x:c r="CO25" s="14"/>
      <x:c r="CQ25" s="14"/>
      <x:c r="CS25" s="14"/>
      <x:c r="CT25" s="14"/>
      <x:c r="CU25" s="14"/>
      <x:c r="CW25" s="14"/>
      <x:c r="CX25" s="14"/>
      <x:c r="CY25" s="14"/>
      <x:c r="CZ25" s="14"/>
      <x:c r="DC25" s="14"/>
      <x:c r="DD25" s="14"/>
      <x:c r="DI25" s="88" t="str">
        <x:v>パッシブ</x:v>
      </x:c>
      <x:c r="DJ25" s="88" t="str">
        <x:v>使用者</x:v>
      </x:c>
      <x:c r="DK25" s="88" t="str">
        <x:v>追従なし</x:v>
      </x:c>
      <x:c r="DL25" s="88" t="str">
        <x:v>命中時</x:v>
      </x:c>
      <x:c r="DM25" s="88" t="n">
        <x:v>1</x:v>
      </x:c>
      <x:c r="DN25" s="88" t="str">
        <x:v>素材ドロップ率</x:v>
      </x:c>
      <x:c r="DO25" s="88" t="n">
        <x:v>10</x:v>
      </x:c>
      <x:c r="DP25" s="88" t="str">
        <x:v>なし</x:v>
      </x:c>
      <x:c r="DQ25" s="88" t="n">
        <x:v>0</x:v>
      </x:c>
      <x:c r="DR25" s="88" t="str">
        <x:v>なし</x:v>
      </x:c>
      <x:c r="DS25" s="88" t="n">
        <x:v>0</x:v>
      </x:c>
    </x:row>
    <x:row r="26" ht="25" customHeight="1">
      <x:c r="A26" s="10" t="str">
        <x:v>25</x:v>
      </x:c>
      <x:c r="B26" t="str">
        <x:v>装備ドロップ率＋10％</x:v>
      </x:c>
      <x:c r="C26" t="str">
        <x:v>枠にセット中のみ有効。</x:v>
      </x:c>
      <x:c r="D26" s="12" t="n">
        <x:v>1</x:v>
      </x:c>
      <x:c r="E26" s="12" t="n">
        <x:v>1</x:v>
      </x:c>
      <x:c r="F26" s="12" t="n">
        <x:v>0</x:v>
      </x:c>
      <x:c r="G26" s="14" t="n">
        <x:v>0</x:v>
      </x:c>
      <x:c r="H26" s="14" t="n">
        <x:v>0</x:v>
      </x:c>
      <x:c r="I26" s="14" t="n">
        <x:v>0</x:v>
      </x:c>
      <x:c r="J26" s="14" t="n">
        <x:v>0</x:v>
      </x:c>
      <x:c r="K26" t="str">
        <x:v>自身</x:v>
      </x:c>
      <x:c r="L26" t="str">
        <x:v>なし</x:v>
      </x:c>
      <x:c r="M26" t="str">
        <x:v>なし</x:v>
      </x:c>
      <x:c r="N26" s="14" t="n">
        <x:v>0</x:v>
      </x:c>
      <x:c r="O26" s="12" t="n">
        <x:v>0</x:v>
      </x:c>
      <x:c r="P26" t="str">
        <x:v>使用者と同じ</x:v>
      </x:c>
      <x:c r="Q26" t="str">
        <x:v>無効</x:v>
      </x:c>
      <x:c r="R26" t="str">
        <x:v>自身</x:v>
      </x:c>
      <x:c r="S26" s="14" t="n">
        <x:v>0</x:v>
      </x:c>
      <x:c r="T26" s="12" t="n">
        <x:v>1</x:v>
      </x:c>
      <x:c r="U26" t="str">
        <x:v>即時</x:v>
      </x:c>
      <x:c r="V26" s="42" t="n">
        <x:f>IF($A26="","",IF(AND($U26="発射物",$DI26&lt;&gt;"パッシブ"),$BE26,0))</x:f>
        <x:v>0</x:v>
      </x:c>
      <x:c r="W26" s="42" t="n">
        <x:f>IF($A26="","",IF(AND($U26="発射物",$DI26&lt;&gt;"パッシブ"),$BF26,0))</x:f>
        <x:v>0</x:v>
      </x:c>
      <x:c r="X26" s="42" t="str">
        <x:f>IF($A26="","",IF(AND($U26="発射物",$DI26&lt;&gt;"パッシブ"),IF($BG26="有効","有効","無効"),"無効"))</x:f>
        <x:v>無効</x:v>
      </x:c>
      <x:c r="AD26" s="14"/>
      <x:c r="AE26" s="14"/>
      <x:c r="AF26" s="14"/>
      <x:c r="AH26" s="14"/>
      <x:c r="AJ26" s="14"/>
      <x:c r="AN26" s="14"/>
      <x:c r="AO26" s="14"/>
      <x:c r="AP26" s="14"/>
      <x:c r="AR26" s="14"/>
      <x:c r="AT26" s="14"/>
      <x:c r="AX26" s="14"/>
      <x:c r="AY26" s="14"/>
      <x:c r="AZ26" s="14"/>
      <x:c r="BB26" s="14"/>
      <x:c r="BD26" s="14"/>
      <x:c r="BE26" s="14"/>
      <x:c r="BF26" s="14"/>
      <x:c r="BK26" s="14"/>
      <x:c r="BM26" s="14"/>
      <x:c r="BN26" s="14"/>
      <x:c r="BP26" s="14"/>
      <x:c r="BQ26" s="14"/>
      <x:c r="BR26" s="14"/>
      <x:c r="BT26" s="14"/>
      <x:c r="BU26" s="14"/>
      <x:c r="BV26" s="14"/>
      <x:c r="BW26" s="14"/>
      <x:c r="BX26" s="14"/>
      <x:c r="BY26" s="14"/>
      <x:c r="BZ26" s="14"/>
      <x:c r="CA26" s="14"/>
      <x:c r="CB26" s="14"/>
      <x:c r="CC26" s="14"/>
      <x:c r="CD26" s="14"/>
      <x:c r="CE26" s="14"/>
      <x:c r="CF26" s="14"/>
      <x:c r="CJ26" s="14"/>
      <x:c r="CK26" s="14"/>
      <x:c r="CL26" s="14"/>
      <x:c r="CM26" s="14"/>
      <x:c r="CO26" s="14"/>
      <x:c r="CQ26" s="14"/>
      <x:c r="CS26" s="14"/>
      <x:c r="CT26" s="14"/>
      <x:c r="CU26" s="14"/>
      <x:c r="CW26" s="14"/>
      <x:c r="CX26" s="14"/>
      <x:c r="CY26" s="14"/>
      <x:c r="CZ26" s="14"/>
      <x:c r="DC26" s="14"/>
      <x:c r="DD26" s="14"/>
      <x:c r="DI26" s="88" t="str">
        <x:v>パッシブ</x:v>
      </x:c>
      <x:c r="DJ26" s="88" t="str">
        <x:v>使用者</x:v>
      </x:c>
      <x:c r="DK26" s="88" t="str">
        <x:v>追従なし</x:v>
      </x:c>
      <x:c r="DL26" s="88" t="str">
        <x:v>命中時</x:v>
      </x:c>
      <x:c r="DM26" s="88" t="n">
        <x:v>1</x:v>
      </x:c>
      <x:c r="DN26" s="88" t="str">
        <x:v>装備ドロップ率</x:v>
      </x:c>
      <x:c r="DO26" s="88" t="n">
        <x:v>10</x:v>
      </x:c>
      <x:c r="DP26" s="88" t="str">
        <x:v>なし</x:v>
      </x:c>
      <x:c r="DQ26" s="88" t="n">
        <x:v>0</x:v>
      </x:c>
      <x:c r="DR26" s="88" t="str">
        <x:v>なし</x:v>
      </x:c>
      <x:c r="DS26" s="88" t="n">
        <x:v>0</x:v>
      </x:c>
    </x:row>
    <x:row r="27" ht="25" customHeight="1">
      <x:c r="A27" s="10" t="str">
        <x:v>26</x:v>
      </x:c>
      <x:c r="B27" t="str">
        <x:v>火属性耐性＋10％</x:v>
      </x:c>
      <x:c r="C27" t="str">
        <x:v>枠にセット中のみ有効。</x:v>
      </x:c>
      <x:c r="D27" s="12" t="n">
        <x:v>1</x:v>
      </x:c>
      <x:c r="E27" s="12" t="n">
        <x:v>1</x:v>
      </x:c>
      <x:c r="F27" s="12" t="n">
        <x:v>0</x:v>
      </x:c>
      <x:c r="G27" s="14" t="n">
        <x:v>0</x:v>
      </x:c>
      <x:c r="H27" s="14" t="n">
        <x:v>0</x:v>
      </x:c>
      <x:c r="I27" s="14" t="n">
        <x:v>0</x:v>
      </x:c>
      <x:c r="J27" s="14" t="n">
        <x:v>0</x:v>
      </x:c>
      <x:c r="K27" t="str">
        <x:v>自身</x:v>
      </x:c>
      <x:c r="L27" t="str">
        <x:v>なし</x:v>
      </x:c>
      <x:c r="M27" t="str">
        <x:v>なし</x:v>
      </x:c>
      <x:c r="N27" s="14" t="n">
        <x:v>0</x:v>
      </x:c>
      <x:c r="O27" s="12" t="n">
        <x:v>0</x:v>
      </x:c>
      <x:c r="P27" t="str">
        <x:v>使用者と同じ</x:v>
      </x:c>
      <x:c r="Q27" t="str">
        <x:v>無効</x:v>
      </x:c>
      <x:c r="R27" t="str">
        <x:v>自身</x:v>
      </x:c>
      <x:c r="S27" s="14" t="n">
        <x:v>0</x:v>
      </x:c>
      <x:c r="T27" s="12" t="n">
        <x:v>1</x:v>
      </x:c>
      <x:c r="U27" t="str">
        <x:v>即時</x:v>
      </x:c>
      <x:c r="V27" s="42" t="n">
        <x:f>IF($A27="","",IF(AND($U27="発射物",$DI27&lt;&gt;"パッシブ"),$BE27,0))</x:f>
        <x:v>0</x:v>
      </x:c>
      <x:c r="W27" s="42" t="n">
        <x:f>IF($A27="","",IF(AND($U27="発射物",$DI27&lt;&gt;"パッシブ"),$BF27,0))</x:f>
        <x:v>0</x:v>
      </x:c>
      <x:c r="X27" s="42" t="str">
        <x:f>IF($A27="","",IF(AND($U27="発射物",$DI27&lt;&gt;"パッシブ"),IF($BG27="有効","有効","無効"),"無効"))</x:f>
        <x:v>無効</x:v>
      </x:c>
      <x:c r="AD27" s="14"/>
      <x:c r="AE27" s="14"/>
      <x:c r="AF27" s="14"/>
      <x:c r="AH27" s="14"/>
      <x:c r="AJ27" s="14"/>
      <x:c r="AN27" s="14"/>
      <x:c r="AO27" s="14"/>
      <x:c r="AP27" s="14"/>
      <x:c r="AR27" s="14"/>
      <x:c r="AT27" s="14"/>
      <x:c r="AX27" s="14"/>
      <x:c r="AY27" s="14"/>
      <x:c r="AZ27" s="14"/>
      <x:c r="BB27" s="14"/>
      <x:c r="BD27" s="14"/>
      <x:c r="BE27" s="14"/>
      <x:c r="BF27" s="14"/>
      <x:c r="BK27" s="14"/>
      <x:c r="BM27" s="14"/>
      <x:c r="BN27" s="14"/>
      <x:c r="BP27" s="14"/>
      <x:c r="BQ27" s="14"/>
      <x:c r="BR27" s="14"/>
      <x:c r="BT27" s="14"/>
      <x:c r="BU27" s="14"/>
      <x:c r="BV27" s="14"/>
      <x:c r="BW27" s="14"/>
      <x:c r="BX27" s="14"/>
      <x:c r="BY27" s="14"/>
      <x:c r="BZ27" s="14"/>
      <x:c r="CA27" s="14"/>
      <x:c r="CB27" s="14"/>
      <x:c r="CC27" s="14"/>
      <x:c r="CD27" s="14"/>
      <x:c r="CE27" s="14"/>
      <x:c r="CF27" s="14"/>
      <x:c r="CJ27" s="14"/>
      <x:c r="CK27" s="14"/>
      <x:c r="CL27" s="14"/>
      <x:c r="CM27" s="14"/>
      <x:c r="CO27" s="14"/>
      <x:c r="CQ27" s="14"/>
      <x:c r="CS27" s="14"/>
      <x:c r="CT27" s="14"/>
      <x:c r="CU27" s="14"/>
      <x:c r="CW27" s="14"/>
      <x:c r="CX27" s="14"/>
      <x:c r="CY27" s="14"/>
      <x:c r="CZ27" s="14"/>
      <x:c r="DC27" s="14"/>
      <x:c r="DD27" s="14"/>
      <x:c r="DI27" s="88" t="str">
        <x:v>パッシブ</x:v>
      </x:c>
      <x:c r="DJ27" s="88" t="str">
        <x:v>使用者</x:v>
      </x:c>
      <x:c r="DK27" s="88" t="str">
        <x:v>追従なし</x:v>
      </x:c>
      <x:c r="DL27" s="88" t="str">
        <x:v>命中時</x:v>
      </x:c>
      <x:c r="DM27" s="88" t="n">
        <x:v>1</x:v>
      </x:c>
      <x:c r="DN27" s="88" t="str">
        <x:v>火属性耐性</x:v>
      </x:c>
      <x:c r="DO27" s="88" t="n">
        <x:v>10</x:v>
      </x:c>
      <x:c r="DP27" s="88" t="str">
        <x:v>なし</x:v>
      </x:c>
      <x:c r="DQ27" s="88" t="n">
        <x:v>0</x:v>
      </x:c>
      <x:c r="DR27" s="88" t="str">
        <x:v>なし</x:v>
      </x:c>
      <x:c r="DS27" s="88" t="n">
        <x:v>0</x:v>
      </x:c>
    </x:row>
    <x:row r="28" ht="25" customHeight="1">
      <x:c r="A28" s="10" t="str">
        <x:v>27</x:v>
      </x:c>
      <x:c r="B28" t="str">
        <x:v>水属性耐性＋10％</x:v>
      </x:c>
      <x:c r="C28" t="str">
        <x:v>枠にセット中のみ有効。</x:v>
      </x:c>
      <x:c r="D28" s="12" t="n">
        <x:v>1</x:v>
      </x:c>
      <x:c r="E28" s="12" t="n">
        <x:v>1</x:v>
      </x:c>
      <x:c r="F28" s="12" t="n">
        <x:v>0</x:v>
      </x:c>
      <x:c r="G28" s="14" t="n">
        <x:v>0</x:v>
      </x:c>
      <x:c r="H28" s="14" t="n">
        <x:v>0</x:v>
      </x:c>
      <x:c r="I28" s="14" t="n">
        <x:v>0</x:v>
      </x:c>
      <x:c r="J28" s="14" t="n">
        <x:v>0</x:v>
      </x:c>
      <x:c r="K28" t="str">
        <x:v>自身</x:v>
      </x:c>
      <x:c r="L28" t="str">
        <x:v>なし</x:v>
      </x:c>
      <x:c r="M28" t="str">
        <x:v>なし</x:v>
      </x:c>
      <x:c r="N28" s="14" t="n">
        <x:v>0</x:v>
      </x:c>
      <x:c r="O28" s="12" t="n">
        <x:v>0</x:v>
      </x:c>
      <x:c r="P28" t="str">
        <x:v>使用者と同じ</x:v>
      </x:c>
      <x:c r="Q28" t="str">
        <x:v>無効</x:v>
      </x:c>
      <x:c r="R28" t="str">
        <x:v>自身</x:v>
      </x:c>
      <x:c r="S28" s="14" t="n">
        <x:v>0</x:v>
      </x:c>
      <x:c r="T28" s="12" t="n">
        <x:v>1</x:v>
      </x:c>
      <x:c r="U28" t="str">
        <x:v>即時</x:v>
      </x:c>
      <x:c r="V28" s="42" t="n">
        <x:f>IF($A28="","",IF(AND($U28="発射物",$DI28&lt;&gt;"パッシブ"),$BE28,0))</x:f>
        <x:v>0</x:v>
      </x:c>
      <x:c r="W28" s="42" t="n">
        <x:f>IF($A28="","",IF(AND($U28="発射物",$DI28&lt;&gt;"パッシブ"),$BF28,0))</x:f>
        <x:v>0</x:v>
      </x:c>
      <x:c r="X28" s="42" t="str">
        <x:f>IF($A28="","",IF(AND($U28="発射物",$DI28&lt;&gt;"パッシブ"),IF($BG28="有効","有効","無効"),"無効"))</x:f>
        <x:v>無効</x:v>
      </x:c>
      <x:c r="AD28" s="14"/>
      <x:c r="AE28" s="14"/>
      <x:c r="AF28" s="14"/>
      <x:c r="AH28" s="14"/>
      <x:c r="AJ28" s="14"/>
      <x:c r="AN28" s="14"/>
      <x:c r="AO28" s="14"/>
      <x:c r="AP28" s="14"/>
      <x:c r="AR28" s="14"/>
      <x:c r="AT28" s="14"/>
      <x:c r="AX28" s="14"/>
      <x:c r="AY28" s="14"/>
      <x:c r="AZ28" s="14"/>
      <x:c r="BB28" s="14"/>
      <x:c r="BD28" s="14"/>
      <x:c r="BE28" s="14"/>
      <x:c r="BF28" s="14"/>
      <x:c r="BK28" s="14"/>
      <x:c r="BM28" s="14"/>
      <x:c r="BN28" s="14"/>
      <x:c r="BP28" s="14"/>
      <x:c r="BQ28" s="14"/>
      <x:c r="BR28" s="14"/>
      <x:c r="BT28" s="14"/>
      <x:c r="BU28" s="14"/>
      <x:c r="BV28" s="14"/>
      <x:c r="BW28" s="14"/>
      <x:c r="BX28" s="14"/>
      <x:c r="BY28" s="14"/>
      <x:c r="BZ28" s="14"/>
      <x:c r="CA28" s="14"/>
      <x:c r="CB28" s="14"/>
      <x:c r="CC28" s="14"/>
      <x:c r="CD28" s="14"/>
      <x:c r="CE28" s="14"/>
      <x:c r="CF28" s="14"/>
      <x:c r="CJ28" s="14"/>
      <x:c r="CK28" s="14"/>
      <x:c r="CL28" s="14"/>
      <x:c r="CM28" s="14"/>
      <x:c r="CO28" s="14"/>
      <x:c r="CQ28" s="14"/>
      <x:c r="CS28" s="14"/>
      <x:c r="CT28" s="14"/>
      <x:c r="CU28" s="14"/>
      <x:c r="CW28" s="14"/>
      <x:c r="CX28" s="14"/>
      <x:c r="CY28" s="14"/>
      <x:c r="CZ28" s="14"/>
      <x:c r="DC28" s="14"/>
      <x:c r="DD28" s="14"/>
      <x:c r="DI28" s="88" t="str">
        <x:v>パッシブ</x:v>
      </x:c>
      <x:c r="DJ28" s="88" t="str">
        <x:v>使用者</x:v>
      </x:c>
      <x:c r="DK28" s="88" t="str">
        <x:v>追従なし</x:v>
      </x:c>
      <x:c r="DL28" s="88" t="str">
        <x:v>命中時</x:v>
      </x:c>
      <x:c r="DM28" s="88" t="n">
        <x:v>1</x:v>
      </x:c>
      <x:c r="DN28" s="88" t="str">
        <x:v>水属性耐性</x:v>
      </x:c>
      <x:c r="DO28" s="88" t="n">
        <x:v>10</x:v>
      </x:c>
      <x:c r="DP28" s="88" t="str">
        <x:v>なし</x:v>
      </x:c>
      <x:c r="DQ28" s="88" t="n">
        <x:v>0</x:v>
      </x:c>
      <x:c r="DR28" s="88" t="str">
        <x:v>なし</x:v>
      </x:c>
      <x:c r="DS28" s="88" t="n">
        <x:v>0</x:v>
      </x:c>
    </x:row>
    <x:row r="29" ht="25" customHeight="1">
      <x:c r="A29" s="10" t="str">
        <x:v>28</x:v>
      </x:c>
      <x:c r="B29" t="str">
        <x:v>風属性耐性＋10％</x:v>
      </x:c>
      <x:c r="C29" t="str">
        <x:v>枠にセット中のみ有効。</x:v>
      </x:c>
      <x:c r="D29" s="12" t="n">
        <x:v>1</x:v>
      </x:c>
      <x:c r="E29" s="12" t="n">
        <x:v>1</x:v>
      </x:c>
      <x:c r="F29" s="12" t="n">
        <x:v>0</x:v>
      </x:c>
      <x:c r="G29" s="14" t="n">
        <x:v>0</x:v>
      </x:c>
      <x:c r="H29" s="14" t="n">
        <x:v>0</x:v>
      </x:c>
      <x:c r="I29" s="14" t="n">
        <x:v>0</x:v>
      </x:c>
      <x:c r="J29" s="14" t="n">
        <x:v>0</x:v>
      </x:c>
      <x:c r="K29" t="str">
        <x:v>自身</x:v>
      </x:c>
      <x:c r="L29" t="str">
        <x:v>なし</x:v>
      </x:c>
      <x:c r="M29" t="str">
        <x:v>なし</x:v>
      </x:c>
      <x:c r="N29" s="14" t="n">
        <x:v>0</x:v>
      </x:c>
      <x:c r="O29" s="12" t="n">
        <x:v>0</x:v>
      </x:c>
      <x:c r="P29" t="str">
        <x:v>使用者と同じ</x:v>
      </x:c>
      <x:c r="Q29" t="str">
        <x:v>無効</x:v>
      </x:c>
      <x:c r="R29" t="str">
        <x:v>自身</x:v>
      </x:c>
      <x:c r="S29" s="14" t="n">
        <x:v>0</x:v>
      </x:c>
      <x:c r="T29" s="12" t="n">
        <x:v>1</x:v>
      </x:c>
      <x:c r="U29" t="str">
        <x:v>即時</x:v>
      </x:c>
      <x:c r="V29" s="42" t="n">
        <x:f>IF($A29="","",IF(AND($U29="発射物",$DI29&lt;&gt;"パッシブ"),$BE29,0))</x:f>
        <x:v>0</x:v>
      </x:c>
      <x:c r="W29" s="42" t="n">
        <x:f>IF($A29="","",IF(AND($U29="発射物",$DI29&lt;&gt;"パッシブ"),$BF29,0))</x:f>
        <x:v>0</x:v>
      </x:c>
      <x:c r="X29" s="42" t="str">
        <x:f>IF($A29="","",IF(AND($U29="発射物",$DI29&lt;&gt;"パッシブ"),IF($BG29="有効","有効","無効"),"無効"))</x:f>
        <x:v>無効</x:v>
      </x:c>
      <x:c r="AD29" s="14"/>
      <x:c r="AE29" s="14"/>
      <x:c r="AF29" s="14"/>
      <x:c r="AH29" s="14"/>
      <x:c r="AJ29" s="14"/>
      <x:c r="AN29" s="14"/>
      <x:c r="AO29" s="14"/>
      <x:c r="AP29" s="14"/>
      <x:c r="AR29" s="14"/>
      <x:c r="AT29" s="14"/>
      <x:c r="AX29" s="14"/>
      <x:c r="AY29" s="14"/>
      <x:c r="AZ29" s="14"/>
      <x:c r="BB29" s="14"/>
      <x:c r="BD29" s="14"/>
      <x:c r="BE29" s="14"/>
      <x:c r="BF29" s="14"/>
      <x:c r="BK29" s="14"/>
      <x:c r="BM29" s="14"/>
      <x:c r="BN29" s="14"/>
      <x:c r="BP29" s="14"/>
      <x:c r="BQ29" s="14"/>
      <x:c r="BR29" s="14"/>
      <x:c r="BT29" s="14"/>
      <x:c r="BU29" s="14"/>
      <x:c r="BV29" s="14"/>
      <x:c r="BW29" s="14"/>
      <x:c r="BX29" s="14"/>
      <x:c r="BY29" s="14"/>
      <x:c r="BZ29" s="14"/>
      <x:c r="CA29" s="14"/>
      <x:c r="CB29" s="14"/>
      <x:c r="CC29" s="14"/>
      <x:c r="CD29" s="14"/>
      <x:c r="CE29" s="14"/>
      <x:c r="CF29" s="14"/>
      <x:c r="CJ29" s="14"/>
      <x:c r="CK29" s="14"/>
      <x:c r="CL29" s="14"/>
      <x:c r="CM29" s="14"/>
      <x:c r="CO29" s="14"/>
      <x:c r="CQ29" s="14"/>
      <x:c r="CS29" s="14"/>
      <x:c r="CT29" s="14"/>
      <x:c r="CU29" s="14"/>
      <x:c r="CW29" s="14"/>
      <x:c r="CX29" s="14"/>
      <x:c r="CY29" s="14"/>
      <x:c r="CZ29" s="14"/>
      <x:c r="DC29" s="14"/>
      <x:c r="DD29" s="14"/>
      <x:c r="DI29" s="88" t="str">
        <x:v>パッシブ</x:v>
      </x:c>
      <x:c r="DJ29" s="88" t="str">
        <x:v>使用者</x:v>
      </x:c>
      <x:c r="DK29" s="88" t="str">
        <x:v>追従なし</x:v>
      </x:c>
      <x:c r="DL29" s="88" t="str">
        <x:v>命中時</x:v>
      </x:c>
      <x:c r="DM29" s="88" t="n">
        <x:v>1</x:v>
      </x:c>
      <x:c r="DN29" s="88" t="str">
        <x:v>風属性耐性</x:v>
      </x:c>
      <x:c r="DO29" s="88" t="n">
        <x:v>10</x:v>
      </x:c>
      <x:c r="DP29" s="88" t="str">
        <x:v>なし</x:v>
      </x:c>
      <x:c r="DQ29" s="88" t="n">
        <x:v>0</x:v>
      </x:c>
      <x:c r="DR29" s="88" t="str">
        <x:v>なし</x:v>
      </x:c>
      <x:c r="DS29" s="88" t="n">
        <x:v>0</x:v>
      </x:c>
    </x:row>
    <x:row r="30" ht="25" customHeight="1">
      <x:c r="A30" s="10" t="str">
        <x:v>29</x:v>
      </x:c>
      <x:c r="B30" t="str">
        <x:v>雷属性耐性＋10％</x:v>
      </x:c>
      <x:c r="C30" t="str">
        <x:v>枠にセット中のみ有効。</x:v>
      </x:c>
      <x:c r="D30" s="12" t="n">
        <x:v>1</x:v>
      </x:c>
      <x:c r="E30" s="12" t="n">
        <x:v>1</x:v>
      </x:c>
      <x:c r="F30" s="12" t="n">
        <x:v>0</x:v>
      </x:c>
      <x:c r="G30" s="14" t="n">
        <x:v>0</x:v>
      </x:c>
      <x:c r="H30" s="14" t="n">
        <x:v>0</x:v>
      </x:c>
      <x:c r="I30" s="14" t="n">
        <x:v>0</x:v>
      </x:c>
      <x:c r="J30" s="14" t="n">
        <x:v>0</x:v>
      </x:c>
      <x:c r="K30" t="str">
        <x:v>自身</x:v>
      </x:c>
      <x:c r="L30" t="str">
        <x:v>なし</x:v>
      </x:c>
      <x:c r="M30" t="str">
        <x:v>なし</x:v>
      </x:c>
      <x:c r="N30" s="14" t="n">
        <x:v>0</x:v>
      </x:c>
      <x:c r="O30" s="12" t="n">
        <x:v>0</x:v>
      </x:c>
      <x:c r="P30" t="str">
        <x:v>使用者と同じ</x:v>
      </x:c>
      <x:c r="Q30" t="str">
        <x:v>無効</x:v>
      </x:c>
      <x:c r="R30" t="str">
        <x:v>自身</x:v>
      </x:c>
      <x:c r="S30" s="14" t="n">
        <x:v>0</x:v>
      </x:c>
      <x:c r="T30" s="12" t="n">
        <x:v>1</x:v>
      </x:c>
      <x:c r="U30" t="str">
        <x:v>即時</x:v>
      </x:c>
      <x:c r="V30" s="42" t="n">
        <x:f>IF($A30="","",IF(AND($U30="発射物",$DI30&lt;&gt;"パッシブ"),$BE30,0))</x:f>
        <x:v>0</x:v>
      </x:c>
      <x:c r="W30" s="42" t="n">
        <x:f>IF($A30="","",IF(AND($U30="発射物",$DI30&lt;&gt;"パッシブ"),$BF30,0))</x:f>
        <x:v>0</x:v>
      </x:c>
      <x:c r="X30" s="42" t="str">
        <x:f>IF($A30="","",IF(AND($U30="発射物",$DI30&lt;&gt;"パッシブ"),IF($BG30="有効","有効","無効"),"無効"))</x:f>
        <x:v>無効</x:v>
      </x:c>
      <x:c r="AD30" s="14"/>
      <x:c r="AE30" s="14"/>
      <x:c r="AF30" s="14"/>
      <x:c r="AH30" s="14"/>
      <x:c r="AJ30" s="14"/>
      <x:c r="AN30" s="14"/>
      <x:c r="AO30" s="14"/>
      <x:c r="AP30" s="14"/>
      <x:c r="AR30" s="14"/>
      <x:c r="AT30" s="14"/>
      <x:c r="AX30" s="14"/>
      <x:c r="AY30" s="14"/>
      <x:c r="AZ30" s="14"/>
      <x:c r="BB30" s="14"/>
      <x:c r="BD30" s="14"/>
      <x:c r="BE30" s="14"/>
      <x:c r="BF30" s="14"/>
      <x:c r="BK30" s="14"/>
      <x:c r="BM30" s="14"/>
      <x:c r="BN30" s="14"/>
      <x:c r="BP30" s="14"/>
      <x:c r="BQ30" s="14"/>
      <x:c r="BR30" s="14"/>
      <x:c r="BT30" s="14"/>
      <x:c r="BU30" s="14"/>
      <x:c r="BV30" s="14"/>
      <x:c r="BW30" s="14"/>
      <x:c r="BX30" s="14"/>
      <x:c r="BY30" s="14"/>
      <x:c r="BZ30" s="14"/>
      <x:c r="CA30" s="14"/>
      <x:c r="CB30" s="14"/>
      <x:c r="CC30" s="14"/>
      <x:c r="CD30" s="14"/>
      <x:c r="CE30" s="14"/>
      <x:c r="CF30" s="14"/>
      <x:c r="CJ30" s="14"/>
      <x:c r="CK30" s="14"/>
      <x:c r="CL30" s="14"/>
      <x:c r="CM30" s="14"/>
      <x:c r="CO30" s="14"/>
      <x:c r="CQ30" s="14"/>
      <x:c r="CS30" s="14"/>
      <x:c r="CT30" s="14"/>
      <x:c r="CU30" s="14"/>
      <x:c r="CW30" s="14"/>
      <x:c r="CX30" s="14"/>
      <x:c r="CY30" s="14"/>
      <x:c r="CZ30" s="14"/>
      <x:c r="DC30" s="14"/>
      <x:c r="DD30" s="14"/>
      <x:c r="DI30" s="88" t="str">
        <x:v>パッシブ</x:v>
      </x:c>
      <x:c r="DJ30" s="88" t="str">
        <x:v>使用者</x:v>
      </x:c>
      <x:c r="DK30" s="88" t="str">
        <x:v>追従なし</x:v>
      </x:c>
      <x:c r="DL30" s="88" t="str">
        <x:v>命中時</x:v>
      </x:c>
      <x:c r="DM30" s="88" t="n">
        <x:v>1</x:v>
      </x:c>
      <x:c r="DN30" s="88" t="str">
        <x:v>雷属性耐性</x:v>
      </x:c>
      <x:c r="DO30" s="88" t="n">
        <x:v>10</x:v>
      </x:c>
      <x:c r="DP30" s="88" t="str">
        <x:v>なし</x:v>
      </x:c>
      <x:c r="DQ30" s="88" t="n">
        <x:v>0</x:v>
      </x:c>
      <x:c r="DR30" s="88" t="str">
        <x:v>なし</x:v>
      </x:c>
      <x:c r="DS30" s="88" t="n">
        <x:v>0</x:v>
      </x:c>
    </x:row>
    <x:row r="31" ht="25" customHeight="1">
      <x:c r="A31" s="10" t="str">
        <x:v>30</x:v>
      </x:c>
      <x:c r="B31" t="str">
        <x:v>光属性耐性＋10％</x:v>
      </x:c>
      <x:c r="C31" t="str">
        <x:v>枠にセット中のみ有効。</x:v>
      </x:c>
      <x:c r="D31" s="12" t="n">
        <x:v>1</x:v>
      </x:c>
      <x:c r="E31" s="12" t="n">
        <x:v>1</x:v>
      </x:c>
      <x:c r="F31" s="12" t="n">
        <x:v>0</x:v>
      </x:c>
      <x:c r="G31" s="14" t="n">
        <x:v>0</x:v>
      </x:c>
      <x:c r="H31" s="14" t="n">
        <x:v>0</x:v>
      </x:c>
      <x:c r="I31" s="14" t="n">
        <x:v>0</x:v>
      </x:c>
      <x:c r="J31" s="14" t="n">
        <x:v>0</x:v>
      </x:c>
      <x:c r="K31" t="str">
        <x:v>自身</x:v>
      </x:c>
      <x:c r="L31" t="str">
        <x:v>なし</x:v>
      </x:c>
      <x:c r="M31" t="str">
        <x:v>なし</x:v>
      </x:c>
      <x:c r="N31" s="14" t="n">
        <x:v>0</x:v>
      </x:c>
      <x:c r="O31" s="12" t="n">
        <x:v>0</x:v>
      </x:c>
      <x:c r="P31" t="str">
        <x:v>使用者と同じ</x:v>
      </x:c>
      <x:c r="Q31" t="str">
        <x:v>無効</x:v>
      </x:c>
      <x:c r="R31" t="str">
        <x:v>自身</x:v>
      </x:c>
      <x:c r="S31" s="14" t="n">
        <x:v>0</x:v>
      </x:c>
      <x:c r="T31" s="12" t="n">
        <x:v>1</x:v>
      </x:c>
      <x:c r="U31" t="str">
        <x:v>即時</x:v>
      </x:c>
      <x:c r="V31" s="42" t="n">
        <x:f>IF($A31="","",IF(AND($U31="発射物",$DI31&lt;&gt;"パッシブ"),$BE31,0))</x:f>
        <x:v>0</x:v>
      </x:c>
      <x:c r="W31" s="42" t="n">
        <x:f>IF($A31="","",IF(AND($U31="発射物",$DI31&lt;&gt;"パッシブ"),$BF31,0))</x:f>
        <x:v>0</x:v>
      </x:c>
      <x:c r="X31" s="42" t="str">
        <x:f>IF($A31="","",IF(AND($U31="発射物",$DI31&lt;&gt;"パッシブ"),IF($BG31="有効","有効","無効"),"無効"))</x:f>
        <x:v>無効</x:v>
      </x:c>
      <x:c r="AD31" s="14"/>
      <x:c r="AE31" s="14"/>
      <x:c r="AF31" s="14"/>
      <x:c r="AH31" s="14"/>
      <x:c r="AJ31" s="14"/>
      <x:c r="AN31" s="14"/>
      <x:c r="AO31" s="14"/>
      <x:c r="AP31" s="14"/>
      <x:c r="AR31" s="14"/>
      <x:c r="AT31" s="14"/>
      <x:c r="AX31" s="14"/>
      <x:c r="AY31" s="14"/>
      <x:c r="AZ31" s="14"/>
      <x:c r="BB31" s="14"/>
      <x:c r="BD31" s="14"/>
      <x:c r="BE31" s="14"/>
      <x:c r="BF31" s="14"/>
      <x:c r="BK31" s="14"/>
      <x:c r="BM31" s="14"/>
      <x:c r="BN31" s="14"/>
      <x:c r="BP31" s="14"/>
      <x:c r="BQ31" s="14"/>
      <x:c r="BR31" s="14"/>
      <x:c r="BT31" s="14"/>
      <x:c r="BU31" s="14"/>
      <x:c r="BV31" s="14"/>
      <x:c r="BW31" s="14"/>
      <x:c r="BX31" s="14"/>
      <x:c r="BY31" s="14"/>
      <x:c r="BZ31" s="14"/>
      <x:c r="CA31" s="14"/>
      <x:c r="CB31" s="14"/>
      <x:c r="CC31" s="14"/>
      <x:c r="CD31" s="14"/>
      <x:c r="CE31" s="14"/>
      <x:c r="CF31" s="14"/>
      <x:c r="CJ31" s="14"/>
      <x:c r="CK31" s="14"/>
      <x:c r="CL31" s="14"/>
      <x:c r="CM31" s="14"/>
      <x:c r="CO31" s="14"/>
      <x:c r="CQ31" s="14"/>
      <x:c r="CS31" s="14"/>
      <x:c r="CT31" s="14"/>
      <x:c r="CU31" s="14"/>
      <x:c r="CW31" s="14"/>
      <x:c r="CX31" s="14"/>
      <x:c r="CY31" s="14"/>
      <x:c r="CZ31" s="14"/>
      <x:c r="DC31" s="14"/>
      <x:c r="DD31" s="14"/>
      <x:c r="DI31" s="88" t="str">
        <x:v>パッシブ</x:v>
      </x:c>
      <x:c r="DJ31" s="88" t="str">
        <x:v>使用者</x:v>
      </x:c>
      <x:c r="DK31" s="88" t="str">
        <x:v>追従なし</x:v>
      </x:c>
      <x:c r="DL31" s="88" t="str">
        <x:v>命中時</x:v>
      </x:c>
      <x:c r="DM31" s="88" t="n">
        <x:v>1</x:v>
      </x:c>
      <x:c r="DN31" s="88" t="str">
        <x:v>光属性耐性</x:v>
      </x:c>
      <x:c r="DO31" s="88" t="n">
        <x:v>10</x:v>
      </x:c>
      <x:c r="DP31" s="88" t="str">
        <x:v>なし</x:v>
      </x:c>
      <x:c r="DQ31" s="88" t="n">
        <x:v>0</x:v>
      </x:c>
      <x:c r="DR31" s="88" t="str">
        <x:v>なし</x:v>
      </x:c>
      <x:c r="DS31" s="88" t="n">
        <x:v>0</x:v>
      </x:c>
    </x:row>
    <x:row r="32" ht="25" customHeight="1">
      <x:c r="A32" s="10" t="str">
        <x:v>31</x:v>
      </x:c>
      <x:c r="B32" t="str">
        <x:v>闇属性耐性＋10％</x:v>
      </x:c>
      <x:c r="C32" t="str">
        <x:v>枠にセット中のみ有効。</x:v>
      </x:c>
      <x:c r="D32" s="12" t="n">
        <x:v>1</x:v>
      </x:c>
      <x:c r="E32" s="12" t="n">
        <x:v>1</x:v>
      </x:c>
      <x:c r="F32" s="12" t="n">
        <x:v>0</x:v>
      </x:c>
      <x:c r="G32" s="14" t="n">
        <x:v>0</x:v>
      </x:c>
      <x:c r="H32" s="14" t="n">
        <x:v>0</x:v>
      </x:c>
      <x:c r="I32" s="14" t="n">
        <x:v>0</x:v>
      </x:c>
      <x:c r="J32" s="14" t="n">
        <x:v>0</x:v>
      </x:c>
      <x:c r="K32" t="str">
        <x:v>自身</x:v>
      </x:c>
      <x:c r="L32" t="str">
        <x:v>なし</x:v>
      </x:c>
      <x:c r="M32" t="str">
        <x:v>なし</x:v>
      </x:c>
      <x:c r="N32" s="14" t="n">
        <x:v>0</x:v>
      </x:c>
      <x:c r="O32" s="12" t="n">
        <x:v>0</x:v>
      </x:c>
      <x:c r="P32" t="str">
        <x:v>使用者と同じ</x:v>
      </x:c>
      <x:c r="Q32" t="str">
        <x:v>無効</x:v>
      </x:c>
      <x:c r="R32" t="str">
        <x:v>自身</x:v>
      </x:c>
      <x:c r="S32" s="14" t="n">
        <x:v>0</x:v>
      </x:c>
      <x:c r="T32" s="12" t="n">
        <x:v>1</x:v>
      </x:c>
      <x:c r="U32" t="str">
        <x:v>即時</x:v>
      </x:c>
      <x:c r="V32" s="42" t="n">
        <x:f>IF($A32="","",IF(AND($U32="発射物",$DI32&lt;&gt;"パッシブ"),$BE32,0))</x:f>
        <x:v>0</x:v>
      </x:c>
      <x:c r="W32" s="42" t="n">
        <x:f>IF($A32="","",IF(AND($U32="発射物",$DI32&lt;&gt;"パッシブ"),$BF32,0))</x:f>
        <x:v>0</x:v>
      </x:c>
      <x:c r="X32" s="42" t="str">
        <x:f>IF($A32="","",IF(AND($U32="発射物",$DI32&lt;&gt;"パッシブ"),IF($BG32="有効","有効","無効"),"無効"))</x:f>
        <x:v>無効</x:v>
      </x:c>
      <x:c r="AD32" s="14"/>
      <x:c r="AE32" s="14"/>
      <x:c r="AF32" s="14"/>
      <x:c r="AH32" s="14"/>
      <x:c r="AJ32" s="14"/>
      <x:c r="AN32" s="14"/>
      <x:c r="AO32" s="14"/>
      <x:c r="AP32" s="14"/>
      <x:c r="AR32" s="14"/>
      <x:c r="AT32" s="14"/>
      <x:c r="AX32" s="14"/>
      <x:c r="AY32" s="14"/>
      <x:c r="AZ32" s="14"/>
      <x:c r="BB32" s="14"/>
      <x:c r="BD32" s="14"/>
      <x:c r="BE32" s="14"/>
      <x:c r="BF32" s="14"/>
      <x:c r="BK32" s="14"/>
      <x:c r="BM32" s="14"/>
      <x:c r="BN32" s="14"/>
      <x:c r="BP32" s="14"/>
      <x:c r="BQ32" s="14"/>
      <x:c r="BR32" s="14"/>
      <x:c r="BT32" s="14"/>
      <x:c r="BU32" s="14"/>
      <x:c r="BV32" s="14"/>
      <x:c r="BW32" s="14"/>
      <x:c r="BX32" s="14"/>
      <x:c r="BY32" s="14"/>
      <x:c r="BZ32" s="14"/>
      <x:c r="CA32" s="14"/>
      <x:c r="CB32" s="14"/>
      <x:c r="CC32" s="14"/>
      <x:c r="CD32" s="14"/>
      <x:c r="CE32" s="14"/>
      <x:c r="CF32" s="14"/>
      <x:c r="CJ32" s="14"/>
      <x:c r="CK32" s="14"/>
      <x:c r="CL32" s="14"/>
      <x:c r="CM32" s="14"/>
      <x:c r="CO32" s="14"/>
      <x:c r="CQ32" s="14"/>
      <x:c r="CS32" s="14"/>
      <x:c r="CT32" s="14"/>
      <x:c r="CU32" s="14"/>
      <x:c r="CW32" s="14"/>
      <x:c r="CX32" s="14"/>
      <x:c r="CY32" s="14"/>
      <x:c r="CZ32" s="14"/>
      <x:c r="DC32" s="14"/>
      <x:c r="DD32" s="14"/>
      <x:c r="DI32" s="88" t="str">
        <x:v>パッシブ</x:v>
      </x:c>
      <x:c r="DJ32" s="88" t="str">
        <x:v>使用者</x:v>
      </x:c>
      <x:c r="DK32" s="88" t="str">
        <x:v>追従なし</x:v>
      </x:c>
      <x:c r="DL32" s="88" t="str">
        <x:v>命中時</x:v>
      </x:c>
      <x:c r="DM32" s="88" t="n">
        <x:v>1</x:v>
      </x:c>
      <x:c r="DN32" s="88" t="str">
        <x:v>闇属性耐性</x:v>
      </x:c>
      <x:c r="DO32" s="88" t="n">
        <x:v>10</x:v>
      </x:c>
      <x:c r="DP32" s="88" t="str">
        <x:v>なし</x:v>
      </x:c>
      <x:c r="DQ32" s="88" t="n">
        <x:v>0</x:v>
      </x:c>
      <x:c r="DR32" s="88" t="str">
        <x:v>なし</x:v>
      </x:c>
      <x:c r="DS32" s="88" t="n">
        <x:v>0</x:v>
      </x:c>
    </x:row>
    <x:row r="33" ht="25" customHeight="1">
      <x:c r="A33" s="10" t="str">
        <x:v>32</x:v>
      </x:c>
      <x:c r="B33" t="str">
        <x:v>全属性耐性＋10％</x:v>
      </x:c>
      <x:c r="C33" t="str">
        <x:v>枠にセット中のみ有効。</x:v>
      </x:c>
      <x:c r="D33" s="12" t="n">
        <x:v>1</x:v>
      </x:c>
      <x:c r="E33" s="12" t="n">
        <x:v>1</x:v>
      </x:c>
      <x:c r="F33" s="12" t="n">
        <x:v>0</x:v>
      </x:c>
      <x:c r="G33" s="14" t="n">
        <x:v>0</x:v>
      </x:c>
      <x:c r="H33" s="14" t="n">
        <x:v>0</x:v>
      </x:c>
      <x:c r="I33" s="14" t="n">
        <x:v>0</x:v>
      </x:c>
      <x:c r="J33" s="14" t="n">
        <x:v>0</x:v>
      </x:c>
      <x:c r="K33" t="str">
        <x:v>自身</x:v>
      </x:c>
      <x:c r="L33" t="str">
        <x:v>なし</x:v>
      </x:c>
      <x:c r="M33" t="str">
        <x:v>なし</x:v>
      </x:c>
      <x:c r="N33" s="14" t="n">
        <x:v>0</x:v>
      </x:c>
      <x:c r="O33" s="12" t="n">
        <x:v>0</x:v>
      </x:c>
      <x:c r="P33" t="str">
        <x:v>使用者と同じ</x:v>
      </x:c>
      <x:c r="Q33" t="str">
        <x:v>無効</x:v>
      </x:c>
      <x:c r="R33" t="str">
        <x:v>自身</x:v>
      </x:c>
      <x:c r="S33" s="14" t="n">
        <x:v>0</x:v>
      </x:c>
      <x:c r="T33" s="12" t="n">
        <x:v>1</x:v>
      </x:c>
      <x:c r="U33" t="str">
        <x:v>即時</x:v>
      </x:c>
      <x:c r="V33" s="42" t="n">
        <x:f>IF($A33="","",IF(AND($U33="発射物",$DI33&lt;&gt;"パッシブ"),$BE33,0))</x:f>
        <x:v>0</x:v>
      </x:c>
      <x:c r="W33" s="42" t="n">
        <x:f>IF($A33="","",IF(AND($U33="発射物",$DI33&lt;&gt;"パッシブ"),$BF33,0))</x:f>
        <x:v>0</x:v>
      </x:c>
      <x:c r="X33" s="42" t="str">
        <x:f>IF($A33="","",IF(AND($U33="発射物",$DI33&lt;&gt;"パッシブ"),IF($BG33="有効","有効","無効"),"無効"))</x:f>
        <x:v>無効</x:v>
      </x:c>
      <x:c r="AD33" s="14"/>
      <x:c r="AE33" s="14"/>
      <x:c r="AF33" s="14"/>
      <x:c r="AH33" s="14"/>
      <x:c r="AJ33" s="14"/>
      <x:c r="AN33" s="14"/>
      <x:c r="AO33" s="14"/>
      <x:c r="AP33" s="14"/>
      <x:c r="AR33" s="14"/>
      <x:c r="AT33" s="14"/>
      <x:c r="AX33" s="14"/>
      <x:c r="AY33" s="14"/>
      <x:c r="AZ33" s="14"/>
      <x:c r="BB33" s="14"/>
      <x:c r="BD33" s="14"/>
      <x:c r="BE33" s="14"/>
      <x:c r="BF33" s="14"/>
      <x:c r="BK33" s="14"/>
      <x:c r="BM33" s="14"/>
      <x:c r="BN33" s="14"/>
      <x:c r="BP33" s="14"/>
      <x:c r="BQ33" s="14"/>
      <x:c r="BR33" s="14"/>
      <x:c r="BT33" s="14"/>
      <x:c r="BU33" s="14"/>
      <x:c r="BV33" s="14"/>
      <x:c r="BW33" s="14"/>
      <x:c r="BX33" s="14"/>
      <x:c r="BY33" s="14"/>
      <x:c r="BZ33" s="14"/>
      <x:c r="CA33" s="14"/>
      <x:c r="CB33" s="14"/>
      <x:c r="CC33" s="14"/>
      <x:c r="CD33" s="14"/>
      <x:c r="CE33" s="14"/>
      <x:c r="CF33" s="14"/>
      <x:c r="CJ33" s="14"/>
      <x:c r="CK33" s="14"/>
      <x:c r="CL33" s="14"/>
      <x:c r="CM33" s="14"/>
      <x:c r="CO33" s="14"/>
      <x:c r="CQ33" s="14"/>
      <x:c r="CS33" s="14"/>
      <x:c r="CT33" s="14"/>
      <x:c r="CU33" s="14"/>
      <x:c r="CW33" s="14"/>
      <x:c r="CX33" s="14"/>
      <x:c r="CY33" s="14"/>
      <x:c r="CZ33" s="14"/>
      <x:c r="DC33" s="14"/>
      <x:c r="DD33" s="14"/>
      <x:c r="DI33" s="88" t="str">
        <x:v>パッシブ</x:v>
      </x:c>
      <x:c r="DJ33" s="88" t="str">
        <x:v>使用者</x:v>
      </x:c>
      <x:c r="DK33" s="88" t="str">
        <x:v>追従なし</x:v>
      </x:c>
      <x:c r="DL33" s="88" t="str">
        <x:v>命中時</x:v>
      </x:c>
      <x:c r="DM33" s="88" t="n">
        <x:v>1</x:v>
      </x:c>
      <x:c r="DN33" s="88" t="str">
        <x:v>全属性耐性</x:v>
      </x:c>
      <x:c r="DO33" s="88" t="n">
        <x:v>10</x:v>
      </x:c>
      <x:c r="DP33" s="88" t="str">
        <x:v>なし</x:v>
      </x:c>
      <x:c r="DQ33" s="88" t="n">
        <x:v>0</x:v>
      </x:c>
      <x:c r="DR33" s="88" t="str">
        <x:v>なし</x:v>
      </x:c>
      <x:c r="DS33" s="88" t="n">
        <x:v>0</x:v>
      </x:c>
    </x:row>
    <x:row r="34" ht="25" customHeight="1">
      <x:c r="A34" s="10" t="str">
        <x:v>33</x:v>
      </x:c>
      <x:c r="B34" t="str">
        <x:v>近接攻撃タイプに変更</x:v>
      </x:c>
      <x:c r="C34" t="str">
        <x:v>通常攻撃の方式を変更。両方装着時は後ろの枠を優先。</x:v>
      </x:c>
      <x:c r="D34" s="12" t="n">
        <x:v>1</x:v>
      </x:c>
      <x:c r="E34" s="12" t="n">
        <x:v>1</x:v>
      </x:c>
      <x:c r="F34" s="12" t="n">
        <x:v>0</x:v>
      </x:c>
      <x:c r="G34" s="14" t="n">
        <x:v>0</x:v>
      </x:c>
      <x:c r="H34" s="14" t="n">
        <x:v>0</x:v>
      </x:c>
      <x:c r="I34" s="14" t="n">
        <x:v>0</x:v>
      </x:c>
      <x:c r="J34" s="14" t="n">
        <x:v>0</x:v>
      </x:c>
      <x:c r="K34" t="str">
        <x:v>自身</x:v>
      </x:c>
      <x:c r="L34" t="str">
        <x:v>なし</x:v>
      </x:c>
      <x:c r="M34" t="str">
        <x:v>なし</x:v>
      </x:c>
      <x:c r="N34" s="14" t="n">
        <x:v>0</x:v>
      </x:c>
      <x:c r="O34" s="12" t="n">
        <x:v>0</x:v>
      </x:c>
      <x:c r="P34" t="str">
        <x:v>使用者と同じ</x:v>
      </x:c>
      <x:c r="Q34" t="str">
        <x:v>無効</x:v>
      </x:c>
      <x:c r="R34" t="str">
        <x:v>自身</x:v>
      </x:c>
      <x:c r="S34" s="14" t="n">
        <x:v>0</x:v>
      </x:c>
      <x:c r="T34" s="12" t="n">
        <x:v>1</x:v>
      </x:c>
      <x:c r="U34" t="str">
        <x:v>即時</x:v>
      </x:c>
      <x:c r="V34" s="42" t="n">
        <x:f>IF($A34="","",IF(AND($U34="発射物",$DI34&lt;&gt;"パッシブ"),$BE34,0))</x:f>
        <x:v>0</x:v>
      </x:c>
      <x:c r="W34" s="42" t="n">
        <x:f>IF($A34="","",IF(AND($U34="発射物",$DI34&lt;&gt;"パッシブ"),$BF34,0))</x:f>
        <x:v>0</x:v>
      </x:c>
      <x:c r="X34" s="42" t="str">
        <x:f>IF($A34="","",IF(AND($U34="発射物",$DI34&lt;&gt;"パッシブ"),IF($BG34="有効","有効","無効"),"無効"))</x:f>
        <x:v>無効</x:v>
      </x:c>
      <x:c r="AD34" s="14"/>
      <x:c r="AE34" s="14"/>
      <x:c r="AF34" s="14"/>
      <x:c r="AH34" s="14"/>
      <x:c r="AJ34" s="14"/>
      <x:c r="AN34" s="14"/>
      <x:c r="AO34" s="14"/>
      <x:c r="AP34" s="14"/>
      <x:c r="AR34" s="14"/>
      <x:c r="AT34" s="14"/>
      <x:c r="AX34" s="14"/>
      <x:c r="AY34" s="14"/>
      <x:c r="AZ34" s="14"/>
      <x:c r="BB34" s="14"/>
      <x:c r="BD34" s="14"/>
      <x:c r="BE34" s="14"/>
      <x:c r="BF34" s="14"/>
      <x:c r="BK34" s="14"/>
      <x:c r="BM34" s="14"/>
      <x:c r="BN34" s="14"/>
      <x:c r="BP34" s="14"/>
      <x:c r="BQ34" s="14"/>
      <x:c r="BR34" s="14"/>
      <x:c r="BT34" s="14"/>
      <x:c r="BU34" s="14"/>
      <x:c r="BV34" s="14"/>
      <x:c r="BW34" s="14"/>
      <x:c r="BX34" s="14"/>
      <x:c r="BY34" s="14"/>
      <x:c r="BZ34" s="14"/>
      <x:c r="CA34" s="14"/>
      <x:c r="CB34" s="14"/>
      <x:c r="CC34" s="14"/>
      <x:c r="CD34" s="14"/>
      <x:c r="CE34" s="14"/>
      <x:c r="CF34" s="14"/>
      <x:c r="CJ34" s="14"/>
      <x:c r="CK34" s="14"/>
      <x:c r="CL34" s="14"/>
      <x:c r="CM34" s="14"/>
      <x:c r="CO34" s="14"/>
      <x:c r="CQ34" s="14"/>
      <x:c r="CS34" s="14"/>
      <x:c r="CT34" s="14"/>
      <x:c r="CU34" s="14"/>
      <x:c r="CW34" s="14"/>
      <x:c r="CX34" s="14"/>
      <x:c r="CY34" s="14"/>
      <x:c r="CZ34" s="14"/>
      <x:c r="DC34" s="14"/>
      <x:c r="DD34" s="14"/>
      <x:c r="DI34" s="88" t="str">
        <x:v>パッシブ</x:v>
      </x:c>
      <x:c r="DJ34" s="88" t="str">
        <x:v>使用者</x:v>
      </x:c>
      <x:c r="DK34" s="88" t="str">
        <x:v>追従なし</x:v>
      </x:c>
      <x:c r="DL34" s="88" t="str">
        <x:v>命中時</x:v>
      </x:c>
      <x:c r="DM34" s="88" t="n">
        <x:v>1</x:v>
      </x:c>
      <x:c r="DN34" s="88" t="str">
        <x:v>近接攻撃タイプ</x:v>
      </x:c>
      <x:c r="DO34" s="88" t="n">
        <x:v>0</x:v>
      </x:c>
      <x:c r="DP34" s="88" t="str">
        <x:v>なし</x:v>
      </x:c>
      <x:c r="DQ34" s="88" t="n">
        <x:v>0</x:v>
      </x:c>
      <x:c r="DR34" s="88" t="str">
        <x:v>なし</x:v>
      </x:c>
      <x:c r="DS34" s="88" t="n">
        <x:v>0</x:v>
      </x:c>
    </x:row>
    <x:row r="35" ht="25" customHeight="1">
      <x:c r="A35" s="10" t="str">
        <x:v>34</x:v>
      </x:c>
      <x:c r="B35" t="str">
        <x:v>遠距離攻撃タイプに変更</x:v>
      </x:c>
      <x:c r="C35" t="str">
        <x:v>通常攻撃の方式を変更。両方装着時は後ろの枠を優先。</x:v>
      </x:c>
      <x:c r="D35" s="12" t="n">
        <x:v>1</x:v>
      </x:c>
      <x:c r="E35" s="12" t="n">
        <x:v>1</x:v>
      </x:c>
      <x:c r="F35" s="12" t="n">
        <x:v>0</x:v>
      </x:c>
      <x:c r="G35" s="14" t="n">
        <x:v>0</x:v>
      </x:c>
      <x:c r="H35" s="14" t="n">
        <x:v>0</x:v>
      </x:c>
      <x:c r="I35" s="14" t="n">
        <x:v>0</x:v>
      </x:c>
      <x:c r="J35" s="14" t="n">
        <x:v>0</x:v>
      </x:c>
      <x:c r="K35" t="str">
        <x:v>自身</x:v>
      </x:c>
      <x:c r="L35" t="str">
        <x:v>なし</x:v>
      </x:c>
      <x:c r="M35" t="str">
        <x:v>なし</x:v>
      </x:c>
      <x:c r="N35" s="14" t="n">
        <x:v>0</x:v>
      </x:c>
      <x:c r="O35" s="12" t="n">
        <x:v>0</x:v>
      </x:c>
      <x:c r="P35" t="str">
        <x:v>使用者と同じ</x:v>
      </x:c>
      <x:c r="Q35" t="str">
        <x:v>無効</x:v>
      </x:c>
      <x:c r="R35" t="str">
        <x:v>自身</x:v>
      </x:c>
      <x:c r="S35" s="14" t="n">
        <x:v>0</x:v>
      </x:c>
      <x:c r="T35" s="12" t="n">
        <x:v>1</x:v>
      </x:c>
      <x:c r="U35" t="str">
        <x:v>即時</x:v>
      </x:c>
      <x:c r="V35" s="42" t="n">
        <x:f>IF($A35="","",IF(AND($U35="発射物",$DI35&lt;&gt;"パッシブ"),$BE35,0))</x:f>
        <x:v>0</x:v>
      </x:c>
      <x:c r="W35" s="42" t="n">
        <x:f>IF($A35="","",IF(AND($U35="発射物",$DI35&lt;&gt;"パッシブ"),$BF35,0))</x:f>
        <x:v>0</x:v>
      </x:c>
      <x:c r="X35" s="42" t="str">
        <x:f>IF($A35="","",IF(AND($U35="発射物",$DI35&lt;&gt;"パッシブ"),IF($BG35="有効","有効","無効"),"無効"))</x:f>
        <x:v>無効</x:v>
      </x:c>
      <x:c r="AD35" s="14"/>
      <x:c r="AE35" s="14"/>
      <x:c r="AF35" s="14"/>
      <x:c r="AH35" s="14"/>
      <x:c r="AJ35" s="14"/>
      <x:c r="AN35" s="14"/>
      <x:c r="AO35" s="14"/>
      <x:c r="AP35" s="14"/>
      <x:c r="AR35" s="14"/>
      <x:c r="AT35" s="14"/>
      <x:c r="AX35" s="14"/>
      <x:c r="AY35" s="14"/>
      <x:c r="AZ35" s="14"/>
      <x:c r="BB35" s="14"/>
      <x:c r="BD35" s="14"/>
      <x:c r="BE35" s="14"/>
      <x:c r="BF35" s="14"/>
      <x:c r="BK35" s="14"/>
      <x:c r="BM35" s="14"/>
      <x:c r="BN35" s="14"/>
      <x:c r="BP35" s="14"/>
      <x:c r="BQ35" s="14"/>
      <x:c r="BR35" s="14"/>
      <x:c r="BT35" s="14"/>
      <x:c r="BU35" s="14"/>
      <x:c r="BV35" s="14"/>
      <x:c r="BW35" s="14"/>
      <x:c r="BX35" s="14"/>
      <x:c r="BY35" s="14"/>
      <x:c r="BZ35" s="14"/>
      <x:c r="CA35" s="14"/>
      <x:c r="CB35" s="14"/>
      <x:c r="CC35" s="14"/>
      <x:c r="CD35" s="14"/>
      <x:c r="CE35" s="14"/>
      <x:c r="CF35" s="14"/>
      <x:c r="CJ35" s="14"/>
      <x:c r="CK35" s="14"/>
      <x:c r="CL35" s="14"/>
      <x:c r="CM35" s="14"/>
      <x:c r="CO35" s="14"/>
      <x:c r="CQ35" s="14"/>
      <x:c r="CS35" s="14"/>
      <x:c r="CT35" s="14"/>
      <x:c r="CU35" s="14"/>
      <x:c r="CW35" s="14"/>
      <x:c r="CX35" s="14"/>
      <x:c r="CY35" s="14"/>
      <x:c r="CZ35" s="14"/>
      <x:c r="DC35" s="14"/>
      <x:c r="DD35" s="14"/>
      <x:c r="DI35" s="88" t="str">
        <x:v>パッシブ</x:v>
      </x:c>
      <x:c r="DJ35" s="88" t="str">
        <x:v>使用者</x:v>
      </x:c>
      <x:c r="DK35" s="88" t="str">
        <x:v>追従なし</x:v>
      </x:c>
      <x:c r="DL35" s="88" t="str">
        <x:v>命中時</x:v>
      </x:c>
      <x:c r="DM35" s="88" t="n">
        <x:v>1</x:v>
      </x:c>
      <x:c r="DN35" s="88" t="str">
        <x:v>遠距離攻撃タイプ</x:v>
      </x:c>
      <x:c r="DO35" s="88" t="n">
        <x:v>0</x:v>
      </x:c>
      <x:c r="DP35" s="88" t="str">
        <x:v>なし</x:v>
      </x:c>
      <x:c r="DQ35" s="88" t="n">
        <x:v>0</x:v>
      </x:c>
      <x:c r="DR35" s="88" t="str">
        <x:v>なし</x:v>
      </x:c>
      <x:c r="DS35" s="88" t="n">
        <x:v>0</x:v>
      </x:c>
    </x:row>
    <x:row r="36" ht="25" customHeight="1">
      <x:c r="A36" s="10" t="str">
        <x:v>35</x:v>
      </x:c>
      <x:c r="B36" t="str">
        <x:v>配合確率＋10％</x:v>
      </x:c>
      <x:c r="C36" t="str">
        <x:v>枠にセット中のみ有効。</x:v>
      </x:c>
      <x:c r="D36" s="12" t="n">
        <x:v>1</x:v>
      </x:c>
      <x:c r="E36" s="12" t="n">
        <x:v>1</x:v>
      </x:c>
      <x:c r="F36" s="12" t="n">
        <x:v>0</x:v>
      </x:c>
      <x:c r="G36" s="14" t="n">
        <x:v>0</x:v>
      </x:c>
      <x:c r="H36" s="14" t="n">
        <x:v>0</x:v>
      </x:c>
      <x:c r="I36" s="14" t="n">
        <x:v>0</x:v>
      </x:c>
      <x:c r="J36" s="14" t="n">
        <x:v>0</x:v>
      </x:c>
      <x:c r="K36" t="str">
        <x:v>自身</x:v>
      </x:c>
      <x:c r="L36" t="str">
        <x:v>なし</x:v>
      </x:c>
      <x:c r="M36" t="str">
        <x:v>なし</x:v>
      </x:c>
      <x:c r="N36" s="14" t="n">
        <x:v>0</x:v>
      </x:c>
      <x:c r="O36" s="12" t="n">
        <x:v>0</x:v>
      </x:c>
      <x:c r="P36" t="str">
        <x:v>使用者と同じ</x:v>
      </x:c>
      <x:c r="Q36" t="str">
        <x:v>無効</x:v>
      </x:c>
      <x:c r="R36" t="str">
        <x:v>自身</x:v>
      </x:c>
      <x:c r="S36" s="14" t="n">
        <x:v>0</x:v>
      </x:c>
      <x:c r="T36" s="12" t="n">
        <x:v>1</x:v>
      </x:c>
      <x:c r="U36" t="str">
        <x:v>即時</x:v>
      </x:c>
      <x:c r="V36" s="42" t="n">
        <x:f>IF($A36="","",IF(AND($U36="発射物",$DI36&lt;&gt;"パッシブ"),$BE36,0))</x:f>
        <x:v>0</x:v>
      </x:c>
      <x:c r="W36" s="42" t="n">
        <x:f>IF($A36="","",IF(AND($U36="発射物",$DI36&lt;&gt;"パッシブ"),$BF36,0))</x:f>
        <x:v>0</x:v>
      </x:c>
      <x:c r="X36" s="42" t="str">
        <x:f>IF($A36="","",IF(AND($U36="発射物",$DI36&lt;&gt;"パッシブ"),IF($BG36="有効","有効","無効"),"無効"))</x:f>
        <x:v>無効</x:v>
      </x:c>
      <x:c r="AD36" s="14"/>
      <x:c r="AE36" s="14"/>
      <x:c r="AF36" s="14"/>
      <x:c r="AH36" s="14"/>
      <x:c r="AJ36" s="14"/>
      <x:c r="AN36" s="14"/>
      <x:c r="AO36" s="14"/>
      <x:c r="AP36" s="14"/>
      <x:c r="AR36" s="14"/>
      <x:c r="AT36" s="14"/>
      <x:c r="AX36" s="14"/>
      <x:c r="AY36" s="14"/>
      <x:c r="AZ36" s="14"/>
      <x:c r="BB36" s="14"/>
      <x:c r="BD36" s="14"/>
      <x:c r="BE36" s="14"/>
      <x:c r="BF36" s="14"/>
      <x:c r="BK36" s="14"/>
      <x:c r="BM36" s="14"/>
      <x:c r="BN36" s="14"/>
      <x:c r="BP36" s="14"/>
      <x:c r="BQ36" s="14"/>
      <x:c r="BR36" s="14"/>
      <x:c r="BT36" s="14"/>
      <x:c r="BU36" s="14"/>
      <x:c r="BV36" s="14"/>
      <x:c r="BW36" s="14"/>
      <x:c r="BX36" s="14"/>
      <x:c r="BY36" s="14"/>
      <x:c r="BZ36" s="14"/>
      <x:c r="CA36" s="14"/>
      <x:c r="CB36" s="14"/>
      <x:c r="CC36" s="14"/>
      <x:c r="CD36" s="14"/>
      <x:c r="CE36" s="14"/>
      <x:c r="CF36" s="14"/>
      <x:c r="CJ36" s="14"/>
      <x:c r="CK36" s="14"/>
      <x:c r="CL36" s="14"/>
      <x:c r="CM36" s="14"/>
      <x:c r="CO36" s="14"/>
      <x:c r="CQ36" s="14"/>
      <x:c r="CS36" s="14"/>
      <x:c r="CT36" s="14"/>
      <x:c r="CU36" s="14"/>
      <x:c r="CW36" s="14"/>
      <x:c r="CX36" s="14"/>
      <x:c r="CY36" s="14"/>
      <x:c r="CZ36" s="14"/>
      <x:c r="DC36" s="14"/>
      <x:c r="DD36" s="14"/>
      <x:c r="DI36" s="88" t="str">
        <x:v>パッシブ</x:v>
      </x:c>
      <x:c r="DJ36" s="88" t="str">
        <x:v>使用者</x:v>
      </x:c>
      <x:c r="DK36" s="88" t="str">
        <x:v>追従なし</x:v>
      </x:c>
      <x:c r="DL36" s="88" t="str">
        <x:v>命中時</x:v>
      </x:c>
      <x:c r="DM36" s="88" t="n">
        <x:v>1</x:v>
      </x:c>
      <x:c r="DN36" s="88" t="str">
        <x:v>配合確率</x:v>
      </x:c>
      <x:c r="DO36" s="88" t="n">
        <x:v>10</x:v>
      </x:c>
      <x:c r="DP36" s="88" t="str">
        <x:v>なし</x:v>
      </x:c>
      <x:c r="DQ36" s="88" t="n">
        <x:v>0</x:v>
      </x:c>
      <x:c r="DR36" s="88" t="str">
        <x:v>なし</x:v>
      </x:c>
      <x:c r="DS36" s="88" t="n">
        <x:v>0</x:v>
      </x:c>
    </x:row>
    <x:row r="37" ht="25" customHeight="1">
      <x:c r="A37" s="10" t="str">
        <x:v>36</x:v>
      </x:c>
      <x:c r="B37" t="str">
        <x:v>武器取得数＋1</x:v>
      </x:c>
      <x:c r="C37" t="str">
        <x:v>枠にセット中のみ有効。</x:v>
      </x:c>
      <x:c r="D37" s="12" t="n">
        <x:v>1</x:v>
      </x:c>
      <x:c r="E37" s="12" t="n">
        <x:v>1</x:v>
      </x:c>
      <x:c r="F37" s="12" t="n">
        <x:v>0</x:v>
      </x:c>
      <x:c r="G37" s="14" t="n">
        <x:v>0</x:v>
      </x:c>
      <x:c r="H37" s="14" t="n">
        <x:v>0</x:v>
      </x:c>
      <x:c r="I37" s="14" t="n">
        <x:v>0</x:v>
      </x:c>
      <x:c r="J37" s="14" t="n">
        <x:v>0</x:v>
      </x:c>
      <x:c r="K37" t="str">
        <x:v>自身</x:v>
      </x:c>
      <x:c r="L37" t="str">
        <x:v>なし</x:v>
      </x:c>
      <x:c r="M37" t="str">
        <x:v>なし</x:v>
      </x:c>
      <x:c r="N37" s="14" t="n">
        <x:v>0</x:v>
      </x:c>
      <x:c r="O37" s="12" t="n">
        <x:v>0</x:v>
      </x:c>
      <x:c r="P37" t="str">
        <x:v>使用者と同じ</x:v>
      </x:c>
      <x:c r="Q37" t="str">
        <x:v>無効</x:v>
      </x:c>
      <x:c r="R37" t="str">
        <x:v>自身</x:v>
      </x:c>
      <x:c r="S37" s="14" t="n">
        <x:v>0</x:v>
      </x:c>
      <x:c r="T37" s="12" t="n">
        <x:v>1</x:v>
      </x:c>
      <x:c r="U37" t="str">
        <x:v>即時</x:v>
      </x:c>
      <x:c r="V37" s="42" t="n">
        <x:f>IF($A37="","",IF(AND($U37="発射物",$DI37&lt;&gt;"パッシブ"),$BE37,0))</x:f>
        <x:v>0</x:v>
      </x:c>
      <x:c r="W37" s="42" t="n">
        <x:f>IF($A37="","",IF(AND($U37="発射物",$DI37&lt;&gt;"パッシブ"),$BF37,0))</x:f>
        <x:v>0</x:v>
      </x:c>
      <x:c r="X37" s="42" t="str">
        <x:f>IF($A37="","",IF(AND($U37="発射物",$DI37&lt;&gt;"パッシブ"),IF($BG37="有効","有効","無効"),"無効"))</x:f>
        <x:v>無効</x:v>
      </x:c>
      <x:c r="AD37" s="14"/>
      <x:c r="AE37" s="14"/>
      <x:c r="AF37" s="14"/>
      <x:c r="AH37" s="14"/>
      <x:c r="AJ37" s="14"/>
      <x:c r="AN37" s="14"/>
      <x:c r="AO37" s="14"/>
      <x:c r="AP37" s="14"/>
      <x:c r="AR37" s="14"/>
      <x:c r="AT37" s="14"/>
      <x:c r="AX37" s="14"/>
      <x:c r="AY37" s="14"/>
      <x:c r="AZ37" s="14"/>
      <x:c r="BB37" s="14"/>
      <x:c r="BD37" s="14"/>
      <x:c r="BE37" s="14"/>
      <x:c r="BF37" s="14"/>
      <x:c r="BK37" s="14"/>
      <x:c r="BM37" s="14"/>
      <x:c r="BN37" s="14"/>
      <x:c r="BP37" s="14"/>
      <x:c r="BQ37" s="14"/>
      <x:c r="BR37" s="14"/>
      <x:c r="BT37" s="14"/>
      <x:c r="BU37" s="14"/>
      <x:c r="BV37" s="14"/>
      <x:c r="BW37" s="14"/>
      <x:c r="BX37" s="14"/>
      <x:c r="BY37" s="14"/>
      <x:c r="BZ37" s="14"/>
      <x:c r="CA37" s="14"/>
      <x:c r="CB37" s="14"/>
      <x:c r="CC37" s="14"/>
      <x:c r="CD37" s="14"/>
      <x:c r="CE37" s="14"/>
      <x:c r="CF37" s="14"/>
      <x:c r="CJ37" s="14"/>
      <x:c r="CK37" s="14"/>
      <x:c r="CL37" s="14"/>
      <x:c r="CM37" s="14"/>
      <x:c r="CO37" s="14"/>
      <x:c r="CQ37" s="14"/>
      <x:c r="CS37" s="14"/>
      <x:c r="CT37" s="14"/>
      <x:c r="CU37" s="14"/>
      <x:c r="CW37" s="14"/>
      <x:c r="CX37" s="14"/>
      <x:c r="CY37" s="14"/>
      <x:c r="CZ37" s="14"/>
      <x:c r="DC37" s="14"/>
      <x:c r="DD37" s="14"/>
      <x:c r="DI37" s="88" t="str">
        <x:v>パッシブ</x:v>
      </x:c>
      <x:c r="DJ37" s="88" t="str">
        <x:v>使用者</x:v>
      </x:c>
      <x:c r="DK37" s="88" t="str">
        <x:v>追従なし</x:v>
      </x:c>
      <x:c r="DL37" s="88" t="str">
        <x:v>命中時</x:v>
      </x:c>
      <x:c r="DM37" s="88" t="n">
        <x:v>1</x:v>
      </x:c>
      <x:c r="DN37" s="88" t="str">
        <x:v>武器取得数</x:v>
      </x:c>
      <x:c r="DO37" s="88" t="n">
        <x:v>1</x:v>
      </x:c>
      <x:c r="DP37" s="88" t="str">
        <x:v>なし</x:v>
      </x:c>
      <x:c r="DQ37" s="88" t="n">
        <x:v>0</x:v>
      </x:c>
      <x:c r="DR37" s="88" t="str">
        <x:v>なし</x:v>
      </x:c>
      <x:c r="DS37" s="88" t="n">
        <x:v>0</x:v>
      </x:c>
    </x:row>
    <x:row r="38" ht="25" customHeight="1">
      <x:c r="A38" s="10" t="str">
        <x:v>37</x:v>
      </x:c>
      <x:c r="B38" t="str">
        <x:v>称号抽選回数＋1</x:v>
      </x:c>
      <x:c r="C38" t="str">
        <x:v>枠にセット中のみ有効。</x:v>
      </x:c>
      <x:c r="D38" s="12" t="n">
        <x:v>1</x:v>
      </x:c>
      <x:c r="E38" s="12" t="n">
        <x:v>1</x:v>
      </x:c>
      <x:c r="F38" s="12" t="n">
        <x:v>0</x:v>
      </x:c>
      <x:c r="G38" s="14" t="n">
        <x:v>0</x:v>
      </x:c>
      <x:c r="H38" s="14" t="n">
        <x:v>0</x:v>
      </x:c>
      <x:c r="I38" s="14" t="n">
        <x:v>0</x:v>
      </x:c>
      <x:c r="J38" s="14" t="n">
        <x:v>0</x:v>
      </x:c>
      <x:c r="K38" t="str">
        <x:v>自身</x:v>
      </x:c>
      <x:c r="L38" t="str">
        <x:v>なし</x:v>
      </x:c>
      <x:c r="M38" t="str">
        <x:v>なし</x:v>
      </x:c>
      <x:c r="N38" s="14" t="n">
        <x:v>0</x:v>
      </x:c>
      <x:c r="O38" s="12" t="n">
        <x:v>0</x:v>
      </x:c>
      <x:c r="P38" t="str">
        <x:v>使用者と同じ</x:v>
      </x:c>
      <x:c r="Q38" t="str">
        <x:v>無効</x:v>
      </x:c>
      <x:c r="R38" t="str">
        <x:v>自身</x:v>
      </x:c>
      <x:c r="S38" s="14" t="n">
        <x:v>0</x:v>
      </x:c>
      <x:c r="T38" s="12" t="n">
        <x:v>1</x:v>
      </x:c>
      <x:c r="U38" t="str">
        <x:v>即時</x:v>
      </x:c>
      <x:c r="V38" s="42" t="n">
        <x:f>IF($A38="","",IF(AND($U38="発射物",$DI38&lt;&gt;"パッシブ"),$BE38,0))</x:f>
        <x:v>0</x:v>
      </x:c>
      <x:c r="W38" s="42" t="n">
        <x:f>IF($A38="","",IF(AND($U38="発射物",$DI38&lt;&gt;"パッシブ"),$BF38,0))</x:f>
        <x:v>0</x:v>
      </x:c>
      <x:c r="X38" s="42" t="str">
        <x:f>IF($A38="","",IF(AND($U38="発射物",$DI38&lt;&gt;"パッシブ"),IF($BG38="有効","有効","無効"),"無効"))</x:f>
        <x:v>無効</x:v>
      </x:c>
      <x:c r="AD38" s="14"/>
      <x:c r="AE38" s="14"/>
      <x:c r="AF38" s="14"/>
      <x:c r="AH38" s="14"/>
      <x:c r="AJ38" s="14"/>
      <x:c r="AN38" s="14"/>
      <x:c r="AO38" s="14"/>
      <x:c r="AP38" s="14"/>
      <x:c r="AR38" s="14"/>
      <x:c r="AT38" s="14"/>
      <x:c r="AX38" s="14"/>
      <x:c r="AY38" s="14"/>
      <x:c r="AZ38" s="14"/>
      <x:c r="BB38" s="14"/>
      <x:c r="BD38" s="14"/>
      <x:c r="BE38" s="14"/>
      <x:c r="BF38" s="14"/>
      <x:c r="BK38" s="14"/>
      <x:c r="BM38" s="14"/>
      <x:c r="BN38" s="14"/>
      <x:c r="BP38" s="14"/>
      <x:c r="BQ38" s="14"/>
      <x:c r="BR38" s="14"/>
      <x:c r="BT38" s="14"/>
      <x:c r="BU38" s="14"/>
      <x:c r="BV38" s="14"/>
      <x:c r="BW38" s="14"/>
      <x:c r="BX38" s="14"/>
      <x:c r="BY38" s="14"/>
      <x:c r="BZ38" s="14"/>
      <x:c r="CA38" s="14"/>
      <x:c r="CB38" s="14"/>
      <x:c r="CC38" s="14"/>
      <x:c r="CD38" s="14"/>
      <x:c r="CE38" s="14"/>
      <x:c r="CF38" s="14"/>
      <x:c r="CJ38" s="14"/>
      <x:c r="CK38" s="14"/>
      <x:c r="CL38" s="14"/>
      <x:c r="CM38" s="14"/>
      <x:c r="CO38" s="14"/>
      <x:c r="CQ38" s="14"/>
      <x:c r="CS38" s="14"/>
      <x:c r="CT38" s="14"/>
      <x:c r="CU38" s="14"/>
      <x:c r="CW38" s="14"/>
      <x:c r="CX38" s="14"/>
      <x:c r="CY38" s="14"/>
      <x:c r="CZ38" s="14"/>
      <x:c r="DC38" s="14"/>
      <x:c r="DD38" s="14"/>
      <x:c r="DI38" s="88" t="str">
        <x:v>パッシブ</x:v>
      </x:c>
      <x:c r="DJ38" s="88" t="str">
        <x:v>使用者</x:v>
      </x:c>
      <x:c r="DK38" s="88" t="str">
        <x:v>追従なし</x:v>
      </x:c>
      <x:c r="DL38" s="88" t="str">
        <x:v>命中時</x:v>
      </x:c>
      <x:c r="DM38" s="88" t="n">
        <x:v>1</x:v>
      </x:c>
      <x:c r="DN38" s="88" t="str">
        <x:v>称号抽選回数</x:v>
      </x:c>
      <x:c r="DO38" s="88" t="n">
        <x:v>1</x:v>
      </x:c>
      <x:c r="DP38" s="88" t="str">
        <x:v>なし</x:v>
      </x:c>
      <x:c r="DQ38" s="88" t="n">
        <x:v>0</x:v>
      </x:c>
      <x:c r="DR38" s="88" t="str">
        <x:v>なし</x:v>
      </x:c>
      <x:c r="DS38" s="88" t="n">
        <x:v>0</x:v>
      </x:c>
    </x:row>
    <x:row r="39" ht="25" customHeight="1">
      <x:c r="A39" s="10" t="str">
        <x:v>38</x:v>
      </x:c>
      <x:c r="B39" t="str">
        <x:v>敵リスポーン速度＋10％</x:v>
      </x:c>
      <x:c r="C39" t="str">
        <x:v>枠にセット中のみ有効。</x:v>
      </x:c>
      <x:c r="D39" s="12" t="n">
        <x:v>1</x:v>
      </x:c>
      <x:c r="E39" s="12" t="n">
        <x:v>1</x:v>
      </x:c>
      <x:c r="F39" s="12" t="n">
        <x:v>0</x:v>
      </x:c>
      <x:c r="G39" s="14" t="n">
        <x:v>0</x:v>
      </x:c>
      <x:c r="H39" s="14" t="n">
        <x:v>0</x:v>
      </x:c>
      <x:c r="I39" s="14" t="n">
        <x:v>0</x:v>
      </x:c>
      <x:c r="J39" s="14" t="n">
        <x:v>0</x:v>
      </x:c>
      <x:c r="K39" t="str">
        <x:v>自身</x:v>
      </x:c>
      <x:c r="L39" t="str">
        <x:v>なし</x:v>
      </x:c>
      <x:c r="M39" t="str">
        <x:v>なし</x:v>
      </x:c>
      <x:c r="N39" s="14" t="n">
        <x:v>0</x:v>
      </x:c>
      <x:c r="O39" s="12" t="n">
        <x:v>0</x:v>
      </x:c>
      <x:c r="P39" t="str">
        <x:v>使用者と同じ</x:v>
      </x:c>
      <x:c r="Q39" t="str">
        <x:v>無効</x:v>
      </x:c>
      <x:c r="R39" t="str">
        <x:v>自身</x:v>
      </x:c>
      <x:c r="S39" s="14" t="n">
        <x:v>0</x:v>
      </x:c>
      <x:c r="T39" s="12" t="n">
        <x:v>1</x:v>
      </x:c>
      <x:c r="U39" t="str">
        <x:v>即時</x:v>
      </x:c>
      <x:c r="V39" s="42" t="n">
        <x:f>IF($A39="","",IF(AND($U39="発射物",$DI39&lt;&gt;"パッシブ"),$BE39,0))</x:f>
        <x:v>0</x:v>
      </x:c>
      <x:c r="W39" s="42" t="n">
        <x:f>IF($A39="","",IF(AND($U39="発射物",$DI39&lt;&gt;"パッシブ"),$BF39,0))</x:f>
        <x:v>0</x:v>
      </x:c>
      <x:c r="X39" s="42" t="str">
        <x:f>IF($A39="","",IF(AND($U39="発射物",$DI39&lt;&gt;"パッシブ"),IF($BG39="有効","有効","無効"),"無効"))</x:f>
        <x:v>無効</x:v>
      </x:c>
      <x:c r="AD39" s="14"/>
      <x:c r="AE39" s="14"/>
      <x:c r="AF39" s="14"/>
      <x:c r="AH39" s="14"/>
      <x:c r="AJ39" s="14"/>
      <x:c r="AN39" s="14"/>
      <x:c r="AO39" s="14"/>
      <x:c r="AP39" s="14"/>
      <x:c r="AR39" s="14"/>
      <x:c r="AT39" s="14"/>
      <x:c r="AX39" s="14"/>
      <x:c r="AY39" s="14"/>
      <x:c r="AZ39" s="14"/>
      <x:c r="BB39" s="14"/>
      <x:c r="BD39" s="14"/>
      <x:c r="BE39" s="14"/>
      <x:c r="BF39" s="14"/>
      <x:c r="BK39" s="14"/>
      <x:c r="BM39" s="14"/>
      <x:c r="BN39" s="14"/>
      <x:c r="BP39" s="14"/>
      <x:c r="BQ39" s="14"/>
      <x:c r="BR39" s="14"/>
      <x:c r="BT39" s="14"/>
      <x:c r="BU39" s="14"/>
      <x:c r="BV39" s="14"/>
      <x:c r="BW39" s="14"/>
      <x:c r="BX39" s="14"/>
      <x:c r="BY39" s="14"/>
      <x:c r="BZ39" s="14"/>
      <x:c r="CA39" s="14"/>
      <x:c r="CB39" s="14"/>
      <x:c r="CC39" s="14"/>
      <x:c r="CD39" s="14"/>
      <x:c r="CE39" s="14"/>
      <x:c r="CF39" s="14"/>
      <x:c r="CJ39" s="14"/>
      <x:c r="CK39" s="14"/>
      <x:c r="CL39" s="14"/>
      <x:c r="CM39" s="14"/>
      <x:c r="CO39" s="14"/>
      <x:c r="CQ39" s="14"/>
      <x:c r="CS39" s="14"/>
      <x:c r="CT39" s="14"/>
      <x:c r="CU39" s="14"/>
      <x:c r="CW39" s="14"/>
      <x:c r="CX39" s="14"/>
      <x:c r="CY39" s="14"/>
      <x:c r="CZ39" s="14"/>
      <x:c r="DC39" s="14"/>
      <x:c r="DD39" s="14"/>
      <x:c r="DI39" s="88" t="str">
        <x:v>パッシブ</x:v>
      </x:c>
      <x:c r="DJ39" s="88" t="str">
        <x:v>使用者</x:v>
      </x:c>
      <x:c r="DK39" s="88" t="str">
        <x:v>追従なし</x:v>
      </x:c>
      <x:c r="DL39" s="88" t="str">
        <x:v>命中時</x:v>
      </x:c>
      <x:c r="DM39" s="88" t="n">
        <x:v>1</x:v>
      </x:c>
      <x:c r="DN39" s="88" t="str">
        <x:v>敵リスポーン速度</x:v>
      </x:c>
      <x:c r="DO39" s="88" t="n">
        <x:v>10</x:v>
      </x:c>
      <x:c r="DP39" s="88" t="str">
        <x:v>なし</x:v>
      </x:c>
      <x:c r="DQ39" s="88" t="n">
        <x:v>0</x:v>
      </x:c>
      <x:c r="DR39" s="88" t="str">
        <x:v>なし</x:v>
      </x:c>
      <x:c r="DS39" s="88" t="n">
        <x:v>0</x:v>
      </x:c>
    </x:row>
    <x:row r="40" ht="25" customHeight="1">
      <x:c r="A40" s="10"/>
      <x:c r="D40" s="12"/>
      <x:c r="E40" s="12"/>
      <x:c r="F40" s="12"/>
      <x:c r="G40" s="14"/>
      <x:c r="H40" s="14"/>
      <x:c r="I40" s="14"/>
      <x:c r="J40" s="14"/>
      <x:c r="N40" s="14"/>
      <x:c r="O40" s="12"/>
      <x:c r="S40" s="14"/>
      <x:c r="T40" s="12"/>
      <x:c r="V40" s="42" t="str">
        <x:f>IF($A40="","",IF(AND($U40="発射物",$DI40&lt;&gt;"パッシブ"),$BE40,0))</x:f>
      </x:c>
      <x:c r="W40" s="42" t="str">
        <x:f>IF($A40="","",IF(AND($U40="発射物",$DI40&lt;&gt;"パッシブ"),$BF40,0))</x:f>
      </x:c>
      <x:c r="X40" s="42" t="str">
        <x:f>IF($A40="","",IF(AND($U40="発射物",$DI40&lt;&gt;"パッシブ"),IF($BG40="有効","有効","無効"),"無効"))</x:f>
      </x:c>
      <x:c r="AD40" s="14"/>
      <x:c r="AE40" s="14"/>
      <x:c r="AF40" s="14"/>
      <x:c r="AH40" s="14"/>
      <x:c r="AJ40" s="14"/>
      <x:c r="AN40" s="14"/>
      <x:c r="AO40" s="14"/>
      <x:c r="AP40" s="14"/>
      <x:c r="AR40" s="14"/>
      <x:c r="AT40" s="14"/>
      <x:c r="AX40" s="14"/>
      <x:c r="AY40" s="14"/>
      <x:c r="AZ40" s="14"/>
      <x:c r="BB40" s="14"/>
      <x:c r="BD40" s="14"/>
      <x:c r="BE40" s="14"/>
      <x:c r="BF40" s="14"/>
      <x:c r="BK40" s="14"/>
      <x:c r="BM40" s="14"/>
      <x:c r="BN40" s="14"/>
      <x:c r="BP40" s="14"/>
      <x:c r="BQ40" s="14"/>
      <x:c r="BR40" s="14"/>
      <x:c r="BT40" s="14"/>
      <x:c r="BU40" s="14"/>
      <x:c r="BV40" s="14"/>
      <x:c r="BW40" s="14"/>
      <x:c r="BX40" s="14"/>
      <x:c r="BY40" s="14"/>
      <x:c r="BZ40" s="14"/>
      <x:c r="CA40" s="14"/>
      <x:c r="CB40" s="14"/>
      <x:c r="CC40" s="14"/>
      <x:c r="CD40" s="14"/>
      <x:c r="CE40" s="14"/>
      <x:c r="CF40" s="14"/>
      <x:c r="CJ40" s="14"/>
      <x:c r="CK40" s="14"/>
      <x:c r="CL40" s="14"/>
      <x:c r="CM40" s="14"/>
      <x:c r="CO40" s="14"/>
      <x:c r="CQ40" s="14"/>
      <x:c r="CS40" s="14"/>
      <x:c r="CT40" s="14"/>
      <x:c r="CU40" s="14"/>
      <x:c r="CW40" s="14"/>
      <x:c r="CX40" s="14"/>
      <x:c r="CY40" s="14"/>
      <x:c r="CZ40" s="14"/>
      <x:c r="DC40" s="14"/>
      <x:c r="DD40" s="14"/>
      <x:c r="DI40" s="88"/>
      <x:c r="DJ40" s="88"/>
      <x:c r="DK40" s="88"/>
      <x:c r="DL40" s="88"/>
      <x:c r="DM40" s="88"/>
      <x:c r="DN40" s="88"/>
      <x:c r="DO40" s="88"/>
      <x:c r="DP40" s="88"/>
      <x:c r="DQ40" s="88"/>
      <x:c r="DR40" s="88"/>
      <x:c r="DS40" s="88"/>
    </x:row>
    <x:row r="41" ht="25" customHeight="1">
      <x:c r="A41" s="10"/>
      <x:c r="D41" s="12"/>
      <x:c r="E41" s="12"/>
      <x:c r="F41" s="12"/>
      <x:c r="G41" s="14"/>
      <x:c r="H41" s="14"/>
      <x:c r="I41" s="14"/>
      <x:c r="J41" s="14"/>
      <x:c r="N41" s="14"/>
      <x:c r="O41" s="12"/>
      <x:c r="S41" s="14"/>
      <x:c r="T41" s="12"/>
      <x:c r="V41" s="42" t="str">
        <x:f>IF($A41="","",IF(AND($U41="発射物",$DI41&lt;&gt;"パッシブ"),$BE41,0))</x:f>
      </x:c>
      <x:c r="W41" s="42" t="str">
        <x:f>IF($A41="","",IF(AND($U41="発射物",$DI41&lt;&gt;"パッシブ"),$BF41,0))</x:f>
      </x:c>
      <x:c r="X41" s="42" t="str">
        <x:f>IF($A41="","",IF(AND($U41="発射物",$DI41&lt;&gt;"パッシブ"),IF($BG41="有効","有効","無効"),"無効"))</x:f>
      </x:c>
      <x:c r="AD41" s="14"/>
      <x:c r="AE41" s="14"/>
      <x:c r="AF41" s="14"/>
      <x:c r="AH41" s="14"/>
      <x:c r="AJ41" s="14"/>
      <x:c r="AN41" s="14"/>
      <x:c r="AO41" s="14"/>
      <x:c r="AP41" s="14"/>
      <x:c r="AR41" s="14"/>
      <x:c r="AT41" s="14"/>
      <x:c r="AX41" s="14"/>
      <x:c r="AY41" s="14"/>
      <x:c r="AZ41" s="14"/>
      <x:c r="BB41" s="14"/>
      <x:c r="BD41" s="14"/>
      <x:c r="BE41" s="14"/>
      <x:c r="BF41" s="14"/>
      <x:c r="BK41" s="14"/>
      <x:c r="BM41" s="14"/>
      <x:c r="BN41" s="14"/>
      <x:c r="BP41" s="14"/>
      <x:c r="BQ41" s="14"/>
      <x:c r="BR41" s="14"/>
      <x:c r="BT41" s="14"/>
      <x:c r="BU41" s="14"/>
      <x:c r="BV41" s="14"/>
      <x:c r="BW41" s="14"/>
      <x:c r="BX41" s="14"/>
      <x:c r="BY41" s="14"/>
      <x:c r="BZ41" s="14"/>
      <x:c r="CA41" s="14"/>
      <x:c r="CB41" s="14"/>
      <x:c r="CC41" s="14"/>
      <x:c r="CD41" s="14"/>
      <x:c r="CE41" s="14"/>
      <x:c r="CF41" s="14"/>
      <x:c r="CJ41" s="14"/>
      <x:c r="CK41" s="14"/>
      <x:c r="CL41" s="14"/>
      <x:c r="CM41" s="14"/>
      <x:c r="CO41" s="14"/>
      <x:c r="CQ41" s="14"/>
      <x:c r="CS41" s="14"/>
      <x:c r="CT41" s="14"/>
      <x:c r="CU41" s="14"/>
      <x:c r="CW41" s="14"/>
      <x:c r="CX41" s="14"/>
      <x:c r="CY41" s="14"/>
      <x:c r="CZ41" s="14"/>
      <x:c r="DC41" s="14"/>
      <x:c r="DD41" s="14"/>
      <x:c r="DI41" s="88"/>
      <x:c r="DJ41" s="88"/>
      <x:c r="DK41" s="88"/>
      <x:c r="DL41" s="88"/>
      <x:c r="DM41" s="88"/>
      <x:c r="DN41" s="88"/>
      <x:c r="DO41" s="88"/>
      <x:c r="DP41" s="88"/>
      <x:c r="DQ41" s="88"/>
      <x:c r="DR41" s="88"/>
      <x:c r="DS41" s="88"/>
    </x:row>
    <x:row r="42" ht="25" customHeight="1">
      <x:c r="A42" s="10"/>
      <x:c r="D42" s="12"/>
      <x:c r="E42" s="12"/>
      <x:c r="F42" s="12"/>
      <x:c r="G42" s="14"/>
      <x:c r="H42" s="14"/>
      <x:c r="I42" s="14"/>
      <x:c r="J42" s="14"/>
      <x:c r="N42" s="14"/>
      <x:c r="O42" s="12"/>
      <x:c r="S42" s="14"/>
      <x:c r="T42" s="12"/>
      <x:c r="V42" s="42" t="str">
        <x:f>IF($A42="","",IF(AND($U42="発射物",$DI42&lt;&gt;"パッシブ"),$BE42,0))</x:f>
      </x:c>
      <x:c r="W42" s="42" t="str">
        <x:f>IF($A42="","",IF(AND($U42="発射物",$DI42&lt;&gt;"パッシブ"),$BF42,0))</x:f>
      </x:c>
      <x:c r="X42" s="42" t="str">
        <x:f>IF($A42="","",IF(AND($U42="発射物",$DI42&lt;&gt;"パッシブ"),IF($BG42="有効","有効","無効"),"無効"))</x:f>
      </x:c>
      <x:c r="AD42" s="14"/>
      <x:c r="AE42" s="14"/>
      <x:c r="AF42" s="14"/>
      <x:c r="AH42" s="14"/>
      <x:c r="AJ42" s="14"/>
      <x:c r="AN42" s="14"/>
      <x:c r="AO42" s="14"/>
      <x:c r="AP42" s="14"/>
      <x:c r="AR42" s="14"/>
      <x:c r="AT42" s="14"/>
      <x:c r="AX42" s="14"/>
      <x:c r="AY42" s="14"/>
      <x:c r="AZ42" s="14"/>
      <x:c r="BB42" s="14"/>
      <x:c r="BD42" s="14"/>
      <x:c r="BE42" s="14"/>
      <x:c r="BF42" s="14"/>
      <x:c r="BK42" s="14"/>
      <x:c r="BM42" s="14"/>
      <x:c r="BN42" s="14"/>
      <x:c r="BP42" s="14"/>
      <x:c r="BQ42" s="14"/>
      <x:c r="BR42" s="14"/>
      <x:c r="BT42" s="14"/>
      <x:c r="BU42" s="14"/>
      <x:c r="BV42" s="14"/>
      <x:c r="BW42" s="14"/>
      <x:c r="BX42" s="14"/>
      <x:c r="BY42" s="14"/>
      <x:c r="BZ42" s="14"/>
      <x:c r="CA42" s="14"/>
      <x:c r="CB42" s="14"/>
      <x:c r="CC42" s="14"/>
      <x:c r="CD42" s="14"/>
      <x:c r="CE42" s="14"/>
      <x:c r="CF42" s="14"/>
      <x:c r="CJ42" s="14"/>
      <x:c r="CK42" s="14"/>
      <x:c r="CL42" s="14"/>
      <x:c r="CM42" s="14"/>
      <x:c r="CO42" s="14"/>
      <x:c r="CQ42" s="14"/>
      <x:c r="CS42" s="14"/>
      <x:c r="CT42" s="14"/>
      <x:c r="CU42" s="14"/>
      <x:c r="CW42" s="14"/>
      <x:c r="CX42" s="14"/>
      <x:c r="CY42" s="14"/>
      <x:c r="CZ42" s="14"/>
      <x:c r="DC42" s="14"/>
      <x:c r="DD42" s="14"/>
      <x:c r="DI42" s="88"/>
      <x:c r="DJ42" s="88"/>
      <x:c r="DK42" s="88"/>
      <x:c r="DL42" s="88"/>
      <x:c r="DM42" s="88"/>
      <x:c r="DN42" s="88"/>
      <x:c r="DO42" s="88"/>
      <x:c r="DP42" s="88"/>
      <x:c r="DQ42" s="88"/>
      <x:c r="DR42" s="88"/>
      <x:c r="DS42" s="88"/>
    </x:row>
    <x:row r="43" ht="25" customHeight="1">
      <x:c r="A43" s="10"/>
      <x:c r="D43" s="12"/>
      <x:c r="E43" s="12"/>
      <x:c r="F43" s="12"/>
      <x:c r="G43" s="14"/>
      <x:c r="H43" s="14"/>
      <x:c r="I43" s="14"/>
      <x:c r="J43" s="14"/>
      <x:c r="N43" s="14"/>
      <x:c r="O43" s="12"/>
      <x:c r="S43" s="14"/>
      <x:c r="T43" s="12"/>
      <x:c r="V43" s="42" t="str">
        <x:f>IF($A43="","",IF(AND($U43="発射物",$DI43&lt;&gt;"パッシブ"),$BE43,0))</x:f>
      </x:c>
      <x:c r="W43" s="42" t="str">
        <x:f>IF($A43="","",IF(AND($U43="発射物",$DI43&lt;&gt;"パッシブ"),$BF43,0))</x:f>
      </x:c>
      <x:c r="X43" s="42" t="str">
        <x:f>IF($A43="","",IF(AND($U43="発射物",$DI43&lt;&gt;"パッシブ"),IF($BG43="有効","有効","無効"),"無効"))</x:f>
      </x:c>
      <x:c r="AD43" s="14"/>
      <x:c r="AE43" s="14"/>
      <x:c r="AF43" s="14"/>
      <x:c r="AH43" s="14"/>
      <x:c r="AJ43" s="14"/>
      <x:c r="AN43" s="14"/>
      <x:c r="AO43" s="14"/>
      <x:c r="AP43" s="14"/>
      <x:c r="AR43" s="14"/>
      <x:c r="AT43" s="14"/>
      <x:c r="AX43" s="14"/>
      <x:c r="AY43" s="14"/>
      <x:c r="AZ43" s="14"/>
      <x:c r="BB43" s="14"/>
      <x:c r="BD43" s="14"/>
      <x:c r="BE43" s="14"/>
      <x:c r="BF43" s="14"/>
      <x:c r="BK43" s="14"/>
      <x:c r="BM43" s="14"/>
      <x:c r="BN43" s="14"/>
      <x:c r="BP43" s="14"/>
      <x:c r="BQ43" s="14"/>
      <x:c r="BR43" s="14"/>
      <x:c r="BT43" s="14"/>
      <x:c r="BU43" s="14"/>
      <x:c r="BV43" s="14"/>
      <x:c r="BW43" s="14"/>
      <x:c r="BX43" s="14"/>
      <x:c r="BY43" s="14"/>
      <x:c r="BZ43" s="14"/>
      <x:c r="CA43" s="14"/>
      <x:c r="CB43" s="14"/>
      <x:c r="CC43" s="14"/>
      <x:c r="CD43" s="14"/>
      <x:c r="CE43" s="14"/>
      <x:c r="CF43" s="14"/>
      <x:c r="CJ43" s="14"/>
      <x:c r="CK43" s="14"/>
      <x:c r="CL43" s="14"/>
      <x:c r="CM43" s="14"/>
      <x:c r="CO43" s="14"/>
      <x:c r="CQ43" s="14"/>
      <x:c r="CS43" s="14"/>
      <x:c r="CT43" s="14"/>
      <x:c r="CU43" s="14"/>
      <x:c r="CW43" s="14"/>
      <x:c r="CX43" s="14"/>
      <x:c r="CY43" s="14"/>
      <x:c r="CZ43" s="14"/>
      <x:c r="DC43" s="14"/>
      <x:c r="DD43" s="14"/>
      <x:c r="DI43" s="88"/>
      <x:c r="DJ43" s="88"/>
      <x:c r="DK43" s="88"/>
      <x:c r="DL43" s="88"/>
      <x:c r="DM43" s="88"/>
      <x:c r="DN43" s="88"/>
      <x:c r="DO43" s="88"/>
      <x:c r="DP43" s="88"/>
      <x:c r="DQ43" s="88"/>
      <x:c r="DR43" s="88"/>
      <x:c r="DS43" s="88"/>
    </x:row>
    <x:row r="44" ht="25" customHeight="1">
      <x:c r="A44" s="10"/>
      <x:c r="D44" s="12"/>
      <x:c r="E44" s="12"/>
      <x:c r="F44" s="12"/>
      <x:c r="G44" s="14"/>
      <x:c r="H44" s="14"/>
      <x:c r="I44" s="14"/>
      <x:c r="J44" s="14"/>
      <x:c r="N44" s="14"/>
      <x:c r="O44" s="12"/>
      <x:c r="S44" s="14"/>
      <x:c r="T44" s="12"/>
      <x:c r="V44" s="42" t="str">
        <x:f>IF($A44="","",IF(AND($U44="発射物",$DI44&lt;&gt;"パッシブ"),$BE44,0))</x:f>
      </x:c>
      <x:c r="W44" s="42" t="str">
        <x:f>IF($A44="","",IF(AND($U44="発射物",$DI44&lt;&gt;"パッシブ"),$BF44,0))</x:f>
      </x:c>
      <x:c r="X44" s="42" t="str">
        <x:f>IF($A44="","",IF(AND($U44="発射物",$DI44&lt;&gt;"パッシブ"),IF($BG44="有効","有効","無効"),"無効"))</x:f>
      </x:c>
      <x:c r="AD44" s="14"/>
      <x:c r="AE44" s="14"/>
      <x:c r="AF44" s="14"/>
      <x:c r="AH44" s="14"/>
      <x:c r="AJ44" s="14"/>
      <x:c r="AN44" s="14"/>
      <x:c r="AO44" s="14"/>
      <x:c r="AP44" s="14"/>
      <x:c r="AR44" s="14"/>
      <x:c r="AT44" s="14"/>
      <x:c r="AX44" s="14"/>
      <x:c r="AY44" s="14"/>
      <x:c r="AZ44" s="14"/>
      <x:c r="BB44" s="14"/>
      <x:c r="BD44" s="14"/>
      <x:c r="BE44" s="14"/>
      <x:c r="BF44" s="14"/>
      <x:c r="BK44" s="14"/>
      <x:c r="BM44" s="14"/>
      <x:c r="BN44" s="14"/>
      <x:c r="BP44" s="14"/>
      <x:c r="BQ44" s="14"/>
      <x:c r="BR44" s="14"/>
      <x:c r="BT44" s="14"/>
      <x:c r="BU44" s="14"/>
      <x:c r="BV44" s="14"/>
      <x:c r="BW44" s="14"/>
      <x:c r="BX44" s="14"/>
      <x:c r="BY44" s="14"/>
      <x:c r="BZ44" s="14"/>
      <x:c r="CA44" s="14"/>
      <x:c r="CB44" s="14"/>
      <x:c r="CC44" s="14"/>
      <x:c r="CD44" s="14"/>
      <x:c r="CE44" s="14"/>
      <x:c r="CF44" s="14"/>
      <x:c r="CJ44" s="14"/>
      <x:c r="CK44" s="14"/>
      <x:c r="CL44" s="14"/>
      <x:c r="CM44" s="14"/>
      <x:c r="CO44" s="14"/>
      <x:c r="CQ44" s="14"/>
      <x:c r="CS44" s="14"/>
      <x:c r="CT44" s="14"/>
      <x:c r="CU44" s="14"/>
      <x:c r="CW44" s="14"/>
      <x:c r="CX44" s="14"/>
      <x:c r="CY44" s="14"/>
      <x:c r="CZ44" s="14"/>
      <x:c r="DC44" s="14"/>
      <x:c r="DD44" s="14"/>
      <x:c r="DI44" s="88"/>
      <x:c r="DJ44" s="88"/>
      <x:c r="DK44" s="88"/>
      <x:c r="DL44" s="88"/>
      <x:c r="DM44" s="88"/>
      <x:c r="DN44" s="88"/>
      <x:c r="DO44" s="88"/>
      <x:c r="DP44" s="88"/>
      <x:c r="DQ44" s="88"/>
      <x:c r="DR44" s="88"/>
      <x:c r="DS44" s="88"/>
    </x:row>
    <x:row r="45" ht="25" customHeight="1">
      <x:c r="A45" s="10"/>
      <x:c r="D45" s="12"/>
      <x:c r="E45" s="12"/>
      <x:c r="F45" s="12"/>
      <x:c r="G45" s="14"/>
      <x:c r="H45" s="14"/>
      <x:c r="I45" s="14"/>
      <x:c r="J45" s="14"/>
      <x:c r="N45" s="14"/>
      <x:c r="O45" s="12"/>
      <x:c r="S45" s="14"/>
      <x:c r="T45" s="12"/>
      <x:c r="V45" s="42" t="str">
        <x:f>IF($A45="","",IF(AND($U45="発射物",$DI45&lt;&gt;"パッシブ"),$BE45,0))</x:f>
      </x:c>
      <x:c r="W45" s="42" t="str">
        <x:f>IF($A45="","",IF(AND($U45="発射物",$DI45&lt;&gt;"パッシブ"),$BF45,0))</x:f>
      </x:c>
      <x:c r="X45" s="42" t="str">
        <x:f>IF($A45="","",IF(AND($U45="発射物",$DI45&lt;&gt;"パッシブ"),IF($BG45="有効","有効","無効"),"無効"))</x:f>
      </x:c>
      <x:c r="AD45" s="14"/>
      <x:c r="AE45" s="14"/>
      <x:c r="AF45" s="14"/>
      <x:c r="AH45" s="14"/>
      <x:c r="AJ45" s="14"/>
      <x:c r="AN45" s="14"/>
      <x:c r="AO45" s="14"/>
      <x:c r="AP45" s="14"/>
      <x:c r="AR45" s="14"/>
      <x:c r="AT45" s="14"/>
      <x:c r="AX45" s="14"/>
      <x:c r="AY45" s="14"/>
      <x:c r="AZ45" s="14"/>
      <x:c r="BB45" s="14"/>
      <x:c r="BD45" s="14"/>
      <x:c r="BE45" s="14"/>
      <x:c r="BF45" s="14"/>
      <x:c r="BK45" s="14"/>
      <x:c r="BM45" s="14"/>
      <x:c r="BN45" s="14"/>
      <x:c r="BP45" s="14"/>
      <x:c r="BQ45" s="14"/>
      <x:c r="BR45" s="14"/>
      <x:c r="BT45" s="14"/>
      <x:c r="BU45" s="14"/>
      <x:c r="BV45" s="14"/>
      <x:c r="BW45" s="14"/>
      <x:c r="BX45" s="14"/>
      <x:c r="BY45" s="14"/>
      <x:c r="BZ45" s="14"/>
      <x:c r="CA45" s="14"/>
      <x:c r="CB45" s="14"/>
      <x:c r="CC45" s="14"/>
      <x:c r="CD45" s="14"/>
      <x:c r="CE45" s="14"/>
      <x:c r="CF45" s="14"/>
      <x:c r="CJ45" s="14"/>
      <x:c r="CK45" s="14"/>
      <x:c r="CL45" s="14"/>
      <x:c r="CM45" s="14"/>
      <x:c r="CO45" s="14"/>
      <x:c r="CQ45" s="14"/>
      <x:c r="CS45" s="14"/>
      <x:c r="CT45" s="14"/>
      <x:c r="CU45" s="14"/>
      <x:c r="CW45" s="14"/>
      <x:c r="CX45" s="14"/>
      <x:c r="CY45" s="14"/>
      <x:c r="CZ45" s="14"/>
      <x:c r="DC45" s="14"/>
      <x:c r="DD45" s="14"/>
      <x:c r="DI45" s="88"/>
      <x:c r="DJ45" s="88"/>
      <x:c r="DK45" s="88"/>
      <x:c r="DL45" s="88"/>
      <x:c r="DM45" s="88"/>
      <x:c r="DN45" s="88"/>
      <x:c r="DO45" s="88"/>
      <x:c r="DP45" s="88"/>
      <x:c r="DQ45" s="88"/>
      <x:c r="DR45" s="88"/>
      <x:c r="DS45" s="88"/>
    </x:row>
    <x:row r="46" ht="25" customHeight="1">
      <x:c r="A46" s="10"/>
      <x:c r="D46" s="12"/>
      <x:c r="E46" s="12"/>
      <x:c r="F46" s="12"/>
      <x:c r="G46" s="14"/>
      <x:c r="H46" s="14"/>
      <x:c r="I46" s="14"/>
      <x:c r="J46" s="14"/>
      <x:c r="N46" s="14"/>
      <x:c r="O46" s="12"/>
      <x:c r="S46" s="14"/>
      <x:c r="T46" s="12"/>
      <x:c r="V46" s="42" t="str">
        <x:f>IF($A46="","",IF(AND($U46="発射物",$DI46&lt;&gt;"パッシブ"),$BE46,0))</x:f>
      </x:c>
      <x:c r="W46" s="42" t="str">
        <x:f>IF($A46="","",IF(AND($U46="発射物",$DI46&lt;&gt;"パッシブ"),$BF46,0))</x:f>
      </x:c>
      <x:c r="X46" s="42" t="str">
        <x:f>IF($A46="","",IF(AND($U46="発射物",$DI46&lt;&gt;"パッシブ"),IF($BG46="有効","有効","無効"),"無効"))</x:f>
      </x:c>
      <x:c r="AD46" s="14"/>
      <x:c r="AE46" s="14"/>
      <x:c r="AF46" s="14"/>
      <x:c r="AH46" s="14"/>
      <x:c r="AJ46" s="14"/>
      <x:c r="AN46" s="14"/>
      <x:c r="AO46" s="14"/>
      <x:c r="AP46" s="14"/>
      <x:c r="AR46" s="14"/>
      <x:c r="AT46" s="14"/>
      <x:c r="AX46" s="14"/>
      <x:c r="AY46" s="14"/>
      <x:c r="AZ46" s="14"/>
      <x:c r="BB46" s="14"/>
      <x:c r="BD46" s="14"/>
      <x:c r="BE46" s="14"/>
      <x:c r="BF46" s="14"/>
      <x:c r="BK46" s="14"/>
      <x:c r="BM46" s="14"/>
      <x:c r="BN46" s="14"/>
      <x:c r="BP46" s="14"/>
      <x:c r="BQ46" s="14"/>
      <x:c r="BR46" s="14"/>
      <x:c r="BT46" s="14"/>
      <x:c r="BU46" s="14"/>
      <x:c r="BV46" s="14"/>
      <x:c r="BW46" s="14"/>
      <x:c r="BX46" s="14"/>
      <x:c r="BY46" s="14"/>
      <x:c r="BZ46" s="14"/>
      <x:c r="CA46" s="14"/>
      <x:c r="CB46" s="14"/>
      <x:c r="CC46" s="14"/>
      <x:c r="CD46" s="14"/>
      <x:c r="CE46" s="14"/>
      <x:c r="CF46" s="14"/>
      <x:c r="CJ46" s="14"/>
      <x:c r="CK46" s="14"/>
      <x:c r="CL46" s="14"/>
      <x:c r="CM46" s="14"/>
      <x:c r="CO46" s="14"/>
      <x:c r="CQ46" s="14"/>
      <x:c r="CS46" s="14"/>
      <x:c r="CT46" s="14"/>
      <x:c r="CU46" s="14"/>
      <x:c r="CW46" s="14"/>
      <x:c r="CX46" s="14"/>
      <x:c r="CY46" s="14"/>
      <x:c r="CZ46" s="14"/>
      <x:c r="DC46" s="14"/>
      <x:c r="DD46" s="14"/>
      <x:c r="DI46" s="88"/>
      <x:c r="DJ46" s="88"/>
      <x:c r="DK46" s="88"/>
      <x:c r="DL46" s="88"/>
      <x:c r="DM46" s="88"/>
      <x:c r="DN46" s="88"/>
      <x:c r="DO46" s="88"/>
      <x:c r="DP46" s="88"/>
      <x:c r="DQ46" s="88"/>
      <x:c r="DR46" s="88"/>
      <x:c r="DS46" s="88"/>
    </x:row>
    <x:row r="47" ht="25" customHeight="1">
      <x:c r="A47" s="10"/>
      <x:c r="D47" s="12"/>
      <x:c r="E47" s="12"/>
      <x:c r="F47" s="12"/>
      <x:c r="G47" s="14"/>
      <x:c r="H47" s="14"/>
      <x:c r="I47" s="14"/>
      <x:c r="J47" s="14"/>
      <x:c r="N47" s="14"/>
      <x:c r="O47" s="12"/>
      <x:c r="S47" s="14"/>
      <x:c r="T47" s="12"/>
      <x:c r="V47" s="42" t="str">
        <x:f>IF($A47="","",IF(AND($U47="発射物",$DI47&lt;&gt;"パッシブ"),$BE47,0))</x:f>
      </x:c>
      <x:c r="W47" s="42" t="str">
        <x:f>IF($A47="","",IF(AND($U47="発射物",$DI47&lt;&gt;"パッシブ"),$BF47,0))</x:f>
      </x:c>
      <x:c r="X47" s="42" t="str">
        <x:f>IF($A47="","",IF(AND($U47="発射物",$DI47&lt;&gt;"パッシブ"),IF($BG47="有効","有効","無効"),"無効"))</x:f>
      </x:c>
      <x:c r="AD47" s="14"/>
      <x:c r="AE47" s="14"/>
      <x:c r="AF47" s="14"/>
      <x:c r="AH47" s="14"/>
      <x:c r="AJ47" s="14"/>
      <x:c r="AN47" s="14"/>
      <x:c r="AO47" s="14"/>
      <x:c r="AP47" s="14"/>
      <x:c r="AR47" s="14"/>
      <x:c r="AT47" s="14"/>
      <x:c r="AX47" s="14"/>
      <x:c r="AY47" s="14"/>
      <x:c r="AZ47" s="14"/>
      <x:c r="BB47" s="14"/>
      <x:c r="BD47" s="14"/>
      <x:c r="BE47" s="14"/>
      <x:c r="BF47" s="14"/>
      <x:c r="BK47" s="14"/>
      <x:c r="BM47" s="14"/>
      <x:c r="BN47" s="14"/>
      <x:c r="BP47" s="14"/>
      <x:c r="BQ47" s="14"/>
      <x:c r="BR47" s="14"/>
      <x:c r="BT47" s="14"/>
      <x:c r="BU47" s="14"/>
      <x:c r="BV47" s="14"/>
      <x:c r="BW47" s="14"/>
      <x:c r="BX47" s="14"/>
      <x:c r="BY47" s="14"/>
      <x:c r="BZ47" s="14"/>
      <x:c r="CA47" s="14"/>
      <x:c r="CB47" s="14"/>
      <x:c r="CC47" s="14"/>
      <x:c r="CD47" s="14"/>
      <x:c r="CE47" s="14"/>
      <x:c r="CF47" s="14"/>
      <x:c r="CJ47" s="14"/>
      <x:c r="CK47" s="14"/>
      <x:c r="CL47" s="14"/>
      <x:c r="CM47" s="14"/>
      <x:c r="CO47" s="14"/>
      <x:c r="CQ47" s="14"/>
      <x:c r="CS47" s="14"/>
      <x:c r="CT47" s="14"/>
      <x:c r="CU47" s="14"/>
      <x:c r="CW47" s="14"/>
      <x:c r="CX47" s="14"/>
      <x:c r="CY47" s="14"/>
      <x:c r="CZ47" s="14"/>
      <x:c r="DC47" s="14"/>
      <x:c r="DD47" s="14"/>
      <x:c r="DI47" s="88"/>
      <x:c r="DJ47" s="88"/>
      <x:c r="DK47" s="88"/>
      <x:c r="DL47" s="88"/>
      <x:c r="DM47" s="88"/>
      <x:c r="DN47" s="88"/>
      <x:c r="DO47" s="88"/>
      <x:c r="DP47" s="88"/>
      <x:c r="DQ47" s="88"/>
      <x:c r="DR47" s="88"/>
      <x:c r="DS47" s="88"/>
    </x:row>
    <x:row r="48" ht="25" customHeight="1">
      <x:c r="A48" s="10"/>
      <x:c r="D48" s="12"/>
      <x:c r="E48" s="12"/>
      <x:c r="F48" s="12"/>
      <x:c r="G48" s="14"/>
      <x:c r="H48" s="14"/>
      <x:c r="I48" s="14"/>
      <x:c r="J48" s="14"/>
      <x:c r="N48" s="14"/>
      <x:c r="O48" s="12"/>
      <x:c r="S48" s="14"/>
      <x:c r="T48" s="12"/>
      <x:c r="V48" s="42" t="str">
        <x:f>IF($A48="","",IF(AND($U48="発射物",$DI48&lt;&gt;"パッシブ"),$BE48,0))</x:f>
      </x:c>
      <x:c r="W48" s="42" t="str">
        <x:f>IF($A48="","",IF(AND($U48="発射物",$DI48&lt;&gt;"パッシブ"),$BF48,0))</x:f>
      </x:c>
      <x:c r="X48" s="42" t="str">
        <x:f>IF($A48="","",IF(AND($U48="発射物",$DI48&lt;&gt;"パッシブ"),IF($BG48="有効","有効","無効"),"無効"))</x:f>
      </x:c>
      <x:c r="AD48" s="14"/>
      <x:c r="AE48" s="14"/>
      <x:c r="AF48" s="14"/>
      <x:c r="AH48" s="14"/>
      <x:c r="AJ48" s="14"/>
      <x:c r="AN48" s="14"/>
      <x:c r="AO48" s="14"/>
      <x:c r="AP48" s="14"/>
      <x:c r="AR48" s="14"/>
      <x:c r="AT48" s="14"/>
      <x:c r="AX48" s="14"/>
      <x:c r="AY48" s="14"/>
      <x:c r="AZ48" s="14"/>
      <x:c r="BB48" s="14"/>
      <x:c r="BD48" s="14"/>
      <x:c r="BE48" s="14"/>
      <x:c r="BF48" s="14"/>
      <x:c r="BK48" s="14"/>
      <x:c r="BM48" s="14"/>
      <x:c r="BN48" s="14"/>
      <x:c r="BP48" s="14"/>
      <x:c r="BQ48" s="14"/>
      <x:c r="BR48" s="14"/>
      <x:c r="BT48" s="14"/>
      <x:c r="BU48" s="14"/>
      <x:c r="BV48" s="14"/>
      <x:c r="BW48" s="14"/>
      <x:c r="BX48" s="14"/>
      <x:c r="BY48" s="14"/>
      <x:c r="BZ48" s="14"/>
      <x:c r="CA48" s="14"/>
      <x:c r="CB48" s="14"/>
      <x:c r="CC48" s="14"/>
      <x:c r="CD48" s="14"/>
      <x:c r="CE48" s="14"/>
      <x:c r="CF48" s="14"/>
      <x:c r="CJ48" s="14"/>
      <x:c r="CK48" s="14"/>
      <x:c r="CL48" s="14"/>
      <x:c r="CM48" s="14"/>
      <x:c r="CO48" s="14"/>
      <x:c r="CQ48" s="14"/>
      <x:c r="CS48" s="14"/>
      <x:c r="CT48" s="14"/>
      <x:c r="CU48" s="14"/>
      <x:c r="CW48" s="14"/>
      <x:c r="CX48" s="14"/>
      <x:c r="CY48" s="14"/>
      <x:c r="CZ48" s="14"/>
      <x:c r="DC48" s="14"/>
      <x:c r="DD48" s="14"/>
      <x:c r="DI48" s="88"/>
      <x:c r="DJ48" s="88"/>
      <x:c r="DK48" s="88"/>
      <x:c r="DL48" s="88"/>
      <x:c r="DM48" s="88"/>
      <x:c r="DN48" s="88"/>
      <x:c r="DO48" s="88"/>
      <x:c r="DP48" s="88"/>
      <x:c r="DQ48" s="88"/>
      <x:c r="DR48" s="88"/>
      <x:c r="DS48" s="88"/>
    </x:row>
    <x:row r="49" ht="25" customHeight="1">
      <x:c r="A49" s="10"/>
      <x:c r="D49" s="12"/>
      <x:c r="E49" s="12"/>
      <x:c r="F49" s="12"/>
      <x:c r="G49" s="14"/>
      <x:c r="H49" s="14"/>
      <x:c r="I49" s="14"/>
      <x:c r="J49" s="14"/>
      <x:c r="N49" s="14"/>
      <x:c r="O49" s="12"/>
      <x:c r="S49" s="14"/>
      <x:c r="T49" s="12"/>
      <x:c r="V49" s="42" t="str">
        <x:f>IF($A49="","",IF(AND($U49="発射物",$DI49&lt;&gt;"パッシブ"),$BE49,0))</x:f>
      </x:c>
      <x:c r="W49" s="42" t="str">
        <x:f>IF($A49="","",IF(AND($U49="発射物",$DI49&lt;&gt;"パッシブ"),$BF49,0))</x:f>
      </x:c>
      <x:c r="X49" s="42" t="str">
        <x:f>IF($A49="","",IF(AND($U49="発射物",$DI49&lt;&gt;"パッシブ"),IF($BG49="有効","有効","無効"),"無効"))</x:f>
      </x:c>
      <x:c r="AD49" s="14"/>
      <x:c r="AE49" s="14"/>
      <x:c r="AF49" s="14"/>
      <x:c r="AH49" s="14"/>
      <x:c r="AJ49" s="14"/>
      <x:c r="AN49" s="14"/>
      <x:c r="AO49" s="14"/>
      <x:c r="AP49" s="14"/>
      <x:c r="AR49" s="14"/>
      <x:c r="AT49" s="14"/>
      <x:c r="AX49" s="14"/>
      <x:c r="AY49" s="14"/>
      <x:c r="AZ49" s="14"/>
      <x:c r="BB49" s="14"/>
      <x:c r="BD49" s="14"/>
      <x:c r="BE49" s="14"/>
      <x:c r="BF49" s="14"/>
      <x:c r="BK49" s="14"/>
      <x:c r="BM49" s="14"/>
      <x:c r="BN49" s="14"/>
      <x:c r="BP49" s="14"/>
      <x:c r="BQ49" s="14"/>
      <x:c r="BR49" s="14"/>
      <x:c r="BT49" s="14"/>
      <x:c r="BU49" s="14"/>
      <x:c r="BV49" s="14"/>
      <x:c r="BW49" s="14"/>
      <x:c r="BX49" s="14"/>
      <x:c r="BY49" s="14"/>
      <x:c r="BZ49" s="14"/>
      <x:c r="CA49" s="14"/>
      <x:c r="CB49" s="14"/>
      <x:c r="CC49" s="14"/>
      <x:c r="CD49" s="14"/>
      <x:c r="CE49" s="14"/>
      <x:c r="CF49" s="14"/>
      <x:c r="CJ49" s="14"/>
      <x:c r="CK49" s="14"/>
      <x:c r="CL49" s="14"/>
      <x:c r="CM49" s="14"/>
      <x:c r="CO49" s="14"/>
      <x:c r="CQ49" s="14"/>
      <x:c r="CS49" s="14"/>
      <x:c r="CT49" s="14"/>
      <x:c r="CU49" s="14"/>
      <x:c r="CW49" s="14"/>
      <x:c r="CX49" s="14"/>
      <x:c r="CY49" s="14"/>
      <x:c r="CZ49" s="14"/>
      <x:c r="DC49" s="14"/>
      <x:c r="DD49" s="14"/>
      <x:c r="DI49" s="88"/>
      <x:c r="DJ49" s="88"/>
      <x:c r="DK49" s="88"/>
      <x:c r="DL49" s="88"/>
      <x:c r="DM49" s="88"/>
      <x:c r="DN49" s="88"/>
      <x:c r="DO49" s="88"/>
      <x:c r="DP49" s="88"/>
      <x:c r="DQ49" s="88"/>
      <x:c r="DR49" s="88"/>
      <x:c r="DS49" s="88"/>
    </x:row>
    <x:row r="50" ht="25" customHeight="1">
      <x:c r="A50" s="10"/>
      <x:c r="D50" s="12"/>
      <x:c r="E50" s="12"/>
      <x:c r="F50" s="12"/>
      <x:c r="G50" s="14"/>
      <x:c r="H50" s="14"/>
      <x:c r="I50" s="14"/>
      <x:c r="J50" s="14"/>
      <x:c r="N50" s="14"/>
      <x:c r="O50" s="12"/>
      <x:c r="S50" s="14"/>
      <x:c r="T50" s="12"/>
      <x:c r="V50" s="42" t="str">
        <x:f>IF($A50="","",IF(AND($U50="発射物",$DI50&lt;&gt;"パッシブ"),$BE50,0))</x:f>
      </x:c>
      <x:c r="W50" s="42" t="str">
        <x:f>IF($A50="","",IF(AND($U50="発射物",$DI50&lt;&gt;"パッシブ"),$BF50,0))</x:f>
      </x:c>
      <x:c r="X50" s="42" t="str">
        <x:f>IF($A50="","",IF(AND($U50="発射物",$DI50&lt;&gt;"パッシブ"),IF($BG50="有効","有効","無効"),"無効"))</x:f>
      </x:c>
      <x:c r="AD50" s="14"/>
      <x:c r="AE50" s="14"/>
      <x:c r="AF50" s="14"/>
      <x:c r="AH50" s="14"/>
      <x:c r="AJ50" s="14"/>
      <x:c r="AN50" s="14"/>
      <x:c r="AO50" s="14"/>
      <x:c r="AP50" s="14"/>
      <x:c r="AR50" s="14"/>
      <x:c r="AT50" s="14"/>
      <x:c r="AX50" s="14"/>
      <x:c r="AY50" s="14"/>
      <x:c r="AZ50" s="14"/>
      <x:c r="BB50" s="14"/>
      <x:c r="BD50" s="14"/>
      <x:c r="BE50" s="14"/>
      <x:c r="BF50" s="14"/>
      <x:c r="BK50" s="14"/>
      <x:c r="BM50" s="14"/>
      <x:c r="BN50" s="14"/>
      <x:c r="BP50" s="14"/>
      <x:c r="BQ50" s="14"/>
      <x:c r="BR50" s="14"/>
      <x:c r="BT50" s="14"/>
      <x:c r="BU50" s="14"/>
      <x:c r="BV50" s="14"/>
      <x:c r="BW50" s="14"/>
      <x:c r="BX50" s="14"/>
      <x:c r="BY50" s="14"/>
      <x:c r="BZ50" s="14"/>
      <x:c r="CA50" s="14"/>
      <x:c r="CB50" s="14"/>
      <x:c r="CC50" s="14"/>
      <x:c r="CD50" s="14"/>
      <x:c r="CE50" s="14"/>
      <x:c r="CF50" s="14"/>
      <x:c r="CJ50" s="14"/>
      <x:c r="CK50" s="14"/>
      <x:c r="CL50" s="14"/>
      <x:c r="CM50" s="14"/>
      <x:c r="CO50" s="14"/>
      <x:c r="CQ50" s="14"/>
      <x:c r="CS50" s="14"/>
      <x:c r="CT50" s="14"/>
      <x:c r="CU50" s="14"/>
      <x:c r="CW50" s="14"/>
      <x:c r="CX50" s="14"/>
      <x:c r="CY50" s="14"/>
      <x:c r="CZ50" s="14"/>
      <x:c r="DC50" s="14"/>
      <x:c r="DD50" s="14"/>
      <x:c r="DI50" s="88"/>
      <x:c r="DJ50" s="88"/>
      <x:c r="DK50" s="88"/>
      <x:c r="DL50" s="88"/>
      <x:c r="DM50" s="88"/>
      <x:c r="DN50" s="88"/>
      <x:c r="DO50" s="88"/>
      <x:c r="DP50" s="88"/>
      <x:c r="DQ50" s="88"/>
      <x:c r="DR50" s="88"/>
      <x:c r="DS50" s="88"/>
    </x:row>
    <x:row r="51" ht="25" customHeight="1">
      <x:c r="A51" s="10"/>
      <x:c r="D51" s="12"/>
      <x:c r="E51" s="12"/>
      <x:c r="F51" s="12"/>
      <x:c r="G51" s="14"/>
      <x:c r="H51" s="14"/>
      <x:c r="I51" s="14"/>
      <x:c r="J51" s="14"/>
      <x:c r="N51" s="14"/>
      <x:c r="O51" s="12"/>
      <x:c r="S51" s="14"/>
      <x:c r="T51" s="12"/>
      <x:c r="V51" s="42" t="str">
        <x:f>IF($A51="","",IF(AND($U51="発射物",$DI51&lt;&gt;"パッシブ"),$BE51,0))</x:f>
      </x:c>
      <x:c r="W51" s="42" t="str">
        <x:f>IF($A51="","",IF(AND($U51="発射物",$DI51&lt;&gt;"パッシブ"),$BF51,0))</x:f>
      </x:c>
      <x:c r="X51" s="42" t="str">
        <x:f>IF($A51="","",IF(AND($U51="発射物",$DI51&lt;&gt;"パッシブ"),IF($BG51="有効","有効","無効"),"無効"))</x:f>
      </x:c>
      <x:c r="AD51" s="14"/>
      <x:c r="AE51" s="14"/>
      <x:c r="AF51" s="14"/>
      <x:c r="AH51" s="14"/>
      <x:c r="AJ51" s="14"/>
      <x:c r="AN51" s="14"/>
      <x:c r="AO51" s="14"/>
      <x:c r="AP51" s="14"/>
      <x:c r="AR51" s="14"/>
      <x:c r="AT51" s="14"/>
      <x:c r="AX51" s="14"/>
      <x:c r="AY51" s="14"/>
      <x:c r="AZ51" s="14"/>
      <x:c r="BB51" s="14"/>
      <x:c r="BD51" s="14"/>
      <x:c r="BE51" s="14"/>
      <x:c r="BF51" s="14"/>
      <x:c r="BK51" s="14"/>
      <x:c r="BM51" s="14"/>
      <x:c r="BN51" s="14"/>
      <x:c r="BP51" s="14"/>
      <x:c r="BQ51" s="14"/>
      <x:c r="BR51" s="14"/>
      <x:c r="BT51" s="14"/>
      <x:c r="BU51" s="14"/>
      <x:c r="BV51" s="14"/>
      <x:c r="BW51" s="14"/>
      <x:c r="BX51" s="14"/>
      <x:c r="BY51" s="14"/>
      <x:c r="BZ51" s="14"/>
      <x:c r="CA51" s="14"/>
      <x:c r="CB51" s="14"/>
      <x:c r="CC51" s="14"/>
      <x:c r="CD51" s="14"/>
      <x:c r="CE51" s="14"/>
      <x:c r="CF51" s="14"/>
      <x:c r="CJ51" s="14"/>
      <x:c r="CK51" s="14"/>
      <x:c r="CL51" s="14"/>
      <x:c r="CM51" s="14"/>
      <x:c r="CO51" s="14"/>
      <x:c r="CQ51" s="14"/>
      <x:c r="CS51" s="14"/>
      <x:c r="CT51" s="14"/>
      <x:c r="CU51" s="14"/>
      <x:c r="CW51" s="14"/>
      <x:c r="CX51" s="14"/>
      <x:c r="CY51" s="14"/>
      <x:c r="CZ51" s="14"/>
      <x:c r="DC51" s="14"/>
      <x:c r="DD51" s="14"/>
      <x:c r="DI51" s="88"/>
      <x:c r="DJ51" s="88"/>
      <x:c r="DK51" s="88"/>
      <x:c r="DL51" s="88"/>
      <x:c r="DM51" s="88"/>
      <x:c r="DN51" s="88"/>
      <x:c r="DO51" s="88"/>
      <x:c r="DP51" s="88"/>
      <x:c r="DQ51" s="88"/>
      <x:c r="DR51" s="88"/>
      <x:c r="DS51" s="88"/>
    </x:row>
    <x:row r="52" ht="25" customHeight="1">
      <x:c r="A52" s="10"/>
      <x:c r="D52" s="12"/>
      <x:c r="E52" s="12"/>
      <x:c r="F52" s="12"/>
      <x:c r="G52" s="14"/>
      <x:c r="H52" s="14"/>
      <x:c r="I52" s="14"/>
      <x:c r="J52" s="14"/>
      <x:c r="N52" s="14"/>
      <x:c r="O52" s="12"/>
      <x:c r="S52" s="14"/>
      <x:c r="T52" s="12"/>
      <x:c r="V52" s="42" t="str">
        <x:f>IF($A52="","",IF(AND($U52="発射物",$DI52&lt;&gt;"パッシブ"),$BE52,0))</x:f>
      </x:c>
      <x:c r="W52" s="42" t="str">
        <x:f>IF($A52="","",IF(AND($U52="発射物",$DI52&lt;&gt;"パッシブ"),$BF52,0))</x:f>
      </x:c>
      <x:c r="X52" s="42" t="str">
        <x:f>IF($A52="","",IF(AND($U52="発射物",$DI52&lt;&gt;"パッシブ"),IF($BG52="有効","有効","無効"),"無効"))</x:f>
      </x:c>
      <x:c r="AD52" s="14"/>
      <x:c r="AE52" s="14"/>
      <x:c r="AF52" s="14"/>
      <x:c r="AH52" s="14"/>
      <x:c r="AJ52" s="14"/>
      <x:c r="AN52" s="14"/>
      <x:c r="AO52" s="14"/>
      <x:c r="AP52" s="14"/>
      <x:c r="AR52" s="14"/>
      <x:c r="AT52" s="14"/>
      <x:c r="AX52" s="14"/>
      <x:c r="AY52" s="14"/>
      <x:c r="AZ52" s="14"/>
      <x:c r="BB52" s="14"/>
      <x:c r="BD52" s="14"/>
      <x:c r="BE52" s="14"/>
      <x:c r="BF52" s="14"/>
      <x:c r="BK52" s="14"/>
      <x:c r="BM52" s="14"/>
      <x:c r="BN52" s="14"/>
      <x:c r="BP52" s="14"/>
      <x:c r="BQ52" s="14"/>
      <x:c r="BR52" s="14"/>
      <x:c r="BT52" s="14"/>
      <x:c r="BU52" s="14"/>
      <x:c r="BV52" s="14"/>
      <x:c r="BW52" s="14"/>
      <x:c r="BX52" s="14"/>
      <x:c r="BY52" s="14"/>
      <x:c r="BZ52" s="14"/>
      <x:c r="CA52" s="14"/>
      <x:c r="CB52" s="14"/>
      <x:c r="CC52" s="14"/>
      <x:c r="CD52" s="14"/>
      <x:c r="CE52" s="14"/>
      <x:c r="CF52" s="14"/>
      <x:c r="CJ52" s="14"/>
      <x:c r="CK52" s="14"/>
      <x:c r="CL52" s="14"/>
      <x:c r="CM52" s="14"/>
      <x:c r="CO52" s="14"/>
      <x:c r="CQ52" s="14"/>
      <x:c r="CS52" s="14"/>
      <x:c r="CT52" s="14"/>
      <x:c r="CU52" s="14"/>
      <x:c r="CW52" s="14"/>
      <x:c r="CX52" s="14"/>
      <x:c r="CY52" s="14"/>
      <x:c r="CZ52" s="14"/>
      <x:c r="DC52" s="14"/>
      <x:c r="DD52" s="14"/>
      <x:c r="DI52" s="88"/>
      <x:c r="DJ52" s="88"/>
      <x:c r="DK52" s="88"/>
      <x:c r="DL52" s="88"/>
      <x:c r="DM52" s="88"/>
      <x:c r="DN52" s="88"/>
      <x:c r="DO52" s="88"/>
      <x:c r="DP52" s="88"/>
      <x:c r="DQ52" s="88"/>
      <x:c r="DR52" s="88"/>
      <x:c r="DS52" s="88"/>
    </x:row>
    <x:row r="53" ht="25" customHeight="1">
      <x:c r="A53" s="10"/>
      <x:c r="D53" s="12"/>
      <x:c r="E53" s="12"/>
      <x:c r="F53" s="12"/>
      <x:c r="G53" s="14"/>
      <x:c r="H53" s="14"/>
      <x:c r="I53" s="14"/>
      <x:c r="J53" s="14"/>
      <x:c r="N53" s="14"/>
      <x:c r="O53" s="12"/>
      <x:c r="S53" s="14"/>
      <x:c r="T53" s="12"/>
      <x:c r="V53" s="42" t="str">
        <x:f>IF($A53="","",IF(AND($U53="発射物",$DI53&lt;&gt;"パッシブ"),$BE53,0))</x:f>
      </x:c>
      <x:c r="W53" s="42" t="str">
        <x:f>IF($A53="","",IF(AND($U53="発射物",$DI53&lt;&gt;"パッシブ"),$BF53,0))</x:f>
      </x:c>
      <x:c r="X53" s="42" t="str">
        <x:f>IF($A53="","",IF(AND($U53="発射物",$DI53&lt;&gt;"パッシブ"),IF($BG53="有効","有効","無効"),"無効"))</x:f>
      </x:c>
      <x:c r="AD53" s="14"/>
      <x:c r="AE53" s="14"/>
      <x:c r="AF53" s="14"/>
      <x:c r="AH53" s="14"/>
      <x:c r="AJ53" s="14"/>
      <x:c r="AN53" s="14"/>
      <x:c r="AO53" s="14"/>
      <x:c r="AP53" s="14"/>
      <x:c r="AR53" s="14"/>
      <x:c r="AT53" s="14"/>
      <x:c r="AX53" s="14"/>
      <x:c r="AY53" s="14"/>
      <x:c r="AZ53" s="14"/>
      <x:c r="BB53" s="14"/>
      <x:c r="BD53" s="14"/>
      <x:c r="BE53" s="14"/>
      <x:c r="BF53" s="14"/>
      <x:c r="BK53" s="14"/>
      <x:c r="BM53" s="14"/>
      <x:c r="BN53" s="14"/>
      <x:c r="BP53" s="14"/>
      <x:c r="BQ53" s="14"/>
      <x:c r="BR53" s="14"/>
      <x:c r="BT53" s="14"/>
      <x:c r="BU53" s="14"/>
      <x:c r="BV53" s="14"/>
      <x:c r="BW53" s="14"/>
      <x:c r="BX53" s="14"/>
      <x:c r="BY53" s="14"/>
      <x:c r="BZ53" s="14"/>
      <x:c r="CA53" s="14"/>
      <x:c r="CB53" s="14"/>
      <x:c r="CC53" s="14"/>
      <x:c r="CD53" s="14"/>
      <x:c r="CE53" s="14"/>
      <x:c r="CF53" s="14"/>
      <x:c r="CJ53" s="14"/>
      <x:c r="CK53" s="14"/>
      <x:c r="CL53" s="14"/>
      <x:c r="CM53" s="14"/>
      <x:c r="CO53" s="14"/>
      <x:c r="CQ53" s="14"/>
      <x:c r="CS53" s="14"/>
      <x:c r="CT53" s="14"/>
      <x:c r="CU53" s="14"/>
      <x:c r="CW53" s="14"/>
      <x:c r="CX53" s="14"/>
      <x:c r="CY53" s="14"/>
      <x:c r="CZ53" s="14"/>
      <x:c r="DC53" s="14"/>
      <x:c r="DD53" s="14"/>
      <x:c r="DI53" s="88"/>
      <x:c r="DJ53" s="88"/>
      <x:c r="DK53" s="88"/>
      <x:c r="DL53" s="88"/>
      <x:c r="DM53" s="88"/>
      <x:c r="DN53" s="88"/>
      <x:c r="DO53" s="88"/>
      <x:c r="DP53" s="88"/>
      <x:c r="DQ53" s="88"/>
      <x:c r="DR53" s="88"/>
      <x:c r="DS53" s="88"/>
    </x:row>
    <x:row r="54" ht="25" customHeight="1">
      <x:c r="A54" s="10"/>
      <x:c r="D54" s="12"/>
      <x:c r="E54" s="12"/>
      <x:c r="F54" s="12"/>
      <x:c r="G54" s="14"/>
      <x:c r="H54" s="14"/>
      <x:c r="I54" s="14"/>
      <x:c r="J54" s="14"/>
      <x:c r="N54" s="14"/>
      <x:c r="O54" s="12"/>
      <x:c r="S54" s="14"/>
      <x:c r="T54" s="12"/>
      <x:c r="V54" s="42" t="str">
        <x:f>IF($A54="","",IF(AND($U54="発射物",$DI54&lt;&gt;"パッシブ"),$BE54,0))</x:f>
      </x:c>
      <x:c r="W54" s="42" t="str">
        <x:f>IF($A54="","",IF(AND($U54="発射物",$DI54&lt;&gt;"パッシブ"),$BF54,0))</x:f>
      </x:c>
      <x:c r="X54" s="42" t="str">
        <x:f>IF($A54="","",IF(AND($U54="発射物",$DI54&lt;&gt;"パッシブ"),IF($BG54="有効","有効","無効"),"無効"))</x:f>
      </x:c>
      <x:c r="AD54" s="14"/>
      <x:c r="AE54" s="14"/>
      <x:c r="AF54" s="14"/>
      <x:c r="AH54" s="14"/>
      <x:c r="AJ54" s="14"/>
      <x:c r="AN54" s="14"/>
      <x:c r="AO54" s="14"/>
      <x:c r="AP54" s="14"/>
      <x:c r="AR54" s="14"/>
      <x:c r="AT54" s="14"/>
      <x:c r="AX54" s="14"/>
      <x:c r="AY54" s="14"/>
      <x:c r="AZ54" s="14"/>
      <x:c r="BB54" s="14"/>
      <x:c r="BD54" s="14"/>
      <x:c r="BE54" s="14"/>
      <x:c r="BF54" s="14"/>
      <x:c r="BK54" s="14"/>
      <x:c r="BM54" s="14"/>
      <x:c r="BN54" s="14"/>
      <x:c r="BP54" s="14"/>
      <x:c r="BQ54" s="14"/>
      <x:c r="BR54" s="14"/>
      <x:c r="BT54" s="14"/>
      <x:c r="BU54" s="14"/>
      <x:c r="BV54" s="14"/>
      <x:c r="BW54" s="14"/>
      <x:c r="BX54" s="14"/>
      <x:c r="BY54" s="14"/>
      <x:c r="BZ54" s="14"/>
      <x:c r="CA54" s="14"/>
      <x:c r="CB54" s="14"/>
      <x:c r="CC54" s="14"/>
      <x:c r="CD54" s="14"/>
      <x:c r="CE54" s="14"/>
      <x:c r="CF54" s="14"/>
      <x:c r="CJ54" s="14"/>
      <x:c r="CK54" s="14"/>
      <x:c r="CL54" s="14"/>
      <x:c r="CM54" s="14"/>
      <x:c r="CO54" s="14"/>
      <x:c r="CQ54" s="14"/>
      <x:c r="CS54" s="14"/>
      <x:c r="CT54" s="14"/>
      <x:c r="CU54" s="14"/>
      <x:c r="CW54" s="14"/>
      <x:c r="CX54" s="14"/>
      <x:c r="CY54" s="14"/>
      <x:c r="CZ54" s="14"/>
      <x:c r="DC54" s="14"/>
      <x:c r="DD54" s="14"/>
      <x:c r="DI54" s="88"/>
      <x:c r="DJ54" s="88"/>
      <x:c r="DK54" s="88"/>
      <x:c r="DL54" s="88"/>
      <x:c r="DM54" s="88"/>
      <x:c r="DN54" s="88"/>
      <x:c r="DO54" s="88"/>
      <x:c r="DP54" s="88"/>
      <x:c r="DQ54" s="88"/>
      <x:c r="DR54" s="88"/>
      <x:c r="DS54" s="88"/>
    </x:row>
    <x:row r="55" ht="25" customHeight="1">
      <x:c r="A55" s="10"/>
      <x:c r="D55" s="12"/>
      <x:c r="E55" s="12"/>
      <x:c r="F55" s="12"/>
      <x:c r="G55" s="14"/>
      <x:c r="H55" s="14"/>
      <x:c r="I55" s="14"/>
      <x:c r="J55" s="14"/>
      <x:c r="N55" s="14"/>
      <x:c r="O55" s="12"/>
      <x:c r="S55" s="14"/>
      <x:c r="T55" s="12"/>
      <x:c r="V55" s="42" t="str">
        <x:f>IF($A55="","",IF(AND($U55="発射物",$DI55&lt;&gt;"パッシブ"),$BE55,0))</x:f>
      </x:c>
      <x:c r="W55" s="42" t="str">
        <x:f>IF($A55="","",IF(AND($U55="発射物",$DI55&lt;&gt;"パッシブ"),$BF55,0))</x:f>
      </x:c>
      <x:c r="X55" s="42" t="str">
        <x:f>IF($A55="","",IF(AND($U55="発射物",$DI55&lt;&gt;"パッシブ"),IF($BG55="有効","有効","無効"),"無効"))</x:f>
      </x:c>
      <x:c r="AD55" s="14"/>
      <x:c r="AE55" s="14"/>
      <x:c r="AF55" s="14"/>
      <x:c r="AH55" s="14"/>
      <x:c r="AJ55" s="14"/>
      <x:c r="AN55" s="14"/>
      <x:c r="AO55" s="14"/>
      <x:c r="AP55" s="14"/>
      <x:c r="AR55" s="14"/>
      <x:c r="AT55" s="14"/>
      <x:c r="AX55" s="14"/>
      <x:c r="AY55" s="14"/>
      <x:c r="AZ55" s="14"/>
      <x:c r="BB55" s="14"/>
      <x:c r="BD55" s="14"/>
      <x:c r="BE55" s="14"/>
      <x:c r="BF55" s="14"/>
      <x:c r="BK55" s="14"/>
      <x:c r="BM55" s="14"/>
      <x:c r="BN55" s="14"/>
      <x:c r="BP55" s="14"/>
      <x:c r="BQ55" s="14"/>
      <x:c r="BR55" s="14"/>
      <x:c r="BT55" s="14"/>
      <x:c r="BU55" s="14"/>
      <x:c r="BV55" s="14"/>
      <x:c r="BW55" s="14"/>
      <x:c r="BX55" s="14"/>
      <x:c r="BY55" s="14"/>
      <x:c r="BZ55" s="14"/>
      <x:c r="CA55" s="14"/>
      <x:c r="CB55" s="14"/>
      <x:c r="CC55" s="14"/>
      <x:c r="CD55" s="14"/>
      <x:c r="CE55" s="14"/>
      <x:c r="CF55" s="14"/>
      <x:c r="CJ55" s="14"/>
      <x:c r="CK55" s="14"/>
      <x:c r="CL55" s="14"/>
      <x:c r="CM55" s="14"/>
      <x:c r="CO55" s="14"/>
      <x:c r="CQ55" s="14"/>
      <x:c r="CS55" s="14"/>
      <x:c r="CT55" s="14"/>
      <x:c r="CU55" s="14"/>
      <x:c r="CW55" s="14"/>
      <x:c r="CX55" s="14"/>
      <x:c r="CY55" s="14"/>
      <x:c r="CZ55" s="14"/>
      <x:c r="DC55" s="14"/>
      <x:c r="DD55" s="14"/>
      <x:c r="DI55" s="88"/>
      <x:c r="DJ55" s="88"/>
      <x:c r="DK55" s="88"/>
      <x:c r="DL55" s="88"/>
      <x:c r="DM55" s="88"/>
      <x:c r="DN55" s="88"/>
      <x:c r="DO55" s="88"/>
      <x:c r="DP55" s="88"/>
      <x:c r="DQ55" s="88"/>
      <x:c r="DR55" s="88"/>
      <x:c r="DS55" s="88"/>
    </x:row>
    <x:row r="56" ht="25" customHeight="1">
      <x:c r="A56" s="10"/>
      <x:c r="D56" s="12"/>
      <x:c r="E56" s="12"/>
      <x:c r="F56" s="12"/>
      <x:c r="G56" s="14"/>
      <x:c r="H56" s="14"/>
      <x:c r="I56" s="14"/>
      <x:c r="J56" s="14"/>
      <x:c r="N56" s="14"/>
      <x:c r="O56" s="12"/>
      <x:c r="S56" s="14"/>
      <x:c r="T56" s="12"/>
      <x:c r="V56" s="42" t="str">
        <x:f>IF($A56="","",IF(AND($U56="発射物",$DI56&lt;&gt;"パッシブ"),$BE56,0))</x:f>
      </x:c>
      <x:c r="W56" s="42" t="str">
        <x:f>IF($A56="","",IF(AND($U56="発射物",$DI56&lt;&gt;"パッシブ"),$BF56,0))</x:f>
      </x:c>
      <x:c r="X56" s="42" t="str">
        <x:f>IF($A56="","",IF(AND($U56="発射物",$DI56&lt;&gt;"パッシブ"),IF($BG56="有効","有効","無効"),"無効"))</x:f>
      </x:c>
      <x:c r="AD56" s="14"/>
      <x:c r="AE56" s="14"/>
      <x:c r="AF56" s="14"/>
      <x:c r="AH56" s="14"/>
      <x:c r="AJ56" s="14"/>
      <x:c r="AN56" s="14"/>
      <x:c r="AO56" s="14"/>
      <x:c r="AP56" s="14"/>
      <x:c r="AR56" s="14"/>
      <x:c r="AT56" s="14"/>
      <x:c r="AX56" s="14"/>
      <x:c r="AY56" s="14"/>
      <x:c r="AZ56" s="14"/>
      <x:c r="BB56" s="14"/>
      <x:c r="BD56" s="14"/>
      <x:c r="BE56" s="14"/>
      <x:c r="BF56" s="14"/>
      <x:c r="BK56" s="14"/>
      <x:c r="BM56" s="14"/>
      <x:c r="BN56" s="14"/>
      <x:c r="BP56" s="14"/>
      <x:c r="BQ56" s="14"/>
      <x:c r="BR56" s="14"/>
      <x:c r="BT56" s="14"/>
      <x:c r="BU56" s="14"/>
      <x:c r="BV56" s="14"/>
      <x:c r="BW56" s="14"/>
      <x:c r="BX56" s="14"/>
      <x:c r="BY56" s="14"/>
      <x:c r="BZ56" s="14"/>
      <x:c r="CA56" s="14"/>
      <x:c r="CB56" s="14"/>
      <x:c r="CC56" s="14"/>
      <x:c r="CD56" s="14"/>
      <x:c r="CE56" s="14"/>
      <x:c r="CF56" s="14"/>
      <x:c r="CJ56" s="14"/>
      <x:c r="CK56" s="14"/>
      <x:c r="CL56" s="14"/>
      <x:c r="CM56" s="14"/>
      <x:c r="CO56" s="14"/>
      <x:c r="CQ56" s="14"/>
      <x:c r="CS56" s="14"/>
      <x:c r="CT56" s="14"/>
      <x:c r="CU56" s="14"/>
      <x:c r="CW56" s="14"/>
      <x:c r="CX56" s="14"/>
      <x:c r="CY56" s="14"/>
      <x:c r="CZ56" s="14"/>
      <x:c r="DC56" s="14"/>
      <x:c r="DD56" s="14"/>
      <x:c r="DI56" s="88"/>
      <x:c r="DJ56" s="88"/>
      <x:c r="DK56" s="88"/>
      <x:c r="DL56" s="88"/>
      <x:c r="DM56" s="88"/>
      <x:c r="DN56" s="88"/>
      <x:c r="DO56" s="88"/>
      <x:c r="DP56" s="88"/>
      <x:c r="DQ56" s="88"/>
      <x:c r="DR56" s="88"/>
      <x:c r="DS56" s="88"/>
    </x:row>
    <x:row r="57" ht="25" customHeight="1">
      <x:c r="A57" s="10"/>
      <x:c r="D57" s="12"/>
      <x:c r="E57" s="12"/>
      <x:c r="F57" s="12"/>
      <x:c r="G57" s="14"/>
      <x:c r="H57" s="14"/>
      <x:c r="I57" s="14"/>
      <x:c r="J57" s="14"/>
      <x:c r="N57" s="14"/>
      <x:c r="O57" s="12"/>
      <x:c r="S57" s="14"/>
      <x:c r="T57" s="12"/>
      <x:c r="V57" s="42" t="str">
        <x:f>IF($A57="","",IF(AND($U57="発射物",$DI57&lt;&gt;"パッシブ"),$BE57,0))</x:f>
      </x:c>
      <x:c r="W57" s="42" t="str">
        <x:f>IF($A57="","",IF(AND($U57="発射物",$DI57&lt;&gt;"パッシブ"),$BF57,0))</x:f>
      </x:c>
      <x:c r="X57" s="42" t="str">
        <x:f>IF($A57="","",IF(AND($U57="発射物",$DI57&lt;&gt;"パッシブ"),IF($BG57="有効","有効","無効"),"無効"))</x:f>
      </x:c>
      <x:c r="AD57" s="14"/>
      <x:c r="AE57" s="14"/>
      <x:c r="AF57" s="14"/>
      <x:c r="AH57" s="14"/>
      <x:c r="AJ57" s="14"/>
      <x:c r="AN57" s="14"/>
      <x:c r="AO57" s="14"/>
      <x:c r="AP57" s="14"/>
      <x:c r="AR57" s="14"/>
      <x:c r="AT57" s="14"/>
      <x:c r="AX57" s="14"/>
      <x:c r="AY57" s="14"/>
      <x:c r="AZ57" s="14"/>
      <x:c r="BB57" s="14"/>
      <x:c r="BD57" s="14"/>
      <x:c r="BE57" s="14"/>
      <x:c r="BF57" s="14"/>
      <x:c r="BK57" s="14"/>
      <x:c r="BM57" s="14"/>
      <x:c r="BN57" s="14"/>
      <x:c r="BP57" s="14"/>
      <x:c r="BQ57" s="14"/>
      <x:c r="BR57" s="14"/>
      <x:c r="BT57" s="14"/>
      <x:c r="BU57" s="14"/>
      <x:c r="BV57" s="14"/>
      <x:c r="BW57" s="14"/>
      <x:c r="BX57" s="14"/>
      <x:c r="BY57" s="14"/>
      <x:c r="BZ57" s="14"/>
      <x:c r="CA57" s="14"/>
      <x:c r="CB57" s="14"/>
      <x:c r="CC57" s="14"/>
      <x:c r="CD57" s="14"/>
      <x:c r="CE57" s="14"/>
      <x:c r="CF57" s="14"/>
      <x:c r="CJ57" s="14"/>
      <x:c r="CK57" s="14"/>
      <x:c r="CL57" s="14"/>
      <x:c r="CM57" s="14"/>
      <x:c r="CO57" s="14"/>
      <x:c r="CQ57" s="14"/>
      <x:c r="CS57" s="14"/>
      <x:c r="CT57" s="14"/>
      <x:c r="CU57" s="14"/>
      <x:c r="CW57" s="14"/>
      <x:c r="CX57" s="14"/>
      <x:c r="CY57" s="14"/>
      <x:c r="CZ57" s="14"/>
      <x:c r="DC57" s="14"/>
      <x:c r="DD57" s="14"/>
      <x:c r="DI57" s="88"/>
      <x:c r="DJ57" s="88"/>
      <x:c r="DK57" s="88"/>
      <x:c r="DL57" s="88"/>
      <x:c r="DM57" s="88"/>
      <x:c r="DN57" s="88"/>
      <x:c r="DO57" s="88"/>
      <x:c r="DP57" s="88"/>
      <x:c r="DQ57" s="88"/>
      <x:c r="DR57" s="88"/>
      <x:c r="DS57" s="88"/>
    </x:row>
    <x:row r="58" ht="25" customHeight="1">
      <x:c r="A58" s="10"/>
      <x:c r="D58" s="12"/>
      <x:c r="E58" s="12"/>
      <x:c r="F58" s="12"/>
      <x:c r="G58" s="14"/>
      <x:c r="H58" s="14"/>
      <x:c r="I58" s="14"/>
      <x:c r="J58" s="14"/>
      <x:c r="N58" s="14"/>
      <x:c r="O58" s="12"/>
      <x:c r="S58" s="14"/>
      <x:c r="T58" s="12"/>
      <x:c r="V58" s="42" t="str">
        <x:f>IF($A58="","",IF(AND($U58="発射物",$DI58&lt;&gt;"パッシブ"),$BE58,0))</x:f>
      </x:c>
      <x:c r="W58" s="42" t="str">
        <x:f>IF($A58="","",IF(AND($U58="発射物",$DI58&lt;&gt;"パッシブ"),$BF58,0))</x:f>
      </x:c>
      <x:c r="X58" s="42" t="str">
        <x:f>IF($A58="","",IF(AND($U58="発射物",$DI58&lt;&gt;"パッシブ"),IF($BG58="有効","有効","無効"),"無効"))</x:f>
      </x:c>
      <x:c r="AD58" s="14"/>
      <x:c r="AE58" s="14"/>
      <x:c r="AF58" s="14"/>
      <x:c r="AH58" s="14"/>
      <x:c r="AJ58" s="14"/>
      <x:c r="AN58" s="14"/>
      <x:c r="AO58" s="14"/>
      <x:c r="AP58" s="14"/>
      <x:c r="AR58" s="14"/>
      <x:c r="AT58" s="14"/>
      <x:c r="AX58" s="14"/>
      <x:c r="AY58" s="14"/>
      <x:c r="AZ58" s="14"/>
      <x:c r="BB58" s="14"/>
      <x:c r="BD58" s="14"/>
      <x:c r="BE58" s="14"/>
      <x:c r="BF58" s="14"/>
      <x:c r="BK58" s="14"/>
      <x:c r="BM58" s="14"/>
      <x:c r="BN58" s="14"/>
      <x:c r="BP58" s="14"/>
      <x:c r="BQ58" s="14"/>
      <x:c r="BR58" s="14"/>
      <x:c r="BT58" s="14"/>
      <x:c r="BU58" s="14"/>
      <x:c r="BV58" s="14"/>
      <x:c r="BW58" s="14"/>
      <x:c r="BX58" s="14"/>
      <x:c r="BY58" s="14"/>
      <x:c r="BZ58" s="14"/>
      <x:c r="CA58" s="14"/>
      <x:c r="CB58" s="14"/>
      <x:c r="CC58" s="14"/>
      <x:c r="CD58" s="14"/>
      <x:c r="CE58" s="14"/>
      <x:c r="CF58" s="14"/>
      <x:c r="CJ58" s="14"/>
      <x:c r="CK58" s="14"/>
      <x:c r="CL58" s="14"/>
      <x:c r="CM58" s="14"/>
      <x:c r="CO58" s="14"/>
      <x:c r="CQ58" s="14"/>
      <x:c r="CS58" s="14"/>
      <x:c r="CT58" s="14"/>
      <x:c r="CU58" s="14"/>
      <x:c r="CW58" s="14"/>
      <x:c r="CX58" s="14"/>
      <x:c r="CY58" s="14"/>
      <x:c r="CZ58" s="14"/>
      <x:c r="DC58" s="14"/>
      <x:c r="DD58" s="14"/>
      <x:c r="DI58" s="88"/>
      <x:c r="DJ58" s="88"/>
      <x:c r="DK58" s="88"/>
      <x:c r="DL58" s="88"/>
      <x:c r="DM58" s="88"/>
      <x:c r="DN58" s="88"/>
      <x:c r="DO58" s="88"/>
      <x:c r="DP58" s="88"/>
      <x:c r="DQ58" s="88"/>
      <x:c r="DR58" s="88"/>
      <x:c r="DS58" s="88"/>
    </x:row>
    <x:row r="59" ht="25" customHeight="1">
      <x:c r="A59" s="10"/>
      <x:c r="D59" s="12"/>
      <x:c r="E59" s="12"/>
      <x:c r="F59" s="12"/>
      <x:c r="G59" s="14"/>
      <x:c r="H59" s="14"/>
      <x:c r="I59" s="14"/>
      <x:c r="J59" s="14"/>
      <x:c r="N59" s="14"/>
      <x:c r="O59" s="12"/>
      <x:c r="S59" s="14"/>
      <x:c r="T59" s="12"/>
      <x:c r="V59" s="42" t="str">
        <x:f>IF($A59="","",IF(AND($U59="発射物",$DI59&lt;&gt;"パッシブ"),$BE59,0))</x:f>
      </x:c>
      <x:c r="W59" s="42" t="str">
        <x:f>IF($A59="","",IF(AND($U59="発射物",$DI59&lt;&gt;"パッシブ"),$BF59,0))</x:f>
      </x:c>
      <x:c r="X59" s="42" t="str">
        <x:f>IF($A59="","",IF(AND($U59="発射物",$DI59&lt;&gt;"パッシブ"),IF($BG59="有効","有効","無効"),"無効"))</x:f>
      </x:c>
      <x:c r="AD59" s="14"/>
      <x:c r="AE59" s="14"/>
      <x:c r="AF59" s="14"/>
      <x:c r="AH59" s="14"/>
      <x:c r="AJ59" s="14"/>
      <x:c r="AN59" s="14"/>
      <x:c r="AO59" s="14"/>
      <x:c r="AP59" s="14"/>
      <x:c r="AR59" s="14"/>
      <x:c r="AT59" s="14"/>
      <x:c r="AX59" s="14"/>
      <x:c r="AY59" s="14"/>
      <x:c r="AZ59" s="14"/>
      <x:c r="BB59" s="14"/>
      <x:c r="BD59" s="14"/>
      <x:c r="BE59" s="14"/>
      <x:c r="BF59" s="14"/>
      <x:c r="BK59" s="14"/>
      <x:c r="BM59" s="14"/>
      <x:c r="BN59" s="14"/>
      <x:c r="BP59" s="14"/>
      <x:c r="BQ59" s="14"/>
      <x:c r="BR59" s="14"/>
      <x:c r="BT59" s="14"/>
      <x:c r="BU59" s="14"/>
      <x:c r="BV59" s="14"/>
      <x:c r="BW59" s="14"/>
      <x:c r="BX59" s="14"/>
      <x:c r="BY59" s="14"/>
      <x:c r="BZ59" s="14"/>
      <x:c r="CA59" s="14"/>
      <x:c r="CB59" s="14"/>
      <x:c r="CC59" s="14"/>
      <x:c r="CD59" s="14"/>
      <x:c r="CE59" s="14"/>
      <x:c r="CF59" s="14"/>
      <x:c r="CJ59" s="14"/>
      <x:c r="CK59" s="14"/>
      <x:c r="CL59" s="14"/>
      <x:c r="CM59" s="14"/>
      <x:c r="CO59" s="14"/>
      <x:c r="CQ59" s="14"/>
      <x:c r="CS59" s="14"/>
      <x:c r="CT59" s="14"/>
      <x:c r="CU59" s="14"/>
      <x:c r="CW59" s="14"/>
      <x:c r="CX59" s="14"/>
      <x:c r="CY59" s="14"/>
      <x:c r="CZ59" s="14"/>
      <x:c r="DC59" s="14"/>
      <x:c r="DD59" s="14"/>
      <x:c r="DI59" s="88"/>
      <x:c r="DJ59" s="88"/>
      <x:c r="DK59" s="88"/>
      <x:c r="DL59" s="88"/>
      <x:c r="DM59" s="88"/>
      <x:c r="DN59" s="88"/>
      <x:c r="DO59" s="88"/>
      <x:c r="DP59" s="88"/>
      <x:c r="DQ59" s="88"/>
      <x:c r="DR59" s="88"/>
      <x:c r="DS59" s="88"/>
    </x:row>
    <x:row r="60" ht="25" customHeight="1">
      <x:c r="A60" s="10"/>
      <x:c r="D60" s="12"/>
      <x:c r="E60" s="12"/>
      <x:c r="F60" s="12"/>
      <x:c r="G60" s="14"/>
      <x:c r="H60" s="14"/>
      <x:c r="I60" s="14"/>
      <x:c r="J60" s="14"/>
      <x:c r="N60" s="14"/>
      <x:c r="O60" s="12"/>
      <x:c r="S60" s="14"/>
      <x:c r="T60" s="12"/>
      <x:c r="V60" s="42" t="str">
        <x:f>IF($A60="","",IF(AND($U60="発射物",$DI60&lt;&gt;"パッシブ"),$BE60,0))</x:f>
      </x:c>
      <x:c r="W60" s="42" t="str">
        <x:f>IF($A60="","",IF(AND($U60="発射物",$DI60&lt;&gt;"パッシブ"),$BF60,0))</x:f>
      </x:c>
      <x:c r="X60" s="42" t="str">
        <x:f>IF($A60="","",IF(AND($U60="発射物",$DI60&lt;&gt;"パッシブ"),IF($BG60="有効","有効","無効"),"無効"))</x:f>
      </x:c>
      <x:c r="AD60" s="14"/>
      <x:c r="AE60" s="14"/>
      <x:c r="AF60" s="14"/>
      <x:c r="AH60" s="14"/>
      <x:c r="AJ60" s="14"/>
      <x:c r="AN60" s="14"/>
      <x:c r="AO60" s="14"/>
      <x:c r="AP60" s="14"/>
      <x:c r="AR60" s="14"/>
      <x:c r="AT60" s="14"/>
      <x:c r="AX60" s="14"/>
      <x:c r="AY60" s="14"/>
      <x:c r="AZ60" s="14"/>
      <x:c r="BB60" s="14"/>
      <x:c r="BD60" s="14"/>
      <x:c r="BE60" s="14"/>
      <x:c r="BF60" s="14"/>
      <x:c r="BK60" s="14"/>
      <x:c r="BM60" s="14"/>
      <x:c r="BN60" s="14"/>
      <x:c r="BP60" s="14"/>
      <x:c r="BQ60" s="14"/>
      <x:c r="BR60" s="14"/>
      <x:c r="BT60" s="14"/>
      <x:c r="BU60" s="14"/>
      <x:c r="BV60" s="14"/>
      <x:c r="BW60" s="14"/>
      <x:c r="BX60" s="14"/>
      <x:c r="BY60" s="14"/>
      <x:c r="BZ60" s="14"/>
      <x:c r="CA60" s="14"/>
      <x:c r="CB60" s="14"/>
      <x:c r="CC60" s="14"/>
      <x:c r="CD60" s="14"/>
      <x:c r="CE60" s="14"/>
      <x:c r="CF60" s="14"/>
      <x:c r="CJ60" s="14"/>
      <x:c r="CK60" s="14"/>
      <x:c r="CL60" s="14"/>
      <x:c r="CM60" s="14"/>
      <x:c r="CO60" s="14"/>
      <x:c r="CQ60" s="14"/>
      <x:c r="CS60" s="14"/>
      <x:c r="CT60" s="14"/>
      <x:c r="CU60" s="14"/>
      <x:c r="CW60" s="14"/>
      <x:c r="CX60" s="14"/>
      <x:c r="CY60" s="14"/>
      <x:c r="CZ60" s="14"/>
      <x:c r="DC60" s="14"/>
      <x:c r="DD60" s="14"/>
      <x:c r="DI60" s="88"/>
      <x:c r="DJ60" s="88"/>
      <x:c r="DK60" s="88"/>
      <x:c r="DL60" s="88"/>
      <x:c r="DM60" s="88"/>
      <x:c r="DN60" s="88"/>
      <x:c r="DO60" s="88"/>
      <x:c r="DP60" s="88"/>
      <x:c r="DQ60" s="88"/>
      <x:c r="DR60" s="88"/>
      <x:c r="DS60" s="88"/>
    </x:row>
    <x:row r="61" ht="25" customHeight="1">
      <x:c r="A61" s="10"/>
      <x:c r="D61" s="12"/>
      <x:c r="E61" s="12"/>
      <x:c r="F61" s="12"/>
      <x:c r="G61" s="14"/>
      <x:c r="H61" s="14"/>
      <x:c r="I61" s="14"/>
      <x:c r="J61" s="14"/>
      <x:c r="N61" s="14"/>
      <x:c r="O61" s="12"/>
      <x:c r="S61" s="14"/>
      <x:c r="T61" s="12"/>
      <x:c r="V61" s="42" t="str">
        <x:f>IF($A61="","",IF(AND($U61="発射物",$DI61&lt;&gt;"パッシブ"),$BE61,0))</x:f>
      </x:c>
      <x:c r="W61" s="42" t="str">
        <x:f>IF($A61="","",IF(AND($U61="発射物",$DI61&lt;&gt;"パッシブ"),$BF61,0))</x:f>
      </x:c>
      <x:c r="X61" s="42" t="str">
        <x:f>IF($A61="","",IF(AND($U61="発射物",$DI61&lt;&gt;"パッシブ"),IF($BG61="有効","有効","無効"),"無効"))</x:f>
      </x:c>
      <x:c r="AD61" s="14"/>
      <x:c r="AE61" s="14"/>
      <x:c r="AF61" s="14"/>
      <x:c r="AH61" s="14"/>
      <x:c r="AJ61" s="14"/>
      <x:c r="AN61" s="14"/>
      <x:c r="AO61" s="14"/>
      <x:c r="AP61" s="14"/>
      <x:c r="AR61" s="14"/>
      <x:c r="AT61" s="14"/>
      <x:c r="AX61" s="14"/>
      <x:c r="AY61" s="14"/>
      <x:c r="AZ61" s="14"/>
      <x:c r="BB61" s="14"/>
      <x:c r="BD61" s="14"/>
      <x:c r="BE61" s="14"/>
      <x:c r="BF61" s="14"/>
      <x:c r="BK61" s="14"/>
      <x:c r="BM61" s="14"/>
      <x:c r="BN61" s="14"/>
      <x:c r="BP61" s="14"/>
      <x:c r="BQ61" s="14"/>
      <x:c r="BR61" s="14"/>
      <x:c r="BT61" s="14"/>
      <x:c r="BU61" s="14"/>
      <x:c r="BV61" s="14"/>
      <x:c r="BW61" s="14"/>
      <x:c r="BX61" s="14"/>
      <x:c r="BY61" s="14"/>
      <x:c r="BZ61" s="14"/>
      <x:c r="CA61" s="14"/>
      <x:c r="CB61" s="14"/>
      <x:c r="CC61" s="14"/>
      <x:c r="CD61" s="14"/>
      <x:c r="CE61" s="14"/>
      <x:c r="CF61" s="14"/>
      <x:c r="CJ61" s="14"/>
      <x:c r="CK61" s="14"/>
      <x:c r="CL61" s="14"/>
      <x:c r="CM61" s="14"/>
      <x:c r="CO61" s="14"/>
      <x:c r="CQ61" s="14"/>
      <x:c r="CS61" s="14"/>
      <x:c r="CT61" s="14"/>
      <x:c r="CU61" s="14"/>
      <x:c r="CW61" s="14"/>
      <x:c r="CX61" s="14"/>
      <x:c r="CY61" s="14"/>
      <x:c r="CZ61" s="14"/>
      <x:c r="DC61" s="14"/>
      <x:c r="DD61" s="14"/>
      <x:c r="DI61" s="88"/>
      <x:c r="DJ61" s="88"/>
      <x:c r="DK61" s="88"/>
      <x:c r="DL61" s="88"/>
      <x:c r="DM61" s="88"/>
      <x:c r="DN61" s="88"/>
      <x:c r="DO61" s="88"/>
      <x:c r="DP61" s="88"/>
      <x:c r="DQ61" s="88"/>
      <x:c r="DR61" s="88"/>
      <x:c r="DS61" s="88"/>
    </x:row>
    <x:row r="62" ht="25" customHeight="1">
      <x:c r="A62" s="10"/>
      <x:c r="D62" s="12"/>
      <x:c r="E62" s="12"/>
      <x:c r="F62" s="12"/>
      <x:c r="G62" s="14"/>
      <x:c r="H62" s="14"/>
      <x:c r="I62" s="14"/>
      <x:c r="J62" s="14"/>
      <x:c r="N62" s="14"/>
      <x:c r="O62" s="12"/>
      <x:c r="S62" s="14"/>
      <x:c r="T62" s="12"/>
      <x:c r="V62" s="42" t="str">
        <x:f>IF($A62="","",IF(AND($U62="発射物",$DI62&lt;&gt;"パッシブ"),$BE62,0))</x:f>
      </x:c>
      <x:c r="W62" s="42" t="str">
        <x:f>IF($A62="","",IF(AND($U62="発射物",$DI62&lt;&gt;"パッシブ"),$BF62,0))</x:f>
      </x:c>
      <x:c r="X62" s="42" t="str">
        <x:f>IF($A62="","",IF(AND($U62="発射物",$DI62&lt;&gt;"パッシブ"),IF($BG62="有効","有効","無効"),"無効"))</x:f>
      </x:c>
      <x:c r="AD62" s="14"/>
      <x:c r="AE62" s="14"/>
      <x:c r="AF62" s="14"/>
      <x:c r="AH62" s="14"/>
      <x:c r="AJ62" s="14"/>
      <x:c r="AN62" s="14"/>
      <x:c r="AO62" s="14"/>
      <x:c r="AP62" s="14"/>
      <x:c r="AR62" s="14"/>
      <x:c r="AT62" s="14"/>
      <x:c r="AX62" s="14"/>
      <x:c r="AY62" s="14"/>
      <x:c r="AZ62" s="14"/>
      <x:c r="BB62" s="14"/>
      <x:c r="BD62" s="14"/>
      <x:c r="BE62" s="14"/>
      <x:c r="BF62" s="14"/>
      <x:c r="BK62" s="14"/>
      <x:c r="BM62" s="14"/>
      <x:c r="BN62" s="14"/>
      <x:c r="BP62" s="14"/>
      <x:c r="BQ62" s="14"/>
      <x:c r="BR62" s="14"/>
      <x:c r="BT62" s="14"/>
      <x:c r="BU62" s="14"/>
      <x:c r="BV62" s="14"/>
      <x:c r="BW62" s="14"/>
      <x:c r="BX62" s="14"/>
      <x:c r="BY62" s="14"/>
      <x:c r="BZ62" s="14"/>
      <x:c r="CA62" s="14"/>
      <x:c r="CB62" s="14"/>
      <x:c r="CC62" s="14"/>
      <x:c r="CD62" s="14"/>
      <x:c r="CE62" s="14"/>
      <x:c r="CF62" s="14"/>
      <x:c r="CJ62" s="14"/>
      <x:c r="CK62" s="14"/>
      <x:c r="CL62" s="14"/>
      <x:c r="CM62" s="14"/>
      <x:c r="CO62" s="14"/>
      <x:c r="CQ62" s="14"/>
      <x:c r="CS62" s="14"/>
      <x:c r="CT62" s="14"/>
      <x:c r="CU62" s="14"/>
      <x:c r="CW62" s="14"/>
      <x:c r="CX62" s="14"/>
      <x:c r="CY62" s="14"/>
      <x:c r="CZ62" s="14"/>
      <x:c r="DC62" s="14"/>
      <x:c r="DD62" s="14"/>
      <x:c r="DI62" s="88"/>
      <x:c r="DJ62" s="88"/>
      <x:c r="DK62" s="88"/>
      <x:c r="DL62" s="88"/>
      <x:c r="DM62" s="88"/>
      <x:c r="DN62" s="88"/>
      <x:c r="DO62" s="88"/>
      <x:c r="DP62" s="88"/>
      <x:c r="DQ62" s="88"/>
      <x:c r="DR62" s="88"/>
      <x:c r="DS62" s="88"/>
    </x:row>
    <x:row r="63" ht="25" customHeight="1">
      <x:c r="A63" s="10"/>
      <x:c r="D63" s="12"/>
      <x:c r="E63" s="12"/>
      <x:c r="F63" s="12"/>
      <x:c r="G63" s="14"/>
      <x:c r="H63" s="14"/>
      <x:c r="I63" s="14"/>
      <x:c r="J63" s="14"/>
      <x:c r="N63" s="14"/>
      <x:c r="O63" s="12"/>
      <x:c r="S63" s="14"/>
      <x:c r="T63" s="12"/>
      <x:c r="V63" s="42" t="str">
        <x:f>IF($A63="","",IF(AND($U63="発射物",$DI63&lt;&gt;"パッシブ"),$BE63,0))</x:f>
      </x:c>
      <x:c r="W63" s="42" t="str">
        <x:f>IF($A63="","",IF(AND($U63="発射物",$DI63&lt;&gt;"パッシブ"),$BF63,0))</x:f>
      </x:c>
      <x:c r="X63" s="42" t="str">
        <x:f>IF($A63="","",IF(AND($U63="発射物",$DI63&lt;&gt;"パッシブ"),IF($BG63="有効","有効","無効"),"無効"))</x:f>
      </x:c>
      <x:c r="AD63" s="14"/>
      <x:c r="AE63" s="14"/>
      <x:c r="AF63" s="14"/>
      <x:c r="AH63" s="14"/>
      <x:c r="AJ63" s="14"/>
      <x:c r="AN63" s="14"/>
      <x:c r="AO63" s="14"/>
      <x:c r="AP63" s="14"/>
      <x:c r="AR63" s="14"/>
      <x:c r="AT63" s="14"/>
      <x:c r="AX63" s="14"/>
      <x:c r="AY63" s="14"/>
      <x:c r="AZ63" s="14"/>
      <x:c r="BB63" s="14"/>
      <x:c r="BD63" s="14"/>
      <x:c r="BE63" s="14"/>
      <x:c r="BF63" s="14"/>
      <x:c r="BK63" s="14"/>
      <x:c r="BM63" s="14"/>
      <x:c r="BN63" s="14"/>
      <x:c r="BP63" s="14"/>
      <x:c r="BQ63" s="14"/>
      <x:c r="BR63" s="14"/>
      <x:c r="BT63" s="14"/>
      <x:c r="BU63" s="14"/>
      <x:c r="BV63" s="14"/>
      <x:c r="BW63" s="14"/>
      <x:c r="BX63" s="14"/>
      <x:c r="BY63" s="14"/>
      <x:c r="BZ63" s="14"/>
      <x:c r="CA63" s="14"/>
      <x:c r="CB63" s="14"/>
      <x:c r="CC63" s="14"/>
      <x:c r="CD63" s="14"/>
      <x:c r="CE63" s="14"/>
      <x:c r="CF63" s="14"/>
      <x:c r="CJ63" s="14"/>
      <x:c r="CK63" s="14"/>
      <x:c r="CL63" s="14"/>
      <x:c r="CM63" s="14"/>
      <x:c r="CO63" s="14"/>
      <x:c r="CQ63" s="14"/>
      <x:c r="CS63" s="14"/>
      <x:c r="CT63" s="14"/>
      <x:c r="CU63" s="14"/>
      <x:c r="CW63" s="14"/>
      <x:c r="CX63" s="14"/>
      <x:c r="CY63" s="14"/>
      <x:c r="CZ63" s="14"/>
      <x:c r="DC63" s="14"/>
      <x:c r="DD63" s="14"/>
      <x:c r="DI63" s="88"/>
      <x:c r="DJ63" s="88"/>
      <x:c r="DK63" s="88"/>
      <x:c r="DL63" s="88"/>
      <x:c r="DM63" s="88"/>
      <x:c r="DN63" s="88"/>
      <x:c r="DO63" s="88"/>
      <x:c r="DP63" s="88"/>
      <x:c r="DQ63" s="88"/>
      <x:c r="DR63" s="88"/>
      <x:c r="DS63" s="88"/>
    </x:row>
    <x:row r="64" ht="25" customHeight="1">
      <x:c r="A64" s="10"/>
      <x:c r="D64" s="12"/>
      <x:c r="E64" s="12"/>
      <x:c r="F64" s="12"/>
      <x:c r="G64" s="14"/>
      <x:c r="H64" s="14"/>
      <x:c r="I64" s="14"/>
      <x:c r="J64" s="14"/>
      <x:c r="N64" s="14"/>
      <x:c r="O64" s="12"/>
      <x:c r="S64" s="14"/>
      <x:c r="T64" s="12"/>
      <x:c r="V64" s="42" t="str">
        <x:f>IF($A64="","",IF(AND($U64="発射物",$DI64&lt;&gt;"パッシブ"),$BE64,0))</x:f>
      </x:c>
      <x:c r="W64" s="42" t="str">
        <x:f>IF($A64="","",IF(AND($U64="発射物",$DI64&lt;&gt;"パッシブ"),$BF64,0))</x:f>
      </x:c>
      <x:c r="X64" s="42" t="str">
        <x:f>IF($A64="","",IF(AND($U64="発射物",$DI64&lt;&gt;"パッシブ"),IF($BG64="有効","有効","無効"),"無効"))</x:f>
      </x:c>
      <x:c r="AD64" s="14"/>
      <x:c r="AE64" s="14"/>
      <x:c r="AF64" s="14"/>
      <x:c r="AH64" s="14"/>
      <x:c r="AJ64" s="14"/>
      <x:c r="AN64" s="14"/>
      <x:c r="AO64" s="14"/>
      <x:c r="AP64" s="14"/>
      <x:c r="AR64" s="14"/>
      <x:c r="AT64" s="14"/>
      <x:c r="AX64" s="14"/>
      <x:c r="AY64" s="14"/>
      <x:c r="AZ64" s="14"/>
      <x:c r="BB64" s="14"/>
      <x:c r="BD64" s="14"/>
      <x:c r="BE64" s="14"/>
      <x:c r="BF64" s="14"/>
      <x:c r="BK64" s="14"/>
      <x:c r="BM64" s="14"/>
      <x:c r="BN64" s="14"/>
      <x:c r="BP64" s="14"/>
      <x:c r="BQ64" s="14"/>
      <x:c r="BR64" s="14"/>
      <x:c r="BT64" s="14"/>
      <x:c r="BU64" s="14"/>
      <x:c r="BV64" s="14"/>
      <x:c r="BW64" s="14"/>
      <x:c r="BX64" s="14"/>
      <x:c r="BY64" s="14"/>
      <x:c r="BZ64" s="14"/>
      <x:c r="CA64" s="14"/>
      <x:c r="CB64" s="14"/>
      <x:c r="CC64" s="14"/>
      <x:c r="CD64" s="14"/>
      <x:c r="CE64" s="14"/>
      <x:c r="CF64" s="14"/>
      <x:c r="CJ64" s="14"/>
      <x:c r="CK64" s="14"/>
      <x:c r="CL64" s="14"/>
      <x:c r="CM64" s="14"/>
      <x:c r="CO64" s="14"/>
      <x:c r="CQ64" s="14"/>
      <x:c r="CS64" s="14"/>
      <x:c r="CT64" s="14"/>
      <x:c r="CU64" s="14"/>
      <x:c r="CW64" s="14"/>
      <x:c r="CX64" s="14"/>
      <x:c r="CY64" s="14"/>
      <x:c r="CZ64" s="14"/>
      <x:c r="DC64" s="14"/>
      <x:c r="DD64" s="14"/>
      <x:c r="DI64" s="88"/>
      <x:c r="DJ64" s="88"/>
      <x:c r="DK64" s="88"/>
      <x:c r="DL64" s="88"/>
      <x:c r="DM64" s="88"/>
      <x:c r="DN64" s="88"/>
      <x:c r="DO64" s="88"/>
      <x:c r="DP64" s="88"/>
      <x:c r="DQ64" s="88"/>
      <x:c r="DR64" s="88"/>
      <x:c r="DS64" s="88"/>
    </x:row>
    <x:row r="65" ht="25" customHeight="1">
      <x:c r="A65" s="10"/>
      <x:c r="D65" s="12"/>
      <x:c r="E65" s="12"/>
      <x:c r="F65" s="12"/>
      <x:c r="G65" s="14"/>
      <x:c r="H65" s="14"/>
      <x:c r="I65" s="14"/>
      <x:c r="J65" s="14"/>
      <x:c r="N65" s="14"/>
      <x:c r="O65" s="12"/>
      <x:c r="S65" s="14"/>
      <x:c r="T65" s="12"/>
      <x:c r="V65" s="42" t="str">
        <x:f>IF($A65="","",IF(AND($U65="発射物",$DI65&lt;&gt;"パッシブ"),$BE65,0))</x:f>
      </x:c>
      <x:c r="W65" s="42" t="str">
        <x:f>IF($A65="","",IF(AND($U65="発射物",$DI65&lt;&gt;"パッシブ"),$BF65,0))</x:f>
      </x:c>
      <x:c r="X65" s="42" t="str">
        <x:f>IF($A65="","",IF(AND($U65="発射物",$DI65&lt;&gt;"パッシブ"),IF($BG65="有効","有効","無効"),"無効"))</x:f>
      </x:c>
      <x:c r="AD65" s="14"/>
      <x:c r="AE65" s="14"/>
      <x:c r="AF65" s="14"/>
      <x:c r="AH65" s="14"/>
      <x:c r="AJ65" s="14"/>
      <x:c r="AN65" s="14"/>
      <x:c r="AO65" s="14"/>
      <x:c r="AP65" s="14"/>
      <x:c r="AR65" s="14"/>
      <x:c r="AT65" s="14"/>
      <x:c r="AX65" s="14"/>
      <x:c r="AY65" s="14"/>
      <x:c r="AZ65" s="14"/>
      <x:c r="BB65" s="14"/>
      <x:c r="BD65" s="14"/>
      <x:c r="BE65" s="14"/>
      <x:c r="BF65" s="14"/>
      <x:c r="BK65" s="14"/>
      <x:c r="BM65" s="14"/>
      <x:c r="BN65" s="14"/>
      <x:c r="BP65" s="14"/>
      <x:c r="BQ65" s="14"/>
      <x:c r="BR65" s="14"/>
      <x:c r="BT65" s="14"/>
      <x:c r="BU65" s="14"/>
      <x:c r="BV65" s="14"/>
      <x:c r="BW65" s="14"/>
      <x:c r="BX65" s="14"/>
      <x:c r="BY65" s="14"/>
      <x:c r="BZ65" s="14"/>
      <x:c r="CA65" s="14"/>
      <x:c r="CB65" s="14"/>
      <x:c r="CC65" s="14"/>
      <x:c r="CD65" s="14"/>
      <x:c r="CE65" s="14"/>
      <x:c r="CF65" s="14"/>
      <x:c r="CJ65" s="14"/>
      <x:c r="CK65" s="14"/>
      <x:c r="CL65" s="14"/>
      <x:c r="CM65" s="14"/>
      <x:c r="CO65" s="14"/>
      <x:c r="CQ65" s="14"/>
      <x:c r="CS65" s="14"/>
      <x:c r="CT65" s="14"/>
      <x:c r="CU65" s="14"/>
      <x:c r="CW65" s="14"/>
      <x:c r="CX65" s="14"/>
      <x:c r="CY65" s="14"/>
      <x:c r="CZ65" s="14"/>
      <x:c r="DC65" s="14"/>
      <x:c r="DD65" s="14"/>
      <x:c r="DI65" s="88"/>
      <x:c r="DJ65" s="88"/>
      <x:c r="DK65" s="88"/>
      <x:c r="DL65" s="88"/>
      <x:c r="DM65" s="88"/>
      <x:c r="DN65" s="88"/>
      <x:c r="DO65" s="88"/>
      <x:c r="DP65" s="88"/>
      <x:c r="DQ65" s="88"/>
      <x:c r="DR65" s="88"/>
      <x:c r="DS65" s="88"/>
    </x:row>
    <x:row r="66" ht="25" customHeight="1">
      <x:c r="A66" s="10"/>
      <x:c r="D66" s="12"/>
      <x:c r="E66" s="12"/>
      <x:c r="F66" s="12"/>
      <x:c r="G66" s="14"/>
      <x:c r="H66" s="14"/>
      <x:c r="I66" s="14"/>
      <x:c r="J66" s="14"/>
      <x:c r="N66" s="14"/>
      <x:c r="O66" s="12"/>
      <x:c r="S66" s="14"/>
      <x:c r="T66" s="12"/>
      <x:c r="V66" s="42" t="str">
        <x:f>IF($A66="","",IF(AND($U66="発射物",$DI66&lt;&gt;"パッシブ"),$BE66,0))</x:f>
      </x:c>
      <x:c r="W66" s="42" t="str">
        <x:f>IF($A66="","",IF(AND($U66="発射物",$DI66&lt;&gt;"パッシブ"),$BF66,0))</x:f>
      </x:c>
      <x:c r="X66" s="42" t="str">
        <x:f>IF($A66="","",IF(AND($U66="発射物",$DI66&lt;&gt;"パッシブ"),IF($BG66="有効","有効","無効"),"無効"))</x:f>
      </x:c>
      <x:c r="AD66" s="14"/>
      <x:c r="AE66" s="14"/>
      <x:c r="AF66" s="14"/>
      <x:c r="AH66" s="14"/>
      <x:c r="AJ66" s="14"/>
      <x:c r="AN66" s="14"/>
      <x:c r="AO66" s="14"/>
      <x:c r="AP66" s="14"/>
      <x:c r="AR66" s="14"/>
      <x:c r="AT66" s="14"/>
      <x:c r="AX66" s="14"/>
      <x:c r="AY66" s="14"/>
      <x:c r="AZ66" s="14"/>
      <x:c r="BB66" s="14"/>
      <x:c r="BD66" s="14"/>
      <x:c r="BE66" s="14"/>
      <x:c r="BF66" s="14"/>
      <x:c r="BK66" s="14"/>
      <x:c r="BM66" s="14"/>
      <x:c r="BN66" s="14"/>
      <x:c r="BP66" s="14"/>
      <x:c r="BQ66" s="14"/>
      <x:c r="BR66" s="14"/>
      <x:c r="BT66" s="14"/>
      <x:c r="BU66" s="14"/>
      <x:c r="BV66" s="14"/>
      <x:c r="BW66" s="14"/>
      <x:c r="BX66" s="14"/>
      <x:c r="BY66" s="14"/>
      <x:c r="BZ66" s="14"/>
      <x:c r="CA66" s="14"/>
      <x:c r="CB66" s="14"/>
      <x:c r="CC66" s="14"/>
      <x:c r="CD66" s="14"/>
      <x:c r="CE66" s="14"/>
      <x:c r="CF66" s="14"/>
      <x:c r="CJ66" s="14"/>
      <x:c r="CK66" s="14"/>
      <x:c r="CL66" s="14"/>
      <x:c r="CM66" s="14"/>
      <x:c r="CO66" s="14"/>
      <x:c r="CQ66" s="14"/>
      <x:c r="CS66" s="14"/>
      <x:c r="CT66" s="14"/>
      <x:c r="CU66" s="14"/>
      <x:c r="CW66" s="14"/>
      <x:c r="CX66" s="14"/>
      <x:c r="CY66" s="14"/>
      <x:c r="CZ66" s="14"/>
      <x:c r="DC66" s="14"/>
      <x:c r="DD66" s="14"/>
      <x:c r="DI66" s="88"/>
      <x:c r="DJ66" s="88"/>
      <x:c r="DK66" s="88"/>
      <x:c r="DL66" s="88"/>
      <x:c r="DM66" s="88"/>
      <x:c r="DN66" s="88"/>
      <x:c r="DO66" s="88"/>
      <x:c r="DP66" s="88"/>
      <x:c r="DQ66" s="88"/>
      <x:c r="DR66" s="88"/>
      <x:c r="DS66" s="88"/>
    </x:row>
    <x:row r="67" ht="25" customHeight="1">
      <x:c r="A67" s="10"/>
      <x:c r="D67" s="12"/>
      <x:c r="E67" s="12"/>
      <x:c r="F67" s="12"/>
      <x:c r="G67" s="14"/>
      <x:c r="H67" s="14"/>
      <x:c r="I67" s="14"/>
      <x:c r="J67" s="14"/>
      <x:c r="N67" s="14"/>
      <x:c r="O67" s="12"/>
      <x:c r="S67" s="14"/>
      <x:c r="T67" s="12"/>
      <x:c r="V67" s="42" t="str">
        <x:f>IF($A67="","",IF(AND($U67="発射物",$DI67&lt;&gt;"パッシブ"),$BE67,0))</x:f>
      </x:c>
      <x:c r="W67" s="42" t="str">
        <x:f>IF($A67="","",IF(AND($U67="発射物",$DI67&lt;&gt;"パッシブ"),$BF67,0))</x:f>
      </x:c>
      <x:c r="X67" s="42" t="str">
        <x:f>IF($A67="","",IF(AND($U67="発射物",$DI67&lt;&gt;"パッシブ"),IF($BG67="有効","有効","無効"),"無効"))</x:f>
      </x:c>
      <x:c r="AD67" s="14"/>
      <x:c r="AE67" s="14"/>
      <x:c r="AF67" s="14"/>
      <x:c r="AH67" s="14"/>
      <x:c r="AJ67" s="14"/>
      <x:c r="AN67" s="14"/>
      <x:c r="AO67" s="14"/>
      <x:c r="AP67" s="14"/>
      <x:c r="AR67" s="14"/>
      <x:c r="AT67" s="14"/>
      <x:c r="AX67" s="14"/>
      <x:c r="AY67" s="14"/>
      <x:c r="AZ67" s="14"/>
      <x:c r="BB67" s="14"/>
      <x:c r="BD67" s="14"/>
      <x:c r="BE67" s="14"/>
      <x:c r="BF67" s="14"/>
      <x:c r="BK67" s="14"/>
      <x:c r="BM67" s="14"/>
      <x:c r="BN67" s="14"/>
      <x:c r="BP67" s="14"/>
      <x:c r="BQ67" s="14"/>
      <x:c r="BR67" s="14"/>
      <x:c r="BT67" s="14"/>
      <x:c r="BU67" s="14"/>
      <x:c r="BV67" s="14"/>
      <x:c r="BW67" s="14"/>
      <x:c r="BX67" s="14"/>
      <x:c r="BY67" s="14"/>
      <x:c r="BZ67" s="14"/>
      <x:c r="CA67" s="14"/>
      <x:c r="CB67" s="14"/>
      <x:c r="CC67" s="14"/>
      <x:c r="CD67" s="14"/>
      <x:c r="CE67" s="14"/>
      <x:c r="CF67" s="14"/>
      <x:c r="CJ67" s="14"/>
      <x:c r="CK67" s="14"/>
      <x:c r="CL67" s="14"/>
      <x:c r="CM67" s="14"/>
      <x:c r="CO67" s="14"/>
      <x:c r="CQ67" s="14"/>
      <x:c r="CS67" s="14"/>
      <x:c r="CT67" s="14"/>
      <x:c r="CU67" s="14"/>
      <x:c r="CW67" s="14"/>
      <x:c r="CX67" s="14"/>
      <x:c r="CY67" s="14"/>
      <x:c r="CZ67" s="14"/>
      <x:c r="DC67" s="14"/>
      <x:c r="DD67" s="14"/>
      <x:c r="DI67" s="88"/>
      <x:c r="DJ67" s="88"/>
      <x:c r="DK67" s="88"/>
      <x:c r="DL67" s="88"/>
      <x:c r="DM67" s="88"/>
      <x:c r="DN67" s="88"/>
      <x:c r="DO67" s="88"/>
      <x:c r="DP67" s="88"/>
      <x:c r="DQ67" s="88"/>
      <x:c r="DR67" s="88"/>
      <x:c r="DS67" s="88"/>
    </x:row>
    <x:row r="68" ht="25" customHeight="1">
      <x:c r="A68" s="10"/>
      <x:c r="D68" s="12"/>
      <x:c r="E68" s="12"/>
      <x:c r="F68" s="12"/>
      <x:c r="G68" s="14"/>
      <x:c r="H68" s="14"/>
      <x:c r="I68" s="14"/>
      <x:c r="J68" s="14"/>
      <x:c r="N68" s="14"/>
      <x:c r="O68" s="12"/>
      <x:c r="S68" s="14"/>
      <x:c r="T68" s="12"/>
      <x:c r="V68" s="42" t="str">
        <x:f>IF($A68="","",IF(AND($U68="発射物",$DI68&lt;&gt;"パッシブ"),$BE68,0))</x:f>
      </x:c>
      <x:c r="W68" s="42" t="str">
        <x:f>IF($A68="","",IF(AND($U68="発射物",$DI68&lt;&gt;"パッシブ"),$BF68,0))</x:f>
      </x:c>
      <x:c r="X68" s="42" t="str">
        <x:f>IF($A68="","",IF(AND($U68="発射物",$DI68&lt;&gt;"パッシブ"),IF($BG68="有効","有効","無効"),"無効"))</x:f>
      </x:c>
      <x:c r="AD68" s="14"/>
      <x:c r="AE68" s="14"/>
      <x:c r="AF68" s="14"/>
      <x:c r="AH68" s="14"/>
      <x:c r="AJ68" s="14"/>
      <x:c r="AN68" s="14"/>
      <x:c r="AO68" s="14"/>
      <x:c r="AP68" s="14"/>
      <x:c r="AR68" s="14"/>
      <x:c r="AT68" s="14"/>
      <x:c r="AX68" s="14"/>
      <x:c r="AY68" s="14"/>
      <x:c r="AZ68" s="14"/>
      <x:c r="BB68" s="14"/>
      <x:c r="BD68" s="14"/>
      <x:c r="BE68" s="14"/>
      <x:c r="BF68" s="14"/>
      <x:c r="BK68" s="14"/>
      <x:c r="BM68" s="14"/>
      <x:c r="BN68" s="14"/>
      <x:c r="BP68" s="14"/>
      <x:c r="BQ68" s="14"/>
      <x:c r="BR68" s="14"/>
      <x:c r="BT68" s="14"/>
      <x:c r="BU68" s="14"/>
      <x:c r="BV68" s="14"/>
      <x:c r="BW68" s="14"/>
      <x:c r="BX68" s="14"/>
      <x:c r="BY68" s="14"/>
      <x:c r="BZ68" s="14"/>
      <x:c r="CA68" s="14"/>
      <x:c r="CB68" s="14"/>
      <x:c r="CC68" s="14"/>
      <x:c r="CD68" s="14"/>
      <x:c r="CE68" s="14"/>
      <x:c r="CF68" s="14"/>
      <x:c r="CJ68" s="14"/>
      <x:c r="CK68" s="14"/>
      <x:c r="CL68" s="14"/>
      <x:c r="CM68" s="14"/>
      <x:c r="CO68" s="14"/>
      <x:c r="CQ68" s="14"/>
      <x:c r="CS68" s="14"/>
      <x:c r="CT68" s="14"/>
      <x:c r="CU68" s="14"/>
      <x:c r="CW68" s="14"/>
      <x:c r="CX68" s="14"/>
      <x:c r="CY68" s="14"/>
      <x:c r="CZ68" s="14"/>
      <x:c r="DC68" s="14"/>
      <x:c r="DD68" s="14"/>
      <x:c r="DI68" s="88"/>
      <x:c r="DJ68" s="88"/>
      <x:c r="DK68" s="88"/>
      <x:c r="DL68" s="88"/>
      <x:c r="DM68" s="88"/>
      <x:c r="DN68" s="88"/>
      <x:c r="DO68" s="88"/>
      <x:c r="DP68" s="88"/>
      <x:c r="DQ68" s="88"/>
      <x:c r="DR68" s="88"/>
      <x:c r="DS68" s="88"/>
    </x:row>
    <x:row r="69" ht="25" customHeight="1">
      <x:c r="A69" s="10"/>
      <x:c r="D69" s="12"/>
      <x:c r="E69" s="12"/>
      <x:c r="F69" s="12"/>
      <x:c r="G69" s="14"/>
      <x:c r="H69" s="14"/>
      <x:c r="I69" s="14"/>
      <x:c r="J69" s="14"/>
      <x:c r="N69" s="14"/>
      <x:c r="O69" s="12"/>
      <x:c r="S69" s="14"/>
      <x:c r="T69" s="12"/>
      <x:c r="V69" s="42" t="str">
        <x:f>IF($A69="","",IF(AND($U69="発射物",$DI69&lt;&gt;"パッシブ"),$BE69,0))</x:f>
      </x:c>
      <x:c r="W69" s="42" t="str">
        <x:f>IF($A69="","",IF(AND($U69="発射物",$DI69&lt;&gt;"パッシブ"),$BF69,0))</x:f>
      </x:c>
      <x:c r="X69" s="42" t="str">
        <x:f>IF($A69="","",IF(AND($U69="発射物",$DI69&lt;&gt;"パッシブ"),IF($BG69="有効","有効","無効"),"無効"))</x:f>
      </x:c>
      <x:c r="AD69" s="14"/>
      <x:c r="AE69" s="14"/>
      <x:c r="AF69" s="14"/>
      <x:c r="AH69" s="14"/>
      <x:c r="AJ69" s="14"/>
      <x:c r="AN69" s="14"/>
      <x:c r="AO69" s="14"/>
      <x:c r="AP69" s="14"/>
      <x:c r="AR69" s="14"/>
      <x:c r="AT69" s="14"/>
      <x:c r="AX69" s="14"/>
      <x:c r="AY69" s="14"/>
      <x:c r="AZ69" s="14"/>
      <x:c r="BB69" s="14"/>
      <x:c r="BD69" s="14"/>
      <x:c r="BE69" s="14"/>
      <x:c r="BF69" s="14"/>
      <x:c r="BK69" s="14"/>
      <x:c r="BM69" s="14"/>
      <x:c r="BN69" s="14"/>
      <x:c r="BP69" s="14"/>
      <x:c r="BQ69" s="14"/>
      <x:c r="BR69" s="14"/>
      <x:c r="BT69" s="14"/>
      <x:c r="BU69" s="14"/>
      <x:c r="BV69" s="14"/>
      <x:c r="BW69" s="14"/>
      <x:c r="BX69" s="14"/>
      <x:c r="BY69" s="14"/>
      <x:c r="BZ69" s="14"/>
      <x:c r="CA69" s="14"/>
      <x:c r="CB69" s="14"/>
      <x:c r="CC69" s="14"/>
      <x:c r="CD69" s="14"/>
      <x:c r="CE69" s="14"/>
      <x:c r="CF69" s="14"/>
      <x:c r="CJ69" s="14"/>
      <x:c r="CK69" s="14"/>
      <x:c r="CL69" s="14"/>
      <x:c r="CM69" s="14"/>
      <x:c r="CO69" s="14"/>
      <x:c r="CQ69" s="14"/>
      <x:c r="CS69" s="14"/>
      <x:c r="CT69" s="14"/>
      <x:c r="CU69" s="14"/>
      <x:c r="CW69" s="14"/>
      <x:c r="CX69" s="14"/>
      <x:c r="CY69" s="14"/>
      <x:c r="CZ69" s="14"/>
      <x:c r="DC69" s="14"/>
      <x:c r="DD69" s="14"/>
      <x:c r="DI69" s="88"/>
      <x:c r="DJ69" s="88"/>
      <x:c r="DK69" s="88"/>
      <x:c r="DL69" s="88"/>
      <x:c r="DM69" s="88"/>
      <x:c r="DN69" s="88"/>
      <x:c r="DO69" s="88"/>
      <x:c r="DP69" s="88"/>
      <x:c r="DQ69" s="88"/>
      <x:c r="DR69" s="88"/>
      <x:c r="DS69" s="88"/>
    </x:row>
    <x:row r="70" ht="25" customHeight="1">
      <x:c r="A70" s="10"/>
      <x:c r="D70" s="12"/>
      <x:c r="E70" s="12"/>
      <x:c r="F70" s="12"/>
      <x:c r="G70" s="14"/>
      <x:c r="H70" s="14"/>
      <x:c r="I70" s="14"/>
      <x:c r="J70" s="14"/>
      <x:c r="N70" s="14"/>
      <x:c r="O70" s="12"/>
      <x:c r="S70" s="14"/>
      <x:c r="T70" s="12"/>
      <x:c r="V70" s="42" t="str">
        <x:f>IF($A70="","",IF(AND($U70="発射物",$DI70&lt;&gt;"パッシブ"),$BE70,0))</x:f>
      </x:c>
      <x:c r="W70" s="42" t="str">
        <x:f>IF($A70="","",IF(AND($U70="発射物",$DI70&lt;&gt;"パッシブ"),$BF70,0))</x:f>
      </x:c>
      <x:c r="X70" s="42" t="str">
        <x:f>IF($A70="","",IF(AND($U70="発射物",$DI70&lt;&gt;"パッシブ"),IF($BG70="有効","有効","無効"),"無効"))</x:f>
      </x:c>
      <x:c r="AD70" s="14"/>
      <x:c r="AE70" s="14"/>
      <x:c r="AF70" s="14"/>
      <x:c r="AH70" s="14"/>
      <x:c r="AJ70" s="14"/>
      <x:c r="AN70" s="14"/>
      <x:c r="AO70" s="14"/>
      <x:c r="AP70" s="14"/>
      <x:c r="AR70" s="14"/>
      <x:c r="AT70" s="14"/>
      <x:c r="AX70" s="14"/>
      <x:c r="AY70" s="14"/>
      <x:c r="AZ70" s="14"/>
      <x:c r="BB70" s="14"/>
      <x:c r="BD70" s="14"/>
      <x:c r="BE70" s="14"/>
      <x:c r="BF70" s="14"/>
      <x:c r="BK70" s="14"/>
      <x:c r="BM70" s="14"/>
      <x:c r="BN70" s="14"/>
      <x:c r="BP70" s="14"/>
      <x:c r="BQ70" s="14"/>
      <x:c r="BR70" s="14"/>
      <x:c r="BT70" s="14"/>
      <x:c r="BU70" s="14"/>
      <x:c r="BV70" s="14"/>
      <x:c r="BW70" s="14"/>
      <x:c r="BX70" s="14"/>
      <x:c r="BY70" s="14"/>
      <x:c r="BZ70" s="14"/>
      <x:c r="CA70" s="14"/>
      <x:c r="CB70" s="14"/>
      <x:c r="CC70" s="14"/>
      <x:c r="CD70" s="14"/>
      <x:c r="CE70" s="14"/>
      <x:c r="CF70" s="14"/>
      <x:c r="CJ70" s="14"/>
      <x:c r="CK70" s="14"/>
      <x:c r="CL70" s="14"/>
      <x:c r="CM70" s="14"/>
      <x:c r="CO70" s="14"/>
      <x:c r="CQ70" s="14"/>
      <x:c r="CS70" s="14"/>
      <x:c r="CT70" s="14"/>
      <x:c r="CU70" s="14"/>
      <x:c r="CW70" s="14"/>
      <x:c r="CX70" s="14"/>
      <x:c r="CY70" s="14"/>
      <x:c r="CZ70" s="14"/>
      <x:c r="DC70" s="14"/>
      <x:c r="DD70" s="14"/>
      <x:c r="DI70" s="88"/>
      <x:c r="DJ70" s="88"/>
      <x:c r="DK70" s="88"/>
      <x:c r="DL70" s="88"/>
      <x:c r="DM70" s="88"/>
      <x:c r="DN70" s="88"/>
      <x:c r="DO70" s="88"/>
      <x:c r="DP70" s="88"/>
      <x:c r="DQ70" s="88"/>
      <x:c r="DR70" s="88"/>
      <x:c r="DS70" s="88"/>
    </x:row>
    <x:row r="71" ht="25" customHeight="1">
      <x:c r="A71" s="10"/>
      <x:c r="D71" s="12"/>
      <x:c r="E71" s="12"/>
      <x:c r="F71" s="12"/>
      <x:c r="G71" s="14"/>
      <x:c r="H71" s="14"/>
      <x:c r="I71" s="14"/>
      <x:c r="J71" s="14"/>
      <x:c r="N71" s="14"/>
      <x:c r="O71" s="12"/>
      <x:c r="S71" s="14"/>
      <x:c r="T71" s="12"/>
      <x:c r="V71" s="42" t="str">
        <x:f>IF($A71="","",IF(AND($U71="発射物",$DI71&lt;&gt;"パッシブ"),$BE71,0))</x:f>
      </x:c>
      <x:c r="W71" s="42" t="str">
        <x:f>IF($A71="","",IF(AND($U71="発射物",$DI71&lt;&gt;"パッシブ"),$BF71,0))</x:f>
      </x:c>
      <x:c r="X71" s="42" t="str">
        <x:f>IF($A71="","",IF(AND($U71="発射物",$DI71&lt;&gt;"パッシブ"),IF($BG71="有効","有効","無効"),"無効"))</x:f>
      </x:c>
      <x:c r="AD71" s="14"/>
      <x:c r="AE71" s="14"/>
      <x:c r="AF71" s="14"/>
      <x:c r="AH71" s="14"/>
      <x:c r="AJ71" s="14"/>
      <x:c r="AN71" s="14"/>
      <x:c r="AO71" s="14"/>
      <x:c r="AP71" s="14"/>
      <x:c r="AR71" s="14"/>
      <x:c r="AT71" s="14"/>
      <x:c r="AX71" s="14"/>
      <x:c r="AY71" s="14"/>
      <x:c r="AZ71" s="14"/>
      <x:c r="BB71" s="14"/>
      <x:c r="BD71" s="14"/>
      <x:c r="BE71" s="14"/>
      <x:c r="BF71" s="14"/>
      <x:c r="BK71" s="14"/>
      <x:c r="BM71" s="14"/>
      <x:c r="BN71" s="14"/>
      <x:c r="BP71" s="14"/>
      <x:c r="BQ71" s="14"/>
      <x:c r="BR71" s="14"/>
      <x:c r="BT71" s="14"/>
      <x:c r="BU71" s="14"/>
      <x:c r="BV71" s="14"/>
      <x:c r="BW71" s="14"/>
      <x:c r="BX71" s="14"/>
      <x:c r="BY71" s="14"/>
      <x:c r="BZ71" s="14"/>
      <x:c r="CA71" s="14"/>
      <x:c r="CB71" s="14"/>
      <x:c r="CC71" s="14"/>
      <x:c r="CD71" s="14"/>
      <x:c r="CE71" s="14"/>
      <x:c r="CF71" s="14"/>
      <x:c r="CJ71" s="14"/>
      <x:c r="CK71" s="14"/>
      <x:c r="CL71" s="14"/>
      <x:c r="CM71" s="14"/>
      <x:c r="CO71" s="14"/>
      <x:c r="CQ71" s="14"/>
      <x:c r="CS71" s="14"/>
      <x:c r="CT71" s="14"/>
      <x:c r="CU71" s="14"/>
      <x:c r="CW71" s="14"/>
      <x:c r="CX71" s="14"/>
      <x:c r="CY71" s="14"/>
      <x:c r="CZ71" s="14"/>
      <x:c r="DC71" s="14"/>
      <x:c r="DD71" s="14"/>
      <x:c r="DI71" s="88"/>
      <x:c r="DJ71" s="88"/>
      <x:c r="DK71" s="88"/>
      <x:c r="DL71" s="88"/>
      <x:c r="DM71" s="88"/>
      <x:c r="DN71" s="88"/>
      <x:c r="DO71" s="88"/>
      <x:c r="DP71" s="88"/>
      <x:c r="DQ71" s="88"/>
      <x:c r="DR71" s="88"/>
      <x:c r="DS71" s="88"/>
    </x:row>
    <x:row r="72" ht="25" customHeight="1">
      <x:c r="A72" s="10"/>
      <x:c r="D72" s="12"/>
      <x:c r="E72" s="12"/>
      <x:c r="F72" s="12"/>
      <x:c r="G72" s="14"/>
      <x:c r="H72" s="14"/>
      <x:c r="I72" s="14"/>
      <x:c r="J72" s="14"/>
      <x:c r="N72" s="14"/>
      <x:c r="O72" s="12"/>
      <x:c r="S72" s="14"/>
      <x:c r="T72" s="12"/>
      <x:c r="V72" s="42" t="str">
        <x:f>IF($A72="","",IF(AND($U72="発射物",$DI72&lt;&gt;"パッシブ"),$BE72,0))</x:f>
      </x:c>
      <x:c r="W72" s="42" t="str">
        <x:f>IF($A72="","",IF(AND($U72="発射物",$DI72&lt;&gt;"パッシブ"),$BF72,0))</x:f>
      </x:c>
      <x:c r="X72" s="42" t="str">
        <x:f>IF($A72="","",IF(AND($U72="発射物",$DI72&lt;&gt;"パッシブ"),IF($BG72="有効","有効","無効"),"無効"))</x:f>
      </x:c>
      <x:c r="AD72" s="14"/>
      <x:c r="AE72" s="14"/>
      <x:c r="AF72" s="14"/>
      <x:c r="AH72" s="14"/>
      <x:c r="AJ72" s="14"/>
      <x:c r="AN72" s="14"/>
      <x:c r="AO72" s="14"/>
      <x:c r="AP72" s="14"/>
      <x:c r="AR72" s="14"/>
      <x:c r="AT72" s="14"/>
      <x:c r="AX72" s="14"/>
      <x:c r="AY72" s="14"/>
      <x:c r="AZ72" s="14"/>
      <x:c r="BB72" s="14"/>
      <x:c r="BD72" s="14"/>
      <x:c r="BE72" s="14"/>
      <x:c r="BF72" s="14"/>
      <x:c r="BK72" s="14"/>
      <x:c r="BM72" s="14"/>
      <x:c r="BN72" s="14"/>
      <x:c r="BP72" s="14"/>
      <x:c r="BQ72" s="14"/>
      <x:c r="BR72" s="14"/>
      <x:c r="BT72" s="14"/>
      <x:c r="BU72" s="14"/>
      <x:c r="BV72" s="14"/>
      <x:c r="BW72" s="14"/>
      <x:c r="BX72" s="14"/>
      <x:c r="BY72" s="14"/>
      <x:c r="BZ72" s="14"/>
      <x:c r="CA72" s="14"/>
      <x:c r="CB72" s="14"/>
      <x:c r="CC72" s="14"/>
      <x:c r="CD72" s="14"/>
      <x:c r="CE72" s="14"/>
      <x:c r="CF72" s="14"/>
      <x:c r="CJ72" s="14"/>
      <x:c r="CK72" s="14"/>
      <x:c r="CL72" s="14"/>
      <x:c r="CM72" s="14"/>
      <x:c r="CO72" s="14"/>
      <x:c r="CQ72" s="14"/>
      <x:c r="CS72" s="14"/>
      <x:c r="CT72" s="14"/>
      <x:c r="CU72" s="14"/>
      <x:c r="CW72" s="14"/>
      <x:c r="CX72" s="14"/>
      <x:c r="CY72" s="14"/>
      <x:c r="CZ72" s="14"/>
      <x:c r="DC72" s="14"/>
      <x:c r="DD72" s="14"/>
      <x:c r="DI72" s="88"/>
      <x:c r="DJ72" s="88"/>
      <x:c r="DK72" s="88"/>
      <x:c r="DL72" s="88"/>
      <x:c r="DM72" s="88"/>
      <x:c r="DN72" s="88"/>
      <x:c r="DO72" s="88"/>
      <x:c r="DP72" s="88"/>
      <x:c r="DQ72" s="88"/>
      <x:c r="DR72" s="88"/>
      <x:c r="DS72" s="88"/>
    </x:row>
    <x:row r="73" ht="25" customHeight="1">
      <x:c r="A73" s="10"/>
      <x:c r="D73" s="12"/>
      <x:c r="E73" s="12"/>
      <x:c r="F73" s="12"/>
      <x:c r="G73" s="14"/>
      <x:c r="H73" s="14"/>
      <x:c r="I73" s="14"/>
      <x:c r="J73" s="14"/>
      <x:c r="N73" s="14"/>
      <x:c r="O73" s="12"/>
      <x:c r="S73" s="14"/>
      <x:c r="T73" s="12"/>
      <x:c r="V73" s="42" t="str">
        <x:f>IF($A73="","",IF(AND($U73="発射物",$DI73&lt;&gt;"パッシブ"),$BE73,0))</x:f>
      </x:c>
      <x:c r="W73" s="42" t="str">
        <x:f>IF($A73="","",IF(AND($U73="発射物",$DI73&lt;&gt;"パッシブ"),$BF73,0))</x:f>
      </x:c>
      <x:c r="X73" s="42" t="str">
        <x:f>IF($A73="","",IF(AND($U73="発射物",$DI73&lt;&gt;"パッシブ"),IF($BG73="有効","有効","無効"),"無効"))</x:f>
      </x:c>
      <x:c r="AD73" s="14"/>
      <x:c r="AE73" s="14"/>
      <x:c r="AF73" s="14"/>
      <x:c r="AH73" s="14"/>
      <x:c r="AJ73" s="14"/>
      <x:c r="AN73" s="14"/>
      <x:c r="AO73" s="14"/>
      <x:c r="AP73" s="14"/>
      <x:c r="AR73" s="14"/>
      <x:c r="AT73" s="14"/>
      <x:c r="AX73" s="14"/>
      <x:c r="AY73" s="14"/>
      <x:c r="AZ73" s="14"/>
      <x:c r="BB73" s="14"/>
      <x:c r="BD73" s="14"/>
      <x:c r="BE73" s="14"/>
      <x:c r="BF73" s="14"/>
      <x:c r="BK73" s="14"/>
      <x:c r="BM73" s="14"/>
      <x:c r="BN73" s="14"/>
      <x:c r="BP73" s="14"/>
      <x:c r="BQ73" s="14"/>
      <x:c r="BR73" s="14"/>
      <x:c r="BT73" s="14"/>
      <x:c r="BU73" s="14"/>
      <x:c r="BV73" s="14"/>
      <x:c r="BW73" s="14"/>
      <x:c r="BX73" s="14"/>
      <x:c r="BY73" s="14"/>
      <x:c r="BZ73" s="14"/>
      <x:c r="CA73" s="14"/>
      <x:c r="CB73" s="14"/>
      <x:c r="CC73" s="14"/>
      <x:c r="CD73" s="14"/>
      <x:c r="CE73" s="14"/>
      <x:c r="CF73" s="14"/>
      <x:c r="CJ73" s="14"/>
      <x:c r="CK73" s="14"/>
      <x:c r="CL73" s="14"/>
      <x:c r="CM73" s="14"/>
      <x:c r="CO73" s="14"/>
      <x:c r="CQ73" s="14"/>
      <x:c r="CS73" s="14"/>
      <x:c r="CT73" s="14"/>
      <x:c r="CU73" s="14"/>
      <x:c r="CW73" s="14"/>
      <x:c r="CX73" s="14"/>
      <x:c r="CY73" s="14"/>
      <x:c r="CZ73" s="14"/>
      <x:c r="DC73" s="14"/>
      <x:c r="DD73" s="14"/>
      <x:c r="DI73" s="88"/>
      <x:c r="DJ73" s="88"/>
      <x:c r="DK73" s="88"/>
      <x:c r="DL73" s="88"/>
      <x:c r="DM73" s="88"/>
      <x:c r="DN73" s="88"/>
      <x:c r="DO73" s="88"/>
      <x:c r="DP73" s="88"/>
      <x:c r="DQ73" s="88"/>
      <x:c r="DR73" s="88"/>
      <x:c r="DS73" s="88"/>
    </x:row>
    <x:row r="74" ht="25" customHeight="1">
      <x:c r="A74" s="10"/>
      <x:c r="D74" s="12"/>
      <x:c r="E74" s="12"/>
      <x:c r="F74" s="12"/>
      <x:c r="G74" s="14"/>
      <x:c r="H74" s="14"/>
      <x:c r="I74" s="14"/>
      <x:c r="J74" s="14"/>
      <x:c r="N74" s="14"/>
      <x:c r="O74" s="12"/>
      <x:c r="S74" s="14"/>
      <x:c r="T74" s="12"/>
      <x:c r="V74" s="42" t="str">
        <x:f>IF($A74="","",IF(AND($U74="発射物",$DI74&lt;&gt;"パッシブ"),$BE74,0))</x:f>
      </x:c>
      <x:c r="W74" s="42" t="str">
        <x:f>IF($A74="","",IF(AND($U74="発射物",$DI74&lt;&gt;"パッシブ"),$BF74,0))</x:f>
      </x:c>
      <x:c r="X74" s="42" t="str">
        <x:f>IF($A74="","",IF(AND($U74="発射物",$DI74&lt;&gt;"パッシブ"),IF($BG74="有効","有効","無効"),"無効"))</x:f>
      </x:c>
      <x:c r="AD74" s="14"/>
      <x:c r="AE74" s="14"/>
      <x:c r="AF74" s="14"/>
      <x:c r="AH74" s="14"/>
      <x:c r="AJ74" s="14"/>
      <x:c r="AN74" s="14"/>
      <x:c r="AO74" s="14"/>
      <x:c r="AP74" s="14"/>
      <x:c r="AR74" s="14"/>
      <x:c r="AT74" s="14"/>
      <x:c r="AX74" s="14"/>
      <x:c r="AY74" s="14"/>
      <x:c r="AZ74" s="14"/>
      <x:c r="BB74" s="14"/>
      <x:c r="BD74" s="14"/>
      <x:c r="BE74" s="14"/>
      <x:c r="BF74" s="14"/>
      <x:c r="BK74" s="14"/>
      <x:c r="BM74" s="14"/>
      <x:c r="BN74" s="14"/>
      <x:c r="BP74" s="14"/>
      <x:c r="BQ74" s="14"/>
      <x:c r="BR74" s="14"/>
      <x:c r="BT74" s="14"/>
      <x:c r="BU74" s="14"/>
      <x:c r="BV74" s="14"/>
      <x:c r="BW74" s="14"/>
      <x:c r="BX74" s="14"/>
      <x:c r="BY74" s="14"/>
      <x:c r="BZ74" s="14"/>
      <x:c r="CA74" s="14"/>
      <x:c r="CB74" s="14"/>
      <x:c r="CC74" s="14"/>
      <x:c r="CD74" s="14"/>
      <x:c r="CE74" s="14"/>
      <x:c r="CF74" s="14"/>
      <x:c r="CJ74" s="14"/>
      <x:c r="CK74" s="14"/>
      <x:c r="CL74" s="14"/>
      <x:c r="CM74" s="14"/>
      <x:c r="CO74" s="14"/>
      <x:c r="CQ74" s="14"/>
      <x:c r="CS74" s="14"/>
      <x:c r="CT74" s="14"/>
      <x:c r="CU74" s="14"/>
      <x:c r="CW74" s="14"/>
      <x:c r="CX74" s="14"/>
      <x:c r="CY74" s="14"/>
      <x:c r="CZ74" s="14"/>
      <x:c r="DC74" s="14"/>
      <x:c r="DD74" s="14"/>
      <x:c r="DI74" s="88"/>
      <x:c r="DJ74" s="88"/>
      <x:c r="DK74" s="88"/>
      <x:c r="DL74" s="88"/>
      <x:c r="DM74" s="88"/>
      <x:c r="DN74" s="88"/>
      <x:c r="DO74" s="88"/>
      <x:c r="DP74" s="88"/>
      <x:c r="DQ74" s="88"/>
      <x:c r="DR74" s="88"/>
      <x:c r="DS74" s="88"/>
    </x:row>
    <x:row r="75" ht="25" customHeight="1">
      <x:c r="A75" s="10"/>
      <x:c r="D75" s="12"/>
      <x:c r="E75" s="12"/>
      <x:c r="F75" s="12"/>
      <x:c r="G75" s="14"/>
      <x:c r="H75" s="14"/>
      <x:c r="I75" s="14"/>
      <x:c r="J75" s="14"/>
      <x:c r="N75" s="14"/>
      <x:c r="O75" s="12"/>
      <x:c r="S75" s="14"/>
      <x:c r="T75" s="12"/>
      <x:c r="V75" s="42" t="str">
        <x:f>IF($A75="","",IF(AND($U75="発射物",$DI75&lt;&gt;"パッシブ"),$BE75,0))</x:f>
      </x:c>
      <x:c r="W75" s="42" t="str">
        <x:f>IF($A75="","",IF(AND($U75="発射物",$DI75&lt;&gt;"パッシブ"),$BF75,0))</x:f>
      </x:c>
      <x:c r="X75" s="42" t="str">
        <x:f>IF($A75="","",IF(AND($U75="発射物",$DI75&lt;&gt;"パッシブ"),IF($BG75="有効","有効","無効"),"無効"))</x:f>
      </x:c>
      <x:c r="AD75" s="14"/>
      <x:c r="AE75" s="14"/>
      <x:c r="AF75" s="14"/>
      <x:c r="AH75" s="14"/>
      <x:c r="AJ75" s="14"/>
      <x:c r="AN75" s="14"/>
      <x:c r="AO75" s="14"/>
      <x:c r="AP75" s="14"/>
      <x:c r="AR75" s="14"/>
      <x:c r="AT75" s="14"/>
      <x:c r="AX75" s="14"/>
      <x:c r="AY75" s="14"/>
      <x:c r="AZ75" s="14"/>
      <x:c r="BB75" s="14"/>
      <x:c r="BD75" s="14"/>
      <x:c r="BE75" s="14"/>
      <x:c r="BF75" s="14"/>
      <x:c r="BK75" s="14"/>
      <x:c r="BM75" s="14"/>
      <x:c r="BN75" s="14"/>
      <x:c r="BP75" s="14"/>
      <x:c r="BQ75" s="14"/>
      <x:c r="BR75" s="14"/>
      <x:c r="BT75" s="14"/>
      <x:c r="BU75" s="14"/>
      <x:c r="BV75" s="14"/>
      <x:c r="BW75" s="14"/>
      <x:c r="BX75" s="14"/>
      <x:c r="BY75" s="14"/>
      <x:c r="BZ75" s="14"/>
      <x:c r="CA75" s="14"/>
      <x:c r="CB75" s="14"/>
      <x:c r="CC75" s="14"/>
      <x:c r="CD75" s="14"/>
      <x:c r="CE75" s="14"/>
      <x:c r="CF75" s="14"/>
      <x:c r="CJ75" s="14"/>
      <x:c r="CK75" s="14"/>
      <x:c r="CL75" s="14"/>
      <x:c r="CM75" s="14"/>
      <x:c r="CO75" s="14"/>
      <x:c r="CQ75" s="14"/>
      <x:c r="CS75" s="14"/>
      <x:c r="CT75" s="14"/>
      <x:c r="CU75" s="14"/>
      <x:c r="CW75" s="14"/>
      <x:c r="CX75" s="14"/>
      <x:c r="CY75" s="14"/>
      <x:c r="CZ75" s="14"/>
      <x:c r="DC75" s="14"/>
      <x:c r="DD75" s="14"/>
      <x:c r="DI75" s="88"/>
      <x:c r="DJ75" s="88"/>
      <x:c r="DK75" s="88"/>
      <x:c r="DL75" s="88"/>
      <x:c r="DM75" s="88"/>
      <x:c r="DN75" s="88"/>
      <x:c r="DO75" s="88"/>
      <x:c r="DP75" s="88"/>
      <x:c r="DQ75" s="88"/>
      <x:c r="DR75" s="88"/>
      <x:c r="DS75" s="88"/>
    </x:row>
    <x:row r="76" ht="25" customHeight="1">
      <x:c r="A76" s="10"/>
      <x:c r="D76" s="12"/>
      <x:c r="E76" s="12"/>
      <x:c r="F76" s="12"/>
      <x:c r="G76" s="14"/>
      <x:c r="H76" s="14"/>
      <x:c r="I76" s="14"/>
      <x:c r="J76" s="14"/>
      <x:c r="N76" s="14"/>
      <x:c r="O76" s="12"/>
      <x:c r="S76" s="14"/>
      <x:c r="T76" s="12"/>
      <x:c r="V76" s="42" t="str">
        <x:f>IF($A76="","",IF(AND($U76="発射物",$DI76&lt;&gt;"パッシブ"),$BE76,0))</x:f>
      </x:c>
      <x:c r="W76" s="42" t="str">
        <x:f>IF($A76="","",IF(AND($U76="発射物",$DI76&lt;&gt;"パッシブ"),$BF76,0))</x:f>
      </x:c>
      <x:c r="X76" s="42" t="str">
        <x:f>IF($A76="","",IF(AND($U76="発射物",$DI76&lt;&gt;"パッシブ"),IF($BG76="有効","有効","無効"),"無効"))</x:f>
      </x:c>
      <x:c r="AD76" s="14"/>
      <x:c r="AE76" s="14"/>
      <x:c r="AF76" s="14"/>
      <x:c r="AH76" s="14"/>
      <x:c r="AJ76" s="14"/>
      <x:c r="AN76" s="14"/>
      <x:c r="AO76" s="14"/>
      <x:c r="AP76" s="14"/>
      <x:c r="AR76" s="14"/>
      <x:c r="AT76" s="14"/>
      <x:c r="AX76" s="14"/>
      <x:c r="AY76" s="14"/>
      <x:c r="AZ76" s="14"/>
      <x:c r="BB76" s="14"/>
      <x:c r="BD76" s="14"/>
      <x:c r="BE76" s="14"/>
      <x:c r="BF76" s="14"/>
      <x:c r="BK76" s="14"/>
      <x:c r="BM76" s="14"/>
      <x:c r="BN76" s="14"/>
      <x:c r="BP76" s="14"/>
      <x:c r="BQ76" s="14"/>
      <x:c r="BR76" s="14"/>
      <x:c r="BT76" s="14"/>
      <x:c r="BU76" s="14"/>
      <x:c r="BV76" s="14"/>
      <x:c r="BW76" s="14"/>
      <x:c r="BX76" s="14"/>
      <x:c r="BY76" s="14"/>
      <x:c r="BZ76" s="14"/>
      <x:c r="CA76" s="14"/>
      <x:c r="CB76" s="14"/>
      <x:c r="CC76" s="14"/>
      <x:c r="CD76" s="14"/>
      <x:c r="CE76" s="14"/>
      <x:c r="CF76" s="14"/>
      <x:c r="CJ76" s="14"/>
      <x:c r="CK76" s="14"/>
      <x:c r="CL76" s="14"/>
      <x:c r="CM76" s="14"/>
      <x:c r="CO76" s="14"/>
      <x:c r="CQ76" s="14"/>
      <x:c r="CS76" s="14"/>
      <x:c r="CT76" s="14"/>
      <x:c r="CU76" s="14"/>
      <x:c r="CW76" s="14"/>
      <x:c r="CX76" s="14"/>
      <x:c r="CY76" s="14"/>
      <x:c r="CZ76" s="14"/>
      <x:c r="DC76" s="14"/>
      <x:c r="DD76" s="14"/>
      <x:c r="DI76" s="88"/>
      <x:c r="DJ76" s="88"/>
      <x:c r="DK76" s="88"/>
      <x:c r="DL76" s="88"/>
      <x:c r="DM76" s="88"/>
      <x:c r="DN76" s="88"/>
      <x:c r="DO76" s="88"/>
      <x:c r="DP76" s="88"/>
      <x:c r="DQ76" s="88"/>
      <x:c r="DR76" s="88"/>
      <x:c r="DS76" s="88"/>
    </x:row>
    <x:row r="77" ht="25" customHeight="1">
      <x:c r="A77" s="10"/>
      <x:c r="D77" s="12"/>
      <x:c r="E77" s="12"/>
      <x:c r="F77" s="12"/>
      <x:c r="G77" s="14"/>
      <x:c r="H77" s="14"/>
      <x:c r="I77" s="14"/>
      <x:c r="J77" s="14"/>
      <x:c r="N77" s="14"/>
      <x:c r="O77" s="12"/>
      <x:c r="S77" s="14"/>
      <x:c r="T77" s="12"/>
      <x:c r="V77" s="42" t="str">
        <x:f>IF($A77="","",IF(AND($U77="発射物",$DI77&lt;&gt;"パッシブ"),$BE77,0))</x:f>
      </x:c>
      <x:c r="W77" s="42" t="str">
        <x:f>IF($A77="","",IF(AND($U77="発射物",$DI77&lt;&gt;"パッシブ"),$BF77,0))</x:f>
      </x:c>
      <x:c r="X77" s="42" t="str">
        <x:f>IF($A77="","",IF(AND($U77="発射物",$DI77&lt;&gt;"パッシブ"),IF($BG77="有効","有効","無効"),"無効"))</x:f>
      </x:c>
      <x:c r="AD77" s="14"/>
      <x:c r="AE77" s="14"/>
      <x:c r="AF77" s="14"/>
      <x:c r="AH77" s="14"/>
      <x:c r="AJ77" s="14"/>
      <x:c r="AN77" s="14"/>
      <x:c r="AO77" s="14"/>
      <x:c r="AP77" s="14"/>
      <x:c r="AR77" s="14"/>
      <x:c r="AT77" s="14"/>
      <x:c r="AX77" s="14"/>
      <x:c r="AY77" s="14"/>
      <x:c r="AZ77" s="14"/>
      <x:c r="BB77" s="14"/>
      <x:c r="BD77" s="14"/>
      <x:c r="BE77" s="14"/>
      <x:c r="BF77" s="14"/>
      <x:c r="BK77" s="14"/>
      <x:c r="BM77" s="14"/>
      <x:c r="BN77" s="14"/>
      <x:c r="BP77" s="14"/>
      <x:c r="BQ77" s="14"/>
      <x:c r="BR77" s="14"/>
      <x:c r="BT77" s="14"/>
      <x:c r="BU77" s="14"/>
      <x:c r="BV77" s="14"/>
      <x:c r="BW77" s="14"/>
      <x:c r="BX77" s="14"/>
      <x:c r="BY77" s="14"/>
      <x:c r="BZ77" s="14"/>
      <x:c r="CA77" s="14"/>
      <x:c r="CB77" s="14"/>
      <x:c r="CC77" s="14"/>
      <x:c r="CD77" s="14"/>
      <x:c r="CE77" s="14"/>
      <x:c r="CF77" s="14"/>
      <x:c r="CJ77" s="14"/>
      <x:c r="CK77" s="14"/>
      <x:c r="CL77" s="14"/>
      <x:c r="CM77" s="14"/>
      <x:c r="CO77" s="14"/>
      <x:c r="CQ77" s="14"/>
      <x:c r="CS77" s="14"/>
      <x:c r="CT77" s="14"/>
      <x:c r="CU77" s="14"/>
      <x:c r="CW77" s="14"/>
      <x:c r="CX77" s="14"/>
      <x:c r="CY77" s="14"/>
      <x:c r="CZ77" s="14"/>
      <x:c r="DC77" s="14"/>
      <x:c r="DD77" s="14"/>
      <x:c r="DI77" s="88"/>
      <x:c r="DJ77" s="88"/>
      <x:c r="DK77" s="88"/>
      <x:c r="DL77" s="88"/>
      <x:c r="DM77" s="88"/>
      <x:c r="DN77" s="88"/>
      <x:c r="DO77" s="88"/>
      <x:c r="DP77" s="88"/>
      <x:c r="DQ77" s="88"/>
      <x:c r="DR77" s="88"/>
      <x:c r="DS77" s="88"/>
    </x:row>
    <x:row r="78" ht="25" customHeight="1">
      <x:c r="A78" s="10"/>
      <x:c r="D78" s="12"/>
      <x:c r="E78" s="12"/>
      <x:c r="F78" s="12"/>
      <x:c r="G78" s="14"/>
      <x:c r="H78" s="14"/>
      <x:c r="I78" s="14"/>
      <x:c r="J78" s="14"/>
      <x:c r="N78" s="14"/>
      <x:c r="O78" s="12"/>
      <x:c r="S78" s="14"/>
      <x:c r="T78" s="12"/>
      <x:c r="V78" s="42" t="str">
        <x:f>IF($A78="","",IF(AND($U78="発射物",$DI78&lt;&gt;"パッシブ"),$BE78,0))</x:f>
      </x:c>
      <x:c r="W78" s="42" t="str">
        <x:f>IF($A78="","",IF(AND($U78="発射物",$DI78&lt;&gt;"パッシブ"),$BF78,0))</x:f>
      </x:c>
      <x:c r="X78" s="42" t="str">
        <x:f>IF($A78="","",IF(AND($U78="発射物",$DI78&lt;&gt;"パッシブ"),IF($BG78="有効","有効","無効"),"無効"))</x:f>
      </x:c>
      <x:c r="AD78" s="14"/>
      <x:c r="AE78" s="14"/>
      <x:c r="AF78" s="14"/>
      <x:c r="AH78" s="14"/>
      <x:c r="AJ78" s="14"/>
      <x:c r="AN78" s="14"/>
      <x:c r="AO78" s="14"/>
      <x:c r="AP78" s="14"/>
      <x:c r="AR78" s="14"/>
      <x:c r="AT78" s="14"/>
      <x:c r="AX78" s="14"/>
      <x:c r="AY78" s="14"/>
      <x:c r="AZ78" s="14"/>
      <x:c r="BB78" s="14"/>
      <x:c r="BD78" s="14"/>
      <x:c r="BE78" s="14"/>
      <x:c r="BF78" s="14"/>
      <x:c r="BK78" s="14"/>
      <x:c r="BM78" s="14"/>
      <x:c r="BN78" s="14"/>
      <x:c r="BP78" s="14"/>
      <x:c r="BQ78" s="14"/>
      <x:c r="BR78" s="14"/>
      <x:c r="BT78" s="14"/>
      <x:c r="BU78" s="14"/>
      <x:c r="BV78" s="14"/>
      <x:c r="BW78" s="14"/>
      <x:c r="BX78" s="14"/>
      <x:c r="BY78" s="14"/>
      <x:c r="BZ78" s="14"/>
      <x:c r="CA78" s="14"/>
      <x:c r="CB78" s="14"/>
      <x:c r="CC78" s="14"/>
      <x:c r="CD78" s="14"/>
      <x:c r="CE78" s="14"/>
      <x:c r="CF78" s="14"/>
      <x:c r="CJ78" s="14"/>
      <x:c r="CK78" s="14"/>
      <x:c r="CL78" s="14"/>
      <x:c r="CM78" s="14"/>
      <x:c r="CO78" s="14"/>
      <x:c r="CQ78" s="14"/>
      <x:c r="CS78" s="14"/>
      <x:c r="CT78" s="14"/>
      <x:c r="CU78" s="14"/>
      <x:c r="CW78" s="14"/>
      <x:c r="CX78" s="14"/>
      <x:c r="CY78" s="14"/>
      <x:c r="CZ78" s="14"/>
      <x:c r="DC78" s="14"/>
      <x:c r="DD78" s="14"/>
      <x:c r="DI78" s="88"/>
      <x:c r="DJ78" s="88"/>
      <x:c r="DK78" s="88"/>
      <x:c r="DL78" s="88"/>
      <x:c r="DM78" s="88"/>
      <x:c r="DN78" s="88"/>
      <x:c r="DO78" s="88"/>
      <x:c r="DP78" s="88"/>
      <x:c r="DQ78" s="88"/>
      <x:c r="DR78" s="88"/>
      <x:c r="DS78" s="88"/>
    </x:row>
    <x:row r="79" ht="25" customHeight="1">
      <x:c r="A79" s="10"/>
      <x:c r="D79" s="12"/>
      <x:c r="E79" s="12"/>
      <x:c r="F79" s="12"/>
      <x:c r="G79" s="14"/>
      <x:c r="H79" s="14"/>
      <x:c r="I79" s="14"/>
      <x:c r="J79" s="14"/>
      <x:c r="N79" s="14"/>
      <x:c r="O79" s="12"/>
      <x:c r="S79" s="14"/>
      <x:c r="T79" s="12"/>
      <x:c r="V79" s="42" t="str">
        <x:f>IF($A79="","",IF(AND($U79="発射物",$DI79&lt;&gt;"パッシブ"),$BE79,0))</x:f>
      </x:c>
      <x:c r="W79" s="42" t="str">
        <x:f>IF($A79="","",IF(AND($U79="発射物",$DI79&lt;&gt;"パッシブ"),$BF79,0))</x:f>
      </x:c>
      <x:c r="X79" s="42" t="str">
        <x:f>IF($A79="","",IF(AND($U79="発射物",$DI79&lt;&gt;"パッシブ"),IF($BG79="有効","有効","無効"),"無効"))</x:f>
      </x:c>
      <x:c r="AD79" s="14"/>
      <x:c r="AE79" s="14"/>
      <x:c r="AF79" s="14"/>
      <x:c r="AH79" s="14"/>
      <x:c r="AJ79" s="14"/>
      <x:c r="AN79" s="14"/>
      <x:c r="AO79" s="14"/>
      <x:c r="AP79" s="14"/>
      <x:c r="AR79" s="14"/>
      <x:c r="AT79" s="14"/>
      <x:c r="AX79" s="14"/>
      <x:c r="AY79" s="14"/>
      <x:c r="AZ79" s="14"/>
      <x:c r="BB79" s="14"/>
      <x:c r="BD79" s="14"/>
      <x:c r="BE79" s="14"/>
      <x:c r="BF79" s="14"/>
      <x:c r="BK79" s="14"/>
      <x:c r="BM79" s="14"/>
      <x:c r="BN79" s="14"/>
      <x:c r="BP79" s="14"/>
      <x:c r="BQ79" s="14"/>
      <x:c r="BR79" s="14"/>
      <x:c r="BT79" s="14"/>
      <x:c r="BU79" s="14"/>
      <x:c r="BV79" s="14"/>
      <x:c r="BW79" s="14"/>
      <x:c r="BX79" s="14"/>
      <x:c r="BY79" s="14"/>
      <x:c r="BZ79" s="14"/>
      <x:c r="CA79" s="14"/>
      <x:c r="CB79" s="14"/>
      <x:c r="CC79" s="14"/>
      <x:c r="CD79" s="14"/>
      <x:c r="CE79" s="14"/>
      <x:c r="CF79" s="14"/>
      <x:c r="CJ79" s="14"/>
      <x:c r="CK79" s="14"/>
      <x:c r="CL79" s="14"/>
      <x:c r="CM79" s="14"/>
      <x:c r="CO79" s="14"/>
      <x:c r="CQ79" s="14"/>
      <x:c r="CS79" s="14"/>
      <x:c r="CT79" s="14"/>
      <x:c r="CU79" s="14"/>
      <x:c r="CW79" s="14"/>
      <x:c r="CX79" s="14"/>
      <x:c r="CY79" s="14"/>
      <x:c r="CZ79" s="14"/>
      <x:c r="DC79" s="14"/>
      <x:c r="DD79" s="14"/>
      <x:c r="DI79" s="88"/>
      <x:c r="DJ79" s="88"/>
      <x:c r="DK79" s="88"/>
      <x:c r="DL79" s="88"/>
      <x:c r="DM79" s="88"/>
      <x:c r="DN79" s="88"/>
      <x:c r="DO79" s="88"/>
      <x:c r="DP79" s="88"/>
      <x:c r="DQ79" s="88"/>
      <x:c r="DR79" s="88"/>
      <x:c r="DS79" s="88"/>
    </x:row>
    <x:row r="80" ht="25" customHeight="1">
      <x:c r="A80" s="10"/>
      <x:c r="D80" s="12"/>
      <x:c r="E80" s="12"/>
      <x:c r="F80" s="12"/>
      <x:c r="G80" s="14"/>
      <x:c r="H80" s="14"/>
      <x:c r="I80" s="14"/>
      <x:c r="J80" s="14"/>
      <x:c r="N80" s="14"/>
      <x:c r="O80" s="12"/>
      <x:c r="S80" s="14"/>
      <x:c r="T80" s="12"/>
      <x:c r="V80" s="42" t="str">
        <x:f>IF($A80="","",IF(AND($U80="発射物",$DI80&lt;&gt;"パッシブ"),$BE80,0))</x:f>
      </x:c>
      <x:c r="W80" s="42" t="str">
        <x:f>IF($A80="","",IF(AND($U80="発射物",$DI80&lt;&gt;"パッシブ"),$BF80,0))</x:f>
      </x:c>
      <x:c r="X80" s="42" t="str">
        <x:f>IF($A80="","",IF(AND($U80="発射物",$DI80&lt;&gt;"パッシブ"),IF($BG80="有効","有効","無効"),"無効"))</x:f>
      </x:c>
      <x:c r="AD80" s="14"/>
      <x:c r="AE80" s="14"/>
      <x:c r="AF80" s="14"/>
      <x:c r="AH80" s="14"/>
      <x:c r="AJ80" s="14"/>
      <x:c r="AN80" s="14"/>
      <x:c r="AO80" s="14"/>
      <x:c r="AP80" s="14"/>
      <x:c r="AR80" s="14"/>
      <x:c r="AT80" s="14"/>
      <x:c r="AX80" s="14"/>
      <x:c r="AY80" s="14"/>
      <x:c r="AZ80" s="14"/>
      <x:c r="BB80" s="14"/>
      <x:c r="BD80" s="14"/>
      <x:c r="BE80" s="14"/>
      <x:c r="BF80" s="14"/>
      <x:c r="BK80" s="14"/>
      <x:c r="BM80" s="14"/>
      <x:c r="BN80" s="14"/>
      <x:c r="BP80" s="14"/>
      <x:c r="BQ80" s="14"/>
      <x:c r="BR80" s="14"/>
      <x:c r="BT80" s="14"/>
      <x:c r="BU80" s="14"/>
      <x:c r="BV80" s="14"/>
      <x:c r="BW80" s="14"/>
      <x:c r="BX80" s="14"/>
      <x:c r="BY80" s="14"/>
      <x:c r="BZ80" s="14"/>
      <x:c r="CA80" s="14"/>
      <x:c r="CB80" s="14"/>
      <x:c r="CC80" s="14"/>
      <x:c r="CD80" s="14"/>
      <x:c r="CE80" s="14"/>
      <x:c r="CF80" s="14"/>
      <x:c r="CJ80" s="14"/>
      <x:c r="CK80" s="14"/>
      <x:c r="CL80" s="14"/>
      <x:c r="CM80" s="14"/>
      <x:c r="CO80" s="14"/>
      <x:c r="CQ80" s="14"/>
      <x:c r="CS80" s="14"/>
      <x:c r="CT80" s="14"/>
      <x:c r="CU80" s="14"/>
      <x:c r="CW80" s="14"/>
      <x:c r="CX80" s="14"/>
      <x:c r="CY80" s="14"/>
      <x:c r="CZ80" s="14"/>
      <x:c r="DC80" s="14"/>
      <x:c r="DD80" s="14"/>
      <x:c r="DI80" s="88"/>
      <x:c r="DJ80" s="88"/>
      <x:c r="DK80" s="88"/>
      <x:c r="DL80" s="88"/>
      <x:c r="DM80" s="88"/>
      <x:c r="DN80" s="88"/>
      <x:c r="DO80" s="88"/>
      <x:c r="DP80" s="88"/>
      <x:c r="DQ80" s="88"/>
      <x:c r="DR80" s="88"/>
      <x:c r="DS80" s="88"/>
    </x:row>
    <x:row r="81" ht="25" customHeight="1">
      <x:c r="A81" s="10"/>
      <x:c r="D81" s="12"/>
      <x:c r="E81" s="12"/>
      <x:c r="F81" s="12"/>
      <x:c r="G81" s="14"/>
      <x:c r="H81" s="14"/>
      <x:c r="I81" s="14"/>
      <x:c r="J81" s="14"/>
      <x:c r="N81" s="14"/>
      <x:c r="O81" s="12"/>
      <x:c r="S81" s="14"/>
      <x:c r="T81" s="12"/>
      <x:c r="V81" s="42" t="str">
        <x:f>IF($A81="","",IF(AND($U81="発射物",$DI81&lt;&gt;"パッシブ"),$BE81,0))</x:f>
      </x:c>
      <x:c r="W81" s="42" t="str">
        <x:f>IF($A81="","",IF(AND($U81="発射物",$DI81&lt;&gt;"パッシブ"),$BF81,0))</x:f>
      </x:c>
      <x:c r="X81" s="42" t="str">
        <x:f>IF($A81="","",IF(AND($U81="発射物",$DI81&lt;&gt;"パッシブ"),IF($BG81="有効","有効","無効"),"無効"))</x:f>
      </x:c>
      <x:c r="AD81" s="14"/>
      <x:c r="AE81" s="14"/>
      <x:c r="AF81" s="14"/>
      <x:c r="AH81" s="14"/>
      <x:c r="AJ81" s="14"/>
      <x:c r="AN81" s="14"/>
      <x:c r="AO81" s="14"/>
      <x:c r="AP81" s="14"/>
      <x:c r="AR81" s="14"/>
      <x:c r="AT81" s="14"/>
      <x:c r="AX81" s="14"/>
      <x:c r="AY81" s="14"/>
      <x:c r="AZ81" s="14"/>
      <x:c r="BB81" s="14"/>
      <x:c r="BD81" s="14"/>
      <x:c r="BE81" s="14"/>
      <x:c r="BF81" s="14"/>
      <x:c r="BK81" s="14"/>
      <x:c r="BM81" s="14"/>
      <x:c r="BN81" s="14"/>
      <x:c r="BP81" s="14"/>
      <x:c r="BQ81" s="14"/>
      <x:c r="BR81" s="14"/>
      <x:c r="BT81" s="14"/>
      <x:c r="BU81" s="14"/>
      <x:c r="BV81" s="14"/>
      <x:c r="BW81" s="14"/>
      <x:c r="BX81" s="14"/>
      <x:c r="BY81" s="14"/>
      <x:c r="BZ81" s="14"/>
      <x:c r="CA81" s="14"/>
      <x:c r="CB81" s="14"/>
      <x:c r="CC81" s="14"/>
      <x:c r="CD81" s="14"/>
      <x:c r="CE81" s="14"/>
      <x:c r="CF81" s="14"/>
      <x:c r="CJ81" s="14"/>
      <x:c r="CK81" s="14"/>
      <x:c r="CL81" s="14"/>
      <x:c r="CM81" s="14"/>
      <x:c r="CO81" s="14"/>
      <x:c r="CQ81" s="14"/>
      <x:c r="CS81" s="14"/>
      <x:c r="CT81" s="14"/>
      <x:c r="CU81" s="14"/>
      <x:c r="CW81" s="14"/>
      <x:c r="CX81" s="14"/>
      <x:c r="CY81" s="14"/>
      <x:c r="CZ81" s="14"/>
      <x:c r="DC81" s="14"/>
      <x:c r="DD81" s="14"/>
      <x:c r="DI81" s="88"/>
      <x:c r="DJ81" s="88"/>
      <x:c r="DK81" s="88"/>
      <x:c r="DL81" s="88"/>
      <x:c r="DM81" s="88"/>
      <x:c r="DN81" s="88"/>
      <x:c r="DO81" s="88"/>
      <x:c r="DP81" s="88"/>
      <x:c r="DQ81" s="88"/>
      <x:c r="DR81" s="88"/>
      <x:c r="DS81" s="88"/>
    </x:row>
    <x:row r="82" ht="25" customHeight="1">
      <x:c r="A82" s="10"/>
      <x:c r="D82" s="12"/>
      <x:c r="E82" s="12"/>
      <x:c r="F82" s="12"/>
      <x:c r="G82" s="14"/>
      <x:c r="H82" s="14"/>
      <x:c r="I82" s="14"/>
      <x:c r="J82" s="14"/>
      <x:c r="N82" s="14"/>
      <x:c r="O82" s="12"/>
      <x:c r="S82" s="14"/>
      <x:c r="T82" s="12"/>
      <x:c r="V82" s="42" t="str">
        <x:f>IF($A82="","",IF(AND($U82="発射物",$DI82&lt;&gt;"パッシブ"),$BE82,0))</x:f>
      </x:c>
      <x:c r="W82" s="42" t="str">
        <x:f>IF($A82="","",IF(AND($U82="発射物",$DI82&lt;&gt;"パッシブ"),$BF82,0))</x:f>
      </x:c>
      <x:c r="X82" s="42" t="str">
        <x:f>IF($A82="","",IF(AND($U82="発射物",$DI82&lt;&gt;"パッシブ"),IF($BG82="有効","有効","無効"),"無効"))</x:f>
      </x:c>
      <x:c r="AD82" s="14"/>
      <x:c r="AE82" s="14"/>
      <x:c r="AF82" s="14"/>
      <x:c r="AH82" s="14"/>
      <x:c r="AJ82" s="14"/>
      <x:c r="AN82" s="14"/>
      <x:c r="AO82" s="14"/>
      <x:c r="AP82" s="14"/>
      <x:c r="AR82" s="14"/>
      <x:c r="AT82" s="14"/>
      <x:c r="AX82" s="14"/>
      <x:c r="AY82" s="14"/>
      <x:c r="AZ82" s="14"/>
      <x:c r="BB82" s="14"/>
      <x:c r="BD82" s="14"/>
      <x:c r="BE82" s="14"/>
      <x:c r="BF82" s="14"/>
      <x:c r="BK82" s="14"/>
      <x:c r="BM82" s="14"/>
      <x:c r="BN82" s="14"/>
      <x:c r="BP82" s="14"/>
      <x:c r="BQ82" s="14"/>
      <x:c r="BR82" s="14"/>
      <x:c r="BT82" s="14"/>
      <x:c r="BU82" s="14"/>
      <x:c r="BV82" s="14"/>
      <x:c r="BW82" s="14"/>
      <x:c r="BX82" s="14"/>
      <x:c r="BY82" s="14"/>
      <x:c r="BZ82" s="14"/>
      <x:c r="CA82" s="14"/>
      <x:c r="CB82" s="14"/>
      <x:c r="CC82" s="14"/>
      <x:c r="CD82" s="14"/>
      <x:c r="CE82" s="14"/>
      <x:c r="CF82" s="14"/>
      <x:c r="CJ82" s="14"/>
      <x:c r="CK82" s="14"/>
      <x:c r="CL82" s="14"/>
      <x:c r="CM82" s="14"/>
      <x:c r="CO82" s="14"/>
      <x:c r="CQ82" s="14"/>
      <x:c r="CS82" s="14"/>
      <x:c r="CT82" s="14"/>
      <x:c r="CU82" s="14"/>
      <x:c r="CW82" s="14"/>
      <x:c r="CX82" s="14"/>
      <x:c r="CY82" s="14"/>
      <x:c r="CZ82" s="14"/>
      <x:c r="DC82" s="14"/>
      <x:c r="DD82" s="14"/>
      <x:c r="DI82" s="88"/>
      <x:c r="DJ82" s="88"/>
      <x:c r="DK82" s="88"/>
      <x:c r="DL82" s="88"/>
      <x:c r="DM82" s="88"/>
      <x:c r="DN82" s="88"/>
      <x:c r="DO82" s="88"/>
      <x:c r="DP82" s="88"/>
      <x:c r="DQ82" s="88"/>
      <x:c r="DR82" s="88"/>
      <x:c r="DS82" s="88"/>
    </x:row>
    <x:row r="83" ht="25" customHeight="1">
      <x:c r="A83" s="10"/>
      <x:c r="D83" s="12"/>
      <x:c r="E83" s="12"/>
      <x:c r="F83" s="12"/>
      <x:c r="G83" s="14"/>
      <x:c r="H83" s="14"/>
      <x:c r="I83" s="14"/>
      <x:c r="J83" s="14"/>
      <x:c r="N83" s="14"/>
      <x:c r="O83" s="12"/>
      <x:c r="S83" s="14"/>
      <x:c r="T83" s="12"/>
      <x:c r="V83" s="42" t="str">
        <x:f>IF($A83="","",IF(AND($U83="発射物",$DI83&lt;&gt;"パッシブ"),$BE83,0))</x:f>
      </x:c>
      <x:c r="W83" s="42" t="str">
        <x:f>IF($A83="","",IF(AND($U83="発射物",$DI83&lt;&gt;"パッシブ"),$BF83,0))</x:f>
      </x:c>
      <x:c r="X83" s="42" t="str">
        <x:f>IF($A83="","",IF(AND($U83="発射物",$DI83&lt;&gt;"パッシブ"),IF($BG83="有効","有効","無効"),"無効"))</x:f>
      </x:c>
      <x:c r="AD83" s="14"/>
      <x:c r="AE83" s="14"/>
      <x:c r="AF83" s="14"/>
      <x:c r="AH83" s="14"/>
      <x:c r="AJ83" s="14"/>
      <x:c r="AN83" s="14"/>
      <x:c r="AO83" s="14"/>
      <x:c r="AP83" s="14"/>
      <x:c r="AR83" s="14"/>
      <x:c r="AT83" s="14"/>
      <x:c r="AX83" s="14"/>
      <x:c r="AY83" s="14"/>
      <x:c r="AZ83" s="14"/>
      <x:c r="BB83" s="14"/>
      <x:c r="BD83" s="14"/>
      <x:c r="BE83" s="14"/>
      <x:c r="BF83" s="14"/>
      <x:c r="BK83" s="14"/>
      <x:c r="BM83" s="14"/>
      <x:c r="BN83" s="14"/>
      <x:c r="BP83" s="14"/>
      <x:c r="BQ83" s="14"/>
      <x:c r="BR83" s="14"/>
      <x:c r="BT83" s="14"/>
      <x:c r="BU83" s="14"/>
      <x:c r="BV83" s="14"/>
      <x:c r="BW83" s="14"/>
      <x:c r="BX83" s="14"/>
      <x:c r="BY83" s="14"/>
      <x:c r="BZ83" s="14"/>
      <x:c r="CA83" s="14"/>
      <x:c r="CB83" s="14"/>
      <x:c r="CC83" s="14"/>
      <x:c r="CD83" s="14"/>
      <x:c r="CE83" s="14"/>
      <x:c r="CF83" s="14"/>
      <x:c r="CJ83" s="14"/>
      <x:c r="CK83" s="14"/>
      <x:c r="CL83" s="14"/>
      <x:c r="CM83" s="14"/>
      <x:c r="CO83" s="14"/>
      <x:c r="CQ83" s="14"/>
      <x:c r="CS83" s="14"/>
      <x:c r="CT83" s="14"/>
      <x:c r="CU83" s="14"/>
      <x:c r="CW83" s="14"/>
      <x:c r="CX83" s="14"/>
      <x:c r="CY83" s="14"/>
      <x:c r="CZ83" s="14"/>
      <x:c r="DC83" s="14"/>
      <x:c r="DD83" s="14"/>
      <x:c r="DI83" s="88"/>
      <x:c r="DJ83" s="88"/>
      <x:c r="DK83" s="88"/>
      <x:c r="DL83" s="88"/>
      <x:c r="DM83" s="88"/>
      <x:c r="DN83" s="88"/>
      <x:c r="DO83" s="88"/>
      <x:c r="DP83" s="88"/>
      <x:c r="DQ83" s="88"/>
      <x:c r="DR83" s="88"/>
      <x:c r="DS83" s="88"/>
    </x:row>
    <x:row r="84" ht="25" customHeight="1">
      <x:c r="A84" s="10"/>
      <x:c r="D84" s="12"/>
      <x:c r="E84" s="12"/>
      <x:c r="F84" s="12"/>
      <x:c r="G84" s="14"/>
      <x:c r="H84" s="14"/>
      <x:c r="I84" s="14"/>
      <x:c r="J84" s="14"/>
      <x:c r="N84" s="14"/>
      <x:c r="O84" s="12"/>
      <x:c r="S84" s="14"/>
      <x:c r="T84" s="12"/>
      <x:c r="V84" s="42" t="str">
        <x:f>IF($A84="","",IF(AND($U84="発射物",$DI84&lt;&gt;"パッシブ"),$BE84,0))</x:f>
      </x:c>
      <x:c r="W84" s="42" t="str">
        <x:f>IF($A84="","",IF(AND($U84="発射物",$DI84&lt;&gt;"パッシブ"),$BF84,0))</x:f>
      </x:c>
      <x:c r="X84" s="42" t="str">
        <x:f>IF($A84="","",IF(AND($U84="発射物",$DI84&lt;&gt;"パッシブ"),IF($BG84="有効","有効","無効"),"無効"))</x:f>
      </x:c>
      <x:c r="AD84" s="14"/>
      <x:c r="AE84" s="14"/>
      <x:c r="AF84" s="14"/>
      <x:c r="AH84" s="14"/>
      <x:c r="AJ84" s="14"/>
      <x:c r="AN84" s="14"/>
      <x:c r="AO84" s="14"/>
      <x:c r="AP84" s="14"/>
      <x:c r="AR84" s="14"/>
      <x:c r="AT84" s="14"/>
      <x:c r="AX84" s="14"/>
      <x:c r="AY84" s="14"/>
      <x:c r="AZ84" s="14"/>
      <x:c r="BB84" s="14"/>
      <x:c r="BD84" s="14"/>
      <x:c r="BE84" s="14"/>
      <x:c r="BF84" s="14"/>
      <x:c r="BK84" s="14"/>
      <x:c r="BM84" s="14"/>
      <x:c r="BN84" s="14"/>
      <x:c r="BP84" s="14"/>
      <x:c r="BQ84" s="14"/>
      <x:c r="BR84" s="14"/>
      <x:c r="BT84" s="14"/>
      <x:c r="BU84" s="14"/>
      <x:c r="BV84" s="14"/>
      <x:c r="BW84" s="14"/>
      <x:c r="BX84" s="14"/>
      <x:c r="BY84" s="14"/>
      <x:c r="BZ84" s="14"/>
      <x:c r="CA84" s="14"/>
      <x:c r="CB84" s="14"/>
      <x:c r="CC84" s="14"/>
      <x:c r="CD84" s="14"/>
      <x:c r="CE84" s="14"/>
      <x:c r="CF84" s="14"/>
      <x:c r="CJ84" s="14"/>
      <x:c r="CK84" s="14"/>
      <x:c r="CL84" s="14"/>
      <x:c r="CM84" s="14"/>
      <x:c r="CO84" s="14"/>
      <x:c r="CQ84" s="14"/>
      <x:c r="CS84" s="14"/>
      <x:c r="CT84" s="14"/>
      <x:c r="CU84" s="14"/>
      <x:c r="CW84" s="14"/>
      <x:c r="CX84" s="14"/>
      <x:c r="CY84" s="14"/>
      <x:c r="CZ84" s="14"/>
      <x:c r="DC84" s="14"/>
      <x:c r="DD84" s="14"/>
      <x:c r="DI84" s="88"/>
      <x:c r="DJ84" s="88"/>
      <x:c r="DK84" s="88"/>
      <x:c r="DL84" s="88"/>
      <x:c r="DM84" s="88"/>
      <x:c r="DN84" s="88"/>
      <x:c r="DO84" s="88"/>
      <x:c r="DP84" s="88"/>
      <x:c r="DQ84" s="88"/>
      <x:c r="DR84" s="88"/>
      <x:c r="DS84" s="88"/>
    </x:row>
    <x:row r="85" ht="25" customHeight="1">
      <x:c r="A85" s="10"/>
      <x:c r="D85" s="12"/>
      <x:c r="E85" s="12"/>
      <x:c r="F85" s="12"/>
      <x:c r="G85" s="14"/>
      <x:c r="H85" s="14"/>
      <x:c r="I85" s="14"/>
      <x:c r="J85" s="14"/>
      <x:c r="N85" s="14"/>
      <x:c r="O85" s="12"/>
      <x:c r="S85" s="14"/>
      <x:c r="T85" s="12"/>
      <x:c r="V85" s="42" t="str">
        <x:f>IF($A85="","",IF(AND($U85="発射物",$DI85&lt;&gt;"パッシブ"),$BE85,0))</x:f>
      </x:c>
      <x:c r="W85" s="42" t="str">
        <x:f>IF($A85="","",IF(AND($U85="発射物",$DI85&lt;&gt;"パッシブ"),$BF85,0))</x:f>
      </x:c>
      <x:c r="X85" s="42" t="str">
        <x:f>IF($A85="","",IF(AND($U85="発射物",$DI85&lt;&gt;"パッシブ"),IF($BG85="有効","有効","無効"),"無効"))</x:f>
      </x:c>
      <x:c r="AD85" s="14"/>
      <x:c r="AE85" s="14"/>
      <x:c r="AF85" s="14"/>
      <x:c r="AH85" s="14"/>
      <x:c r="AJ85" s="14"/>
      <x:c r="AN85" s="14"/>
      <x:c r="AO85" s="14"/>
      <x:c r="AP85" s="14"/>
      <x:c r="AR85" s="14"/>
      <x:c r="AT85" s="14"/>
      <x:c r="AX85" s="14"/>
      <x:c r="AY85" s="14"/>
      <x:c r="AZ85" s="14"/>
      <x:c r="BB85" s="14"/>
      <x:c r="BD85" s="14"/>
      <x:c r="BE85" s="14"/>
      <x:c r="BF85" s="14"/>
      <x:c r="BK85" s="14"/>
      <x:c r="BM85" s="14"/>
      <x:c r="BN85" s="14"/>
      <x:c r="BP85" s="14"/>
      <x:c r="BQ85" s="14"/>
      <x:c r="BR85" s="14"/>
      <x:c r="BT85" s="14"/>
      <x:c r="BU85" s="14"/>
      <x:c r="BV85" s="14"/>
      <x:c r="BW85" s="14"/>
      <x:c r="BX85" s="14"/>
      <x:c r="BY85" s="14"/>
      <x:c r="BZ85" s="14"/>
      <x:c r="CA85" s="14"/>
      <x:c r="CB85" s="14"/>
      <x:c r="CC85" s="14"/>
      <x:c r="CD85" s="14"/>
      <x:c r="CE85" s="14"/>
      <x:c r="CF85" s="14"/>
      <x:c r="CJ85" s="14"/>
      <x:c r="CK85" s="14"/>
      <x:c r="CL85" s="14"/>
      <x:c r="CM85" s="14"/>
      <x:c r="CO85" s="14"/>
      <x:c r="CQ85" s="14"/>
      <x:c r="CS85" s="14"/>
      <x:c r="CT85" s="14"/>
      <x:c r="CU85" s="14"/>
      <x:c r="CW85" s="14"/>
      <x:c r="CX85" s="14"/>
      <x:c r="CY85" s="14"/>
      <x:c r="CZ85" s="14"/>
      <x:c r="DC85" s="14"/>
      <x:c r="DD85" s="14"/>
      <x:c r="DI85" s="88"/>
      <x:c r="DJ85" s="88"/>
      <x:c r="DK85" s="88"/>
      <x:c r="DL85" s="88"/>
      <x:c r="DM85" s="88"/>
      <x:c r="DN85" s="88"/>
      <x:c r="DO85" s="88"/>
      <x:c r="DP85" s="88"/>
      <x:c r="DQ85" s="88"/>
      <x:c r="DR85" s="88"/>
      <x:c r="DS85" s="88"/>
    </x:row>
    <x:row r="86" ht="25" customHeight="1">
      <x:c r="A86" s="10"/>
      <x:c r="D86" s="12"/>
      <x:c r="E86" s="12"/>
      <x:c r="F86" s="12"/>
      <x:c r="G86" s="14"/>
      <x:c r="H86" s="14"/>
      <x:c r="I86" s="14"/>
      <x:c r="J86" s="14"/>
      <x:c r="N86" s="14"/>
      <x:c r="O86" s="12"/>
      <x:c r="S86" s="14"/>
      <x:c r="T86" s="12"/>
      <x:c r="V86" s="42" t="str">
        <x:f>IF($A86="","",IF(AND($U86="発射物",$DI86&lt;&gt;"パッシブ"),$BE86,0))</x:f>
      </x:c>
      <x:c r="W86" s="42" t="str">
        <x:f>IF($A86="","",IF(AND($U86="発射物",$DI86&lt;&gt;"パッシブ"),$BF86,0))</x:f>
      </x:c>
      <x:c r="X86" s="42" t="str">
        <x:f>IF($A86="","",IF(AND($U86="発射物",$DI86&lt;&gt;"パッシブ"),IF($BG86="有効","有効","無効"),"無効"))</x:f>
      </x:c>
      <x:c r="AD86" s="14"/>
      <x:c r="AE86" s="14"/>
      <x:c r="AF86" s="14"/>
      <x:c r="AH86" s="14"/>
      <x:c r="AJ86" s="14"/>
      <x:c r="AN86" s="14"/>
      <x:c r="AO86" s="14"/>
      <x:c r="AP86" s="14"/>
      <x:c r="AR86" s="14"/>
      <x:c r="AT86" s="14"/>
      <x:c r="AX86" s="14"/>
      <x:c r="AY86" s="14"/>
      <x:c r="AZ86" s="14"/>
      <x:c r="BB86" s="14"/>
      <x:c r="BD86" s="14"/>
      <x:c r="BE86" s="14"/>
      <x:c r="BF86" s="14"/>
      <x:c r="BK86" s="14"/>
      <x:c r="BM86" s="14"/>
      <x:c r="BN86" s="14"/>
      <x:c r="BP86" s="14"/>
      <x:c r="BQ86" s="14"/>
      <x:c r="BR86" s="14"/>
      <x:c r="BT86" s="14"/>
      <x:c r="BU86" s="14"/>
      <x:c r="BV86" s="14"/>
      <x:c r="BW86" s="14"/>
      <x:c r="BX86" s="14"/>
      <x:c r="BY86" s="14"/>
      <x:c r="BZ86" s="14"/>
      <x:c r="CA86" s="14"/>
      <x:c r="CB86" s="14"/>
      <x:c r="CC86" s="14"/>
      <x:c r="CD86" s="14"/>
      <x:c r="CE86" s="14"/>
      <x:c r="CF86" s="14"/>
      <x:c r="CJ86" s="14"/>
      <x:c r="CK86" s="14"/>
      <x:c r="CL86" s="14"/>
      <x:c r="CM86" s="14"/>
      <x:c r="CO86" s="14"/>
      <x:c r="CQ86" s="14"/>
      <x:c r="CS86" s="14"/>
      <x:c r="CT86" s="14"/>
      <x:c r="CU86" s="14"/>
      <x:c r="CW86" s="14"/>
      <x:c r="CX86" s="14"/>
      <x:c r="CY86" s="14"/>
      <x:c r="CZ86" s="14"/>
      <x:c r="DC86" s="14"/>
      <x:c r="DD86" s="14"/>
      <x:c r="DI86" s="88"/>
      <x:c r="DJ86" s="88"/>
      <x:c r="DK86" s="88"/>
      <x:c r="DL86" s="88"/>
      <x:c r="DM86" s="88"/>
      <x:c r="DN86" s="88"/>
      <x:c r="DO86" s="88"/>
      <x:c r="DP86" s="88"/>
      <x:c r="DQ86" s="88"/>
      <x:c r="DR86" s="88"/>
      <x:c r="DS86" s="88"/>
    </x:row>
    <x:row r="87" ht="25" customHeight="1">
      <x:c r="A87" s="10"/>
      <x:c r="D87" s="12"/>
      <x:c r="E87" s="12"/>
      <x:c r="F87" s="12"/>
      <x:c r="G87" s="14"/>
      <x:c r="H87" s="14"/>
      <x:c r="I87" s="14"/>
      <x:c r="J87" s="14"/>
      <x:c r="N87" s="14"/>
      <x:c r="O87" s="12"/>
      <x:c r="S87" s="14"/>
      <x:c r="T87" s="12"/>
      <x:c r="V87" s="42" t="str">
        <x:f>IF($A87="","",IF(AND($U87="発射物",$DI87&lt;&gt;"パッシブ"),$BE87,0))</x:f>
      </x:c>
      <x:c r="W87" s="42" t="str">
        <x:f>IF($A87="","",IF(AND($U87="発射物",$DI87&lt;&gt;"パッシブ"),$BF87,0))</x:f>
      </x:c>
      <x:c r="X87" s="42" t="str">
        <x:f>IF($A87="","",IF(AND($U87="発射物",$DI87&lt;&gt;"パッシブ"),IF($BG87="有効","有効","無効"),"無効"))</x:f>
      </x:c>
      <x:c r="AD87" s="14"/>
      <x:c r="AE87" s="14"/>
      <x:c r="AF87" s="14"/>
      <x:c r="AH87" s="14"/>
      <x:c r="AJ87" s="14"/>
      <x:c r="AN87" s="14"/>
      <x:c r="AO87" s="14"/>
      <x:c r="AP87" s="14"/>
      <x:c r="AR87" s="14"/>
      <x:c r="AT87" s="14"/>
      <x:c r="AX87" s="14"/>
      <x:c r="AY87" s="14"/>
      <x:c r="AZ87" s="14"/>
      <x:c r="BB87" s="14"/>
      <x:c r="BD87" s="14"/>
      <x:c r="BE87" s="14"/>
      <x:c r="BF87" s="14"/>
      <x:c r="BK87" s="14"/>
      <x:c r="BM87" s="14"/>
      <x:c r="BN87" s="14"/>
      <x:c r="BP87" s="14"/>
      <x:c r="BQ87" s="14"/>
      <x:c r="BR87" s="14"/>
      <x:c r="BT87" s="14"/>
      <x:c r="BU87" s="14"/>
      <x:c r="BV87" s="14"/>
      <x:c r="BW87" s="14"/>
      <x:c r="BX87" s="14"/>
      <x:c r="BY87" s="14"/>
      <x:c r="BZ87" s="14"/>
      <x:c r="CA87" s="14"/>
      <x:c r="CB87" s="14"/>
      <x:c r="CC87" s="14"/>
      <x:c r="CD87" s="14"/>
      <x:c r="CE87" s="14"/>
      <x:c r="CF87" s="14"/>
      <x:c r="CJ87" s="14"/>
      <x:c r="CK87" s="14"/>
      <x:c r="CL87" s="14"/>
      <x:c r="CM87" s="14"/>
      <x:c r="CO87" s="14"/>
      <x:c r="CQ87" s="14"/>
      <x:c r="CS87" s="14"/>
      <x:c r="CT87" s="14"/>
      <x:c r="CU87" s="14"/>
      <x:c r="CW87" s="14"/>
      <x:c r="CX87" s="14"/>
      <x:c r="CY87" s="14"/>
      <x:c r="CZ87" s="14"/>
      <x:c r="DC87" s="14"/>
      <x:c r="DD87" s="14"/>
      <x:c r="DI87" s="88"/>
      <x:c r="DJ87" s="88"/>
      <x:c r="DK87" s="88"/>
      <x:c r="DL87" s="88"/>
      <x:c r="DM87" s="88"/>
      <x:c r="DN87" s="88"/>
      <x:c r="DO87" s="88"/>
      <x:c r="DP87" s="88"/>
      <x:c r="DQ87" s="88"/>
      <x:c r="DR87" s="88"/>
      <x:c r="DS87" s="88"/>
    </x:row>
    <x:row r="88" ht="25" customHeight="1">
      <x:c r="A88" s="10"/>
      <x:c r="D88" s="12"/>
      <x:c r="E88" s="12"/>
      <x:c r="F88" s="12"/>
      <x:c r="G88" s="14"/>
      <x:c r="H88" s="14"/>
      <x:c r="I88" s="14"/>
      <x:c r="J88" s="14"/>
      <x:c r="N88" s="14"/>
      <x:c r="O88" s="12"/>
      <x:c r="S88" s="14"/>
      <x:c r="T88" s="12"/>
      <x:c r="V88" s="42" t="str">
        <x:f>IF($A88="","",IF(AND($U88="発射物",$DI88&lt;&gt;"パッシブ"),$BE88,0))</x:f>
      </x:c>
      <x:c r="W88" s="42" t="str">
        <x:f>IF($A88="","",IF(AND($U88="発射物",$DI88&lt;&gt;"パッシブ"),$BF88,0))</x:f>
      </x:c>
      <x:c r="X88" s="42" t="str">
        <x:f>IF($A88="","",IF(AND($U88="発射物",$DI88&lt;&gt;"パッシブ"),IF($BG88="有効","有効","無効"),"無効"))</x:f>
      </x:c>
      <x:c r="AD88" s="14"/>
      <x:c r="AE88" s="14"/>
      <x:c r="AF88" s="14"/>
      <x:c r="AH88" s="14"/>
      <x:c r="AJ88" s="14"/>
      <x:c r="AN88" s="14"/>
      <x:c r="AO88" s="14"/>
      <x:c r="AP88" s="14"/>
      <x:c r="AR88" s="14"/>
      <x:c r="AT88" s="14"/>
      <x:c r="AX88" s="14"/>
      <x:c r="AY88" s="14"/>
      <x:c r="AZ88" s="14"/>
      <x:c r="BB88" s="14"/>
      <x:c r="BD88" s="14"/>
      <x:c r="BE88" s="14"/>
      <x:c r="BF88" s="14"/>
      <x:c r="BK88" s="14"/>
      <x:c r="BM88" s="14"/>
      <x:c r="BN88" s="14"/>
      <x:c r="BP88" s="14"/>
      <x:c r="BQ88" s="14"/>
      <x:c r="BR88" s="14"/>
      <x:c r="BT88" s="14"/>
      <x:c r="BU88" s="14"/>
      <x:c r="BV88" s="14"/>
      <x:c r="BW88" s="14"/>
      <x:c r="BX88" s="14"/>
      <x:c r="BY88" s="14"/>
      <x:c r="BZ88" s="14"/>
      <x:c r="CA88" s="14"/>
      <x:c r="CB88" s="14"/>
      <x:c r="CC88" s="14"/>
      <x:c r="CD88" s="14"/>
      <x:c r="CE88" s="14"/>
      <x:c r="CF88" s="14"/>
      <x:c r="CJ88" s="14"/>
      <x:c r="CK88" s="14"/>
      <x:c r="CL88" s="14"/>
      <x:c r="CM88" s="14"/>
      <x:c r="CO88" s="14"/>
      <x:c r="CQ88" s="14"/>
      <x:c r="CS88" s="14"/>
      <x:c r="CT88" s="14"/>
      <x:c r="CU88" s="14"/>
      <x:c r="CW88" s="14"/>
      <x:c r="CX88" s="14"/>
      <x:c r="CY88" s="14"/>
      <x:c r="CZ88" s="14"/>
      <x:c r="DC88" s="14"/>
      <x:c r="DD88" s="14"/>
      <x:c r="DI88" s="88"/>
      <x:c r="DJ88" s="88"/>
      <x:c r="DK88" s="88"/>
      <x:c r="DL88" s="88"/>
      <x:c r="DM88" s="88"/>
      <x:c r="DN88" s="88"/>
      <x:c r="DO88" s="88"/>
      <x:c r="DP88" s="88"/>
      <x:c r="DQ88" s="88"/>
      <x:c r="DR88" s="88"/>
      <x:c r="DS88" s="88"/>
    </x:row>
    <x:row r="89" ht="25" customHeight="1">
      <x:c r="A89" s="10"/>
      <x:c r="D89" s="12"/>
      <x:c r="E89" s="12"/>
      <x:c r="F89" s="12"/>
      <x:c r="G89" s="14"/>
      <x:c r="H89" s="14"/>
      <x:c r="I89" s="14"/>
      <x:c r="J89" s="14"/>
      <x:c r="N89" s="14"/>
      <x:c r="O89" s="12"/>
      <x:c r="S89" s="14"/>
      <x:c r="T89" s="12"/>
      <x:c r="V89" s="42" t="str">
        <x:f>IF($A89="","",IF(AND($U89="発射物",$DI89&lt;&gt;"パッシブ"),$BE89,0))</x:f>
      </x:c>
      <x:c r="W89" s="42" t="str">
        <x:f>IF($A89="","",IF(AND($U89="発射物",$DI89&lt;&gt;"パッシブ"),$BF89,0))</x:f>
      </x:c>
      <x:c r="X89" s="42" t="str">
        <x:f>IF($A89="","",IF(AND($U89="発射物",$DI89&lt;&gt;"パッシブ"),IF($BG89="有効","有効","無効"),"無効"))</x:f>
      </x:c>
      <x:c r="AD89" s="14"/>
      <x:c r="AE89" s="14"/>
      <x:c r="AF89" s="14"/>
      <x:c r="AH89" s="14"/>
      <x:c r="AJ89" s="14"/>
      <x:c r="AN89" s="14"/>
      <x:c r="AO89" s="14"/>
      <x:c r="AP89" s="14"/>
      <x:c r="AR89" s="14"/>
      <x:c r="AT89" s="14"/>
      <x:c r="AX89" s="14"/>
      <x:c r="AY89" s="14"/>
      <x:c r="AZ89" s="14"/>
      <x:c r="BB89" s="14"/>
      <x:c r="BD89" s="14"/>
      <x:c r="BE89" s="14"/>
      <x:c r="BF89" s="14"/>
      <x:c r="BK89" s="14"/>
      <x:c r="BM89" s="14"/>
      <x:c r="BN89" s="14"/>
      <x:c r="BP89" s="14"/>
      <x:c r="BQ89" s="14"/>
      <x:c r="BR89" s="14"/>
      <x:c r="BT89" s="14"/>
      <x:c r="BU89" s="14"/>
      <x:c r="BV89" s="14"/>
      <x:c r="BW89" s="14"/>
      <x:c r="BX89" s="14"/>
      <x:c r="BY89" s="14"/>
      <x:c r="BZ89" s="14"/>
      <x:c r="CA89" s="14"/>
      <x:c r="CB89" s="14"/>
      <x:c r="CC89" s="14"/>
      <x:c r="CD89" s="14"/>
      <x:c r="CE89" s="14"/>
      <x:c r="CF89" s="14"/>
      <x:c r="CJ89" s="14"/>
      <x:c r="CK89" s="14"/>
      <x:c r="CL89" s="14"/>
      <x:c r="CM89" s="14"/>
      <x:c r="CO89" s="14"/>
      <x:c r="CQ89" s="14"/>
      <x:c r="CS89" s="14"/>
      <x:c r="CT89" s="14"/>
      <x:c r="CU89" s="14"/>
      <x:c r="CW89" s="14"/>
      <x:c r="CX89" s="14"/>
      <x:c r="CY89" s="14"/>
      <x:c r="CZ89" s="14"/>
      <x:c r="DC89" s="14"/>
      <x:c r="DD89" s="14"/>
      <x:c r="DI89" s="88"/>
      <x:c r="DJ89" s="88"/>
      <x:c r="DK89" s="88"/>
      <x:c r="DL89" s="88"/>
      <x:c r="DM89" s="88"/>
      <x:c r="DN89" s="88"/>
      <x:c r="DO89" s="88"/>
      <x:c r="DP89" s="88"/>
      <x:c r="DQ89" s="88"/>
      <x:c r="DR89" s="88"/>
      <x:c r="DS89" s="88"/>
    </x:row>
    <x:row r="90" ht="25" customHeight="1">
      <x:c r="A90" s="10"/>
      <x:c r="D90" s="12"/>
      <x:c r="E90" s="12"/>
      <x:c r="F90" s="12"/>
      <x:c r="G90" s="14"/>
      <x:c r="H90" s="14"/>
      <x:c r="I90" s="14"/>
      <x:c r="J90" s="14"/>
      <x:c r="N90" s="14"/>
      <x:c r="O90" s="12"/>
      <x:c r="S90" s="14"/>
      <x:c r="T90" s="12"/>
      <x:c r="V90" s="42" t="str">
        <x:f>IF($A90="","",IF(AND($U90="発射物",$DI90&lt;&gt;"パッシブ"),$BE90,0))</x:f>
      </x:c>
      <x:c r="W90" s="42" t="str">
        <x:f>IF($A90="","",IF(AND($U90="発射物",$DI90&lt;&gt;"パッシブ"),$BF90,0))</x:f>
      </x:c>
      <x:c r="X90" s="42" t="str">
        <x:f>IF($A90="","",IF(AND($U90="発射物",$DI90&lt;&gt;"パッシブ"),IF($BG90="有効","有効","無効"),"無効"))</x:f>
      </x:c>
      <x:c r="AD90" s="14"/>
      <x:c r="AE90" s="14"/>
      <x:c r="AF90" s="14"/>
      <x:c r="AH90" s="14"/>
      <x:c r="AJ90" s="14"/>
      <x:c r="AN90" s="14"/>
      <x:c r="AO90" s="14"/>
      <x:c r="AP90" s="14"/>
      <x:c r="AR90" s="14"/>
      <x:c r="AT90" s="14"/>
      <x:c r="AX90" s="14"/>
      <x:c r="AY90" s="14"/>
      <x:c r="AZ90" s="14"/>
      <x:c r="BB90" s="14"/>
      <x:c r="BD90" s="14"/>
      <x:c r="BE90" s="14"/>
      <x:c r="BF90" s="14"/>
      <x:c r="BK90" s="14"/>
      <x:c r="BM90" s="14"/>
      <x:c r="BN90" s="14"/>
      <x:c r="BP90" s="14"/>
      <x:c r="BQ90" s="14"/>
      <x:c r="BR90" s="14"/>
      <x:c r="BT90" s="14"/>
      <x:c r="BU90" s="14"/>
      <x:c r="BV90" s="14"/>
      <x:c r="BW90" s="14"/>
      <x:c r="BX90" s="14"/>
      <x:c r="BY90" s="14"/>
      <x:c r="BZ90" s="14"/>
      <x:c r="CA90" s="14"/>
      <x:c r="CB90" s="14"/>
      <x:c r="CC90" s="14"/>
      <x:c r="CD90" s="14"/>
      <x:c r="CE90" s="14"/>
      <x:c r="CF90" s="14"/>
      <x:c r="CJ90" s="14"/>
      <x:c r="CK90" s="14"/>
      <x:c r="CL90" s="14"/>
      <x:c r="CM90" s="14"/>
      <x:c r="CO90" s="14"/>
      <x:c r="CQ90" s="14"/>
      <x:c r="CS90" s="14"/>
      <x:c r="CT90" s="14"/>
      <x:c r="CU90" s="14"/>
      <x:c r="CW90" s="14"/>
      <x:c r="CX90" s="14"/>
      <x:c r="CY90" s="14"/>
      <x:c r="CZ90" s="14"/>
      <x:c r="DC90" s="14"/>
      <x:c r="DD90" s="14"/>
      <x:c r="DI90" s="88"/>
      <x:c r="DJ90" s="88"/>
      <x:c r="DK90" s="88"/>
      <x:c r="DL90" s="88"/>
      <x:c r="DM90" s="88"/>
      <x:c r="DN90" s="88"/>
      <x:c r="DO90" s="88"/>
      <x:c r="DP90" s="88"/>
      <x:c r="DQ90" s="88"/>
      <x:c r="DR90" s="88"/>
      <x:c r="DS90" s="88"/>
    </x:row>
    <x:row r="91" ht="25" customHeight="1">
      <x:c r="A91" s="10"/>
      <x:c r="D91" s="12"/>
      <x:c r="E91" s="12"/>
      <x:c r="F91" s="12"/>
      <x:c r="G91" s="14"/>
      <x:c r="H91" s="14"/>
      <x:c r="I91" s="14"/>
      <x:c r="J91" s="14"/>
      <x:c r="N91" s="14"/>
      <x:c r="O91" s="12"/>
      <x:c r="S91" s="14"/>
      <x:c r="T91" s="12"/>
      <x:c r="V91" s="42" t="str">
        <x:f>IF($A91="","",IF(AND($U91="発射物",$DI91&lt;&gt;"パッシブ"),$BE91,0))</x:f>
      </x:c>
      <x:c r="W91" s="42" t="str">
        <x:f>IF($A91="","",IF(AND($U91="発射物",$DI91&lt;&gt;"パッシブ"),$BF91,0))</x:f>
      </x:c>
      <x:c r="X91" s="42" t="str">
        <x:f>IF($A91="","",IF(AND($U91="発射物",$DI91&lt;&gt;"パッシブ"),IF($BG91="有効","有効","無効"),"無効"))</x:f>
      </x:c>
      <x:c r="AD91" s="14"/>
      <x:c r="AE91" s="14"/>
      <x:c r="AF91" s="14"/>
      <x:c r="AH91" s="14"/>
      <x:c r="AJ91" s="14"/>
      <x:c r="AN91" s="14"/>
      <x:c r="AO91" s="14"/>
      <x:c r="AP91" s="14"/>
      <x:c r="AR91" s="14"/>
      <x:c r="AT91" s="14"/>
      <x:c r="AX91" s="14"/>
      <x:c r="AY91" s="14"/>
      <x:c r="AZ91" s="14"/>
      <x:c r="BB91" s="14"/>
      <x:c r="BD91" s="14"/>
      <x:c r="BE91" s="14"/>
      <x:c r="BF91" s="14"/>
      <x:c r="BK91" s="14"/>
      <x:c r="BM91" s="14"/>
      <x:c r="BN91" s="14"/>
      <x:c r="BP91" s="14"/>
      <x:c r="BQ91" s="14"/>
      <x:c r="BR91" s="14"/>
      <x:c r="BT91" s="14"/>
      <x:c r="BU91" s="14"/>
      <x:c r="BV91" s="14"/>
      <x:c r="BW91" s="14"/>
      <x:c r="BX91" s="14"/>
      <x:c r="BY91" s="14"/>
      <x:c r="BZ91" s="14"/>
      <x:c r="CA91" s="14"/>
      <x:c r="CB91" s="14"/>
      <x:c r="CC91" s="14"/>
      <x:c r="CD91" s="14"/>
      <x:c r="CE91" s="14"/>
      <x:c r="CF91" s="14"/>
      <x:c r="CJ91" s="14"/>
      <x:c r="CK91" s="14"/>
      <x:c r="CL91" s="14"/>
      <x:c r="CM91" s="14"/>
      <x:c r="CO91" s="14"/>
      <x:c r="CQ91" s="14"/>
      <x:c r="CS91" s="14"/>
      <x:c r="CT91" s="14"/>
      <x:c r="CU91" s="14"/>
      <x:c r="CW91" s="14"/>
      <x:c r="CX91" s="14"/>
      <x:c r="CY91" s="14"/>
      <x:c r="CZ91" s="14"/>
      <x:c r="DC91" s="14"/>
      <x:c r="DD91" s="14"/>
      <x:c r="DI91" s="88"/>
      <x:c r="DJ91" s="88"/>
      <x:c r="DK91" s="88"/>
      <x:c r="DL91" s="88"/>
      <x:c r="DM91" s="88"/>
      <x:c r="DN91" s="88"/>
      <x:c r="DO91" s="88"/>
      <x:c r="DP91" s="88"/>
      <x:c r="DQ91" s="88"/>
      <x:c r="DR91" s="88"/>
      <x:c r="DS91" s="88"/>
    </x:row>
    <x:row r="92" ht="25" customHeight="1">
      <x:c r="A92" s="10"/>
      <x:c r="D92" s="12"/>
      <x:c r="E92" s="12"/>
      <x:c r="F92" s="12"/>
      <x:c r="G92" s="14"/>
      <x:c r="H92" s="14"/>
      <x:c r="I92" s="14"/>
      <x:c r="J92" s="14"/>
      <x:c r="N92" s="14"/>
      <x:c r="O92" s="12"/>
      <x:c r="S92" s="14"/>
      <x:c r="T92" s="12"/>
      <x:c r="V92" s="42" t="str">
        <x:f>IF($A92="","",IF(AND($U92="発射物",$DI92&lt;&gt;"パッシブ"),$BE92,0))</x:f>
      </x:c>
      <x:c r="W92" s="42" t="str">
        <x:f>IF($A92="","",IF(AND($U92="発射物",$DI92&lt;&gt;"パッシブ"),$BF92,0))</x:f>
      </x:c>
      <x:c r="X92" s="42" t="str">
        <x:f>IF($A92="","",IF(AND($U92="発射物",$DI92&lt;&gt;"パッシブ"),IF($BG92="有効","有効","無効"),"無効"))</x:f>
      </x:c>
      <x:c r="AD92" s="14"/>
      <x:c r="AE92" s="14"/>
      <x:c r="AF92" s="14"/>
      <x:c r="AH92" s="14"/>
      <x:c r="AJ92" s="14"/>
      <x:c r="AN92" s="14"/>
      <x:c r="AO92" s="14"/>
      <x:c r="AP92" s="14"/>
      <x:c r="AR92" s="14"/>
      <x:c r="AT92" s="14"/>
      <x:c r="AX92" s="14"/>
      <x:c r="AY92" s="14"/>
      <x:c r="AZ92" s="14"/>
      <x:c r="BB92" s="14"/>
      <x:c r="BD92" s="14"/>
      <x:c r="BE92" s="14"/>
      <x:c r="BF92" s="14"/>
      <x:c r="BK92" s="14"/>
      <x:c r="BM92" s="14"/>
      <x:c r="BN92" s="14"/>
      <x:c r="BP92" s="14"/>
      <x:c r="BQ92" s="14"/>
      <x:c r="BR92" s="14"/>
      <x:c r="BT92" s="14"/>
      <x:c r="BU92" s="14"/>
      <x:c r="BV92" s="14"/>
      <x:c r="BW92" s="14"/>
      <x:c r="BX92" s="14"/>
      <x:c r="BY92" s="14"/>
      <x:c r="BZ92" s="14"/>
      <x:c r="CA92" s="14"/>
      <x:c r="CB92" s="14"/>
      <x:c r="CC92" s="14"/>
      <x:c r="CD92" s="14"/>
      <x:c r="CE92" s="14"/>
      <x:c r="CF92" s="14"/>
      <x:c r="CJ92" s="14"/>
      <x:c r="CK92" s="14"/>
      <x:c r="CL92" s="14"/>
      <x:c r="CM92" s="14"/>
      <x:c r="CO92" s="14"/>
      <x:c r="CQ92" s="14"/>
      <x:c r="CS92" s="14"/>
      <x:c r="CT92" s="14"/>
      <x:c r="CU92" s="14"/>
      <x:c r="CW92" s="14"/>
      <x:c r="CX92" s="14"/>
      <x:c r="CY92" s="14"/>
      <x:c r="CZ92" s="14"/>
      <x:c r="DC92" s="14"/>
      <x:c r="DD92" s="14"/>
      <x:c r="DI92" s="88"/>
      <x:c r="DJ92" s="88"/>
      <x:c r="DK92" s="88"/>
      <x:c r="DL92" s="88"/>
      <x:c r="DM92" s="88"/>
      <x:c r="DN92" s="88"/>
      <x:c r="DO92" s="88"/>
      <x:c r="DP92" s="88"/>
      <x:c r="DQ92" s="88"/>
      <x:c r="DR92" s="88"/>
      <x:c r="DS92" s="88"/>
    </x:row>
    <x:row r="93" ht="25" customHeight="1">
      <x:c r="A93" s="10"/>
      <x:c r="D93" s="12"/>
      <x:c r="E93" s="12"/>
      <x:c r="F93" s="12"/>
      <x:c r="G93" s="14"/>
      <x:c r="H93" s="14"/>
      <x:c r="I93" s="14"/>
      <x:c r="J93" s="14"/>
      <x:c r="N93" s="14"/>
      <x:c r="O93" s="12"/>
      <x:c r="S93" s="14"/>
      <x:c r="T93" s="12"/>
      <x:c r="V93" s="42" t="str">
        <x:f>IF($A93="","",IF(AND($U93="発射物",$DI93&lt;&gt;"パッシブ"),$BE93,0))</x:f>
      </x:c>
      <x:c r="W93" s="42" t="str">
        <x:f>IF($A93="","",IF(AND($U93="発射物",$DI93&lt;&gt;"パッシブ"),$BF93,0))</x:f>
      </x:c>
      <x:c r="X93" s="42" t="str">
        <x:f>IF($A93="","",IF(AND($U93="発射物",$DI93&lt;&gt;"パッシブ"),IF($BG93="有効","有効","無効"),"無効"))</x:f>
      </x:c>
      <x:c r="AD93" s="14"/>
      <x:c r="AE93" s="14"/>
      <x:c r="AF93" s="14"/>
      <x:c r="AH93" s="14"/>
      <x:c r="AJ93" s="14"/>
      <x:c r="AN93" s="14"/>
      <x:c r="AO93" s="14"/>
      <x:c r="AP93" s="14"/>
      <x:c r="AR93" s="14"/>
      <x:c r="AT93" s="14"/>
      <x:c r="AX93" s="14"/>
      <x:c r="AY93" s="14"/>
      <x:c r="AZ93" s="14"/>
      <x:c r="BB93" s="14"/>
      <x:c r="BD93" s="14"/>
      <x:c r="BE93" s="14"/>
      <x:c r="BF93" s="14"/>
      <x:c r="BK93" s="14"/>
      <x:c r="BM93" s="14"/>
      <x:c r="BN93" s="14"/>
      <x:c r="BP93" s="14"/>
      <x:c r="BQ93" s="14"/>
      <x:c r="BR93" s="14"/>
      <x:c r="BT93" s="14"/>
      <x:c r="BU93" s="14"/>
      <x:c r="BV93" s="14"/>
      <x:c r="BW93" s="14"/>
      <x:c r="BX93" s="14"/>
      <x:c r="BY93" s="14"/>
      <x:c r="BZ93" s="14"/>
      <x:c r="CA93" s="14"/>
      <x:c r="CB93" s="14"/>
      <x:c r="CC93" s="14"/>
      <x:c r="CD93" s="14"/>
      <x:c r="CE93" s="14"/>
      <x:c r="CF93" s="14"/>
      <x:c r="CJ93" s="14"/>
      <x:c r="CK93" s="14"/>
      <x:c r="CL93" s="14"/>
      <x:c r="CM93" s="14"/>
      <x:c r="CO93" s="14"/>
      <x:c r="CQ93" s="14"/>
      <x:c r="CS93" s="14"/>
      <x:c r="CT93" s="14"/>
      <x:c r="CU93" s="14"/>
      <x:c r="CW93" s="14"/>
      <x:c r="CX93" s="14"/>
      <x:c r="CY93" s="14"/>
      <x:c r="CZ93" s="14"/>
      <x:c r="DC93" s="14"/>
      <x:c r="DD93" s="14"/>
      <x:c r="DI93" s="88"/>
      <x:c r="DJ93" s="88"/>
      <x:c r="DK93" s="88"/>
      <x:c r="DL93" s="88"/>
      <x:c r="DM93" s="88"/>
      <x:c r="DN93" s="88"/>
      <x:c r="DO93" s="88"/>
      <x:c r="DP93" s="88"/>
      <x:c r="DQ93" s="88"/>
      <x:c r="DR93" s="88"/>
      <x:c r="DS93" s="88"/>
    </x:row>
    <x:row r="94" ht="25" customHeight="1">
      <x:c r="A94" s="10"/>
      <x:c r="D94" s="12"/>
      <x:c r="E94" s="12"/>
      <x:c r="F94" s="12"/>
      <x:c r="G94" s="14"/>
      <x:c r="H94" s="14"/>
      <x:c r="I94" s="14"/>
      <x:c r="J94" s="14"/>
      <x:c r="N94" s="14"/>
      <x:c r="O94" s="12"/>
      <x:c r="S94" s="14"/>
      <x:c r="T94" s="12"/>
      <x:c r="V94" s="42" t="str">
        <x:f>IF($A94="","",IF(AND($U94="発射物",$DI94&lt;&gt;"パッシブ"),$BE94,0))</x:f>
      </x:c>
      <x:c r="W94" s="42" t="str">
        <x:f>IF($A94="","",IF(AND($U94="発射物",$DI94&lt;&gt;"パッシブ"),$BF94,0))</x:f>
      </x:c>
      <x:c r="X94" s="42" t="str">
        <x:f>IF($A94="","",IF(AND($U94="発射物",$DI94&lt;&gt;"パッシブ"),IF($BG94="有効","有効","無効"),"無効"))</x:f>
      </x:c>
      <x:c r="AD94" s="14"/>
      <x:c r="AE94" s="14"/>
      <x:c r="AF94" s="14"/>
      <x:c r="AH94" s="14"/>
      <x:c r="AJ94" s="14"/>
      <x:c r="AN94" s="14"/>
      <x:c r="AO94" s="14"/>
      <x:c r="AP94" s="14"/>
      <x:c r="AR94" s="14"/>
      <x:c r="AT94" s="14"/>
      <x:c r="AX94" s="14"/>
      <x:c r="AY94" s="14"/>
      <x:c r="AZ94" s="14"/>
      <x:c r="BB94" s="14"/>
      <x:c r="BD94" s="14"/>
      <x:c r="BE94" s="14"/>
      <x:c r="BF94" s="14"/>
      <x:c r="BK94" s="14"/>
      <x:c r="BM94" s="14"/>
      <x:c r="BN94" s="14"/>
      <x:c r="BP94" s="14"/>
      <x:c r="BQ94" s="14"/>
      <x:c r="BR94" s="14"/>
      <x:c r="BT94" s="14"/>
      <x:c r="BU94" s="14"/>
      <x:c r="BV94" s="14"/>
      <x:c r="BW94" s="14"/>
      <x:c r="BX94" s="14"/>
      <x:c r="BY94" s="14"/>
      <x:c r="BZ94" s="14"/>
      <x:c r="CA94" s="14"/>
      <x:c r="CB94" s="14"/>
      <x:c r="CC94" s="14"/>
      <x:c r="CD94" s="14"/>
      <x:c r="CE94" s="14"/>
      <x:c r="CF94" s="14"/>
      <x:c r="CJ94" s="14"/>
      <x:c r="CK94" s="14"/>
      <x:c r="CL94" s="14"/>
      <x:c r="CM94" s="14"/>
      <x:c r="CO94" s="14"/>
      <x:c r="CQ94" s="14"/>
      <x:c r="CS94" s="14"/>
      <x:c r="CT94" s="14"/>
      <x:c r="CU94" s="14"/>
      <x:c r="CW94" s="14"/>
      <x:c r="CX94" s="14"/>
      <x:c r="CY94" s="14"/>
      <x:c r="CZ94" s="14"/>
      <x:c r="DC94" s="14"/>
      <x:c r="DD94" s="14"/>
      <x:c r="DI94" s="88"/>
      <x:c r="DJ94" s="88"/>
      <x:c r="DK94" s="88"/>
      <x:c r="DL94" s="88"/>
      <x:c r="DM94" s="88"/>
      <x:c r="DN94" s="88"/>
      <x:c r="DO94" s="88"/>
      <x:c r="DP94" s="88"/>
      <x:c r="DQ94" s="88"/>
      <x:c r="DR94" s="88"/>
      <x:c r="DS94" s="88"/>
    </x:row>
    <x:row r="95" ht="25" customHeight="1">
      <x:c r="A95" s="10"/>
      <x:c r="D95" s="12"/>
      <x:c r="E95" s="12"/>
      <x:c r="F95" s="12"/>
      <x:c r="G95" s="14"/>
      <x:c r="H95" s="14"/>
      <x:c r="I95" s="14"/>
      <x:c r="J95" s="14"/>
      <x:c r="N95" s="14"/>
      <x:c r="O95" s="12"/>
      <x:c r="S95" s="14"/>
      <x:c r="T95" s="12"/>
      <x:c r="V95" s="42" t="str">
        <x:f>IF($A95="","",IF(AND($U95="発射物",$DI95&lt;&gt;"パッシブ"),$BE95,0))</x:f>
      </x:c>
      <x:c r="W95" s="42" t="str">
        <x:f>IF($A95="","",IF(AND($U95="発射物",$DI95&lt;&gt;"パッシブ"),$BF95,0))</x:f>
      </x:c>
      <x:c r="X95" s="42" t="str">
        <x:f>IF($A95="","",IF(AND($U95="発射物",$DI95&lt;&gt;"パッシブ"),IF($BG95="有効","有効","無効"),"無効"))</x:f>
      </x:c>
      <x:c r="AD95" s="14"/>
      <x:c r="AE95" s="14"/>
      <x:c r="AF95" s="14"/>
      <x:c r="AH95" s="14"/>
      <x:c r="AJ95" s="14"/>
      <x:c r="AN95" s="14"/>
      <x:c r="AO95" s="14"/>
      <x:c r="AP95" s="14"/>
      <x:c r="AR95" s="14"/>
      <x:c r="AT95" s="14"/>
      <x:c r="AX95" s="14"/>
      <x:c r="AY95" s="14"/>
      <x:c r="AZ95" s="14"/>
      <x:c r="BB95" s="14"/>
      <x:c r="BD95" s="14"/>
      <x:c r="BE95" s="14"/>
      <x:c r="BF95" s="14"/>
      <x:c r="BK95" s="14"/>
      <x:c r="BM95" s="14"/>
      <x:c r="BN95" s="14"/>
      <x:c r="BP95" s="14"/>
      <x:c r="BQ95" s="14"/>
      <x:c r="BR95" s="14"/>
      <x:c r="BT95" s="14"/>
      <x:c r="BU95" s="14"/>
      <x:c r="BV95" s="14"/>
      <x:c r="BW95" s="14"/>
      <x:c r="BX95" s="14"/>
      <x:c r="BY95" s="14"/>
      <x:c r="BZ95" s="14"/>
      <x:c r="CA95" s="14"/>
      <x:c r="CB95" s="14"/>
      <x:c r="CC95" s="14"/>
      <x:c r="CD95" s="14"/>
      <x:c r="CE95" s="14"/>
      <x:c r="CF95" s="14"/>
      <x:c r="CJ95" s="14"/>
      <x:c r="CK95" s="14"/>
      <x:c r="CL95" s="14"/>
      <x:c r="CM95" s="14"/>
      <x:c r="CO95" s="14"/>
      <x:c r="CQ95" s="14"/>
      <x:c r="CS95" s="14"/>
      <x:c r="CT95" s="14"/>
      <x:c r="CU95" s="14"/>
      <x:c r="CW95" s="14"/>
      <x:c r="CX95" s="14"/>
      <x:c r="CY95" s="14"/>
      <x:c r="CZ95" s="14"/>
      <x:c r="DC95" s="14"/>
      <x:c r="DD95" s="14"/>
      <x:c r="DI95" s="88"/>
      <x:c r="DJ95" s="88"/>
      <x:c r="DK95" s="88"/>
      <x:c r="DL95" s="88"/>
      <x:c r="DM95" s="88"/>
      <x:c r="DN95" s="88"/>
      <x:c r="DO95" s="88"/>
      <x:c r="DP95" s="88"/>
      <x:c r="DQ95" s="88"/>
      <x:c r="DR95" s="88"/>
      <x:c r="DS95" s="88"/>
    </x:row>
    <x:row r="96" ht="25" customHeight="1">
      <x:c r="A96" s="10"/>
      <x:c r="D96" s="12"/>
      <x:c r="E96" s="12"/>
      <x:c r="F96" s="12"/>
      <x:c r="G96" s="14"/>
      <x:c r="H96" s="14"/>
      <x:c r="I96" s="14"/>
      <x:c r="J96" s="14"/>
      <x:c r="N96" s="14"/>
      <x:c r="O96" s="12"/>
      <x:c r="S96" s="14"/>
      <x:c r="T96" s="12"/>
      <x:c r="V96" s="42" t="str">
        <x:f>IF($A96="","",IF(AND($U96="発射物",$DI96&lt;&gt;"パッシブ"),$BE96,0))</x:f>
      </x:c>
      <x:c r="W96" s="42" t="str">
        <x:f>IF($A96="","",IF(AND($U96="発射物",$DI96&lt;&gt;"パッシブ"),$BF96,0))</x:f>
      </x:c>
      <x:c r="X96" s="42" t="str">
        <x:f>IF($A96="","",IF(AND($U96="発射物",$DI96&lt;&gt;"パッシブ"),IF($BG96="有効","有効","無効"),"無効"))</x:f>
      </x:c>
      <x:c r="AD96" s="14"/>
      <x:c r="AE96" s="14"/>
      <x:c r="AF96" s="14"/>
      <x:c r="AH96" s="14"/>
      <x:c r="AJ96" s="14"/>
      <x:c r="AN96" s="14"/>
      <x:c r="AO96" s="14"/>
      <x:c r="AP96" s="14"/>
      <x:c r="AR96" s="14"/>
      <x:c r="AT96" s="14"/>
      <x:c r="AX96" s="14"/>
      <x:c r="AY96" s="14"/>
      <x:c r="AZ96" s="14"/>
      <x:c r="BB96" s="14"/>
      <x:c r="BD96" s="14"/>
      <x:c r="BE96" s="14"/>
      <x:c r="BF96" s="14"/>
      <x:c r="BK96" s="14"/>
      <x:c r="BM96" s="14"/>
      <x:c r="BN96" s="14"/>
      <x:c r="BP96" s="14"/>
      <x:c r="BQ96" s="14"/>
      <x:c r="BR96" s="14"/>
      <x:c r="BT96" s="14"/>
      <x:c r="BU96" s="14"/>
      <x:c r="BV96" s="14"/>
      <x:c r="BW96" s="14"/>
      <x:c r="BX96" s="14"/>
      <x:c r="BY96" s="14"/>
      <x:c r="BZ96" s="14"/>
      <x:c r="CA96" s="14"/>
      <x:c r="CB96" s="14"/>
      <x:c r="CC96" s="14"/>
      <x:c r="CD96" s="14"/>
      <x:c r="CE96" s="14"/>
      <x:c r="CF96" s="14"/>
      <x:c r="CJ96" s="14"/>
      <x:c r="CK96" s="14"/>
      <x:c r="CL96" s="14"/>
      <x:c r="CM96" s="14"/>
      <x:c r="CO96" s="14"/>
      <x:c r="CQ96" s="14"/>
      <x:c r="CS96" s="14"/>
      <x:c r="CT96" s="14"/>
      <x:c r="CU96" s="14"/>
      <x:c r="CW96" s="14"/>
      <x:c r="CX96" s="14"/>
      <x:c r="CY96" s="14"/>
      <x:c r="CZ96" s="14"/>
      <x:c r="DC96" s="14"/>
      <x:c r="DD96" s="14"/>
      <x:c r="DI96" s="88"/>
      <x:c r="DJ96" s="88"/>
      <x:c r="DK96" s="88"/>
      <x:c r="DL96" s="88"/>
      <x:c r="DM96" s="88"/>
      <x:c r="DN96" s="88"/>
      <x:c r="DO96" s="88"/>
      <x:c r="DP96" s="88"/>
      <x:c r="DQ96" s="88"/>
      <x:c r="DR96" s="88"/>
      <x:c r="DS96" s="88"/>
    </x:row>
    <x:row r="97" ht="25" customHeight="1">
      <x:c r="A97" s="10"/>
      <x:c r="D97" s="12"/>
      <x:c r="E97" s="12"/>
      <x:c r="F97" s="12"/>
      <x:c r="G97" s="14"/>
      <x:c r="H97" s="14"/>
      <x:c r="I97" s="14"/>
      <x:c r="J97" s="14"/>
      <x:c r="N97" s="14"/>
      <x:c r="O97" s="12"/>
      <x:c r="S97" s="14"/>
      <x:c r="T97" s="12"/>
      <x:c r="V97" s="42" t="str">
        <x:f>IF($A97="","",IF(AND($U97="発射物",$DI97&lt;&gt;"パッシブ"),$BE97,0))</x:f>
      </x:c>
      <x:c r="W97" s="42" t="str">
        <x:f>IF($A97="","",IF(AND($U97="発射物",$DI97&lt;&gt;"パッシブ"),$BF97,0))</x:f>
      </x:c>
      <x:c r="X97" s="42" t="str">
        <x:f>IF($A97="","",IF(AND($U97="発射物",$DI97&lt;&gt;"パッシブ"),IF($BG97="有効","有効","無効"),"無効"))</x:f>
      </x:c>
      <x:c r="AD97" s="14"/>
      <x:c r="AE97" s="14"/>
      <x:c r="AF97" s="14"/>
      <x:c r="AH97" s="14"/>
      <x:c r="AJ97" s="14"/>
      <x:c r="AN97" s="14"/>
      <x:c r="AO97" s="14"/>
      <x:c r="AP97" s="14"/>
      <x:c r="AR97" s="14"/>
      <x:c r="AT97" s="14"/>
      <x:c r="AX97" s="14"/>
      <x:c r="AY97" s="14"/>
      <x:c r="AZ97" s="14"/>
      <x:c r="BB97" s="14"/>
      <x:c r="BD97" s="14"/>
      <x:c r="BE97" s="14"/>
      <x:c r="BF97" s="14"/>
      <x:c r="BK97" s="14"/>
      <x:c r="BM97" s="14"/>
      <x:c r="BN97" s="14"/>
      <x:c r="BP97" s="14"/>
      <x:c r="BQ97" s="14"/>
      <x:c r="BR97" s="14"/>
      <x:c r="BT97" s="14"/>
      <x:c r="BU97" s="14"/>
      <x:c r="BV97" s="14"/>
      <x:c r="BW97" s="14"/>
      <x:c r="BX97" s="14"/>
      <x:c r="BY97" s="14"/>
      <x:c r="BZ97" s="14"/>
      <x:c r="CA97" s="14"/>
      <x:c r="CB97" s="14"/>
      <x:c r="CC97" s="14"/>
      <x:c r="CD97" s="14"/>
      <x:c r="CE97" s="14"/>
      <x:c r="CF97" s="14"/>
      <x:c r="CJ97" s="14"/>
      <x:c r="CK97" s="14"/>
      <x:c r="CL97" s="14"/>
      <x:c r="CM97" s="14"/>
      <x:c r="CO97" s="14"/>
      <x:c r="CQ97" s="14"/>
      <x:c r="CS97" s="14"/>
      <x:c r="CT97" s="14"/>
      <x:c r="CU97" s="14"/>
      <x:c r="CW97" s="14"/>
      <x:c r="CX97" s="14"/>
      <x:c r="CY97" s="14"/>
      <x:c r="CZ97" s="14"/>
      <x:c r="DC97" s="14"/>
      <x:c r="DD97" s="14"/>
      <x:c r="DI97" s="88"/>
      <x:c r="DJ97" s="88"/>
      <x:c r="DK97" s="88"/>
      <x:c r="DL97" s="88"/>
      <x:c r="DM97" s="88"/>
      <x:c r="DN97" s="88"/>
      <x:c r="DO97" s="88"/>
      <x:c r="DP97" s="88"/>
      <x:c r="DQ97" s="88"/>
      <x:c r="DR97" s="88"/>
      <x:c r="DS97" s="88"/>
    </x:row>
    <x:row r="98" ht="25" customHeight="1">
      <x:c r="A98" s="10"/>
      <x:c r="D98" s="12"/>
      <x:c r="E98" s="12"/>
      <x:c r="F98" s="12"/>
      <x:c r="G98" s="14"/>
      <x:c r="H98" s="14"/>
      <x:c r="I98" s="14"/>
      <x:c r="J98" s="14"/>
      <x:c r="N98" s="14"/>
      <x:c r="O98" s="12"/>
      <x:c r="S98" s="14"/>
      <x:c r="T98" s="12"/>
      <x:c r="V98" s="42" t="str">
        <x:f>IF($A98="","",IF(AND($U98="発射物",$DI98&lt;&gt;"パッシブ"),$BE98,0))</x:f>
      </x:c>
      <x:c r="W98" s="42" t="str">
        <x:f>IF($A98="","",IF(AND($U98="発射物",$DI98&lt;&gt;"パッシブ"),$BF98,0))</x:f>
      </x:c>
      <x:c r="X98" s="42" t="str">
        <x:f>IF($A98="","",IF(AND($U98="発射物",$DI98&lt;&gt;"パッシブ"),IF($BG98="有効","有効","無効"),"無効"))</x:f>
      </x:c>
      <x:c r="AD98" s="14"/>
      <x:c r="AE98" s="14"/>
      <x:c r="AF98" s="14"/>
      <x:c r="AH98" s="14"/>
      <x:c r="AJ98" s="14"/>
      <x:c r="AN98" s="14"/>
      <x:c r="AO98" s="14"/>
      <x:c r="AP98" s="14"/>
      <x:c r="AR98" s="14"/>
      <x:c r="AT98" s="14"/>
      <x:c r="AX98" s="14"/>
      <x:c r="AY98" s="14"/>
      <x:c r="AZ98" s="14"/>
      <x:c r="BB98" s="14"/>
      <x:c r="BD98" s="14"/>
      <x:c r="BE98" s="14"/>
      <x:c r="BF98" s="14"/>
      <x:c r="BK98" s="14"/>
      <x:c r="BM98" s="14"/>
      <x:c r="BN98" s="14"/>
      <x:c r="BP98" s="14"/>
      <x:c r="BQ98" s="14"/>
      <x:c r="BR98" s="14"/>
      <x:c r="BT98" s="14"/>
      <x:c r="BU98" s="14"/>
      <x:c r="BV98" s="14"/>
      <x:c r="BW98" s="14"/>
      <x:c r="BX98" s="14"/>
      <x:c r="BY98" s="14"/>
      <x:c r="BZ98" s="14"/>
      <x:c r="CA98" s="14"/>
      <x:c r="CB98" s="14"/>
      <x:c r="CC98" s="14"/>
      <x:c r="CD98" s="14"/>
      <x:c r="CE98" s="14"/>
      <x:c r="CF98" s="14"/>
      <x:c r="CJ98" s="14"/>
      <x:c r="CK98" s="14"/>
      <x:c r="CL98" s="14"/>
      <x:c r="CM98" s="14"/>
      <x:c r="CO98" s="14"/>
      <x:c r="CQ98" s="14"/>
      <x:c r="CS98" s="14"/>
      <x:c r="CT98" s="14"/>
      <x:c r="CU98" s="14"/>
      <x:c r="CW98" s="14"/>
      <x:c r="CX98" s="14"/>
      <x:c r="CY98" s="14"/>
      <x:c r="CZ98" s="14"/>
      <x:c r="DC98" s="14"/>
      <x:c r="DD98" s="14"/>
      <x:c r="DI98" s="88"/>
      <x:c r="DJ98" s="88"/>
      <x:c r="DK98" s="88"/>
      <x:c r="DL98" s="88"/>
      <x:c r="DM98" s="88"/>
      <x:c r="DN98" s="88"/>
      <x:c r="DO98" s="88"/>
      <x:c r="DP98" s="88"/>
      <x:c r="DQ98" s="88"/>
      <x:c r="DR98" s="88"/>
      <x:c r="DS98" s="88"/>
    </x:row>
    <x:row r="99" ht="25" customHeight="1">
      <x:c r="A99" s="10"/>
      <x:c r="D99" s="12"/>
      <x:c r="E99" s="12"/>
      <x:c r="F99" s="12"/>
      <x:c r="G99" s="14"/>
      <x:c r="H99" s="14"/>
      <x:c r="I99" s="14"/>
      <x:c r="J99" s="14"/>
      <x:c r="N99" s="14"/>
      <x:c r="O99" s="12"/>
      <x:c r="S99" s="14"/>
      <x:c r="T99" s="12"/>
      <x:c r="V99" s="42" t="str">
        <x:f>IF($A99="","",IF(AND($U99="発射物",$DI99&lt;&gt;"パッシブ"),$BE99,0))</x:f>
      </x:c>
      <x:c r="W99" s="42" t="str">
        <x:f>IF($A99="","",IF(AND($U99="発射物",$DI99&lt;&gt;"パッシブ"),$BF99,0))</x:f>
      </x:c>
      <x:c r="X99" s="42" t="str">
        <x:f>IF($A99="","",IF(AND($U99="発射物",$DI99&lt;&gt;"パッシブ"),IF($BG99="有効","有効","無効"),"無効"))</x:f>
      </x:c>
      <x:c r="AD99" s="14"/>
      <x:c r="AE99" s="14"/>
      <x:c r="AF99" s="14"/>
      <x:c r="AH99" s="14"/>
      <x:c r="AJ99" s="14"/>
      <x:c r="AN99" s="14"/>
      <x:c r="AO99" s="14"/>
      <x:c r="AP99" s="14"/>
      <x:c r="AR99" s="14"/>
      <x:c r="AT99" s="14"/>
      <x:c r="AX99" s="14"/>
      <x:c r="AY99" s="14"/>
      <x:c r="AZ99" s="14"/>
      <x:c r="BB99" s="14"/>
      <x:c r="BD99" s="14"/>
      <x:c r="BE99" s="14"/>
      <x:c r="BF99" s="14"/>
      <x:c r="BK99" s="14"/>
      <x:c r="BM99" s="14"/>
      <x:c r="BN99" s="14"/>
      <x:c r="BP99" s="14"/>
      <x:c r="BQ99" s="14"/>
      <x:c r="BR99" s="14"/>
      <x:c r="BT99" s="14"/>
      <x:c r="BU99" s="14"/>
      <x:c r="BV99" s="14"/>
      <x:c r="BW99" s="14"/>
      <x:c r="BX99" s="14"/>
      <x:c r="BY99" s="14"/>
      <x:c r="BZ99" s="14"/>
      <x:c r="CA99" s="14"/>
      <x:c r="CB99" s="14"/>
      <x:c r="CC99" s="14"/>
      <x:c r="CD99" s="14"/>
      <x:c r="CE99" s="14"/>
      <x:c r="CF99" s="14"/>
      <x:c r="CJ99" s="14"/>
      <x:c r="CK99" s="14"/>
      <x:c r="CL99" s="14"/>
      <x:c r="CM99" s="14"/>
      <x:c r="CO99" s="14"/>
      <x:c r="CQ99" s="14"/>
      <x:c r="CS99" s="14"/>
      <x:c r="CT99" s="14"/>
      <x:c r="CU99" s="14"/>
      <x:c r="CW99" s="14"/>
      <x:c r="CX99" s="14"/>
      <x:c r="CY99" s="14"/>
      <x:c r="CZ99" s="14"/>
      <x:c r="DC99" s="14"/>
      <x:c r="DD99" s="14"/>
      <x:c r="DI99" s="88"/>
      <x:c r="DJ99" s="88"/>
      <x:c r="DK99" s="88"/>
      <x:c r="DL99" s="88"/>
      <x:c r="DM99" s="88"/>
      <x:c r="DN99" s="88"/>
      <x:c r="DO99" s="88"/>
      <x:c r="DP99" s="88"/>
      <x:c r="DQ99" s="88"/>
      <x:c r="DR99" s="88"/>
      <x:c r="DS99" s="88"/>
    </x:row>
    <x:row r="100" ht="25" customHeight="1">
      <x:c r="A100" s="10"/>
      <x:c r="D100" s="12"/>
      <x:c r="E100" s="12"/>
      <x:c r="F100" s="12"/>
      <x:c r="G100" s="14"/>
      <x:c r="H100" s="14"/>
      <x:c r="I100" s="14"/>
      <x:c r="J100" s="14"/>
      <x:c r="N100" s="14"/>
      <x:c r="O100" s="12"/>
      <x:c r="S100" s="14"/>
      <x:c r="T100" s="12"/>
      <x:c r="V100" s="42" t="str">
        <x:f>IF($A100="","",IF(AND($U100="発射物",$DI100&lt;&gt;"パッシブ"),$BE100,0))</x:f>
      </x:c>
      <x:c r="W100" s="42" t="str">
        <x:f>IF($A100="","",IF(AND($U100="発射物",$DI100&lt;&gt;"パッシブ"),$BF100,0))</x:f>
      </x:c>
      <x:c r="X100" s="42" t="str">
        <x:f>IF($A100="","",IF(AND($U100="発射物",$DI100&lt;&gt;"パッシブ"),IF($BG100="有効","有効","無効"),"無効"))</x:f>
      </x:c>
      <x:c r="AD100" s="14"/>
      <x:c r="AE100" s="14"/>
      <x:c r="AF100" s="14"/>
      <x:c r="AH100" s="14"/>
      <x:c r="AJ100" s="14"/>
      <x:c r="AN100" s="14"/>
      <x:c r="AO100" s="14"/>
      <x:c r="AP100" s="14"/>
      <x:c r="AR100" s="14"/>
      <x:c r="AT100" s="14"/>
      <x:c r="AX100" s="14"/>
      <x:c r="AY100" s="14"/>
      <x:c r="AZ100" s="14"/>
      <x:c r="BB100" s="14"/>
      <x:c r="BD100" s="14"/>
      <x:c r="BE100" s="14"/>
      <x:c r="BF100" s="14"/>
      <x:c r="BK100" s="14"/>
      <x:c r="BM100" s="14"/>
      <x:c r="BN100" s="14"/>
      <x:c r="BP100" s="14"/>
      <x:c r="BQ100" s="14"/>
      <x:c r="BR100" s="14"/>
      <x:c r="BT100" s="14"/>
      <x:c r="BU100" s="14"/>
      <x:c r="BV100" s="14"/>
      <x:c r="BW100" s="14"/>
      <x:c r="BX100" s="14"/>
      <x:c r="BY100" s="14"/>
      <x:c r="BZ100" s="14"/>
      <x:c r="CA100" s="14"/>
      <x:c r="CB100" s="14"/>
      <x:c r="CC100" s="14"/>
      <x:c r="CD100" s="14"/>
      <x:c r="CE100" s="14"/>
      <x:c r="CF100" s="14"/>
      <x:c r="CJ100" s="14"/>
      <x:c r="CK100" s="14"/>
      <x:c r="CL100" s="14"/>
      <x:c r="CM100" s="14"/>
      <x:c r="CO100" s="14"/>
      <x:c r="CQ100" s="14"/>
      <x:c r="CS100" s="14"/>
      <x:c r="CT100" s="14"/>
      <x:c r="CU100" s="14"/>
      <x:c r="CW100" s="14"/>
      <x:c r="CX100" s="14"/>
      <x:c r="CY100" s="14"/>
      <x:c r="CZ100" s="14"/>
      <x:c r="DC100" s="14"/>
      <x:c r="DD100" s="14"/>
      <x:c r="DI100" s="88"/>
      <x:c r="DJ100" s="88"/>
      <x:c r="DK100" s="88"/>
      <x:c r="DL100" s="88"/>
      <x:c r="DM100" s="88"/>
      <x:c r="DN100" s="88"/>
      <x:c r="DO100" s="88"/>
      <x:c r="DP100" s="88"/>
      <x:c r="DQ100" s="88"/>
      <x:c r="DR100" s="88"/>
      <x:c r="DS100" s="88"/>
    </x:row>
    <x:row r="101" ht="25" customHeight="1">
      <x:c r="A101" s="10"/>
      <x:c r="D101" s="12"/>
      <x:c r="E101" s="12"/>
      <x:c r="F101" s="12"/>
      <x:c r="G101" s="14"/>
      <x:c r="H101" s="14"/>
      <x:c r="I101" s="14"/>
      <x:c r="J101" s="14"/>
      <x:c r="N101" s="14"/>
      <x:c r="O101" s="12"/>
      <x:c r="S101" s="14"/>
      <x:c r="T101" s="12"/>
      <x:c r="V101" s="42" t="str">
        <x:f>IF($A101="","",IF(AND($U101="発射物",$DI101&lt;&gt;"パッシブ"),$BE101,0))</x:f>
      </x:c>
      <x:c r="W101" s="42" t="str">
        <x:f>IF($A101="","",IF(AND($U101="発射物",$DI101&lt;&gt;"パッシブ"),$BF101,0))</x:f>
      </x:c>
      <x:c r="X101" s="42" t="str">
        <x:f>IF($A101="","",IF(AND($U101="発射物",$DI101&lt;&gt;"パッシブ"),IF($BG101="有効","有効","無効"),"無効"))</x:f>
      </x:c>
      <x:c r="AD101" s="14"/>
      <x:c r="AE101" s="14"/>
      <x:c r="AF101" s="14"/>
      <x:c r="AH101" s="14"/>
      <x:c r="AJ101" s="14"/>
      <x:c r="AN101" s="14"/>
      <x:c r="AO101" s="14"/>
      <x:c r="AP101" s="14"/>
      <x:c r="AR101" s="14"/>
      <x:c r="AT101" s="14"/>
      <x:c r="AX101" s="14"/>
      <x:c r="AY101" s="14"/>
      <x:c r="AZ101" s="14"/>
      <x:c r="BB101" s="14"/>
      <x:c r="BD101" s="14"/>
      <x:c r="BE101" s="14"/>
      <x:c r="BF101" s="14"/>
      <x:c r="BK101" s="14"/>
      <x:c r="BM101" s="14"/>
      <x:c r="BN101" s="14"/>
      <x:c r="BP101" s="14"/>
      <x:c r="BQ101" s="14"/>
      <x:c r="BR101" s="14"/>
      <x:c r="BT101" s="14"/>
      <x:c r="BU101" s="14"/>
      <x:c r="BV101" s="14"/>
      <x:c r="BW101" s="14"/>
      <x:c r="BX101" s="14"/>
      <x:c r="BY101" s="14"/>
      <x:c r="BZ101" s="14"/>
      <x:c r="CA101" s="14"/>
      <x:c r="CB101" s="14"/>
      <x:c r="CC101" s="14"/>
      <x:c r="CD101" s="14"/>
      <x:c r="CE101" s="14"/>
      <x:c r="CF101" s="14"/>
      <x:c r="CJ101" s="14"/>
      <x:c r="CK101" s="14"/>
      <x:c r="CL101" s="14"/>
      <x:c r="CM101" s="14"/>
      <x:c r="CO101" s="14"/>
      <x:c r="CQ101" s="14"/>
      <x:c r="CS101" s="14"/>
      <x:c r="CT101" s="14"/>
      <x:c r="CU101" s="14"/>
      <x:c r="CW101" s="14"/>
      <x:c r="CX101" s="14"/>
      <x:c r="CY101" s="14"/>
      <x:c r="CZ101" s="14"/>
      <x:c r="DC101" s="14"/>
      <x:c r="DD101" s="14"/>
      <x:c r="DI101" s="88"/>
      <x:c r="DJ101" s="88"/>
      <x:c r="DK101" s="88"/>
      <x:c r="DL101" s="88"/>
      <x:c r="DM101" s="88"/>
      <x:c r="DN101" s="88"/>
      <x:c r="DO101" s="88"/>
      <x:c r="DP101" s="88"/>
      <x:c r="DQ101" s="88"/>
      <x:c r="DR101" s="88"/>
      <x:c r="DS101" s="88"/>
    </x:row>
    <x:row r="102" ht="25" customHeight="1">
      <x:c r="A102" s="10"/>
      <x:c r="D102" s="12"/>
      <x:c r="E102" s="12"/>
      <x:c r="F102" s="12"/>
      <x:c r="G102" s="14"/>
      <x:c r="H102" s="14"/>
      <x:c r="I102" s="14"/>
      <x:c r="J102" s="14"/>
      <x:c r="N102" s="14"/>
      <x:c r="O102" s="12"/>
      <x:c r="S102" s="14"/>
      <x:c r="T102" s="12"/>
      <x:c r="V102" s="42" t="str">
        <x:f>IF($A102="","",IF(AND($U102="発射物",$DI102&lt;&gt;"パッシブ"),$BE102,0))</x:f>
      </x:c>
      <x:c r="W102" s="42" t="str">
        <x:f>IF($A102="","",IF(AND($U102="発射物",$DI102&lt;&gt;"パッシブ"),$BF102,0))</x:f>
      </x:c>
      <x:c r="X102" s="42" t="str">
        <x:f>IF($A102="","",IF(AND($U102="発射物",$DI102&lt;&gt;"パッシブ"),IF($BG102="有効","有効","無効"),"無効"))</x:f>
      </x:c>
      <x:c r="AD102" s="14"/>
      <x:c r="AE102" s="14"/>
      <x:c r="AF102" s="14"/>
      <x:c r="AH102" s="14"/>
      <x:c r="AJ102" s="14"/>
      <x:c r="AN102" s="14"/>
      <x:c r="AO102" s="14"/>
      <x:c r="AP102" s="14"/>
      <x:c r="AR102" s="14"/>
      <x:c r="AT102" s="14"/>
      <x:c r="AX102" s="14"/>
      <x:c r="AY102" s="14"/>
      <x:c r="AZ102" s="14"/>
      <x:c r="BB102" s="14"/>
      <x:c r="BD102" s="14"/>
      <x:c r="BE102" s="14"/>
      <x:c r="BF102" s="14"/>
      <x:c r="BK102" s="14"/>
      <x:c r="BM102" s="14"/>
      <x:c r="BN102" s="14"/>
      <x:c r="BP102" s="14"/>
      <x:c r="BQ102" s="14"/>
      <x:c r="BR102" s="14"/>
      <x:c r="BT102" s="14"/>
      <x:c r="BU102" s="14"/>
      <x:c r="BV102" s="14"/>
      <x:c r="BW102" s="14"/>
      <x:c r="BX102" s="14"/>
      <x:c r="BY102" s="14"/>
      <x:c r="BZ102" s="14"/>
      <x:c r="CA102" s="14"/>
      <x:c r="CB102" s="14"/>
      <x:c r="CC102" s="14"/>
      <x:c r="CD102" s="14"/>
      <x:c r="CE102" s="14"/>
      <x:c r="CF102" s="14"/>
      <x:c r="CJ102" s="14"/>
      <x:c r="CK102" s="14"/>
      <x:c r="CL102" s="14"/>
      <x:c r="CM102" s="14"/>
      <x:c r="CO102" s="14"/>
      <x:c r="CQ102" s="14"/>
      <x:c r="CS102" s="14"/>
      <x:c r="CT102" s="14"/>
      <x:c r="CU102" s="14"/>
      <x:c r="CW102" s="14"/>
      <x:c r="CX102" s="14"/>
      <x:c r="CY102" s="14"/>
      <x:c r="CZ102" s="14"/>
      <x:c r="DC102" s="14"/>
      <x:c r="DD102" s="14"/>
      <x:c r="DI102" s="88"/>
      <x:c r="DJ102" s="88"/>
      <x:c r="DK102" s="88"/>
      <x:c r="DL102" s="88"/>
      <x:c r="DM102" s="88"/>
      <x:c r="DN102" s="88"/>
      <x:c r="DO102" s="88"/>
      <x:c r="DP102" s="88"/>
      <x:c r="DQ102" s="88"/>
      <x:c r="DR102" s="88"/>
      <x:c r="DS102" s="88"/>
    </x:row>
    <x:row r="103" ht="25" customHeight="1">
      <x:c r="A103" s="10"/>
      <x:c r="D103" s="12"/>
      <x:c r="E103" s="12"/>
      <x:c r="F103" s="12"/>
      <x:c r="G103" s="14"/>
      <x:c r="H103" s="14"/>
      <x:c r="I103" s="14"/>
      <x:c r="J103" s="14"/>
      <x:c r="N103" s="14"/>
      <x:c r="O103" s="12"/>
      <x:c r="S103" s="14"/>
      <x:c r="T103" s="12"/>
      <x:c r="V103" s="42" t="str">
        <x:f>IF($A103="","",IF(AND($U103="発射物",$DI103&lt;&gt;"パッシブ"),$BE103,0))</x:f>
      </x:c>
      <x:c r="W103" s="42" t="str">
        <x:f>IF($A103="","",IF(AND($U103="発射物",$DI103&lt;&gt;"パッシブ"),$BF103,0))</x:f>
      </x:c>
      <x:c r="X103" s="42" t="str">
        <x:f>IF($A103="","",IF(AND($U103="発射物",$DI103&lt;&gt;"パッシブ"),IF($BG103="有効","有効","無効"),"無効"))</x:f>
      </x:c>
      <x:c r="AD103" s="14"/>
      <x:c r="AE103" s="14"/>
      <x:c r="AF103" s="14"/>
      <x:c r="AH103" s="14"/>
      <x:c r="AJ103" s="14"/>
      <x:c r="AN103" s="14"/>
      <x:c r="AO103" s="14"/>
      <x:c r="AP103" s="14"/>
      <x:c r="AR103" s="14"/>
      <x:c r="AT103" s="14"/>
      <x:c r="AX103" s="14"/>
      <x:c r="AY103" s="14"/>
      <x:c r="AZ103" s="14"/>
      <x:c r="BB103" s="14"/>
      <x:c r="BD103" s="14"/>
      <x:c r="BE103" s="14"/>
      <x:c r="BF103" s="14"/>
      <x:c r="BK103" s="14"/>
      <x:c r="BM103" s="14"/>
      <x:c r="BN103" s="14"/>
      <x:c r="BP103" s="14"/>
      <x:c r="BQ103" s="14"/>
      <x:c r="BR103" s="14"/>
      <x:c r="BT103" s="14"/>
      <x:c r="BU103" s="14"/>
      <x:c r="BV103" s="14"/>
      <x:c r="BW103" s="14"/>
      <x:c r="BX103" s="14"/>
      <x:c r="BY103" s="14"/>
      <x:c r="BZ103" s="14"/>
      <x:c r="CA103" s="14"/>
      <x:c r="CB103" s="14"/>
      <x:c r="CC103" s="14"/>
      <x:c r="CD103" s="14"/>
      <x:c r="CE103" s="14"/>
      <x:c r="CF103" s="14"/>
      <x:c r="CJ103" s="14"/>
      <x:c r="CK103" s="14"/>
      <x:c r="CL103" s="14"/>
      <x:c r="CM103" s="14"/>
      <x:c r="CO103" s="14"/>
      <x:c r="CQ103" s="14"/>
      <x:c r="CS103" s="14"/>
      <x:c r="CT103" s="14"/>
      <x:c r="CU103" s="14"/>
      <x:c r="CW103" s="14"/>
      <x:c r="CX103" s="14"/>
      <x:c r="CY103" s="14"/>
      <x:c r="CZ103" s="14"/>
      <x:c r="DC103" s="14"/>
      <x:c r="DD103" s="14"/>
      <x:c r="DI103" s="88"/>
      <x:c r="DJ103" s="88"/>
      <x:c r="DK103" s="88"/>
      <x:c r="DL103" s="88"/>
      <x:c r="DM103" s="88"/>
      <x:c r="DN103" s="88"/>
      <x:c r="DO103" s="88"/>
      <x:c r="DP103" s="88"/>
      <x:c r="DQ103" s="88"/>
      <x:c r="DR103" s="88"/>
      <x:c r="DS103" s="88"/>
    </x:row>
    <x:row r="104" ht="25" customHeight="1">
      <x:c r="A104" s="10"/>
      <x:c r="D104" s="12"/>
      <x:c r="E104" s="12"/>
      <x:c r="F104" s="12"/>
      <x:c r="G104" s="14"/>
      <x:c r="H104" s="14"/>
      <x:c r="I104" s="14"/>
      <x:c r="J104" s="14"/>
      <x:c r="N104" s="14"/>
      <x:c r="O104" s="12"/>
      <x:c r="S104" s="14"/>
      <x:c r="T104" s="12"/>
      <x:c r="V104" s="42" t="str">
        <x:f>IF($A104="","",IF(AND($U104="発射物",$DI104&lt;&gt;"パッシブ"),$BE104,0))</x:f>
      </x:c>
      <x:c r="W104" s="42" t="str">
        <x:f>IF($A104="","",IF(AND($U104="発射物",$DI104&lt;&gt;"パッシブ"),$BF104,0))</x:f>
      </x:c>
      <x:c r="X104" s="42" t="str">
        <x:f>IF($A104="","",IF(AND($U104="発射物",$DI104&lt;&gt;"パッシブ"),IF($BG104="有効","有効","無効"),"無効"))</x:f>
      </x:c>
      <x:c r="AD104" s="14"/>
      <x:c r="AE104" s="14"/>
      <x:c r="AF104" s="14"/>
      <x:c r="AH104" s="14"/>
      <x:c r="AJ104" s="14"/>
      <x:c r="AN104" s="14"/>
      <x:c r="AO104" s="14"/>
      <x:c r="AP104" s="14"/>
      <x:c r="AR104" s="14"/>
      <x:c r="AT104" s="14"/>
      <x:c r="AX104" s="14"/>
      <x:c r="AY104" s="14"/>
      <x:c r="AZ104" s="14"/>
      <x:c r="BB104" s="14"/>
      <x:c r="BD104" s="14"/>
      <x:c r="BE104" s="14"/>
      <x:c r="BF104" s="14"/>
      <x:c r="BK104" s="14"/>
      <x:c r="BM104" s="14"/>
      <x:c r="BN104" s="14"/>
      <x:c r="BP104" s="14"/>
      <x:c r="BQ104" s="14"/>
      <x:c r="BR104" s="14"/>
      <x:c r="BT104" s="14"/>
      <x:c r="BU104" s="14"/>
      <x:c r="BV104" s="14"/>
      <x:c r="BW104" s="14"/>
      <x:c r="BX104" s="14"/>
      <x:c r="BY104" s="14"/>
      <x:c r="BZ104" s="14"/>
      <x:c r="CA104" s="14"/>
      <x:c r="CB104" s="14"/>
      <x:c r="CC104" s="14"/>
      <x:c r="CD104" s="14"/>
      <x:c r="CE104" s="14"/>
      <x:c r="CF104" s="14"/>
      <x:c r="CJ104" s="14"/>
      <x:c r="CK104" s="14"/>
      <x:c r="CL104" s="14"/>
      <x:c r="CM104" s="14"/>
      <x:c r="CO104" s="14"/>
      <x:c r="CQ104" s="14"/>
      <x:c r="CS104" s="14"/>
      <x:c r="CT104" s="14"/>
      <x:c r="CU104" s="14"/>
      <x:c r="CW104" s="14"/>
      <x:c r="CX104" s="14"/>
      <x:c r="CY104" s="14"/>
      <x:c r="CZ104" s="14"/>
      <x:c r="DC104" s="14"/>
      <x:c r="DD104" s="14"/>
      <x:c r="DI104" s="88"/>
      <x:c r="DJ104" s="88"/>
      <x:c r="DK104" s="88"/>
      <x:c r="DL104" s="88"/>
      <x:c r="DM104" s="88"/>
      <x:c r="DN104" s="88"/>
      <x:c r="DO104" s="88"/>
      <x:c r="DP104" s="88"/>
      <x:c r="DQ104" s="88"/>
      <x:c r="DR104" s="88"/>
      <x:c r="DS104" s="88"/>
    </x:row>
    <x:row r="105" ht="25" customHeight="1">
      <x:c r="A105" s="10"/>
      <x:c r="D105" s="12"/>
      <x:c r="E105" s="12"/>
      <x:c r="F105" s="12"/>
      <x:c r="G105" s="14"/>
      <x:c r="H105" s="14"/>
      <x:c r="I105" s="14"/>
      <x:c r="J105" s="14"/>
      <x:c r="N105" s="14"/>
      <x:c r="O105" s="12"/>
      <x:c r="S105" s="14"/>
      <x:c r="T105" s="12"/>
      <x:c r="V105" s="42" t="str">
        <x:f>IF($A105="","",IF(AND($U105="発射物",$DI105&lt;&gt;"パッシブ"),$BE105,0))</x:f>
      </x:c>
      <x:c r="W105" s="42" t="str">
        <x:f>IF($A105="","",IF(AND($U105="発射物",$DI105&lt;&gt;"パッシブ"),$BF105,0))</x:f>
      </x:c>
      <x:c r="X105" s="42" t="str">
        <x:f>IF($A105="","",IF(AND($U105="発射物",$DI105&lt;&gt;"パッシブ"),IF($BG105="有効","有効","無効"),"無効"))</x:f>
      </x:c>
      <x:c r="AD105" s="14"/>
      <x:c r="AE105" s="14"/>
      <x:c r="AF105" s="14"/>
      <x:c r="AH105" s="14"/>
      <x:c r="AJ105" s="14"/>
      <x:c r="AN105" s="14"/>
      <x:c r="AO105" s="14"/>
      <x:c r="AP105" s="14"/>
      <x:c r="AR105" s="14"/>
      <x:c r="AT105" s="14"/>
      <x:c r="AX105" s="14"/>
      <x:c r="AY105" s="14"/>
      <x:c r="AZ105" s="14"/>
      <x:c r="BB105" s="14"/>
      <x:c r="BD105" s="14"/>
      <x:c r="BE105" s="14"/>
      <x:c r="BF105" s="14"/>
      <x:c r="BK105" s="14"/>
      <x:c r="BM105" s="14"/>
      <x:c r="BN105" s="14"/>
      <x:c r="BP105" s="14"/>
      <x:c r="BQ105" s="14"/>
      <x:c r="BR105" s="14"/>
      <x:c r="BT105" s="14"/>
      <x:c r="BU105" s="14"/>
      <x:c r="BV105" s="14"/>
      <x:c r="BW105" s="14"/>
      <x:c r="BX105" s="14"/>
      <x:c r="BY105" s="14"/>
      <x:c r="BZ105" s="14"/>
      <x:c r="CA105" s="14"/>
      <x:c r="CB105" s="14"/>
      <x:c r="CC105" s="14"/>
      <x:c r="CD105" s="14"/>
      <x:c r="CE105" s="14"/>
      <x:c r="CF105" s="14"/>
      <x:c r="CJ105" s="14"/>
      <x:c r="CK105" s="14"/>
      <x:c r="CL105" s="14"/>
      <x:c r="CM105" s="14"/>
      <x:c r="CO105" s="14"/>
      <x:c r="CQ105" s="14"/>
      <x:c r="CS105" s="14"/>
      <x:c r="CT105" s="14"/>
      <x:c r="CU105" s="14"/>
      <x:c r="CW105" s="14"/>
      <x:c r="CX105" s="14"/>
      <x:c r="CY105" s="14"/>
      <x:c r="CZ105" s="14"/>
      <x:c r="DC105" s="14"/>
      <x:c r="DD105" s="14"/>
      <x:c r="DI105" s="88"/>
      <x:c r="DJ105" s="88"/>
      <x:c r="DK105" s="88"/>
      <x:c r="DL105" s="88"/>
      <x:c r="DM105" s="88"/>
      <x:c r="DN105" s="88"/>
      <x:c r="DO105" s="88"/>
      <x:c r="DP105" s="88"/>
      <x:c r="DQ105" s="88"/>
      <x:c r="DR105" s="88"/>
      <x:c r="DS105" s="88"/>
    </x:row>
    <x:row r="106" ht="25" customHeight="1">
      <x:c r="A106" s="10"/>
      <x:c r="D106" s="12"/>
      <x:c r="E106" s="12"/>
      <x:c r="F106" s="12"/>
      <x:c r="G106" s="14"/>
      <x:c r="H106" s="14"/>
      <x:c r="I106" s="14"/>
      <x:c r="J106" s="14"/>
      <x:c r="N106" s="14"/>
      <x:c r="O106" s="12"/>
      <x:c r="S106" s="14"/>
      <x:c r="T106" s="12"/>
      <x:c r="V106" s="42" t="str">
        <x:f>IF($A106="","",IF(AND($U106="発射物",$DI106&lt;&gt;"パッシブ"),$BE106,0))</x:f>
      </x:c>
      <x:c r="W106" s="42" t="str">
        <x:f>IF($A106="","",IF(AND($U106="発射物",$DI106&lt;&gt;"パッシブ"),$BF106,0))</x:f>
      </x:c>
      <x:c r="X106" s="42" t="str">
        <x:f>IF($A106="","",IF(AND($U106="発射物",$DI106&lt;&gt;"パッシブ"),IF($BG106="有効","有効","無効"),"無効"))</x:f>
      </x:c>
      <x:c r="AD106" s="14"/>
      <x:c r="AE106" s="14"/>
      <x:c r="AF106" s="14"/>
      <x:c r="AH106" s="14"/>
      <x:c r="AJ106" s="14"/>
      <x:c r="AN106" s="14"/>
      <x:c r="AO106" s="14"/>
      <x:c r="AP106" s="14"/>
      <x:c r="AR106" s="14"/>
      <x:c r="AT106" s="14"/>
      <x:c r="AX106" s="14"/>
      <x:c r="AY106" s="14"/>
      <x:c r="AZ106" s="14"/>
      <x:c r="BB106" s="14"/>
      <x:c r="BD106" s="14"/>
      <x:c r="BE106" s="14"/>
      <x:c r="BF106" s="14"/>
      <x:c r="BK106" s="14"/>
      <x:c r="BM106" s="14"/>
      <x:c r="BN106" s="14"/>
      <x:c r="BP106" s="14"/>
      <x:c r="BQ106" s="14"/>
      <x:c r="BR106" s="14"/>
      <x:c r="BT106" s="14"/>
      <x:c r="BU106" s="14"/>
      <x:c r="BV106" s="14"/>
      <x:c r="BW106" s="14"/>
      <x:c r="BX106" s="14"/>
      <x:c r="BY106" s="14"/>
      <x:c r="BZ106" s="14"/>
      <x:c r="CA106" s="14"/>
      <x:c r="CB106" s="14"/>
      <x:c r="CC106" s="14"/>
      <x:c r="CD106" s="14"/>
      <x:c r="CE106" s="14"/>
      <x:c r="CF106" s="14"/>
      <x:c r="CJ106" s="14"/>
      <x:c r="CK106" s="14"/>
      <x:c r="CL106" s="14"/>
      <x:c r="CM106" s="14"/>
      <x:c r="CO106" s="14"/>
      <x:c r="CQ106" s="14"/>
      <x:c r="CS106" s="14"/>
      <x:c r="CT106" s="14"/>
      <x:c r="CU106" s="14"/>
      <x:c r="CW106" s="14"/>
      <x:c r="CX106" s="14"/>
      <x:c r="CY106" s="14"/>
      <x:c r="CZ106" s="14"/>
      <x:c r="DC106" s="14"/>
      <x:c r="DD106" s="14"/>
      <x:c r="DI106" s="88"/>
      <x:c r="DJ106" s="88"/>
      <x:c r="DK106" s="88"/>
      <x:c r="DL106" s="88"/>
      <x:c r="DM106" s="88"/>
      <x:c r="DN106" s="88"/>
      <x:c r="DO106" s="88"/>
      <x:c r="DP106" s="88"/>
      <x:c r="DQ106" s="88"/>
      <x:c r="DR106" s="88"/>
      <x:c r="DS106" s="88"/>
    </x:row>
    <x:row r="107" ht="25" customHeight="1">
      <x:c r="A107" s="10"/>
      <x:c r="D107" s="12"/>
      <x:c r="E107" s="12"/>
      <x:c r="F107" s="12"/>
      <x:c r="G107" s="14"/>
      <x:c r="H107" s="14"/>
      <x:c r="I107" s="14"/>
      <x:c r="J107" s="14"/>
      <x:c r="N107" s="14"/>
      <x:c r="O107" s="12"/>
      <x:c r="S107" s="14"/>
      <x:c r="T107" s="12"/>
      <x:c r="V107" s="42" t="str">
        <x:f>IF($A107="","",IF(AND($U107="発射物",$DI107&lt;&gt;"パッシブ"),$BE107,0))</x:f>
      </x:c>
      <x:c r="W107" s="42" t="str">
        <x:f>IF($A107="","",IF(AND($U107="発射物",$DI107&lt;&gt;"パッシブ"),$BF107,0))</x:f>
      </x:c>
      <x:c r="X107" s="42" t="str">
        <x:f>IF($A107="","",IF(AND($U107="発射物",$DI107&lt;&gt;"パッシブ"),IF($BG107="有効","有効","無効"),"無効"))</x:f>
      </x:c>
      <x:c r="AD107" s="14"/>
      <x:c r="AE107" s="14"/>
      <x:c r="AF107" s="14"/>
      <x:c r="AH107" s="14"/>
      <x:c r="AJ107" s="14"/>
      <x:c r="AN107" s="14"/>
      <x:c r="AO107" s="14"/>
      <x:c r="AP107" s="14"/>
      <x:c r="AR107" s="14"/>
      <x:c r="AT107" s="14"/>
      <x:c r="AX107" s="14"/>
      <x:c r="AY107" s="14"/>
      <x:c r="AZ107" s="14"/>
      <x:c r="BB107" s="14"/>
      <x:c r="BD107" s="14"/>
      <x:c r="BE107" s="14"/>
      <x:c r="BF107" s="14"/>
      <x:c r="BK107" s="14"/>
      <x:c r="BM107" s="14"/>
      <x:c r="BN107" s="14"/>
      <x:c r="BP107" s="14"/>
      <x:c r="BQ107" s="14"/>
      <x:c r="BR107" s="14"/>
      <x:c r="BT107" s="14"/>
      <x:c r="BU107" s="14"/>
      <x:c r="BV107" s="14"/>
      <x:c r="BW107" s="14"/>
      <x:c r="BX107" s="14"/>
      <x:c r="BY107" s="14"/>
      <x:c r="BZ107" s="14"/>
      <x:c r="CA107" s="14"/>
      <x:c r="CB107" s="14"/>
      <x:c r="CC107" s="14"/>
      <x:c r="CD107" s="14"/>
      <x:c r="CE107" s="14"/>
      <x:c r="CF107" s="14"/>
      <x:c r="CJ107" s="14"/>
      <x:c r="CK107" s="14"/>
      <x:c r="CL107" s="14"/>
      <x:c r="CM107" s="14"/>
      <x:c r="CO107" s="14"/>
      <x:c r="CQ107" s="14"/>
      <x:c r="CS107" s="14"/>
      <x:c r="CT107" s="14"/>
      <x:c r="CU107" s="14"/>
      <x:c r="CW107" s="14"/>
      <x:c r="CX107" s="14"/>
      <x:c r="CY107" s="14"/>
      <x:c r="CZ107" s="14"/>
      <x:c r="DC107" s="14"/>
      <x:c r="DD107" s="14"/>
      <x:c r="DI107" s="88"/>
      <x:c r="DJ107" s="88"/>
      <x:c r="DK107" s="88"/>
      <x:c r="DL107" s="88"/>
      <x:c r="DM107" s="88"/>
      <x:c r="DN107" s="88"/>
      <x:c r="DO107" s="88"/>
      <x:c r="DP107" s="88"/>
      <x:c r="DQ107" s="88"/>
      <x:c r="DR107" s="88"/>
      <x:c r="DS107" s="88"/>
    </x:row>
    <x:row r="108" ht="25" customHeight="1">
      <x:c r="A108" s="10"/>
      <x:c r="D108" s="12"/>
      <x:c r="E108" s="12"/>
      <x:c r="F108" s="12"/>
      <x:c r="G108" s="14"/>
      <x:c r="H108" s="14"/>
      <x:c r="I108" s="14"/>
      <x:c r="J108" s="14"/>
      <x:c r="N108" s="14"/>
      <x:c r="O108" s="12"/>
      <x:c r="S108" s="14"/>
      <x:c r="T108" s="12"/>
      <x:c r="V108" s="42" t="str">
        <x:f>IF($A108="","",IF(AND($U108="発射物",$DI108&lt;&gt;"パッシブ"),$BE108,0))</x:f>
      </x:c>
      <x:c r="W108" s="42" t="str">
        <x:f>IF($A108="","",IF(AND($U108="発射物",$DI108&lt;&gt;"パッシブ"),$BF108,0))</x:f>
      </x:c>
      <x:c r="X108" s="42" t="str">
        <x:f>IF($A108="","",IF(AND($U108="発射物",$DI108&lt;&gt;"パッシブ"),IF($BG108="有効","有効","無効"),"無効"))</x:f>
      </x:c>
      <x:c r="AD108" s="14"/>
      <x:c r="AE108" s="14"/>
      <x:c r="AF108" s="14"/>
      <x:c r="AH108" s="14"/>
      <x:c r="AJ108" s="14"/>
      <x:c r="AN108" s="14"/>
      <x:c r="AO108" s="14"/>
      <x:c r="AP108" s="14"/>
      <x:c r="AR108" s="14"/>
      <x:c r="AT108" s="14"/>
      <x:c r="AX108" s="14"/>
      <x:c r="AY108" s="14"/>
      <x:c r="AZ108" s="14"/>
      <x:c r="BB108" s="14"/>
      <x:c r="BD108" s="14"/>
      <x:c r="BE108" s="14"/>
      <x:c r="BF108" s="14"/>
      <x:c r="BK108" s="14"/>
      <x:c r="BM108" s="14"/>
      <x:c r="BN108" s="14"/>
      <x:c r="BP108" s="14"/>
      <x:c r="BQ108" s="14"/>
      <x:c r="BR108" s="14"/>
      <x:c r="BT108" s="14"/>
      <x:c r="BU108" s="14"/>
      <x:c r="BV108" s="14"/>
      <x:c r="BW108" s="14"/>
      <x:c r="BX108" s="14"/>
      <x:c r="BY108" s="14"/>
      <x:c r="BZ108" s="14"/>
      <x:c r="CA108" s="14"/>
      <x:c r="CB108" s="14"/>
      <x:c r="CC108" s="14"/>
      <x:c r="CD108" s="14"/>
      <x:c r="CE108" s="14"/>
      <x:c r="CF108" s="14"/>
      <x:c r="CJ108" s="14"/>
      <x:c r="CK108" s="14"/>
      <x:c r="CL108" s="14"/>
      <x:c r="CM108" s="14"/>
      <x:c r="CO108" s="14"/>
      <x:c r="CQ108" s="14"/>
      <x:c r="CS108" s="14"/>
      <x:c r="CT108" s="14"/>
      <x:c r="CU108" s="14"/>
      <x:c r="CW108" s="14"/>
      <x:c r="CX108" s="14"/>
      <x:c r="CY108" s="14"/>
      <x:c r="CZ108" s="14"/>
      <x:c r="DC108" s="14"/>
      <x:c r="DD108" s="14"/>
      <x:c r="DI108" s="88"/>
      <x:c r="DJ108" s="88"/>
      <x:c r="DK108" s="88"/>
      <x:c r="DL108" s="88"/>
      <x:c r="DM108" s="88"/>
      <x:c r="DN108" s="88"/>
      <x:c r="DO108" s="88"/>
      <x:c r="DP108" s="88"/>
      <x:c r="DQ108" s="88"/>
      <x:c r="DR108" s="88"/>
      <x:c r="DS108" s="88"/>
    </x:row>
    <x:row r="109" ht="25" customHeight="1">
      <x:c r="A109" s="10"/>
      <x:c r="D109" s="12"/>
      <x:c r="E109" s="12"/>
      <x:c r="F109" s="12"/>
      <x:c r="G109" s="14"/>
      <x:c r="H109" s="14"/>
      <x:c r="I109" s="14"/>
      <x:c r="J109" s="14"/>
      <x:c r="N109" s="14"/>
      <x:c r="O109" s="12"/>
      <x:c r="S109" s="14"/>
      <x:c r="T109" s="12"/>
      <x:c r="V109" s="42" t="str">
        <x:f>IF($A109="","",IF(AND($U109="発射物",$DI109&lt;&gt;"パッシブ"),$BE109,0))</x:f>
      </x:c>
      <x:c r="W109" s="42" t="str">
        <x:f>IF($A109="","",IF(AND($U109="発射物",$DI109&lt;&gt;"パッシブ"),$BF109,0))</x:f>
      </x:c>
      <x:c r="X109" s="42" t="str">
        <x:f>IF($A109="","",IF(AND($U109="発射物",$DI109&lt;&gt;"パッシブ"),IF($BG109="有効","有効","無効"),"無効"))</x:f>
      </x:c>
      <x:c r="AD109" s="14"/>
      <x:c r="AE109" s="14"/>
      <x:c r="AF109" s="14"/>
      <x:c r="AH109" s="14"/>
      <x:c r="AJ109" s="14"/>
      <x:c r="AN109" s="14"/>
      <x:c r="AO109" s="14"/>
      <x:c r="AP109" s="14"/>
      <x:c r="AR109" s="14"/>
      <x:c r="AT109" s="14"/>
      <x:c r="AX109" s="14"/>
      <x:c r="AY109" s="14"/>
      <x:c r="AZ109" s="14"/>
      <x:c r="BB109" s="14"/>
      <x:c r="BD109" s="14"/>
      <x:c r="BE109" s="14"/>
      <x:c r="BF109" s="14"/>
      <x:c r="BK109" s="14"/>
      <x:c r="BM109" s="14"/>
      <x:c r="BN109" s="14"/>
      <x:c r="BP109" s="14"/>
      <x:c r="BQ109" s="14"/>
      <x:c r="BR109" s="14"/>
      <x:c r="BT109" s="14"/>
      <x:c r="BU109" s="14"/>
      <x:c r="BV109" s="14"/>
      <x:c r="BW109" s="14"/>
      <x:c r="BX109" s="14"/>
      <x:c r="BY109" s="14"/>
      <x:c r="BZ109" s="14"/>
      <x:c r="CA109" s="14"/>
      <x:c r="CB109" s="14"/>
      <x:c r="CC109" s="14"/>
      <x:c r="CD109" s="14"/>
      <x:c r="CE109" s="14"/>
      <x:c r="CF109" s="14"/>
      <x:c r="CJ109" s="14"/>
      <x:c r="CK109" s="14"/>
      <x:c r="CL109" s="14"/>
      <x:c r="CM109" s="14"/>
      <x:c r="CO109" s="14"/>
      <x:c r="CQ109" s="14"/>
      <x:c r="CS109" s="14"/>
      <x:c r="CT109" s="14"/>
      <x:c r="CU109" s="14"/>
      <x:c r="CW109" s="14"/>
      <x:c r="CX109" s="14"/>
      <x:c r="CY109" s="14"/>
      <x:c r="CZ109" s="14"/>
      <x:c r="DC109" s="14"/>
      <x:c r="DD109" s="14"/>
      <x:c r="DI109" s="88"/>
      <x:c r="DJ109" s="88"/>
      <x:c r="DK109" s="88"/>
      <x:c r="DL109" s="88"/>
      <x:c r="DM109" s="88"/>
      <x:c r="DN109" s="88"/>
      <x:c r="DO109" s="88"/>
      <x:c r="DP109" s="88"/>
      <x:c r="DQ109" s="88"/>
      <x:c r="DR109" s="88"/>
      <x:c r="DS109" s="88"/>
    </x:row>
    <x:row r="110" ht="25" customHeight="1">
      <x:c r="A110" s="10"/>
      <x:c r="D110" s="12"/>
      <x:c r="E110" s="12"/>
      <x:c r="F110" s="12"/>
      <x:c r="G110" s="14"/>
      <x:c r="H110" s="14"/>
      <x:c r="I110" s="14"/>
      <x:c r="J110" s="14"/>
      <x:c r="N110" s="14"/>
      <x:c r="O110" s="12"/>
      <x:c r="S110" s="14"/>
      <x:c r="T110" s="12"/>
      <x:c r="V110" s="42" t="str">
        <x:f>IF($A110="","",IF(AND($U110="発射物",$DI110&lt;&gt;"パッシブ"),$BE110,0))</x:f>
      </x:c>
      <x:c r="W110" s="42" t="str">
        <x:f>IF($A110="","",IF(AND($U110="発射物",$DI110&lt;&gt;"パッシブ"),$BF110,0))</x:f>
      </x:c>
      <x:c r="X110" s="42" t="str">
        <x:f>IF($A110="","",IF(AND($U110="発射物",$DI110&lt;&gt;"パッシブ"),IF($BG110="有効","有効","無効"),"無効"))</x:f>
      </x:c>
      <x:c r="AD110" s="14"/>
      <x:c r="AE110" s="14"/>
      <x:c r="AF110" s="14"/>
      <x:c r="AH110" s="14"/>
      <x:c r="AJ110" s="14"/>
      <x:c r="AN110" s="14"/>
      <x:c r="AO110" s="14"/>
      <x:c r="AP110" s="14"/>
      <x:c r="AR110" s="14"/>
      <x:c r="AT110" s="14"/>
      <x:c r="AX110" s="14"/>
      <x:c r="AY110" s="14"/>
      <x:c r="AZ110" s="14"/>
      <x:c r="BB110" s="14"/>
      <x:c r="BD110" s="14"/>
      <x:c r="BE110" s="14"/>
      <x:c r="BF110" s="14"/>
      <x:c r="BK110" s="14"/>
      <x:c r="BM110" s="14"/>
      <x:c r="BN110" s="14"/>
      <x:c r="BP110" s="14"/>
      <x:c r="BQ110" s="14"/>
      <x:c r="BR110" s="14"/>
      <x:c r="BT110" s="14"/>
      <x:c r="BU110" s="14"/>
      <x:c r="BV110" s="14"/>
      <x:c r="BW110" s="14"/>
      <x:c r="BX110" s="14"/>
      <x:c r="BY110" s="14"/>
      <x:c r="BZ110" s="14"/>
      <x:c r="CA110" s="14"/>
      <x:c r="CB110" s="14"/>
      <x:c r="CC110" s="14"/>
      <x:c r="CD110" s="14"/>
      <x:c r="CE110" s="14"/>
      <x:c r="CF110" s="14"/>
      <x:c r="CJ110" s="14"/>
      <x:c r="CK110" s="14"/>
      <x:c r="CL110" s="14"/>
      <x:c r="CM110" s="14"/>
      <x:c r="CO110" s="14"/>
      <x:c r="CQ110" s="14"/>
      <x:c r="CS110" s="14"/>
      <x:c r="CT110" s="14"/>
      <x:c r="CU110" s="14"/>
      <x:c r="CW110" s="14"/>
      <x:c r="CX110" s="14"/>
      <x:c r="CY110" s="14"/>
      <x:c r="CZ110" s="14"/>
      <x:c r="DC110" s="14"/>
      <x:c r="DD110" s="14"/>
      <x:c r="DI110" s="88"/>
      <x:c r="DJ110" s="88"/>
      <x:c r="DK110" s="88"/>
      <x:c r="DL110" s="88"/>
      <x:c r="DM110" s="88"/>
      <x:c r="DN110" s="88"/>
      <x:c r="DO110" s="88"/>
      <x:c r="DP110" s="88"/>
      <x:c r="DQ110" s="88"/>
      <x:c r="DR110" s="88"/>
      <x:c r="DS110" s="88"/>
    </x:row>
    <x:row r="111" ht="25" customHeight="1">
      <x:c r="A111" s="10"/>
      <x:c r="D111" s="12"/>
      <x:c r="E111" s="12"/>
      <x:c r="F111" s="12"/>
      <x:c r="G111" s="14"/>
      <x:c r="H111" s="14"/>
      <x:c r="I111" s="14"/>
      <x:c r="J111" s="14"/>
      <x:c r="N111" s="14"/>
      <x:c r="O111" s="12"/>
      <x:c r="S111" s="14"/>
      <x:c r="T111" s="12"/>
      <x:c r="V111" s="42" t="str">
        <x:f>IF($A111="","",IF(AND($U111="発射物",$DI111&lt;&gt;"パッシブ"),$BE111,0))</x:f>
      </x:c>
      <x:c r="W111" s="42" t="str">
        <x:f>IF($A111="","",IF(AND($U111="発射物",$DI111&lt;&gt;"パッシブ"),$BF111,0))</x:f>
      </x:c>
      <x:c r="X111" s="42" t="str">
        <x:f>IF($A111="","",IF(AND($U111="発射物",$DI111&lt;&gt;"パッシブ"),IF($BG111="有効","有効","無効"),"無効"))</x:f>
      </x:c>
      <x:c r="AD111" s="14"/>
      <x:c r="AE111" s="14"/>
      <x:c r="AF111" s="14"/>
      <x:c r="AH111" s="14"/>
      <x:c r="AJ111" s="14"/>
      <x:c r="AN111" s="14"/>
      <x:c r="AO111" s="14"/>
      <x:c r="AP111" s="14"/>
      <x:c r="AR111" s="14"/>
      <x:c r="AT111" s="14"/>
      <x:c r="AX111" s="14"/>
      <x:c r="AY111" s="14"/>
      <x:c r="AZ111" s="14"/>
      <x:c r="BB111" s="14"/>
      <x:c r="BD111" s="14"/>
      <x:c r="BE111" s="14"/>
      <x:c r="BF111" s="14"/>
      <x:c r="BK111" s="14"/>
      <x:c r="BM111" s="14"/>
      <x:c r="BN111" s="14"/>
      <x:c r="BP111" s="14"/>
      <x:c r="BQ111" s="14"/>
      <x:c r="BR111" s="14"/>
      <x:c r="BT111" s="14"/>
      <x:c r="BU111" s="14"/>
      <x:c r="BV111" s="14"/>
      <x:c r="BW111" s="14"/>
      <x:c r="BX111" s="14"/>
      <x:c r="BY111" s="14"/>
      <x:c r="BZ111" s="14"/>
      <x:c r="CA111" s="14"/>
      <x:c r="CB111" s="14"/>
      <x:c r="CC111" s="14"/>
      <x:c r="CD111" s="14"/>
      <x:c r="CE111" s="14"/>
      <x:c r="CF111" s="14"/>
      <x:c r="CJ111" s="14"/>
      <x:c r="CK111" s="14"/>
      <x:c r="CL111" s="14"/>
      <x:c r="CM111" s="14"/>
      <x:c r="CO111" s="14"/>
      <x:c r="CQ111" s="14"/>
      <x:c r="CS111" s="14"/>
      <x:c r="CT111" s="14"/>
      <x:c r="CU111" s="14"/>
      <x:c r="CW111" s="14"/>
      <x:c r="CX111" s="14"/>
      <x:c r="CY111" s="14"/>
      <x:c r="CZ111" s="14"/>
      <x:c r="DC111" s="14"/>
      <x:c r="DD111" s="14"/>
      <x:c r="DI111" s="88"/>
      <x:c r="DJ111" s="88"/>
      <x:c r="DK111" s="88"/>
      <x:c r="DL111" s="88"/>
      <x:c r="DM111" s="88"/>
      <x:c r="DN111" s="88"/>
      <x:c r="DO111" s="88"/>
      <x:c r="DP111" s="88"/>
      <x:c r="DQ111" s="88"/>
      <x:c r="DR111" s="88"/>
      <x:c r="DS111" s="88"/>
    </x:row>
    <x:row r="112" ht="25" customHeight="1">
      <x:c r="A112" s="10"/>
      <x:c r="D112" s="12"/>
      <x:c r="E112" s="12"/>
      <x:c r="F112" s="12"/>
      <x:c r="G112" s="14"/>
      <x:c r="H112" s="14"/>
      <x:c r="I112" s="14"/>
      <x:c r="J112" s="14"/>
      <x:c r="N112" s="14"/>
      <x:c r="O112" s="12"/>
      <x:c r="S112" s="14"/>
      <x:c r="T112" s="12"/>
      <x:c r="V112" s="42" t="str">
        <x:f>IF($A112="","",IF(AND($U112="発射物",$DI112&lt;&gt;"パッシブ"),$BE112,0))</x:f>
      </x:c>
      <x:c r="W112" s="42" t="str">
        <x:f>IF($A112="","",IF(AND($U112="発射物",$DI112&lt;&gt;"パッシブ"),$BF112,0))</x:f>
      </x:c>
      <x:c r="X112" s="42" t="str">
        <x:f>IF($A112="","",IF(AND($U112="発射物",$DI112&lt;&gt;"パッシブ"),IF($BG112="有効","有効","無効"),"無効"))</x:f>
      </x:c>
      <x:c r="AD112" s="14"/>
      <x:c r="AE112" s="14"/>
      <x:c r="AF112" s="14"/>
      <x:c r="AH112" s="14"/>
      <x:c r="AJ112" s="14"/>
      <x:c r="AN112" s="14"/>
      <x:c r="AO112" s="14"/>
      <x:c r="AP112" s="14"/>
      <x:c r="AR112" s="14"/>
      <x:c r="AT112" s="14"/>
      <x:c r="AX112" s="14"/>
      <x:c r="AY112" s="14"/>
      <x:c r="AZ112" s="14"/>
      <x:c r="BB112" s="14"/>
      <x:c r="BD112" s="14"/>
      <x:c r="BE112" s="14"/>
      <x:c r="BF112" s="14"/>
      <x:c r="BK112" s="14"/>
      <x:c r="BM112" s="14"/>
      <x:c r="BN112" s="14"/>
      <x:c r="BP112" s="14"/>
      <x:c r="BQ112" s="14"/>
      <x:c r="BR112" s="14"/>
      <x:c r="BT112" s="14"/>
      <x:c r="BU112" s="14"/>
      <x:c r="BV112" s="14"/>
      <x:c r="BW112" s="14"/>
      <x:c r="BX112" s="14"/>
      <x:c r="BY112" s="14"/>
      <x:c r="BZ112" s="14"/>
      <x:c r="CA112" s="14"/>
      <x:c r="CB112" s="14"/>
      <x:c r="CC112" s="14"/>
      <x:c r="CD112" s="14"/>
      <x:c r="CE112" s="14"/>
      <x:c r="CF112" s="14"/>
      <x:c r="CJ112" s="14"/>
      <x:c r="CK112" s="14"/>
      <x:c r="CL112" s="14"/>
      <x:c r="CM112" s="14"/>
      <x:c r="CO112" s="14"/>
      <x:c r="CQ112" s="14"/>
      <x:c r="CS112" s="14"/>
      <x:c r="CT112" s="14"/>
      <x:c r="CU112" s="14"/>
      <x:c r="CW112" s="14"/>
      <x:c r="CX112" s="14"/>
      <x:c r="CY112" s="14"/>
      <x:c r="CZ112" s="14"/>
      <x:c r="DC112" s="14"/>
      <x:c r="DD112" s="14"/>
      <x:c r="DI112" s="88"/>
      <x:c r="DJ112" s="88"/>
      <x:c r="DK112" s="88"/>
      <x:c r="DL112" s="88"/>
      <x:c r="DM112" s="88"/>
      <x:c r="DN112" s="88"/>
      <x:c r="DO112" s="88"/>
      <x:c r="DP112" s="88"/>
      <x:c r="DQ112" s="88"/>
      <x:c r="DR112" s="88"/>
      <x:c r="DS112" s="88"/>
    </x:row>
    <x:row r="113" ht="25" customHeight="1">
      <x:c r="A113" s="10"/>
      <x:c r="D113" s="12"/>
      <x:c r="E113" s="12"/>
      <x:c r="F113" s="12"/>
      <x:c r="G113" s="14"/>
      <x:c r="H113" s="14"/>
      <x:c r="I113" s="14"/>
      <x:c r="J113" s="14"/>
      <x:c r="N113" s="14"/>
      <x:c r="O113" s="12"/>
      <x:c r="S113" s="14"/>
      <x:c r="T113" s="12"/>
      <x:c r="V113" s="42" t="str">
        <x:f>IF($A113="","",IF(AND($U113="発射物",$DI113&lt;&gt;"パッシブ"),$BE113,0))</x:f>
      </x:c>
      <x:c r="W113" s="42" t="str">
        <x:f>IF($A113="","",IF(AND($U113="発射物",$DI113&lt;&gt;"パッシブ"),$BF113,0))</x:f>
      </x:c>
      <x:c r="X113" s="42" t="str">
        <x:f>IF($A113="","",IF(AND($U113="発射物",$DI113&lt;&gt;"パッシブ"),IF($BG113="有効","有効","無効"),"無効"))</x:f>
      </x:c>
      <x:c r="AD113" s="14"/>
      <x:c r="AE113" s="14"/>
      <x:c r="AF113" s="14"/>
      <x:c r="AH113" s="14"/>
      <x:c r="AJ113" s="14"/>
      <x:c r="AN113" s="14"/>
      <x:c r="AO113" s="14"/>
      <x:c r="AP113" s="14"/>
      <x:c r="AR113" s="14"/>
      <x:c r="AT113" s="14"/>
      <x:c r="AX113" s="14"/>
      <x:c r="AY113" s="14"/>
      <x:c r="AZ113" s="14"/>
      <x:c r="BB113" s="14"/>
      <x:c r="BD113" s="14"/>
      <x:c r="BE113" s="14"/>
      <x:c r="BF113" s="14"/>
      <x:c r="BK113" s="14"/>
      <x:c r="BM113" s="14"/>
      <x:c r="BN113" s="14"/>
      <x:c r="BP113" s="14"/>
      <x:c r="BQ113" s="14"/>
      <x:c r="BR113" s="14"/>
      <x:c r="BT113" s="14"/>
      <x:c r="BU113" s="14"/>
      <x:c r="BV113" s="14"/>
      <x:c r="BW113" s="14"/>
      <x:c r="BX113" s="14"/>
      <x:c r="BY113" s="14"/>
      <x:c r="BZ113" s="14"/>
      <x:c r="CA113" s="14"/>
      <x:c r="CB113" s="14"/>
      <x:c r="CC113" s="14"/>
      <x:c r="CD113" s="14"/>
      <x:c r="CE113" s="14"/>
      <x:c r="CF113" s="14"/>
      <x:c r="CJ113" s="14"/>
      <x:c r="CK113" s="14"/>
      <x:c r="CL113" s="14"/>
      <x:c r="CM113" s="14"/>
      <x:c r="CO113" s="14"/>
      <x:c r="CQ113" s="14"/>
      <x:c r="CS113" s="14"/>
      <x:c r="CT113" s="14"/>
      <x:c r="CU113" s="14"/>
      <x:c r="CW113" s="14"/>
      <x:c r="CX113" s="14"/>
      <x:c r="CY113" s="14"/>
      <x:c r="CZ113" s="14"/>
      <x:c r="DC113" s="14"/>
      <x:c r="DD113" s="14"/>
      <x:c r="DI113" s="88"/>
      <x:c r="DJ113" s="88"/>
      <x:c r="DK113" s="88"/>
      <x:c r="DL113" s="88"/>
      <x:c r="DM113" s="88"/>
      <x:c r="DN113" s="88"/>
      <x:c r="DO113" s="88"/>
      <x:c r="DP113" s="88"/>
      <x:c r="DQ113" s="88"/>
      <x:c r="DR113" s="88"/>
      <x:c r="DS113" s="88"/>
    </x:row>
    <x:row r="114" ht="25" customHeight="1">
      <x:c r="A114" s="10"/>
      <x:c r="D114" s="12"/>
      <x:c r="E114" s="12"/>
      <x:c r="F114" s="12"/>
      <x:c r="G114" s="14"/>
      <x:c r="H114" s="14"/>
      <x:c r="I114" s="14"/>
      <x:c r="J114" s="14"/>
      <x:c r="N114" s="14"/>
      <x:c r="O114" s="12"/>
      <x:c r="S114" s="14"/>
      <x:c r="T114" s="12"/>
      <x:c r="V114" s="42" t="str">
        <x:f>IF($A114="","",IF(AND($U114="発射物",$DI114&lt;&gt;"パッシブ"),$BE114,0))</x:f>
      </x:c>
      <x:c r="W114" s="42" t="str">
        <x:f>IF($A114="","",IF(AND($U114="発射物",$DI114&lt;&gt;"パッシブ"),$BF114,0))</x:f>
      </x:c>
      <x:c r="X114" s="42" t="str">
        <x:f>IF($A114="","",IF(AND($U114="発射物",$DI114&lt;&gt;"パッシブ"),IF($BG114="有効","有効","無効"),"無効"))</x:f>
      </x:c>
      <x:c r="AD114" s="14"/>
      <x:c r="AE114" s="14"/>
      <x:c r="AF114" s="14"/>
      <x:c r="AH114" s="14"/>
      <x:c r="AJ114" s="14"/>
      <x:c r="AN114" s="14"/>
      <x:c r="AO114" s="14"/>
      <x:c r="AP114" s="14"/>
      <x:c r="AR114" s="14"/>
      <x:c r="AT114" s="14"/>
      <x:c r="AX114" s="14"/>
      <x:c r="AY114" s="14"/>
      <x:c r="AZ114" s="14"/>
      <x:c r="BB114" s="14"/>
      <x:c r="BD114" s="14"/>
      <x:c r="BE114" s="14"/>
      <x:c r="BF114" s="14"/>
      <x:c r="BK114" s="14"/>
      <x:c r="BM114" s="14"/>
      <x:c r="BN114" s="14"/>
      <x:c r="BP114" s="14"/>
      <x:c r="BQ114" s="14"/>
      <x:c r="BR114" s="14"/>
      <x:c r="BT114" s="14"/>
      <x:c r="BU114" s="14"/>
      <x:c r="BV114" s="14"/>
      <x:c r="BW114" s="14"/>
      <x:c r="BX114" s="14"/>
      <x:c r="BY114" s="14"/>
      <x:c r="BZ114" s="14"/>
      <x:c r="CA114" s="14"/>
      <x:c r="CB114" s="14"/>
      <x:c r="CC114" s="14"/>
      <x:c r="CD114" s="14"/>
      <x:c r="CE114" s="14"/>
      <x:c r="CF114" s="14"/>
      <x:c r="CJ114" s="14"/>
      <x:c r="CK114" s="14"/>
      <x:c r="CL114" s="14"/>
      <x:c r="CM114" s="14"/>
      <x:c r="CO114" s="14"/>
      <x:c r="CQ114" s="14"/>
      <x:c r="CS114" s="14"/>
      <x:c r="CT114" s="14"/>
      <x:c r="CU114" s="14"/>
      <x:c r="CW114" s="14"/>
      <x:c r="CX114" s="14"/>
      <x:c r="CY114" s="14"/>
      <x:c r="CZ114" s="14"/>
      <x:c r="DC114" s="14"/>
      <x:c r="DD114" s="14"/>
      <x:c r="DI114" s="88"/>
      <x:c r="DJ114" s="88"/>
      <x:c r="DK114" s="88"/>
      <x:c r="DL114" s="88"/>
      <x:c r="DM114" s="88"/>
      <x:c r="DN114" s="88"/>
      <x:c r="DO114" s="88"/>
      <x:c r="DP114" s="88"/>
      <x:c r="DQ114" s="88"/>
      <x:c r="DR114" s="88"/>
      <x:c r="DS114" s="88"/>
    </x:row>
    <x:row r="115" ht="25" customHeight="1">
      <x:c r="A115" s="10"/>
      <x:c r="D115" s="12"/>
      <x:c r="E115" s="12"/>
      <x:c r="F115" s="12"/>
      <x:c r="G115" s="14"/>
      <x:c r="H115" s="14"/>
      <x:c r="I115" s="14"/>
      <x:c r="J115" s="14"/>
      <x:c r="N115" s="14"/>
      <x:c r="O115" s="12"/>
      <x:c r="S115" s="14"/>
      <x:c r="T115" s="12"/>
      <x:c r="V115" s="42" t="str">
        <x:f>IF($A115="","",IF(AND($U115="発射物",$DI115&lt;&gt;"パッシブ"),$BE115,0))</x:f>
      </x:c>
      <x:c r="W115" s="42" t="str">
        <x:f>IF($A115="","",IF(AND($U115="発射物",$DI115&lt;&gt;"パッシブ"),$BF115,0))</x:f>
      </x:c>
      <x:c r="X115" s="42" t="str">
        <x:f>IF($A115="","",IF(AND($U115="発射物",$DI115&lt;&gt;"パッシブ"),IF($BG115="有効","有効","無効"),"無効"))</x:f>
      </x:c>
      <x:c r="AD115" s="14"/>
      <x:c r="AE115" s="14"/>
      <x:c r="AF115" s="14"/>
      <x:c r="AH115" s="14"/>
      <x:c r="AJ115" s="14"/>
      <x:c r="AN115" s="14"/>
      <x:c r="AO115" s="14"/>
      <x:c r="AP115" s="14"/>
      <x:c r="AR115" s="14"/>
      <x:c r="AT115" s="14"/>
      <x:c r="AX115" s="14"/>
      <x:c r="AY115" s="14"/>
      <x:c r="AZ115" s="14"/>
      <x:c r="BB115" s="14"/>
      <x:c r="BD115" s="14"/>
      <x:c r="BE115" s="14"/>
      <x:c r="BF115" s="14"/>
      <x:c r="BK115" s="14"/>
      <x:c r="BM115" s="14"/>
      <x:c r="BN115" s="14"/>
      <x:c r="BP115" s="14"/>
      <x:c r="BQ115" s="14"/>
      <x:c r="BR115" s="14"/>
      <x:c r="BT115" s="14"/>
      <x:c r="BU115" s="14"/>
      <x:c r="BV115" s="14"/>
      <x:c r="BW115" s="14"/>
      <x:c r="BX115" s="14"/>
      <x:c r="BY115" s="14"/>
      <x:c r="BZ115" s="14"/>
      <x:c r="CA115" s="14"/>
      <x:c r="CB115" s="14"/>
      <x:c r="CC115" s="14"/>
      <x:c r="CD115" s="14"/>
      <x:c r="CE115" s="14"/>
      <x:c r="CF115" s="14"/>
      <x:c r="CJ115" s="14"/>
      <x:c r="CK115" s="14"/>
      <x:c r="CL115" s="14"/>
      <x:c r="CM115" s="14"/>
      <x:c r="CO115" s="14"/>
      <x:c r="CQ115" s="14"/>
      <x:c r="CS115" s="14"/>
      <x:c r="CT115" s="14"/>
      <x:c r="CU115" s="14"/>
      <x:c r="CW115" s="14"/>
      <x:c r="CX115" s="14"/>
      <x:c r="CY115" s="14"/>
      <x:c r="CZ115" s="14"/>
      <x:c r="DC115" s="14"/>
      <x:c r="DD115" s="14"/>
      <x:c r="DI115" s="88"/>
      <x:c r="DJ115" s="88"/>
      <x:c r="DK115" s="88"/>
      <x:c r="DL115" s="88"/>
      <x:c r="DM115" s="88"/>
      <x:c r="DN115" s="88"/>
      <x:c r="DO115" s="88"/>
      <x:c r="DP115" s="88"/>
      <x:c r="DQ115" s="88"/>
      <x:c r="DR115" s="88"/>
      <x:c r="DS115" s="88"/>
    </x:row>
    <x:row r="116" ht="25" customHeight="1">
      <x:c r="A116" s="10"/>
      <x:c r="D116" s="12"/>
      <x:c r="E116" s="12"/>
      <x:c r="F116" s="12"/>
      <x:c r="G116" s="14"/>
      <x:c r="H116" s="14"/>
      <x:c r="I116" s="14"/>
      <x:c r="J116" s="14"/>
      <x:c r="N116" s="14"/>
      <x:c r="O116" s="12"/>
      <x:c r="S116" s="14"/>
      <x:c r="T116" s="12"/>
      <x:c r="V116" s="42" t="str">
        <x:f>IF($A116="","",IF(AND($U116="発射物",$DI116&lt;&gt;"パッシブ"),$BE116,0))</x:f>
      </x:c>
      <x:c r="W116" s="42" t="str">
        <x:f>IF($A116="","",IF(AND($U116="発射物",$DI116&lt;&gt;"パッシブ"),$BF116,0))</x:f>
      </x:c>
      <x:c r="X116" s="42" t="str">
        <x:f>IF($A116="","",IF(AND($U116="発射物",$DI116&lt;&gt;"パッシブ"),IF($BG116="有効","有効","無効"),"無効"))</x:f>
      </x:c>
      <x:c r="AD116" s="14"/>
      <x:c r="AE116" s="14"/>
      <x:c r="AF116" s="14"/>
      <x:c r="AH116" s="14"/>
      <x:c r="AJ116" s="14"/>
      <x:c r="AN116" s="14"/>
      <x:c r="AO116" s="14"/>
      <x:c r="AP116" s="14"/>
      <x:c r="AR116" s="14"/>
      <x:c r="AT116" s="14"/>
      <x:c r="AX116" s="14"/>
      <x:c r="AY116" s="14"/>
      <x:c r="AZ116" s="14"/>
      <x:c r="BB116" s="14"/>
      <x:c r="BD116" s="14"/>
      <x:c r="BE116" s="14"/>
      <x:c r="BF116" s="14"/>
      <x:c r="BK116" s="14"/>
      <x:c r="BM116" s="14"/>
      <x:c r="BN116" s="14"/>
      <x:c r="BP116" s="14"/>
      <x:c r="BQ116" s="14"/>
      <x:c r="BR116" s="14"/>
      <x:c r="BT116" s="14"/>
      <x:c r="BU116" s="14"/>
      <x:c r="BV116" s="14"/>
      <x:c r="BW116" s="14"/>
      <x:c r="BX116" s="14"/>
      <x:c r="BY116" s="14"/>
      <x:c r="BZ116" s="14"/>
      <x:c r="CA116" s="14"/>
      <x:c r="CB116" s="14"/>
      <x:c r="CC116" s="14"/>
      <x:c r="CD116" s="14"/>
      <x:c r="CE116" s="14"/>
      <x:c r="CF116" s="14"/>
      <x:c r="CJ116" s="14"/>
      <x:c r="CK116" s="14"/>
      <x:c r="CL116" s="14"/>
      <x:c r="CM116" s="14"/>
      <x:c r="CO116" s="14"/>
      <x:c r="CQ116" s="14"/>
      <x:c r="CS116" s="14"/>
      <x:c r="CT116" s="14"/>
      <x:c r="CU116" s="14"/>
      <x:c r="CW116" s="14"/>
      <x:c r="CX116" s="14"/>
      <x:c r="CY116" s="14"/>
      <x:c r="CZ116" s="14"/>
      <x:c r="DC116" s="14"/>
      <x:c r="DD116" s="14"/>
      <x:c r="DI116" s="88"/>
      <x:c r="DJ116" s="88"/>
      <x:c r="DK116" s="88"/>
      <x:c r="DL116" s="88"/>
      <x:c r="DM116" s="88"/>
      <x:c r="DN116" s="88"/>
      <x:c r="DO116" s="88"/>
      <x:c r="DP116" s="88"/>
      <x:c r="DQ116" s="88"/>
      <x:c r="DR116" s="88"/>
      <x:c r="DS116" s="88"/>
    </x:row>
    <x:row r="117" ht="25" customHeight="1">
      <x:c r="A117" s="10"/>
      <x:c r="D117" s="12"/>
      <x:c r="E117" s="12"/>
      <x:c r="F117" s="12"/>
      <x:c r="G117" s="14"/>
      <x:c r="H117" s="14"/>
      <x:c r="I117" s="14"/>
      <x:c r="J117" s="14"/>
      <x:c r="N117" s="14"/>
      <x:c r="O117" s="12"/>
      <x:c r="S117" s="14"/>
      <x:c r="T117" s="12"/>
      <x:c r="V117" s="42" t="str">
        <x:f>IF($A117="","",IF(AND($U117="発射物",$DI117&lt;&gt;"パッシブ"),$BE117,0))</x:f>
      </x:c>
      <x:c r="W117" s="42" t="str">
        <x:f>IF($A117="","",IF(AND($U117="発射物",$DI117&lt;&gt;"パッシブ"),$BF117,0))</x:f>
      </x:c>
      <x:c r="X117" s="42" t="str">
        <x:f>IF($A117="","",IF(AND($U117="発射物",$DI117&lt;&gt;"パッシブ"),IF($BG117="有効","有効","無効"),"無効"))</x:f>
      </x:c>
      <x:c r="AD117" s="14"/>
      <x:c r="AE117" s="14"/>
      <x:c r="AF117" s="14"/>
      <x:c r="AH117" s="14"/>
      <x:c r="AJ117" s="14"/>
      <x:c r="AN117" s="14"/>
      <x:c r="AO117" s="14"/>
      <x:c r="AP117" s="14"/>
      <x:c r="AR117" s="14"/>
      <x:c r="AT117" s="14"/>
      <x:c r="AX117" s="14"/>
      <x:c r="AY117" s="14"/>
      <x:c r="AZ117" s="14"/>
      <x:c r="BB117" s="14"/>
      <x:c r="BD117" s="14"/>
      <x:c r="BE117" s="14"/>
      <x:c r="BF117" s="14"/>
      <x:c r="BK117" s="14"/>
      <x:c r="BM117" s="14"/>
      <x:c r="BN117" s="14"/>
      <x:c r="BP117" s="14"/>
      <x:c r="BQ117" s="14"/>
      <x:c r="BR117" s="14"/>
      <x:c r="BT117" s="14"/>
      <x:c r="BU117" s="14"/>
      <x:c r="BV117" s="14"/>
      <x:c r="BW117" s="14"/>
      <x:c r="BX117" s="14"/>
      <x:c r="BY117" s="14"/>
      <x:c r="BZ117" s="14"/>
      <x:c r="CA117" s="14"/>
      <x:c r="CB117" s="14"/>
      <x:c r="CC117" s="14"/>
      <x:c r="CD117" s="14"/>
      <x:c r="CE117" s="14"/>
      <x:c r="CF117" s="14"/>
      <x:c r="CJ117" s="14"/>
      <x:c r="CK117" s="14"/>
      <x:c r="CL117" s="14"/>
      <x:c r="CM117" s="14"/>
      <x:c r="CO117" s="14"/>
      <x:c r="CQ117" s="14"/>
      <x:c r="CS117" s="14"/>
      <x:c r="CT117" s="14"/>
      <x:c r="CU117" s="14"/>
      <x:c r="CW117" s="14"/>
      <x:c r="CX117" s="14"/>
      <x:c r="CY117" s="14"/>
      <x:c r="CZ117" s="14"/>
      <x:c r="DC117" s="14"/>
      <x:c r="DD117" s="14"/>
      <x:c r="DI117" s="88"/>
      <x:c r="DJ117" s="88"/>
      <x:c r="DK117" s="88"/>
      <x:c r="DL117" s="88"/>
      <x:c r="DM117" s="88"/>
      <x:c r="DN117" s="88"/>
      <x:c r="DO117" s="88"/>
      <x:c r="DP117" s="88"/>
      <x:c r="DQ117" s="88"/>
      <x:c r="DR117" s="88"/>
      <x:c r="DS117" s="88"/>
    </x:row>
    <x:row r="118" ht="25" customHeight="1">
      <x:c r="A118" s="10"/>
      <x:c r="D118" s="12"/>
      <x:c r="E118" s="12"/>
      <x:c r="F118" s="12"/>
      <x:c r="G118" s="14"/>
      <x:c r="H118" s="14"/>
      <x:c r="I118" s="14"/>
      <x:c r="J118" s="14"/>
      <x:c r="N118" s="14"/>
      <x:c r="O118" s="12"/>
      <x:c r="S118" s="14"/>
      <x:c r="T118" s="12"/>
      <x:c r="V118" s="42" t="str">
        <x:f>IF($A118="","",IF(AND($U118="発射物",$DI118&lt;&gt;"パッシブ"),$BE118,0))</x:f>
      </x:c>
      <x:c r="W118" s="42" t="str">
        <x:f>IF($A118="","",IF(AND($U118="発射物",$DI118&lt;&gt;"パッシブ"),$BF118,0))</x:f>
      </x:c>
      <x:c r="X118" s="42" t="str">
        <x:f>IF($A118="","",IF(AND($U118="発射物",$DI118&lt;&gt;"パッシブ"),IF($BG118="有効","有効","無効"),"無効"))</x:f>
      </x:c>
      <x:c r="AD118" s="14"/>
      <x:c r="AE118" s="14"/>
      <x:c r="AF118" s="14"/>
      <x:c r="AH118" s="14"/>
      <x:c r="AJ118" s="14"/>
      <x:c r="AN118" s="14"/>
      <x:c r="AO118" s="14"/>
      <x:c r="AP118" s="14"/>
      <x:c r="AR118" s="14"/>
      <x:c r="AT118" s="14"/>
      <x:c r="AX118" s="14"/>
      <x:c r="AY118" s="14"/>
      <x:c r="AZ118" s="14"/>
      <x:c r="BB118" s="14"/>
      <x:c r="BD118" s="14"/>
      <x:c r="BE118" s="14"/>
      <x:c r="BF118" s="14"/>
      <x:c r="BK118" s="14"/>
      <x:c r="BM118" s="14"/>
      <x:c r="BN118" s="14"/>
      <x:c r="BP118" s="14"/>
      <x:c r="BQ118" s="14"/>
      <x:c r="BR118" s="14"/>
      <x:c r="BT118" s="14"/>
      <x:c r="BU118" s="14"/>
      <x:c r="BV118" s="14"/>
      <x:c r="BW118" s="14"/>
      <x:c r="BX118" s="14"/>
      <x:c r="BY118" s="14"/>
      <x:c r="BZ118" s="14"/>
      <x:c r="CA118" s="14"/>
      <x:c r="CB118" s="14"/>
      <x:c r="CC118" s="14"/>
      <x:c r="CD118" s="14"/>
      <x:c r="CE118" s="14"/>
      <x:c r="CF118" s="14"/>
      <x:c r="CJ118" s="14"/>
      <x:c r="CK118" s="14"/>
      <x:c r="CL118" s="14"/>
      <x:c r="CM118" s="14"/>
      <x:c r="CO118" s="14"/>
      <x:c r="CQ118" s="14"/>
      <x:c r="CS118" s="14"/>
      <x:c r="CT118" s="14"/>
      <x:c r="CU118" s="14"/>
      <x:c r="CW118" s="14"/>
      <x:c r="CX118" s="14"/>
      <x:c r="CY118" s="14"/>
      <x:c r="CZ118" s="14"/>
      <x:c r="DC118" s="14"/>
      <x:c r="DD118" s="14"/>
      <x:c r="DI118" s="88"/>
      <x:c r="DJ118" s="88"/>
      <x:c r="DK118" s="88"/>
      <x:c r="DL118" s="88"/>
      <x:c r="DM118" s="88"/>
      <x:c r="DN118" s="88"/>
      <x:c r="DO118" s="88"/>
      <x:c r="DP118" s="88"/>
      <x:c r="DQ118" s="88"/>
      <x:c r="DR118" s="88"/>
      <x:c r="DS118" s="88"/>
    </x:row>
    <x:row r="119" ht="25" customHeight="1">
      <x:c r="A119" s="10"/>
      <x:c r="D119" s="12"/>
      <x:c r="E119" s="12"/>
      <x:c r="F119" s="12"/>
      <x:c r="G119" s="14"/>
      <x:c r="H119" s="14"/>
      <x:c r="I119" s="14"/>
      <x:c r="J119" s="14"/>
      <x:c r="N119" s="14"/>
      <x:c r="O119" s="12"/>
      <x:c r="S119" s="14"/>
      <x:c r="T119" s="12"/>
      <x:c r="V119" s="42" t="str">
        <x:f>IF($A119="","",IF(AND($U119="発射物",$DI119&lt;&gt;"パッシブ"),$BE119,0))</x:f>
      </x:c>
      <x:c r="W119" s="42" t="str">
        <x:f>IF($A119="","",IF(AND($U119="発射物",$DI119&lt;&gt;"パッシブ"),$BF119,0))</x:f>
      </x:c>
      <x:c r="X119" s="42" t="str">
        <x:f>IF($A119="","",IF(AND($U119="発射物",$DI119&lt;&gt;"パッシブ"),IF($BG119="有効","有効","無効"),"無効"))</x:f>
      </x:c>
      <x:c r="AD119" s="14"/>
      <x:c r="AE119" s="14"/>
      <x:c r="AF119" s="14"/>
      <x:c r="AH119" s="14"/>
      <x:c r="AJ119" s="14"/>
      <x:c r="AN119" s="14"/>
      <x:c r="AO119" s="14"/>
      <x:c r="AP119" s="14"/>
      <x:c r="AR119" s="14"/>
      <x:c r="AT119" s="14"/>
      <x:c r="AX119" s="14"/>
      <x:c r="AY119" s="14"/>
      <x:c r="AZ119" s="14"/>
      <x:c r="BB119" s="14"/>
      <x:c r="BD119" s="14"/>
      <x:c r="BE119" s="14"/>
      <x:c r="BF119" s="14"/>
      <x:c r="BK119" s="14"/>
      <x:c r="BM119" s="14"/>
      <x:c r="BN119" s="14"/>
      <x:c r="BP119" s="14"/>
      <x:c r="BQ119" s="14"/>
      <x:c r="BR119" s="14"/>
      <x:c r="BT119" s="14"/>
      <x:c r="BU119" s="14"/>
      <x:c r="BV119" s="14"/>
      <x:c r="BW119" s="14"/>
      <x:c r="BX119" s="14"/>
      <x:c r="BY119" s="14"/>
      <x:c r="BZ119" s="14"/>
      <x:c r="CA119" s="14"/>
      <x:c r="CB119" s="14"/>
      <x:c r="CC119" s="14"/>
      <x:c r="CD119" s="14"/>
      <x:c r="CE119" s="14"/>
      <x:c r="CF119" s="14"/>
      <x:c r="CJ119" s="14"/>
      <x:c r="CK119" s="14"/>
      <x:c r="CL119" s="14"/>
      <x:c r="CM119" s="14"/>
      <x:c r="CO119" s="14"/>
      <x:c r="CQ119" s="14"/>
      <x:c r="CS119" s="14"/>
      <x:c r="CT119" s="14"/>
      <x:c r="CU119" s="14"/>
      <x:c r="CW119" s="14"/>
      <x:c r="CX119" s="14"/>
      <x:c r="CY119" s="14"/>
      <x:c r="CZ119" s="14"/>
      <x:c r="DC119" s="14"/>
      <x:c r="DD119" s="14"/>
      <x:c r="DI119" s="88"/>
      <x:c r="DJ119" s="88"/>
      <x:c r="DK119" s="88"/>
      <x:c r="DL119" s="88"/>
      <x:c r="DM119" s="88"/>
      <x:c r="DN119" s="88"/>
      <x:c r="DO119" s="88"/>
      <x:c r="DP119" s="88"/>
      <x:c r="DQ119" s="88"/>
      <x:c r="DR119" s="88"/>
      <x:c r="DS119" s="88"/>
    </x:row>
    <x:row r="120" ht="25" customHeight="1">
      <x:c r="A120" s="10"/>
      <x:c r="D120" s="12"/>
      <x:c r="E120" s="12"/>
      <x:c r="F120" s="12"/>
      <x:c r="G120" s="14"/>
      <x:c r="H120" s="14"/>
      <x:c r="I120" s="14"/>
      <x:c r="J120" s="14"/>
      <x:c r="N120" s="14"/>
      <x:c r="O120" s="12"/>
      <x:c r="S120" s="14"/>
      <x:c r="T120" s="12"/>
      <x:c r="V120" s="42" t="str">
        <x:f>IF($A120="","",IF(AND($U120="発射物",$DI120&lt;&gt;"パッシブ"),$BE120,0))</x:f>
      </x:c>
      <x:c r="W120" s="42" t="str">
        <x:f>IF($A120="","",IF(AND($U120="発射物",$DI120&lt;&gt;"パッシブ"),$BF120,0))</x:f>
      </x:c>
      <x:c r="X120" s="42" t="str">
        <x:f>IF($A120="","",IF(AND($U120="発射物",$DI120&lt;&gt;"パッシブ"),IF($BG120="有効","有効","無効"),"無効"))</x:f>
      </x:c>
      <x:c r="AD120" s="14"/>
      <x:c r="AE120" s="14"/>
      <x:c r="AF120" s="14"/>
      <x:c r="AH120" s="14"/>
      <x:c r="AJ120" s="14"/>
      <x:c r="AN120" s="14"/>
      <x:c r="AO120" s="14"/>
      <x:c r="AP120" s="14"/>
      <x:c r="AR120" s="14"/>
      <x:c r="AT120" s="14"/>
      <x:c r="AX120" s="14"/>
      <x:c r="AY120" s="14"/>
      <x:c r="AZ120" s="14"/>
      <x:c r="BB120" s="14"/>
      <x:c r="BD120" s="14"/>
      <x:c r="BE120" s="14"/>
      <x:c r="BF120" s="14"/>
      <x:c r="BK120" s="14"/>
      <x:c r="BM120" s="14"/>
      <x:c r="BN120" s="14"/>
      <x:c r="BP120" s="14"/>
      <x:c r="BQ120" s="14"/>
      <x:c r="BR120" s="14"/>
      <x:c r="BT120" s="14"/>
      <x:c r="BU120" s="14"/>
      <x:c r="BV120" s="14"/>
      <x:c r="BW120" s="14"/>
      <x:c r="BX120" s="14"/>
      <x:c r="BY120" s="14"/>
      <x:c r="BZ120" s="14"/>
      <x:c r="CA120" s="14"/>
      <x:c r="CB120" s="14"/>
      <x:c r="CC120" s="14"/>
      <x:c r="CD120" s="14"/>
      <x:c r="CE120" s="14"/>
      <x:c r="CF120" s="14"/>
      <x:c r="CJ120" s="14"/>
      <x:c r="CK120" s="14"/>
      <x:c r="CL120" s="14"/>
      <x:c r="CM120" s="14"/>
      <x:c r="CO120" s="14"/>
      <x:c r="CQ120" s="14"/>
      <x:c r="CS120" s="14"/>
      <x:c r="CT120" s="14"/>
      <x:c r="CU120" s="14"/>
      <x:c r="CW120" s="14"/>
      <x:c r="CX120" s="14"/>
      <x:c r="CY120" s="14"/>
      <x:c r="CZ120" s="14"/>
      <x:c r="DC120" s="14"/>
      <x:c r="DD120" s="14"/>
      <x:c r="DI120" s="88"/>
      <x:c r="DJ120" s="88"/>
      <x:c r="DK120" s="88"/>
      <x:c r="DL120" s="88"/>
      <x:c r="DM120" s="88"/>
      <x:c r="DN120" s="88"/>
      <x:c r="DO120" s="88"/>
      <x:c r="DP120" s="88"/>
      <x:c r="DQ120" s="88"/>
      <x:c r="DR120" s="88"/>
      <x:c r="DS120" s="88"/>
    </x:row>
    <x:row r="121" ht="25" customHeight="1">
      <x:c r="A121" s="10"/>
      <x:c r="D121" s="12"/>
      <x:c r="E121" s="12"/>
      <x:c r="F121" s="12"/>
      <x:c r="G121" s="14"/>
      <x:c r="H121" s="14"/>
      <x:c r="I121" s="14"/>
      <x:c r="J121" s="14"/>
      <x:c r="N121" s="14"/>
      <x:c r="O121" s="12"/>
      <x:c r="S121" s="14"/>
      <x:c r="T121" s="12"/>
      <x:c r="V121" s="42" t="str">
        <x:f>IF($A121="","",IF(AND($U121="発射物",$DI121&lt;&gt;"パッシブ"),$BE121,0))</x:f>
      </x:c>
      <x:c r="W121" s="42" t="str">
        <x:f>IF($A121="","",IF(AND($U121="発射物",$DI121&lt;&gt;"パッシブ"),$BF121,0))</x:f>
      </x:c>
      <x:c r="X121" s="42" t="str">
        <x:f>IF($A121="","",IF(AND($U121="発射物",$DI121&lt;&gt;"パッシブ"),IF($BG121="有効","有効","無効"),"無効"))</x:f>
      </x:c>
      <x:c r="AD121" s="14"/>
      <x:c r="AE121" s="14"/>
      <x:c r="AF121" s="14"/>
      <x:c r="AH121" s="14"/>
      <x:c r="AJ121" s="14"/>
      <x:c r="AN121" s="14"/>
      <x:c r="AO121" s="14"/>
      <x:c r="AP121" s="14"/>
      <x:c r="AR121" s="14"/>
      <x:c r="AT121" s="14"/>
      <x:c r="AX121" s="14"/>
      <x:c r="AY121" s="14"/>
      <x:c r="AZ121" s="14"/>
      <x:c r="BB121" s="14"/>
      <x:c r="BD121" s="14"/>
      <x:c r="BE121" s="14"/>
      <x:c r="BF121" s="14"/>
      <x:c r="BK121" s="14"/>
      <x:c r="BM121" s="14"/>
      <x:c r="BN121" s="14"/>
      <x:c r="BP121" s="14"/>
      <x:c r="BQ121" s="14"/>
      <x:c r="BR121" s="14"/>
      <x:c r="BT121" s="14"/>
      <x:c r="BU121" s="14"/>
      <x:c r="BV121" s="14"/>
      <x:c r="BW121" s="14"/>
      <x:c r="BX121" s="14"/>
      <x:c r="BY121" s="14"/>
      <x:c r="BZ121" s="14"/>
      <x:c r="CA121" s="14"/>
      <x:c r="CB121" s="14"/>
      <x:c r="CC121" s="14"/>
      <x:c r="CD121" s="14"/>
      <x:c r="CE121" s="14"/>
      <x:c r="CF121" s="14"/>
      <x:c r="CJ121" s="14"/>
      <x:c r="CK121" s="14"/>
      <x:c r="CL121" s="14"/>
      <x:c r="CM121" s="14"/>
      <x:c r="CO121" s="14"/>
      <x:c r="CQ121" s="14"/>
      <x:c r="CS121" s="14"/>
      <x:c r="CT121" s="14"/>
      <x:c r="CU121" s="14"/>
      <x:c r="CW121" s="14"/>
      <x:c r="CX121" s="14"/>
      <x:c r="CY121" s="14"/>
      <x:c r="CZ121" s="14"/>
      <x:c r="DC121" s="14"/>
      <x:c r="DD121" s="14"/>
      <x:c r="DI121" s="88"/>
      <x:c r="DJ121" s="88"/>
      <x:c r="DK121" s="88"/>
      <x:c r="DL121" s="88"/>
      <x:c r="DM121" s="88"/>
      <x:c r="DN121" s="88"/>
      <x:c r="DO121" s="88"/>
      <x:c r="DP121" s="88"/>
      <x:c r="DQ121" s="88"/>
      <x:c r="DR121" s="88"/>
      <x:c r="DS121" s="88"/>
    </x:row>
    <x:row r="122" ht="25" customHeight="1">
      <x:c r="A122" s="10"/>
      <x:c r="D122" s="12"/>
      <x:c r="E122" s="12"/>
      <x:c r="F122" s="12"/>
      <x:c r="G122" s="14"/>
      <x:c r="H122" s="14"/>
      <x:c r="I122" s="14"/>
      <x:c r="J122" s="14"/>
      <x:c r="N122" s="14"/>
      <x:c r="O122" s="12"/>
      <x:c r="S122" s="14"/>
      <x:c r="T122" s="12"/>
      <x:c r="V122" s="42" t="str">
        <x:f>IF($A122="","",IF(AND($U122="発射物",$DI122&lt;&gt;"パッシブ"),$BE122,0))</x:f>
      </x:c>
      <x:c r="W122" s="42" t="str">
        <x:f>IF($A122="","",IF(AND($U122="発射物",$DI122&lt;&gt;"パッシブ"),$BF122,0))</x:f>
      </x:c>
      <x:c r="X122" s="42" t="str">
        <x:f>IF($A122="","",IF(AND($U122="発射物",$DI122&lt;&gt;"パッシブ"),IF($BG122="有効","有効","無効"),"無効"))</x:f>
      </x:c>
      <x:c r="AD122" s="14"/>
      <x:c r="AE122" s="14"/>
      <x:c r="AF122" s="14"/>
      <x:c r="AH122" s="14"/>
      <x:c r="AJ122" s="14"/>
      <x:c r="AN122" s="14"/>
      <x:c r="AO122" s="14"/>
      <x:c r="AP122" s="14"/>
      <x:c r="AR122" s="14"/>
      <x:c r="AT122" s="14"/>
      <x:c r="AX122" s="14"/>
      <x:c r="AY122" s="14"/>
      <x:c r="AZ122" s="14"/>
      <x:c r="BB122" s="14"/>
      <x:c r="BD122" s="14"/>
      <x:c r="BE122" s="14"/>
      <x:c r="BF122" s="14"/>
      <x:c r="BK122" s="14"/>
      <x:c r="BM122" s="14"/>
      <x:c r="BN122" s="14"/>
      <x:c r="BP122" s="14"/>
      <x:c r="BQ122" s="14"/>
      <x:c r="BR122" s="14"/>
      <x:c r="BT122" s="14"/>
      <x:c r="BU122" s="14"/>
      <x:c r="BV122" s="14"/>
      <x:c r="BW122" s="14"/>
      <x:c r="BX122" s="14"/>
      <x:c r="BY122" s="14"/>
      <x:c r="BZ122" s="14"/>
      <x:c r="CA122" s="14"/>
      <x:c r="CB122" s="14"/>
      <x:c r="CC122" s="14"/>
      <x:c r="CD122" s="14"/>
      <x:c r="CE122" s="14"/>
      <x:c r="CF122" s="14"/>
      <x:c r="CJ122" s="14"/>
      <x:c r="CK122" s="14"/>
      <x:c r="CL122" s="14"/>
      <x:c r="CM122" s="14"/>
      <x:c r="CO122" s="14"/>
      <x:c r="CQ122" s="14"/>
      <x:c r="CS122" s="14"/>
      <x:c r="CT122" s="14"/>
      <x:c r="CU122" s="14"/>
      <x:c r="CW122" s="14"/>
      <x:c r="CX122" s="14"/>
      <x:c r="CY122" s="14"/>
      <x:c r="CZ122" s="14"/>
      <x:c r="DC122" s="14"/>
      <x:c r="DD122" s="14"/>
      <x:c r="DI122" s="88"/>
      <x:c r="DJ122" s="88"/>
      <x:c r="DK122" s="88"/>
      <x:c r="DL122" s="88"/>
      <x:c r="DM122" s="88"/>
      <x:c r="DN122" s="88"/>
      <x:c r="DO122" s="88"/>
      <x:c r="DP122" s="88"/>
      <x:c r="DQ122" s="88"/>
      <x:c r="DR122" s="88"/>
      <x:c r="DS122" s="88"/>
    </x:row>
    <x:row r="123" ht="25" customHeight="1">
      <x:c r="A123" s="10"/>
      <x:c r="D123" s="12"/>
      <x:c r="E123" s="12"/>
      <x:c r="F123" s="12"/>
      <x:c r="G123" s="14"/>
      <x:c r="H123" s="14"/>
      <x:c r="I123" s="14"/>
      <x:c r="J123" s="14"/>
      <x:c r="N123" s="14"/>
      <x:c r="O123" s="12"/>
      <x:c r="S123" s="14"/>
      <x:c r="T123" s="12"/>
      <x:c r="V123" s="42" t="str">
        <x:f>IF($A123="","",IF(AND($U123="発射物",$DI123&lt;&gt;"パッシブ"),$BE123,0))</x:f>
      </x:c>
      <x:c r="W123" s="42" t="str">
        <x:f>IF($A123="","",IF(AND($U123="発射物",$DI123&lt;&gt;"パッシブ"),$BF123,0))</x:f>
      </x:c>
      <x:c r="X123" s="42" t="str">
        <x:f>IF($A123="","",IF(AND($U123="発射物",$DI123&lt;&gt;"パッシブ"),IF($BG123="有効","有効","無効"),"無効"))</x:f>
      </x:c>
      <x:c r="AD123" s="14"/>
      <x:c r="AE123" s="14"/>
      <x:c r="AF123" s="14"/>
      <x:c r="AH123" s="14"/>
      <x:c r="AJ123" s="14"/>
      <x:c r="AN123" s="14"/>
      <x:c r="AO123" s="14"/>
      <x:c r="AP123" s="14"/>
      <x:c r="AR123" s="14"/>
      <x:c r="AT123" s="14"/>
      <x:c r="AX123" s="14"/>
      <x:c r="AY123" s="14"/>
      <x:c r="AZ123" s="14"/>
      <x:c r="BB123" s="14"/>
      <x:c r="BD123" s="14"/>
      <x:c r="BE123" s="14"/>
      <x:c r="BF123" s="14"/>
      <x:c r="BK123" s="14"/>
      <x:c r="BM123" s="14"/>
      <x:c r="BN123" s="14"/>
      <x:c r="BP123" s="14"/>
      <x:c r="BQ123" s="14"/>
      <x:c r="BR123" s="14"/>
      <x:c r="BT123" s="14"/>
      <x:c r="BU123" s="14"/>
      <x:c r="BV123" s="14"/>
      <x:c r="BW123" s="14"/>
      <x:c r="BX123" s="14"/>
      <x:c r="BY123" s="14"/>
      <x:c r="BZ123" s="14"/>
      <x:c r="CA123" s="14"/>
      <x:c r="CB123" s="14"/>
      <x:c r="CC123" s="14"/>
      <x:c r="CD123" s="14"/>
      <x:c r="CE123" s="14"/>
      <x:c r="CF123" s="14"/>
      <x:c r="CJ123" s="14"/>
      <x:c r="CK123" s="14"/>
      <x:c r="CL123" s="14"/>
      <x:c r="CM123" s="14"/>
      <x:c r="CO123" s="14"/>
      <x:c r="CQ123" s="14"/>
      <x:c r="CS123" s="14"/>
      <x:c r="CT123" s="14"/>
      <x:c r="CU123" s="14"/>
      <x:c r="CW123" s="14"/>
      <x:c r="CX123" s="14"/>
      <x:c r="CY123" s="14"/>
      <x:c r="CZ123" s="14"/>
      <x:c r="DC123" s="14"/>
      <x:c r="DD123" s="14"/>
      <x:c r="DI123" s="88"/>
      <x:c r="DJ123" s="88"/>
      <x:c r="DK123" s="88"/>
      <x:c r="DL123" s="88"/>
      <x:c r="DM123" s="88"/>
      <x:c r="DN123" s="88"/>
      <x:c r="DO123" s="88"/>
      <x:c r="DP123" s="88"/>
      <x:c r="DQ123" s="88"/>
      <x:c r="DR123" s="88"/>
      <x:c r="DS123" s="88"/>
    </x:row>
    <x:row r="124" ht="25" customHeight="1">
      <x:c r="A124" s="10"/>
      <x:c r="D124" s="12"/>
      <x:c r="E124" s="12"/>
      <x:c r="F124" s="12"/>
      <x:c r="G124" s="14"/>
      <x:c r="H124" s="14"/>
      <x:c r="I124" s="14"/>
      <x:c r="J124" s="14"/>
      <x:c r="N124" s="14"/>
      <x:c r="O124" s="12"/>
      <x:c r="S124" s="14"/>
      <x:c r="T124" s="12"/>
      <x:c r="V124" s="42" t="str">
        <x:f>IF($A124="","",IF(AND($U124="発射物",$DI124&lt;&gt;"パッシブ"),$BE124,0))</x:f>
      </x:c>
      <x:c r="W124" s="42" t="str">
        <x:f>IF($A124="","",IF(AND($U124="発射物",$DI124&lt;&gt;"パッシブ"),$BF124,0))</x:f>
      </x:c>
      <x:c r="X124" s="42" t="str">
        <x:f>IF($A124="","",IF(AND($U124="発射物",$DI124&lt;&gt;"パッシブ"),IF($BG124="有効","有効","無効"),"無効"))</x:f>
      </x:c>
      <x:c r="AD124" s="14"/>
      <x:c r="AE124" s="14"/>
      <x:c r="AF124" s="14"/>
      <x:c r="AH124" s="14"/>
      <x:c r="AJ124" s="14"/>
      <x:c r="AN124" s="14"/>
      <x:c r="AO124" s="14"/>
      <x:c r="AP124" s="14"/>
      <x:c r="AR124" s="14"/>
      <x:c r="AT124" s="14"/>
      <x:c r="AX124" s="14"/>
      <x:c r="AY124" s="14"/>
      <x:c r="AZ124" s="14"/>
      <x:c r="BB124" s="14"/>
      <x:c r="BD124" s="14"/>
      <x:c r="BE124" s="14"/>
      <x:c r="BF124" s="14"/>
      <x:c r="BK124" s="14"/>
      <x:c r="BM124" s="14"/>
      <x:c r="BN124" s="14"/>
      <x:c r="BP124" s="14"/>
      <x:c r="BQ124" s="14"/>
      <x:c r="BR124" s="14"/>
      <x:c r="BT124" s="14"/>
      <x:c r="BU124" s="14"/>
      <x:c r="BV124" s="14"/>
      <x:c r="BW124" s="14"/>
      <x:c r="BX124" s="14"/>
      <x:c r="BY124" s="14"/>
      <x:c r="BZ124" s="14"/>
      <x:c r="CA124" s="14"/>
      <x:c r="CB124" s="14"/>
      <x:c r="CC124" s="14"/>
      <x:c r="CD124" s="14"/>
      <x:c r="CE124" s="14"/>
      <x:c r="CF124" s="14"/>
      <x:c r="CJ124" s="14"/>
      <x:c r="CK124" s="14"/>
      <x:c r="CL124" s="14"/>
      <x:c r="CM124" s="14"/>
      <x:c r="CO124" s="14"/>
      <x:c r="CQ124" s="14"/>
      <x:c r="CS124" s="14"/>
      <x:c r="CT124" s="14"/>
      <x:c r="CU124" s="14"/>
      <x:c r="CW124" s="14"/>
      <x:c r="CX124" s="14"/>
      <x:c r="CY124" s="14"/>
      <x:c r="CZ124" s="14"/>
      <x:c r="DC124" s="14"/>
      <x:c r="DD124" s="14"/>
      <x:c r="DI124" s="88"/>
      <x:c r="DJ124" s="88"/>
      <x:c r="DK124" s="88"/>
      <x:c r="DL124" s="88"/>
      <x:c r="DM124" s="88"/>
      <x:c r="DN124" s="88"/>
      <x:c r="DO124" s="88"/>
      <x:c r="DP124" s="88"/>
      <x:c r="DQ124" s="88"/>
      <x:c r="DR124" s="88"/>
      <x:c r="DS124" s="88"/>
    </x:row>
    <x:row r="125" ht="25" customHeight="1">
      <x:c r="A125" s="10"/>
      <x:c r="D125" s="12"/>
      <x:c r="E125" s="12"/>
      <x:c r="F125" s="12"/>
      <x:c r="G125" s="14"/>
      <x:c r="H125" s="14"/>
      <x:c r="I125" s="14"/>
      <x:c r="J125" s="14"/>
      <x:c r="N125" s="14"/>
      <x:c r="O125" s="12"/>
      <x:c r="S125" s="14"/>
      <x:c r="T125" s="12"/>
      <x:c r="V125" s="42" t="str">
        <x:f>IF($A125="","",IF(AND($U125="発射物",$DI125&lt;&gt;"パッシブ"),$BE125,0))</x:f>
      </x:c>
      <x:c r="W125" s="42" t="str">
        <x:f>IF($A125="","",IF(AND($U125="発射物",$DI125&lt;&gt;"パッシブ"),$BF125,0))</x:f>
      </x:c>
      <x:c r="X125" s="42" t="str">
        <x:f>IF($A125="","",IF(AND($U125="発射物",$DI125&lt;&gt;"パッシブ"),IF($BG125="有効","有効","無効"),"無効"))</x:f>
      </x:c>
      <x:c r="AD125" s="14"/>
      <x:c r="AE125" s="14"/>
      <x:c r="AF125" s="14"/>
      <x:c r="AH125" s="14"/>
      <x:c r="AJ125" s="14"/>
      <x:c r="AN125" s="14"/>
      <x:c r="AO125" s="14"/>
      <x:c r="AP125" s="14"/>
      <x:c r="AR125" s="14"/>
      <x:c r="AT125" s="14"/>
      <x:c r="AX125" s="14"/>
      <x:c r="AY125" s="14"/>
      <x:c r="AZ125" s="14"/>
      <x:c r="BB125" s="14"/>
      <x:c r="BD125" s="14"/>
      <x:c r="BE125" s="14"/>
      <x:c r="BF125" s="14"/>
      <x:c r="BK125" s="14"/>
      <x:c r="BM125" s="14"/>
      <x:c r="BN125" s="14"/>
      <x:c r="BP125" s="14"/>
      <x:c r="BQ125" s="14"/>
      <x:c r="BR125" s="14"/>
      <x:c r="BT125" s="14"/>
      <x:c r="BU125" s="14"/>
      <x:c r="BV125" s="14"/>
      <x:c r="BW125" s="14"/>
      <x:c r="BX125" s="14"/>
      <x:c r="BY125" s="14"/>
      <x:c r="BZ125" s="14"/>
      <x:c r="CA125" s="14"/>
      <x:c r="CB125" s="14"/>
      <x:c r="CC125" s="14"/>
      <x:c r="CD125" s="14"/>
      <x:c r="CE125" s="14"/>
      <x:c r="CF125" s="14"/>
      <x:c r="CJ125" s="14"/>
      <x:c r="CK125" s="14"/>
      <x:c r="CL125" s="14"/>
      <x:c r="CM125" s="14"/>
      <x:c r="CO125" s="14"/>
      <x:c r="CQ125" s="14"/>
      <x:c r="CS125" s="14"/>
      <x:c r="CT125" s="14"/>
      <x:c r="CU125" s="14"/>
      <x:c r="CW125" s="14"/>
      <x:c r="CX125" s="14"/>
      <x:c r="CY125" s="14"/>
      <x:c r="CZ125" s="14"/>
      <x:c r="DC125" s="14"/>
      <x:c r="DD125" s="14"/>
      <x:c r="DI125" s="88"/>
      <x:c r="DJ125" s="88"/>
      <x:c r="DK125" s="88"/>
      <x:c r="DL125" s="88"/>
      <x:c r="DM125" s="88"/>
      <x:c r="DN125" s="88"/>
      <x:c r="DO125" s="88"/>
      <x:c r="DP125" s="88"/>
      <x:c r="DQ125" s="88"/>
      <x:c r="DR125" s="88"/>
      <x:c r="DS125" s="88"/>
    </x:row>
    <x:row r="126" ht="25" customHeight="1">
      <x:c r="A126" s="10"/>
      <x:c r="D126" s="12"/>
      <x:c r="E126" s="12"/>
      <x:c r="F126" s="12"/>
      <x:c r="G126" s="14"/>
      <x:c r="H126" s="14"/>
      <x:c r="I126" s="14"/>
      <x:c r="J126" s="14"/>
      <x:c r="N126" s="14"/>
      <x:c r="O126" s="12"/>
      <x:c r="S126" s="14"/>
      <x:c r="T126" s="12"/>
      <x:c r="V126" s="42" t="str">
        <x:f>IF($A126="","",IF(AND($U126="発射物",$DI126&lt;&gt;"パッシブ"),$BE126,0))</x:f>
      </x:c>
      <x:c r="W126" s="42" t="str">
        <x:f>IF($A126="","",IF(AND($U126="発射物",$DI126&lt;&gt;"パッシブ"),$BF126,0))</x:f>
      </x:c>
      <x:c r="X126" s="42" t="str">
        <x:f>IF($A126="","",IF(AND($U126="発射物",$DI126&lt;&gt;"パッシブ"),IF($BG126="有効","有効","無効"),"無効"))</x:f>
      </x:c>
      <x:c r="AD126" s="14"/>
      <x:c r="AE126" s="14"/>
      <x:c r="AF126" s="14"/>
      <x:c r="AH126" s="14"/>
      <x:c r="AJ126" s="14"/>
      <x:c r="AN126" s="14"/>
      <x:c r="AO126" s="14"/>
      <x:c r="AP126" s="14"/>
      <x:c r="AR126" s="14"/>
      <x:c r="AT126" s="14"/>
      <x:c r="AX126" s="14"/>
      <x:c r="AY126" s="14"/>
      <x:c r="AZ126" s="14"/>
      <x:c r="BB126" s="14"/>
      <x:c r="BD126" s="14"/>
      <x:c r="BE126" s="14"/>
      <x:c r="BF126" s="14"/>
      <x:c r="BK126" s="14"/>
      <x:c r="BM126" s="14"/>
      <x:c r="BN126" s="14"/>
      <x:c r="BP126" s="14"/>
      <x:c r="BQ126" s="14"/>
      <x:c r="BR126" s="14"/>
      <x:c r="BT126" s="14"/>
      <x:c r="BU126" s="14"/>
      <x:c r="BV126" s="14"/>
      <x:c r="BW126" s="14"/>
      <x:c r="BX126" s="14"/>
      <x:c r="BY126" s="14"/>
      <x:c r="BZ126" s="14"/>
      <x:c r="CA126" s="14"/>
      <x:c r="CB126" s="14"/>
      <x:c r="CC126" s="14"/>
      <x:c r="CD126" s="14"/>
      <x:c r="CE126" s="14"/>
      <x:c r="CF126" s="14"/>
      <x:c r="CJ126" s="14"/>
      <x:c r="CK126" s="14"/>
      <x:c r="CL126" s="14"/>
      <x:c r="CM126" s="14"/>
      <x:c r="CO126" s="14"/>
      <x:c r="CQ126" s="14"/>
      <x:c r="CS126" s="14"/>
      <x:c r="CT126" s="14"/>
      <x:c r="CU126" s="14"/>
      <x:c r="CW126" s="14"/>
      <x:c r="CX126" s="14"/>
      <x:c r="CY126" s="14"/>
      <x:c r="CZ126" s="14"/>
      <x:c r="DC126" s="14"/>
      <x:c r="DD126" s="14"/>
      <x:c r="DI126" s="88"/>
      <x:c r="DJ126" s="88"/>
      <x:c r="DK126" s="88"/>
      <x:c r="DL126" s="88"/>
      <x:c r="DM126" s="88"/>
      <x:c r="DN126" s="88"/>
      <x:c r="DO126" s="88"/>
      <x:c r="DP126" s="88"/>
      <x:c r="DQ126" s="88"/>
      <x:c r="DR126" s="88"/>
      <x:c r="DS126" s="88"/>
    </x:row>
    <x:row r="127" ht="25" customHeight="1">
      <x:c r="A127" s="10"/>
      <x:c r="D127" s="12"/>
      <x:c r="E127" s="12"/>
      <x:c r="F127" s="12"/>
      <x:c r="G127" s="14"/>
      <x:c r="H127" s="14"/>
      <x:c r="I127" s="14"/>
      <x:c r="J127" s="14"/>
      <x:c r="N127" s="14"/>
      <x:c r="O127" s="12"/>
      <x:c r="S127" s="14"/>
      <x:c r="T127" s="12"/>
      <x:c r="V127" s="42" t="str">
        <x:f>IF($A127="","",IF(AND($U127="発射物",$DI127&lt;&gt;"パッシブ"),$BE127,0))</x:f>
      </x:c>
      <x:c r="W127" s="42" t="str">
        <x:f>IF($A127="","",IF(AND($U127="発射物",$DI127&lt;&gt;"パッシブ"),$BF127,0))</x:f>
      </x:c>
      <x:c r="X127" s="42" t="str">
        <x:f>IF($A127="","",IF(AND($U127="発射物",$DI127&lt;&gt;"パッシブ"),IF($BG127="有効","有効","無効"),"無効"))</x:f>
      </x:c>
      <x:c r="AD127" s="14"/>
      <x:c r="AE127" s="14"/>
      <x:c r="AF127" s="14"/>
      <x:c r="AH127" s="14"/>
      <x:c r="AJ127" s="14"/>
      <x:c r="AN127" s="14"/>
      <x:c r="AO127" s="14"/>
      <x:c r="AP127" s="14"/>
      <x:c r="AR127" s="14"/>
      <x:c r="AT127" s="14"/>
      <x:c r="AX127" s="14"/>
      <x:c r="AY127" s="14"/>
      <x:c r="AZ127" s="14"/>
      <x:c r="BB127" s="14"/>
      <x:c r="BD127" s="14"/>
      <x:c r="BE127" s="14"/>
      <x:c r="BF127" s="14"/>
      <x:c r="BK127" s="14"/>
      <x:c r="BM127" s="14"/>
      <x:c r="BN127" s="14"/>
      <x:c r="BP127" s="14"/>
      <x:c r="BQ127" s="14"/>
      <x:c r="BR127" s="14"/>
      <x:c r="BT127" s="14"/>
      <x:c r="BU127" s="14"/>
      <x:c r="BV127" s="14"/>
      <x:c r="BW127" s="14"/>
      <x:c r="BX127" s="14"/>
      <x:c r="BY127" s="14"/>
      <x:c r="BZ127" s="14"/>
      <x:c r="CA127" s="14"/>
      <x:c r="CB127" s="14"/>
      <x:c r="CC127" s="14"/>
      <x:c r="CD127" s="14"/>
      <x:c r="CE127" s="14"/>
      <x:c r="CF127" s="14"/>
      <x:c r="CJ127" s="14"/>
      <x:c r="CK127" s="14"/>
      <x:c r="CL127" s="14"/>
      <x:c r="CM127" s="14"/>
      <x:c r="CO127" s="14"/>
      <x:c r="CQ127" s="14"/>
      <x:c r="CS127" s="14"/>
      <x:c r="CT127" s="14"/>
      <x:c r="CU127" s="14"/>
      <x:c r="CW127" s="14"/>
      <x:c r="CX127" s="14"/>
      <x:c r="CY127" s="14"/>
      <x:c r="CZ127" s="14"/>
      <x:c r="DC127" s="14"/>
      <x:c r="DD127" s="14"/>
      <x:c r="DI127" s="88"/>
      <x:c r="DJ127" s="88"/>
      <x:c r="DK127" s="88"/>
      <x:c r="DL127" s="88"/>
      <x:c r="DM127" s="88"/>
      <x:c r="DN127" s="88"/>
      <x:c r="DO127" s="88"/>
      <x:c r="DP127" s="88"/>
      <x:c r="DQ127" s="88"/>
      <x:c r="DR127" s="88"/>
      <x:c r="DS127" s="88"/>
    </x:row>
    <x:row r="128" ht="25" customHeight="1">
      <x:c r="A128" s="10"/>
      <x:c r="D128" s="12"/>
      <x:c r="E128" s="12"/>
      <x:c r="F128" s="12"/>
      <x:c r="G128" s="14"/>
      <x:c r="H128" s="14"/>
      <x:c r="I128" s="14"/>
      <x:c r="J128" s="14"/>
      <x:c r="N128" s="14"/>
      <x:c r="O128" s="12"/>
      <x:c r="S128" s="14"/>
      <x:c r="T128" s="12"/>
      <x:c r="V128" s="42" t="str">
        <x:f>IF($A128="","",IF(AND($U128="発射物",$DI128&lt;&gt;"パッシブ"),$BE128,0))</x:f>
      </x:c>
      <x:c r="W128" s="42" t="str">
        <x:f>IF($A128="","",IF(AND($U128="発射物",$DI128&lt;&gt;"パッシブ"),$BF128,0))</x:f>
      </x:c>
      <x:c r="X128" s="42" t="str">
        <x:f>IF($A128="","",IF(AND($U128="発射物",$DI128&lt;&gt;"パッシブ"),IF($BG128="有効","有効","無効"),"無効"))</x:f>
      </x:c>
      <x:c r="AD128" s="14"/>
      <x:c r="AE128" s="14"/>
      <x:c r="AF128" s="14"/>
      <x:c r="AH128" s="14"/>
      <x:c r="AJ128" s="14"/>
      <x:c r="AN128" s="14"/>
      <x:c r="AO128" s="14"/>
      <x:c r="AP128" s="14"/>
      <x:c r="AR128" s="14"/>
      <x:c r="AT128" s="14"/>
      <x:c r="AX128" s="14"/>
      <x:c r="AY128" s="14"/>
      <x:c r="AZ128" s="14"/>
      <x:c r="BB128" s="14"/>
      <x:c r="BD128" s="14"/>
      <x:c r="BE128" s="14"/>
      <x:c r="BF128" s="14"/>
      <x:c r="BK128" s="14"/>
      <x:c r="BM128" s="14"/>
      <x:c r="BN128" s="14"/>
      <x:c r="BP128" s="14"/>
      <x:c r="BQ128" s="14"/>
      <x:c r="BR128" s="14"/>
      <x:c r="BT128" s="14"/>
      <x:c r="BU128" s="14"/>
      <x:c r="BV128" s="14"/>
      <x:c r="BW128" s="14"/>
      <x:c r="BX128" s="14"/>
      <x:c r="BY128" s="14"/>
      <x:c r="BZ128" s="14"/>
      <x:c r="CA128" s="14"/>
      <x:c r="CB128" s="14"/>
      <x:c r="CC128" s="14"/>
      <x:c r="CD128" s="14"/>
      <x:c r="CE128" s="14"/>
      <x:c r="CF128" s="14"/>
      <x:c r="CJ128" s="14"/>
      <x:c r="CK128" s="14"/>
      <x:c r="CL128" s="14"/>
      <x:c r="CM128" s="14"/>
      <x:c r="CO128" s="14"/>
      <x:c r="CQ128" s="14"/>
      <x:c r="CS128" s="14"/>
      <x:c r="CT128" s="14"/>
      <x:c r="CU128" s="14"/>
      <x:c r="CW128" s="14"/>
      <x:c r="CX128" s="14"/>
      <x:c r="CY128" s="14"/>
      <x:c r="CZ128" s="14"/>
      <x:c r="DC128" s="14"/>
      <x:c r="DD128" s="14"/>
      <x:c r="DI128" s="88"/>
      <x:c r="DJ128" s="88"/>
      <x:c r="DK128" s="88"/>
      <x:c r="DL128" s="88"/>
      <x:c r="DM128" s="88"/>
      <x:c r="DN128" s="88"/>
      <x:c r="DO128" s="88"/>
      <x:c r="DP128" s="88"/>
      <x:c r="DQ128" s="88"/>
      <x:c r="DR128" s="88"/>
      <x:c r="DS128" s="88"/>
    </x:row>
    <x:row r="129" ht="25" customHeight="1">
      <x:c r="A129" s="10"/>
      <x:c r="D129" s="12"/>
      <x:c r="E129" s="12"/>
      <x:c r="F129" s="12"/>
      <x:c r="G129" s="14"/>
      <x:c r="H129" s="14"/>
      <x:c r="I129" s="14"/>
      <x:c r="J129" s="14"/>
      <x:c r="N129" s="14"/>
      <x:c r="O129" s="12"/>
      <x:c r="S129" s="14"/>
      <x:c r="T129" s="12"/>
      <x:c r="V129" s="42" t="str">
        <x:f>IF($A129="","",IF(AND($U129="発射物",$DI129&lt;&gt;"パッシブ"),$BE129,0))</x:f>
      </x:c>
      <x:c r="W129" s="42" t="str">
        <x:f>IF($A129="","",IF(AND($U129="発射物",$DI129&lt;&gt;"パッシブ"),$BF129,0))</x:f>
      </x:c>
      <x:c r="X129" s="42" t="str">
        <x:f>IF($A129="","",IF(AND($U129="発射物",$DI129&lt;&gt;"パッシブ"),IF($BG129="有効","有効","無効"),"無効"))</x:f>
      </x:c>
      <x:c r="AD129" s="14"/>
      <x:c r="AE129" s="14"/>
      <x:c r="AF129" s="14"/>
      <x:c r="AH129" s="14"/>
      <x:c r="AJ129" s="14"/>
      <x:c r="AN129" s="14"/>
      <x:c r="AO129" s="14"/>
      <x:c r="AP129" s="14"/>
      <x:c r="AR129" s="14"/>
      <x:c r="AT129" s="14"/>
      <x:c r="AX129" s="14"/>
      <x:c r="AY129" s="14"/>
      <x:c r="AZ129" s="14"/>
      <x:c r="BB129" s="14"/>
      <x:c r="BD129" s="14"/>
      <x:c r="BE129" s="14"/>
      <x:c r="BF129" s="14"/>
      <x:c r="BK129" s="14"/>
      <x:c r="BM129" s="14"/>
      <x:c r="BN129" s="14"/>
      <x:c r="BP129" s="14"/>
      <x:c r="BQ129" s="14"/>
      <x:c r="BR129" s="14"/>
      <x:c r="BT129" s="14"/>
      <x:c r="BU129" s="14"/>
      <x:c r="BV129" s="14"/>
      <x:c r="BW129" s="14"/>
      <x:c r="BX129" s="14"/>
      <x:c r="BY129" s="14"/>
      <x:c r="BZ129" s="14"/>
      <x:c r="CA129" s="14"/>
      <x:c r="CB129" s="14"/>
      <x:c r="CC129" s="14"/>
      <x:c r="CD129" s="14"/>
      <x:c r="CE129" s="14"/>
      <x:c r="CF129" s="14"/>
      <x:c r="CJ129" s="14"/>
      <x:c r="CK129" s="14"/>
      <x:c r="CL129" s="14"/>
      <x:c r="CM129" s="14"/>
      <x:c r="CO129" s="14"/>
      <x:c r="CQ129" s="14"/>
      <x:c r="CS129" s="14"/>
      <x:c r="CT129" s="14"/>
      <x:c r="CU129" s="14"/>
      <x:c r="CW129" s="14"/>
      <x:c r="CX129" s="14"/>
      <x:c r="CY129" s="14"/>
      <x:c r="CZ129" s="14"/>
      <x:c r="DC129" s="14"/>
      <x:c r="DD129" s="14"/>
      <x:c r="DI129" s="88"/>
      <x:c r="DJ129" s="88"/>
      <x:c r="DK129" s="88"/>
      <x:c r="DL129" s="88"/>
      <x:c r="DM129" s="88"/>
      <x:c r="DN129" s="88"/>
      <x:c r="DO129" s="88"/>
      <x:c r="DP129" s="88"/>
      <x:c r="DQ129" s="88"/>
      <x:c r="DR129" s="88"/>
      <x:c r="DS129" s="88"/>
    </x:row>
    <x:row r="130" ht="25" customHeight="1">
      <x:c r="A130" s="10"/>
      <x:c r="D130" s="12"/>
      <x:c r="E130" s="12"/>
      <x:c r="F130" s="12"/>
      <x:c r="G130" s="14"/>
      <x:c r="H130" s="14"/>
      <x:c r="I130" s="14"/>
      <x:c r="J130" s="14"/>
      <x:c r="N130" s="14"/>
      <x:c r="O130" s="12"/>
      <x:c r="S130" s="14"/>
      <x:c r="T130" s="12"/>
      <x:c r="V130" s="42" t="str">
        <x:f>IF($A130="","",IF(AND($U130="発射物",$DI130&lt;&gt;"パッシブ"),$BE130,0))</x:f>
      </x:c>
      <x:c r="W130" s="42" t="str">
        <x:f>IF($A130="","",IF(AND($U130="発射物",$DI130&lt;&gt;"パッシブ"),$BF130,0))</x:f>
      </x:c>
      <x:c r="X130" s="42" t="str">
        <x:f>IF($A130="","",IF(AND($U130="発射物",$DI130&lt;&gt;"パッシブ"),IF($BG130="有効","有効","無効"),"無効"))</x:f>
      </x:c>
      <x:c r="AD130" s="14"/>
      <x:c r="AE130" s="14"/>
      <x:c r="AF130" s="14"/>
      <x:c r="AH130" s="14"/>
      <x:c r="AJ130" s="14"/>
      <x:c r="AN130" s="14"/>
      <x:c r="AO130" s="14"/>
      <x:c r="AP130" s="14"/>
      <x:c r="AR130" s="14"/>
      <x:c r="AT130" s="14"/>
      <x:c r="AX130" s="14"/>
      <x:c r="AY130" s="14"/>
      <x:c r="AZ130" s="14"/>
      <x:c r="BB130" s="14"/>
      <x:c r="BD130" s="14"/>
      <x:c r="BE130" s="14"/>
      <x:c r="BF130" s="14"/>
      <x:c r="BK130" s="14"/>
      <x:c r="BM130" s="14"/>
      <x:c r="BN130" s="14"/>
      <x:c r="BP130" s="14"/>
      <x:c r="BQ130" s="14"/>
      <x:c r="BR130" s="14"/>
      <x:c r="BT130" s="14"/>
      <x:c r="BU130" s="14"/>
      <x:c r="BV130" s="14"/>
      <x:c r="BW130" s="14"/>
      <x:c r="BX130" s="14"/>
      <x:c r="BY130" s="14"/>
      <x:c r="BZ130" s="14"/>
      <x:c r="CA130" s="14"/>
      <x:c r="CB130" s="14"/>
      <x:c r="CC130" s="14"/>
      <x:c r="CD130" s="14"/>
      <x:c r="CE130" s="14"/>
      <x:c r="CF130" s="14"/>
      <x:c r="CJ130" s="14"/>
      <x:c r="CK130" s="14"/>
      <x:c r="CL130" s="14"/>
      <x:c r="CM130" s="14"/>
      <x:c r="CO130" s="14"/>
      <x:c r="CQ130" s="14"/>
      <x:c r="CS130" s="14"/>
      <x:c r="CT130" s="14"/>
      <x:c r="CU130" s="14"/>
      <x:c r="CW130" s="14"/>
      <x:c r="CX130" s="14"/>
      <x:c r="CY130" s="14"/>
      <x:c r="CZ130" s="14"/>
      <x:c r="DC130" s="14"/>
      <x:c r="DD130" s="14"/>
      <x:c r="DI130" s="88"/>
      <x:c r="DJ130" s="88"/>
      <x:c r="DK130" s="88"/>
      <x:c r="DL130" s="88"/>
      <x:c r="DM130" s="88"/>
      <x:c r="DN130" s="88"/>
      <x:c r="DO130" s="88"/>
      <x:c r="DP130" s="88"/>
      <x:c r="DQ130" s="88"/>
      <x:c r="DR130" s="88"/>
      <x:c r="DS130" s="88"/>
    </x:row>
    <x:row r="131" ht="25" customHeight="1">
      <x:c r="A131" s="10"/>
      <x:c r="D131" s="12"/>
      <x:c r="E131" s="12"/>
      <x:c r="F131" s="12"/>
      <x:c r="G131" s="14"/>
      <x:c r="H131" s="14"/>
      <x:c r="I131" s="14"/>
      <x:c r="J131" s="14"/>
      <x:c r="N131" s="14"/>
      <x:c r="O131" s="12"/>
      <x:c r="S131" s="14"/>
      <x:c r="T131" s="12"/>
      <x:c r="V131" s="42" t="str">
        <x:f>IF($A131="","",IF(AND($U131="発射物",$DI131&lt;&gt;"パッシブ"),$BE131,0))</x:f>
      </x:c>
      <x:c r="W131" s="42" t="str">
        <x:f>IF($A131="","",IF(AND($U131="発射物",$DI131&lt;&gt;"パッシブ"),$BF131,0))</x:f>
      </x:c>
      <x:c r="X131" s="42" t="str">
        <x:f>IF($A131="","",IF(AND($U131="発射物",$DI131&lt;&gt;"パッシブ"),IF($BG131="有効","有効","無効"),"無効"))</x:f>
      </x:c>
      <x:c r="AD131" s="14"/>
      <x:c r="AE131" s="14"/>
      <x:c r="AF131" s="14"/>
      <x:c r="AH131" s="14"/>
      <x:c r="AJ131" s="14"/>
      <x:c r="AN131" s="14"/>
      <x:c r="AO131" s="14"/>
      <x:c r="AP131" s="14"/>
      <x:c r="AR131" s="14"/>
      <x:c r="AT131" s="14"/>
      <x:c r="AX131" s="14"/>
      <x:c r="AY131" s="14"/>
      <x:c r="AZ131" s="14"/>
      <x:c r="BB131" s="14"/>
      <x:c r="BD131" s="14"/>
      <x:c r="BE131" s="14"/>
      <x:c r="BF131" s="14"/>
      <x:c r="BK131" s="14"/>
      <x:c r="BM131" s="14"/>
      <x:c r="BN131" s="14"/>
      <x:c r="BP131" s="14"/>
      <x:c r="BQ131" s="14"/>
      <x:c r="BR131" s="14"/>
      <x:c r="BT131" s="14"/>
      <x:c r="BU131" s="14"/>
      <x:c r="BV131" s="14"/>
      <x:c r="BW131" s="14"/>
      <x:c r="BX131" s="14"/>
      <x:c r="BY131" s="14"/>
      <x:c r="BZ131" s="14"/>
      <x:c r="CA131" s="14"/>
      <x:c r="CB131" s="14"/>
      <x:c r="CC131" s="14"/>
      <x:c r="CD131" s="14"/>
      <x:c r="CE131" s="14"/>
      <x:c r="CF131" s="14"/>
      <x:c r="CJ131" s="14"/>
      <x:c r="CK131" s="14"/>
      <x:c r="CL131" s="14"/>
      <x:c r="CM131" s="14"/>
      <x:c r="CO131" s="14"/>
      <x:c r="CQ131" s="14"/>
      <x:c r="CS131" s="14"/>
      <x:c r="CT131" s="14"/>
      <x:c r="CU131" s="14"/>
      <x:c r="CW131" s="14"/>
      <x:c r="CX131" s="14"/>
      <x:c r="CY131" s="14"/>
      <x:c r="CZ131" s="14"/>
      <x:c r="DC131" s="14"/>
      <x:c r="DD131" s="14"/>
      <x:c r="DI131" s="88"/>
      <x:c r="DJ131" s="88"/>
      <x:c r="DK131" s="88"/>
      <x:c r="DL131" s="88"/>
      <x:c r="DM131" s="88"/>
      <x:c r="DN131" s="88"/>
      <x:c r="DO131" s="88"/>
      <x:c r="DP131" s="88"/>
      <x:c r="DQ131" s="88"/>
      <x:c r="DR131" s="88"/>
      <x:c r="DS131" s="88"/>
    </x:row>
    <x:row r="132" ht="25" customHeight="1">
      <x:c r="A132" s="10"/>
      <x:c r="D132" s="12"/>
      <x:c r="E132" s="12"/>
      <x:c r="F132" s="12"/>
      <x:c r="G132" s="14"/>
      <x:c r="H132" s="14"/>
      <x:c r="I132" s="14"/>
      <x:c r="J132" s="14"/>
      <x:c r="N132" s="14"/>
      <x:c r="O132" s="12"/>
      <x:c r="S132" s="14"/>
      <x:c r="T132" s="12"/>
      <x:c r="V132" s="42" t="str">
        <x:f>IF($A132="","",IF(AND($U132="発射物",$DI132&lt;&gt;"パッシブ"),$BE132,0))</x:f>
      </x:c>
      <x:c r="W132" s="42" t="str">
        <x:f>IF($A132="","",IF(AND($U132="発射物",$DI132&lt;&gt;"パッシブ"),$BF132,0))</x:f>
      </x:c>
      <x:c r="X132" s="42" t="str">
        <x:f>IF($A132="","",IF(AND($U132="発射物",$DI132&lt;&gt;"パッシブ"),IF($BG132="有効","有効","無効"),"無効"))</x:f>
      </x:c>
      <x:c r="AD132" s="14"/>
      <x:c r="AE132" s="14"/>
      <x:c r="AF132" s="14"/>
      <x:c r="AH132" s="14"/>
      <x:c r="AJ132" s="14"/>
      <x:c r="AN132" s="14"/>
      <x:c r="AO132" s="14"/>
      <x:c r="AP132" s="14"/>
      <x:c r="AR132" s="14"/>
      <x:c r="AT132" s="14"/>
      <x:c r="AX132" s="14"/>
      <x:c r="AY132" s="14"/>
      <x:c r="AZ132" s="14"/>
      <x:c r="BB132" s="14"/>
      <x:c r="BD132" s="14"/>
      <x:c r="BE132" s="14"/>
      <x:c r="BF132" s="14"/>
      <x:c r="BK132" s="14"/>
      <x:c r="BM132" s="14"/>
      <x:c r="BN132" s="14"/>
      <x:c r="BP132" s="14"/>
      <x:c r="BQ132" s="14"/>
      <x:c r="BR132" s="14"/>
      <x:c r="BT132" s="14"/>
      <x:c r="BU132" s="14"/>
      <x:c r="BV132" s="14"/>
      <x:c r="BW132" s="14"/>
      <x:c r="BX132" s="14"/>
      <x:c r="BY132" s="14"/>
      <x:c r="BZ132" s="14"/>
      <x:c r="CA132" s="14"/>
      <x:c r="CB132" s="14"/>
      <x:c r="CC132" s="14"/>
      <x:c r="CD132" s="14"/>
      <x:c r="CE132" s="14"/>
      <x:c r="CF132" s="14"/>
      <x:c r="CJ132" s="14"/>
      <x:c r="CK132" s="14"/>
      <x:c r="CL132" s="14"/>
      <x:c r="CM132" s="14"/>
      <x:c r="CO132" s="14"/>
      <x:c r="CQ132" s="14"/>
      <x:c r="CS132" s="14"/>
      <x:c r="CT132" s="14"/>
      <x:c r="CU132" s="14"/>
      <x:c r="CW132" s="14"/>
      <x:c r="CX132" s="14"/>
      <x:c r="CY132" s="14"/>
      <x:c r="CZ132" s="14"/>
      <x:c r="DC132" s="14"/>
      <x:c r="DD132" s="14"/>
      <x:c r="DI132" s="88"/>
      <x:c r="DJ132" s="88"/>
      <x:c r="DK132" s="88"/>
      <x:c r="DL132" s="88"/>
      <x:c r="DM132" s="88"/>
      <x:c r="DN132" s="88"/>
      <x:c r="DO132" s="88"/>
      <x:c r="DP132" s="88"/>
      <x:c r="DQ132" s="88"/>
      <x:c r="DR132" s="88"/>
      <x:c r="DS132" s="88"/>
    </x:row>
    <x:row r="133" ht="25" customHeight="1">
      <x:c r="A133" s="10"/>
      <x:c r="D133" s="12"/>
      <x:c r="E133" s="12"/>
      <x:c r="F133" s="12"/>
      <x:c r="G133" s="14"/>
      <x:c r="H133" s="14"/>
      <x:c r="I133" s="14"/>
      <x:c r="J133" s="14"/>
      <x:c r="N133" s="14"/>
      <x:c r="O133" s="12"/>
      <x:c r="S133" s="14"/>
      <x:c r="T133" s="12"/>
      <x:c r="V133" s="42" t="str">
        <x:f>IF($A133="","",IF(AND($U133="発射物",$DI133&lt;&gt;"パッシブ"),$BE133,0))</x:f>
      </x:c>
      <x:c r="W133" s="42" t="str">
        <x:f>IF($A133="","",IF(AND($U133="発射物",$DI133&lt;&gt;"パッシブ"),$BF133,0))</x:f>
      </x:c>
      <x:c r="X133" s="42" t="str">
        <x:f>IF($A133="","",IF(AND($U133="発射物",$DI133&lt;&gt;"パッシブ"),IF($BG133="有効","有効","無効"),"無効"))</x:f>
      </x:c>
      <x:c r="AD133" s="14"/>
      <x:c r="AE133" s="14"/>
      <x:c r="AF133" s="14"/>
      <x:c r="AH133" s="14"/>
      <x:c r="AJ133" s="14"/>
      <x:c r="AN133" s="14"/>
      <x:c r="AO133" s="14"/>
      <x:c r="AP133" s="14"/>
      <x:c r="AR133" s="14"/>
      <x:c r="AT133" s="14"/>
      <x:c r="AX133" s="14"/>
      <x:c r="AY133" s="14"/>
      <x:c r="AZ133" s="14"/>
      <x:c r="BB133" s="14"/>
      <x:c r="BD133" s="14"/>
      <x:c r="BE133" s="14"/>
      <x:c r="BF133" s="14"/>
      <x:c r="BK133" s="14"/>
      <x:c r="BM133" s="14"/>
      <x:c r="BN133" s="14"/>
      <x:c r="BP133" s="14"/>
      <x:c r="BQ133" s="14"/>
      <x:c r="BR133" s="14"/>
      <x:c r="BT133" s="14"/>
      <x:c r="BU133" s="14"/>
      <x:c r="BV133" s="14"/>
      <x:c r="BW133" s="14"/>
      <x:c r="BX133" s="14"/>
      <x:c r="BY133" s="14"/>
      <x:c r="BZ133" s="14"/>
      <x:c r="CA133" s="14"/>
      <x:c r="CB133" s="14"/>
      <x:c r="CC133" s="14"/>
      <x:c r="CD133" s="14"/>
      <x:c r="CE133" s="14"/>
      <x:c r="CF133" s="14"/>
      <x:c r="CJ133" s="14"/>
      <x:c r="CK133" s="14"/>
      <x:c r="CL133" s="14"/>
      <x:c r="CM133" s="14"/>
      <x:c r="CO133" s="14"/>
      <x:c r="CQ133" s="14"/>
      <x:c r="CS133" s="14"/>
      <x:c r="CT133" s="14"/>
      <x:c r="CU133" s="14"/>
      <x:c r="CW133" s="14"/>
      <x:c r="CX133" s="14"/>
      <x:c r="CY133" s="14"/>
      <x:c r="CZ133" s="14"/>
      <x:c r="DC133" s="14"/>
      <x:c r="DD133" s="14"/>
      <x:c r="DI133" s="88"/>
      <x:c r="DJ133" s="88"/>
      <x:c r="DK133" s="88"/>
      <x:c r="DL133" s="88"/>
      <x:c r="DM133" s="88"/>
      <x:c r="DN133" s="88"/>
      <x:c r="DO133" s="88"/>
      <x:c r="DP133" s="88"/>
      <x:c r="DQ133" s="88"/>
      <x:c r="DR133" s="88"/>
      <x:c r="DS133" s="88"/>
    </x:row>
    <x:row r="134" ht="25" customHeight="1">
      <x:c r="A134" s="10"/>
      <x:c r="D134" s="12"/>
      <x:c r="E134" s="12"/>
      <x:c r="F134" s="12"/>
      <x:c r="G134" s="14"/>
      <x:c r="H134" s="14"/>
      <x:c r="I134" s="14"/>
      <x:c r="J134" s="14"/>
      <x:c r="N134" s="14"/>
      <x:c r="O134" s="12"/>
      <x:c r="S134" s="14"/>
      <x:c r="T134" s="12"/>
      <x:c r="V134" s="42" t="str">
        <x:f>IF($A134="","",IF(AND($U134="発射物",$DI134&lt;&gt;"パッシブ"),$BE134,0))</x:f>
      </x:c>
      <x:c r="W134" s="42" t="str">
        <x:f>IF($A134="","",IF(AND($U134="発射物",$DI134&lt;&gt;"パッシブ"),$BF134,0))</x:f>
      </x:c>
      <x:c r="X134" s="42" t="str">
        <x:f>IF($A134="","",IF(AND($U134="発射物",$DI134&lt;&gt;"パッシブ"),IF($BG134="有効","有効","無効"),"無効"))</x:f>
      </x:c>
      <x:c r="AD134" s="14"/>
      <x:c r="AE134" s="14"/>
      <x:c r="AF134" s="14"/>
      <x:c r="AH134" s="14"/>
      <x:c r="AJ134" s="14"/>
      <x:c r="AN134" s="14"/>
      <x:c r="AO134" s="14"/>
      <x:c r="AP134" s="14"/>
      <x:c r="AR134" s="14"/>
      <x:c r="AT134" s="14"/>
      <x:c r="AX134" s="14"/>
      <x:c r="AY134" s="14"/>
      <x:c r="AZ134" s="14"/>
      <x:c r="BB134" s="14"/>
      <x:c r="BD134" s="14"/>
      <x:c r="BE134" s="14"/>
      <x:c r="BF134" s="14"/>
      <x:c r="BK134" s="14"/>
      <x:c r="BM134" s="14"/>
      <x:c r="BN134" s="14"/>
      <x:c r="BP134" s="14"/>
      <x:c r="BQ134" s="14"/>
      <x:c r="BR134" s="14"/>
      <x:c r="BT134" s="14"/>
      <x:c r="BU134" s="14"/>
      <x:c r="BV134" s="14"/>
      <x:c r="BW134" s="14"/>
      <x:c r="BX134" s="14"/>
      <x:c r="BY134" s="14"/>
      <x:c r="BZ134" s="14"/>
      <x:c r="CA134" s="14"/>
      <x:c r="CB134" s="14"/>
      <x:c r="CC134" s="14"/>
      <x:c r="CD134" s="14"/>
      <x:c r="CE134" s="14"/>
      <x:c r="CF134" s="14"/>
      <x:c r="CJ134" s="14"/>
      <x:c r="CK134" s="14"/>
      <x:c r="CL134" s="14"/>
      <x:c r="CM134" s="14"/>
      <x:c r="CO134" s="14"/>
      <x:c r="CQ134" s="14"/>
      <x:c r="CS134" s="14"/>
      <x:c r="CT134" s="14"/>
      <x:c r="CU134" s="14"/>
      <x:c r="CW134" s="14"/>
      <x:c r="CX134" s="14"/>
      <x:c r="CY134" s="14"/>
      <x:c r="CZ134" s="14"/>
      <x:c r="DC134" s="14"/>
      <x:c r="DD134" s="14"/>
      <x:c r="DI134" s="88"/>
      <x:c r="DJ134" s="88"/>
      <x:c r="DK134" s="88"/>
      <x:c r="DL134" s="88"/>
      <x:c r="DM134" s="88"/>
      <x:c r="DN134" s="88"/>
      <x:c r="DO134" s="88"/>
      <x:c r="DP134" s="88"/>
      <x:c r="DQ134" s="88"/>
      <x:c r="DR134" s="88"/>
      <x:c r="DS134" s="88"/>
    </x:row>
    <x:row r="135" ht="25" customHeight="1">
      <x:c r="A135" s="10"/>
      <x:c r="D135" s="12"/>
      <x:c r="E135" s="12"/>
      <x:c r="F135" s="12"/>
      <x:c r="G135" s="14"/>
      <x:c r="H135" s="14"/>
      <x:c r="I135" s="14"/>
      <x:c r="J135" s="14"/>
      <x:c r="N135" s="14"/>
      <x:c r="O135" s="12"/>
      <x:c r="S135" s="14"/>
      <x:c r="T135" s="12"/>
      <x:c r="V135" s="42" t="str">
        <x:f>IF($A135="","",IF(AND($U135="発射物",$DI135&lt;&gt;"パッシブ"),$BE135,0))</x:f>
      </x:c>
      <x:c r="W135" s="42" t="str">
        <x:f>IF($A135="","",IF(AND($U135="発射物",$DI135&lt;&gt;"パッシブ"),$BF135,0))</x:f>
      </x:c>
      <x:c r="X135" s="42" t="str">
        <x:f>IF($A135="","",IF(AND($U135="発射物",$DI135&lt;&gt;"パッシブ"),IF($BG135="有効","有効","無効"),"無効"))</x:f>
      </x:c>
      <x:c r="AD135" s="14"/>
      <x:c r="AE135" s="14"/>
      <x:c r="AF135" s="14"/>
      <x:c r="AH135" s="14"/>
      <x:c r="AJ135" s="14"/>
      <x:c r="AN135" s="14"/>
      <x:c r="AO135" s="14"/>
      <x:c r="AP135" s="14"/>
      <x:c r="AR135" s="14"/>
      <x:c r="AT135" s="14"/>
      <x:c r="AX135" s="14"/>
      <x:c r="AY135" s="14"/>
      <x:c r="AZ135" s="14"/>
      <x:c r="BB135" s="14"/>
      <x:c r="BD135" s="14"/>
      <x:c r="BE135" s="14"/>
      <x:c r="BF135" s="14"/>
      <x:c r="BK135" s="14"/>
      <x:c r="BM135" s="14"/>
      <x:c r="BN135" s="14"/>
      <x:c r="BP135" s="14"/>
      <x:c r="BQ135" s="14"/>
      <x:c r="BR135" s="14"/>
      <x:c r="BT135" s="14"/>
      <x:c r="BU135" s="14"/>
      <x:c r="BV135" s="14"/>
      <x:c r="BW135" s="14"/>
      <x:c r="BX135" s="14"/>
      <x:c r="BY135" s="14"/>
      <x:c r="BZ135" s="14"/>
      <x:c r="CA135" s="14"/>
      <x:c r="CB135" s="14"/>
      <x:c r="CC135" s="14"/>
      <x:c r="CD135" s="14"/>
      <x:c r="CE135" s="14"/>
      <x:c r="CF135" s="14"/>
      <x:c r="CJ135" s="14"/>
      <x:c r="CK135" s="14"/>
      <x:c r="CL135" s="14"/>
      <x:c r="CM135" s="14"/>
      <x:c r="CO135" s="14"/>
      <x:c r="CQ135" s="14"/>
      <x:c r="CS135" s="14"/>
      <x:c r="CT135" s="14"/>
      <x:c r="CU135" s="14"/>
      <x:c r="CW135" s="14"/>
      <x:c r="CX135" s="14"/>
      <x:c r="CY135" s="14"/>
      <x:c r="CZ135" s="14"/>
      <x:c r="DC135" s="14"/>
      <x:c r="DD135" s="14"/>
      <x:c r="DI135" s="88"/>
      <x:c r="DJ135" s="88"/>
      <x:c r="DK135" s="88"/>
      <x:c r="DL135" s="88"/>
      <x:c r="DM135" s="88"/>
      <x:c r="DN135" s="88"/>
      <x:c r="DO135" s="88"/>
      <x:c r="DP135" s="88"/>
      <x:c r="DQ135" s="88"/>
      <x:c r="DR135" s="88"/>
      <x:c r="DS135" s="88"/>
    </x:row>
    <x:row r="136" ht="25" customHeight="1">
      <x:c r="A136" s="10"/>
      <x:c r="D136" s="12"/>
      <x:c r="E136" s="12"/>
      <x:c r="F136" s="12"/>
      <x:c r="G136" s="14"/>
      <x:c r="H136" s="14"/>
      <x:c r="I136" s="14"/>
      <x:c r="J136" s="14"/>
      <x:c r="N136" s="14"/>
      <x:c r="O136" s="12"/>
      <x:c r="S136" s="14"/>
      <x:c r="T136" s="12"/>
      <x:c r="V136" s="42" t="str">
        <x:f>IF($A136="","",IF(AND($U136="発射物",$DI136&lt;&gt;"パッシブ"),$BE136,0))</x:f>
      </x:c>
      <x:c r="W136" s="42" t="str">
        <x:f>IF($A136="","",IF(AND($U136="発射物",$DI136&lt;&gt;"パッシブ"),$BF136,0))</x:f>
      </x:c>
      <x:c r="X136" s="42" t="str">
        <x:f>IF($A136="","",IF(AND($U136="発射物",$DI136&lt;&gt;"パッシブ"),IF($BG136="有効","有効","無効"),"無効"))</x:f>
      </x:c>
      <x:c r="AD136" s="14"/>
      <x:c r="AE136" s="14"/>
      <x:c r="AF136" s="14"/>
      <x:c r="AH136" s="14"/>
      <x:c r="AJ136" s="14"/>
      <x:c r="AN136" s="14"/>
      <x:c r="AO136" s="14"/>
      <x:c r="AP136" s="14"/>
      <x:c r="AR136" s="14"/>
      <x:c r="AT136" s="14"/>
      <x:c r="AX136" s="14"/>
      <x:c r="AY136" s="14"/>
      <x:c r="AZ136" s="14"/>
      <x:c r="BB136" s="14"/>
      <x:c r="BD136" s="14"/>
      <x:c r="BE136" s="14"/>
      <x:c r="BF136" s="14"/>
      <x:c r="BK136" s="14"/>
      <x:c r="BM136" s="14"/>
      <x:c r="BN136" s="14"/>
      <x:c r="BP136" s="14"/>
      <x:c r="BQ136" s="14"/>
      <x:c r="BR136" s="14"/>
      <x:c r="BT136" s="14"/>
      <x:c r="BU136" s="14"/>
      <x:c r="BV136" s="14"/>
      <x:c r="BW136" s="14"/>
      <x:c r="BX136" s="14"/>
      <x:c r="BY136" s="14"/>
      <x:c r="BZ136" s="14"/>
      <x:c r="CA136" s="14"/>
      <x:c r="CB136" s="14"/>
      <x:c r="CC136" s="14"/>
      <x:c r="CD136" s="14"/>
      <x:c r="CE136" s="14"/>
      <x:c r="CF136" s="14"/>
      <x:c r="CJ136" s="14"/>
      <x:c r="CK136" s="14"/>
      <x:c r="CL136" s="14"/>
      <x:c r="CM136" s="14"/>
      <x:c r="CO136" s="14"/>
      <x:c r="CQ136" s="14"/>
      <x:c r="CS136" s="14"/>
      <x:c r="CT136" s="14"/>
      <x:c r="CU136" s="14"/>
      <x:c r="CW136" s="14"/>
      <x:c r="CX136" s="14"/>
      <x:c r="CY136" s="14"/>
      <x:c r="CZ136" s="14"/>
      <x:c r="DC136" s="14"/>
      <x:c r="DD136" s="14"/>
      <x:c r="DI136" s="88"/>
      <x:c r="DJ136" s="88"/>
      <x:c r="DK136" s="88"/>
      <x:c r="DL136" s="88"/>
      <x:c r="DM136" s="88"/>
      <x:c r="DN136" s="88"/>
      <x:c r="DO136" s="88"/>
      <x:c r="DP136" s="88"/>
      <x:c r="DQ136" s="88"/>
      <x:c r="DR136" s="88"/>
      <x:c r="DS136" s="88"/>
    </x:row>
    <x:row r="137" ht="25" customHeight="1">
      <x:c r="A137" s="10"/>
      <x:c r="D137" s="12"/>
      <x:c r="E137" s="12"/>
      <x:c r="F137" s="12"/>
      <x:c r="G137" s="14"/>
      <x:c r="H137" s="14"/>
      <x:c r="I137" s="14"/>
      <x:c r="J137" s="14"/>
      <x:c r="N137" s="14"/>
      <x:c r="O137" s="12"/>
      <x:c r="S137" s="14"/>
      <x:c r="T137" s="12"/>
      <x:c r="V137" s="42" t="str">
        <x:f>IF($A137="","",IF(AND($U137="発射物",$DI137&lt;&gt;"パッシブ"),$BE137,0))</x:f>
      </x:c>
      <x:c r="W137" s="42" t="str">
        <x:f>IF($A137="","",IF(AND($U137="発射物",$DI137&lt;&gt;"パッシブ"),$BF137,0))</x:f>
      </x:c>
      <x:c r="X137" s="42" t="str">
        <x:f>IF($A137="","",IF(AND($U137="発射物",$DI137&lt;&gt;"パッシブ"),IF($BG137="有効","有効","無効"),"無効"))</x:f>
      </x:c>
      <x:c r="AD137" s="14"/>
      <x:c r="AE137" s="14"/>
      <x:c r="AF137" s="14"/>
      <x:c r="AH137" s="14"/>
      <x:c r="AJ137" s="14"/>
      <x:c r="AN137" s="14"/>
      <x:c r="AO137" s="14"/>
      <x:c r="AP137" s="14"/>
      <x:c r="AR137" s="14"/>
      <x:c r="AT137" s="14"/>
      <x:c r="AX137" s="14"/>
      <x:c r="AY137" s="14"/>
      <x:c r="AZ137" s="14"/>
      <x:c r="BB137" s="14"/>
      <x:c r="BD137" s="14"/>
      <x:c r="BE137" s="14"/>
      <x:c r="BF137" s="14"/>
      <x:c r="BK137" s="14"/>
      <x:c r="BM137" s="14"/>
      <x:c r="BN137" s="14"/>
      <x:c r="BP137" s="14"/>
      <x:c r="BQ137" s="14"/>
      <x:c r="BR137" s="14"/>
      <x:c r="BT137" s="14"/>
      <x:c r="BU137" s="14"/>
      <x:c r="BV137" s="14"/>
      <x:c r="BW137" s="14"/>
      <x:c r="BX137" s="14"/>
      <x:c r="BY137" s="14"/>
      <x:c r="BZ137" s="14"/>
      <x:c r="CA137" s="14"/>
      <x:c r="CB137" s="14"/>
      <x:c r="CC137" s="14"/>
      <x:c r="CD137" s="14"/>
      <x:c r="CE137" s="14"/>
      <x:c r="CF137" s="14"/>
      <x:c r="CJ137" s="14"/>
      <x:c r="CK137" s="14"/>
      <x:c r="CL137" s="14"/>
      <x:c r="CM137" s="14"/>
      <x:c r="CO137" s="14"/>
      <x:c r="CQ137" s="14"/>
      <x:c r="CS137" s="14"/>
      <x:c r="CT137" s="14"/>
      <x:c r="CU137" s="14"/>
      <x:c r="CW137" s="14"/>
      <x:c r="CX137" s="14"/>
      <x:c r="CY137" s="14"/>
      <x:c r="CZ137" s="14"/>
      <x:c r="DC137" s="14"/>
      <x:c r="DD137" s="14"/>
      <x:c r="DI137" s="88"/>
      <x:c r="DJ137" s="88"/>
      <x:c r="DK137" s="88"/>
      <x:c r="DL137" s="88"/>
      <x:c r="DM137" s="88"/>
      <x:c r="DN137" s="88"/>
      <x:c r="DO137" s="88"/>
      <x:c r="DP137" s="88"/>
      <x:c r="DQ137" s="88"/>
      <x:c r="DR137" s="88"/>
      <x:c r="DS137" s="88"/>
    </x:row>
    <x:row r="138" ht="25" customHeight="1">
      <x:c r="A138" s="10"/>
      <x:c r="D138" s="12"/>
      <x:c r="E138" s="12"/>
      <x:c r="F138" s="12"/>
      <x:c r="G138" s="14"/>
      <x:c r="H138" s="14"/>
      <x:c r="I138" s="14"/>
      <x:c r="J138" s="14"/>
      <x:c r="N138" s="14"/>
      <x:c r="O138" s="12"/>
      <x:c r="S138" s="14"/>
      <x:c r="T138" s="12"/>
      <x:c r="V138" s="42" t="str">
        <x:f>IF($A138="","",IF(AND($U138="発射物",$DI138&lt;&gt;"パッシブ"),$BE138,0))</x:f>
      </x:c>
      <x:c r="W138" s="42" t="str">
        <x:f>IF($A138="","",IF(AND($U138="発射物",$DI138&lt;&gt;"パッシブ"),$BF138,0))</x:f>
      </x:c>
      <x:c r="X138" s="42" t="str">
        <x:f>IF($A138="","",IF(AND($U138="発射物",$DI138&lt;&gt;"パッシブ"),IF($BG138="有効","有効","無効"),"無効"))</x:f>
      </x:c>
      <x:c r="AD138" s="14"/>
      <x:c r="AE138" s="14"/>
      <x:c r="AF138" s="14"/>
      <x:c r="AH138" s="14"/>
      <x:c r="AJ138" s="14"/>
      <x:c r="AN138" s="14"/>
      <x:c r="AO138" s="14"/>
      <x:c r="AP138" s="14"/>
      <x:c r="AR138" s="14"/>
      <x:c r="AT138" s="14"/>
      <x:c r="AX138" s="14"/>
      <x:c r="AY138" s="14"/>
      <x:c r="AZ138" s="14"/>
      <x:c r="BB138" s="14"/>
      <x:c r="BD138" s="14"/>
      <x:c r="BE138" s="14"/>
      <x:c r="BF138" s="14"/>
      <x:c r="BK138" s="14"/>
      <x:c r="BM138" s="14"/>
      <x:c r="BN138" s="14"/>
      <x:c r="BP138" s="14"/>
      <x:c r="BQ138" s="14"/>
      <x:c r="BR138" s="14"/>
      <x:c r="BT138" s="14"/>
      <x:c r="BU138" s="14"/>
      <x:c r="BV138" s="14"/>
      <x:c r="BW138" s="14"/>
      <x:c r="BX138" s="14"/>
      <x:c r="BY138" s="14"/>
      <x:c r="BZ138" s="14"/>
      <x:c r="CA138" s="14"/>
      <x:c r="CB138" s="14"/>
      <x:c r="CC138" s="14"/>
      <x:c r="CD138" s="14"/>
      <x:c r="CE138" s="14"/>
      <x:c r="CF138" s="14"/>
      <x:c r="CJ138" s="14"/>
      <x:c r="CK138" s="14"/>
      <x:c r="CL138" s="14"/>
      <x:c r="CM138" s="14"/>
      <x:c r="CO138" s="14"/>
      <x:c r="CQ138" s="14"/>
      <x:c r="CS138" s="14"/>
      <x:c r="CT138" s="14"/>
      <x:c r="CU138" s="14"/>
      <x:c r="CW138" s="14"/>
      <x:c r="CX138" s="14"/>
      <x:c r="CY138" s="14"/>
      <x:c r="CZ138" s="14"/>
      <x:c r="DC138" s="14"/>
      <x:c r="DD138" s="14"/>
      <x:c r="DI138" s="88"/>
      <x:c r="DJ138" s="88"/>
      <x:c r="DK138" s="88"/>
      <x:c r="DL138" s="88"/>
      <x:c r="DM138" s="88"/>
      <x:c r="DN138" s="88"/>
      <x:c r="DO138" s="88"/>
      <x:c r="DP138" s="88"/>
      <x:c r="DQ138" s="88"/>
      <x:c r="DR138" s="88"/>
      <x:c r="DS138" s="88"/>
    </x:row>
    <x:row r="139" ht="25" customHeight="1">
      <x:c r="A139" s="10"/>
      <x:c r="D139" s="12"/>
      <x:c r="E139" s="12"/>
      <x:c r="F139" s="12"/>
      <x:c r="G139" s="14"/>
      <x:c r="H139" s="14"/>
      <x:c r="I139" s="14"/>
      <x:c r="J139" s="14"/>
      <x:c r="N139" s="14"/>
      <x:c r="O139" s="12"/>
      <x:c r="S139" s="14"/>
      <x:c r="T139" s="12"/>
      <x:c r="V139" s="42" t="str">
        <x:f>IF($A139="","",IF(AND($U139="発射物",$DI139&lt;&gt;"パッシブ"),$BE139,0))</x:f>
      </x:c>
      <x:c r="W139" s="42" t="str">
        <x:f>IF($A139="","",IF(AND($U139="発射物",$DI139&lt;&gt;"パッシブ"),$BF139,0))</x:f>
      </x:c>
      <x:c r="X139" s="42" t="str">
        <x:f>IF($A139="","",IF(AND($U139="発射物",$DI139&lt;&gt;"パッシブ"),IF($BG139="有効","有効","無効"),"無効"))</x:f>
      </x:c>
      <x:c r="AD139" s="14"/>
      <x:c r="AE139" s="14"/>
      <x:c r="AF139" s="14"/>
      <x:c r="AH139" s="14"/>
      <x:c r="AJ139" s="14"/>
      <x:c r="AN139" s="14"/>
      <x:c r="AO139" s="14"/>
      <x:c r="AP139" s="14"/>
      <x:c r="AR139" s="14"/>
      <x:c r="AT139" s="14"/>
      <x:c r="AX139" s="14"/>
      <x:c r="AY139" s="14"/>
      <x:c r="AZ139" s="14"/>
      <x:c r="BB139" s="14"/>
      <x:c r="BD139" s="14"/>
      <x:c r="BE139" s="14"/>
      <x:c r="BF139" s="14"/>
      <x:c r="BK139" s="14"/>
      <x:c r="BM139" s="14"/>
      <x:c r="BN139" s="14"/>
      <x:c r="BP139" s="14"/>
      <x:c r="BQ139" s="14"/>
      <x:c r="BR139" s="14"/>
      <x:c r="BT139" s="14"/>
      <x:c r="BU139" s="14"/>
      <x:c r="BV139" s="14"/>
      <x:c r="BW139" s="14"/>
      <x:c r="BX139" s="14"/>
      <x:c r="BY139" s="14"/>
      <x:c r="BZ139" s="14"/>
      <x:c r="CA139" s="14"/>
      <x:c r="CB139" s="14"/>
      <x:c r="CC139" s="14"/>
      <x:c r="CD139" s="14"/>
      <x:c r="CE139" s="14"/>
      <x:c r="CF139" s="14"/>
      <x:c r="CJ139" s="14"/>
      <x:c r="CK139" s="14"/>
      <x:c r="CL139" s="14"/>
      <x:c r="CM139" s="14"/>
      <x:c r="CO139" s="14"/>
      <x:c r="CQ139" s="14"/>
      <x:c r="CS139" s="14"/>
      <x:c r="CT139" s="14"/>
      <x:c r="CU139" s="14"/>
      <x:c r="CW139" s="14"/>
      <x:c r="CX139" s="14"/>
      <x:c r="CY139" s="14"/>
      <x:c r="CZ139" s="14"/>
      <x:c r="DC139" s="14"/>
      <x:c r="DD139" s="14"/>
      <x:c r="DI139" s="88"/>
      <x:c r="DJ139" s="88"/>
      <x:c r="DK139" s="88"/>
      <x:c r="DL139" s="88"/>
      <x:c r="DM139" s="88"/>
      <x:c r="DN139" s="88"/>
      <x:c r="DO139" s="88"/>
      <x:c r="DP139" s="88"/>
      <x:c r="DQ139" s="88"/>
      <x:c r="DR139" s="88"/>
      <x:c r="DS139" s="88"/>
    </x:row>
    <x:row r="140" ht="25" customHeight="1">
      <x:c r="A140" s="10"/>
      <x:c r="D140" s="12"/>
      <x:c r="E140" s="12"/>
      <x:c r="F140" s="12"/>
      <x:c r="G140" s="14"/>
      <x:c r="H140" s="14"/>
      <x:c r="I140" s="14"/>
      <x:c r="J140" s="14"/>
      <x:c r="N140" s="14"/>
      <x:c r="O140" s="12"/>
      <x:c r="S140" s="14"/>
      <x:c r="T140" s="12"/>
      <x:c r="V140" s="42" t="str">
        <x:f>IF($A140="","",IF(AND($U140="発射物",$DI140&lt;&gt;"パッシブ"),$BE140,0))</x:f>
      </x:c>
      <x:c r="W140" s="42" t="str">
        <x:f>IF($A140="","",IF(AND($U140="発射物",$DI140&lt;&gt;"パッシブ"),$BF140,0))</x:f>
      </x:c>
      <x:c r="X140" s="42" t="str">
        <x:f>IF($A140="","",IF(AND($U140="発射物",$DI140&lt;&gt;"パッシブ"),IF($BG140="有効","有効","無効"),"無効"))</x:f>
      </x:c>
      <x:c r="AD140" s="14"/>
      <x:c r="AE140" s="14"/>
      <x:c r="AF140" s="14"/>
      <x:c r="AH140" s="14"/>
      <x:c r="AJ140" s="14"/>
      <x:c r="AN140" s="14"/>
      <x:c r="AO140" s="14"/>
      <x:c r="AP140" s="14"/>
      <x:c r="AR140" s="14"/>
      <x:c r="AT140" s="14"/>
      <x:c r="AX140" s="14"/>
      <x:c r="AY140" s="14"/>
      <x:c r="AZ140" s="14"/>
      <x:c r="BB140" s="14"/>
      <x:c r="BD140" s="14"/>
      <x:c r="BE140" s="14"/>
      <x:c r="BF140" s="14"/>
      <x:c r="BK140" s="14"/>
      <x:c r="BM140" s="14"/>
      <x:c r="BN140" s="14"/>
      <x:c r="BP140" s="14"/>
      <x:c r="BQ140" s="14"/>
      <x:c r="BR140" s="14"/>
      <x:c r="BT140" s="14"/>
      <x:c r="BU140" s="14"/>
      <x:c r="BV140" s="14"/>
      <x:c r="BW140" s="14"/>
      <x:c r="BX140" s="14"/>
      <x:c r="BY140" s="14"/>
      <x:c r="BZ140" s="14"/>
      <x:c r="CA140" s="14"/>
      <x:c r="CB140" s="14"/>
      <x:c r="CC140" s="14"/>
      <x:c r="CD140" s="14"/>
      <x:c r="CE140" s="14"/>
      <x:c r="CF140" s="14"/>
      <x:c r="CJ140" s="14"/>
      <x:c r="CK140" s="14"/>
      <x:c r="CL140" s="14"/>
      <x:c r="CM140" s="14"/>
      <x:c r="CO140" s="14"/>
      <x:c r="CQ140" s="14"/>
      <x:c r="CS140" s="14"/>
      <x:c r="CT140" s="14"/>
      <x:c r="CU140" s="14"/>
      <x:c r="CW140" s="14"/>
      <x:c r="CX140" s="14"/>
      <x:c r="CY140" s="14"/>
      <x:c r="CZ140" s="14"/>
      <x:c r="DC140" s="14"/>
      <x:c r="DD140" s="14"/>
      <x:c r="DI140" s="88"/>
      <x:c r="DJ140" s="88"/>
      <x:c r="DK140" s="88"/>
      <x:c r="DL140" s="88"/>
      <x:c r="DM140" s="88"/>
      <x:c r="DN140" s="88"/>
      <x:c r="DO140" s="88"/>
      <x:c r="DP140" s="88"/>
      <x:c r="DQ140" s="88"/>
      <x:c r="DR140" s="88"/>
      <x:c r="DS140" s="88"/>
    </x:row>
    <x:row r="141" ht="25" customHeight="1">
      <x:c r="A141" s="10"/>
      <x:c r="D141" s="12"/>
      <x:c r="E141" s="12"/>
      <x:c r="F141" s="12"/>
      <x:c r="G141" s="14"/>
      <x:c r="H141" s="14"/>
      <x:c r="I141" s="14"/>
      <x:c r="J141" s="14"/>
      <x:c r="N141" s="14"/>
      <x:c r="O141" s="12"/>
      <x:c r="S141" s="14"/>
      <x:c r="T141" s="12"/>
      <x:c r="V141" s="42" t="str">
        <x:f>IF($A141="","",IF(AND($U141="発射物",$DI141&lt;&gt;"パッシブ"),$BE141,0))</x:f>
      </x:c>
      <x:c r="W141" s="42" t="str">
        <x:f>IF($A141="","",IF(AND($U141="発射物",$DI141&lt;&gt;"パッシブ"),$BF141,0))</x:f>
      </x:c>
      <x:c r="X141" s="42" t="str">
        <x:f>IF($A141="","",IF(AND($U141="発射物",$DI141&lt;&gt;"パッシブ"),IF($BG141="有効","有効","無効"),"無効"))</x:f>
      </x:c>
      <x:c r="AD141" s="14"/>
      <x:c r="AE141" s="14"/>
      <x:c r="AF141" s="14"/>
      <x:c r="AH141" s="14"/>
      <x:c r="AJ141" s="14"/>
      <x:c r="AN141" s="14"/>
      <x:c r="AO141" s="14"/>
      <x:c r="AP141" s="14"/>
      <x:c r="AR141" s="14"/>
      <x:c r="AT141" s="14"/>
      <x:c r="AX141" s="14"/>
      <x:c r="AY141" s="14"/>
      <x:c r="AZ141" s="14"/>
      <x:c r="BB141" s="14"/>
      <x:c r="BD141" s="14"/>
      <x:c r="BE141" s="14"/>
      <x:c r="BF141" s="14"/>
      <x:c r="BK141" s="14"/>
      <x:c r="BM141" s="14"/>
      <x:c r="BN141" s="14"/>
      <x:c r="BP141" s="14"/>
      <x:c r="BQ141" s="14"/>
      <x:c r="BR141" s="14"/>
      <x:c r="BT141" s="14"/>
      <x:c r="BU141" s="14"/>
      <x:c r="BV141" s="14"/>
      <x:c r="BW141" s="14"/>
      <x:c r="BX141" s="14"/>
      <x:c r="BY141" s="14"/>
      <x:c r="BZ141" s="14"/>
      <x:c r="CA141" s="14"/>
      <x:c r="CB141" s="14"/>
      <x:c r="CC141" s="14"/>
      <x:c r="CD141" s="14"/>
      <x:c r="CE141" s="14"/>
      <x:c r="CF141" s="14"/>
      <x:c r="CJ141" s="14"/>
      <x:c r="CK141" s="14"/>
      <x:c r="CL141" s="14"/>
      <x:c r="CM141" s="14"/>
      <x:c r="CO141" s="14"/>
      <x:c r="CQ141" s="14"/>
      <x:c r="CS141" s="14"/>
      <x:c r="CT141" s="14"/>
      <x:c r="CU141" s="14"/>
      <x:c r="CW141" s="14"/>
      <x:c r="CX141" s="14"/>
      <x:c r="CY141" s="14"/>
      <x:c r="CZ141" s="14"/>
      <x:c r="DC141" s="14"/>
      <x:c r="DD141" s="14"/>
      <x:c r="DI141" s="88"/>
      <x:c r="DJ141" s="88"/>
      <x:c r="DK141" s="88"/>
      <x:c r="DL141" s="88"/>
      <x:c r="DM141" s="88"/>
      <x:c r="DN141" s="88"/>
      <x:c r="DO141" s="88"/>
      <x:c r="DP141" s="88"/>
      <x:c r="DQ141" s="88"/>
      <x:c r="DR141" s="88"/>
      <x:c r="DS141" s="88"/>
    </x:row>
    <x:row r="142" ht="25" customHeight="1">
      <x:c r="A142" s="10"/>
      <x:c r="D142" s="12"/>
      <x:c r="E142" s="12"/>
      <x:c r="F142" s="12"/>
      <x:c r="G142" s="14"/>
      <x:c r="H142" s="14"/>
      <x:c r="I142" s="14"/>
      <x:c r="J142" s="14"/>
      <x:c r="N142" s="14"/>
      <x:c r="O142" s="12"/>
      <x:c r="S142" s="14"/>
      <x:c r="T142" s="12"/>
      <x:c r="V142" s="42" t="str">
        <x:f>IF($A142="","",IF(AND($U142="発射物",$DI142&lt;&gt;"パッシブ"),$BE142,0))</x:f>
      </x:c>
      <x:c r="W142" s="42" t="str">
        <x:f>IF($A142="","",IF(AND($U142="発射物",$DI142&lt;&gt;"パッシブ"),$BF142,0))</x:f>
      </x:c>
      <x:c r="X142" s="42" t="str">
        <x:f>IF($A142="","",IF(AND($U142="発射物",$DI142&lt;&gt;"パッシブ"),IF($BG142="有効","有効","無効"),"無効"))</x:f>
      </x:c>
      <x:c r="AD142" s="14"/>
      <x:c r="AE142" s="14"/>
      <x:c r="AF142" s="14"/>
      <x:c r="AH142" s="14"/>
      <x:c r="AJ142" s="14"/>
      <x:c r="AN142" s="14"/>
      <x:c r="AO142" s="14"/>
      <x:c r="AP142" s="14"/>
      <x:c r="AR142" s="14"/>
      <x:c r="AT142" s="14"/>
      <x:c r="AX142" s="14"/>
      <x:c r="AY142" s="14"/>
      <x:c r="AZ142" s="14"/>
      <x:c r="BB142" s="14"/>
      <x:c r="BD142" s="14"/>
      <x:c r="BE142" s="14"/>
      <x:c r="BF142" s="14"/>
      <x:c r="BK142" s="14"/>
      <x:c r="BM142" s="14"/>
      <x:c r="BN142" s="14"/>
      <x:c r="BP142" s="14"/>
      <x:c r="BQ142" s="14"/>
      <x:c r="BR142" s="14"/>
      <x:c r="BT142" s="14"/>
      <x:c r="BU142" s="14"/>
      <x:c r="BV142" s="14"/>
      <x:c r="BW142" s="14"/>
      <x:c r="BX142" s="14"/>
      <x:c r="BY142" s="14"/>
      <x:c r="BZ142" s="14"/>
      <x:c r="CA142" s="14"/>
      <x:c r="CB142" s="14"/>
      <x:c r="CC142" s="14"/>
      <x:c r="CD142" s="14"/>
      <x:c r="CE142" s="14"/>
      <x:c r="CF142" s="14"/>
      <x:c r="CJ142" s="14"/>
      <x:c r="CK142" s="14"/>
      <x:c r="CL142" s="14"/>
      <x:c r="CM142" s="14"/>
      <x:c r="CO142" s="14"/>
      <x:c r="CQ142" s="14"/>
      <x:c r="CS142" s="14"/>
      <x:c r="CT142" s="14"/>
      <x:c r="CU142" s="14"/>
      <x:c r="CW142" s="14"/>
      <x:c r="CX142" s="14"/>
      <x:c r="CY142" s="14"/>
      <x:c r="CZ142" s="14"/>
      <x:c r="DC142" s="14"/>
      <x:c r="DD142" s="14"/>
      <x:c r="DI142" s="88"/>
      <x:c r="DJ142" s="88"/>
      <x:c r="DK142" s="88"/>
      <x:c r="DL142" s="88"/>
      <x:c r="DM142" s="88"/>
      <x:c r="DN142" s="88"/>
      <x:c r="DO142" s="88"/>
      <x:c r="DP142" s="88"/>
      <x:c r="DQ142" s="88"/>
      <x:c r="DR142" s="88"/>
      <x:c r="DS142" s="88"/>
    </x:row>
    <x:row r="143" ht="25" customHeight="1">
      <x:c r="A143" s="10"/>
      <x:c r="D143" s="12"/>
      <x:c r="E143" s="12"/>
      <x:c r="F143" s="12"/>
      <x:c r="G143" s="14"/>
      <x:c r="H143" s="14"/>
      <x:c r="I143" s="14"/>
      <x:c r="J143" s="14"/>
      <x:c r="N143" s="14"/>
      <x:c r="O143" s="12"/>
      <x:c r="S143" s="14"/>
      <x:c r="T143" s="12"/>
      <x:c r="V143" s="42" t="str">
        <x:f>IF($A143="","",IF(AND($U143="発射物",$DI143&lt;&gt;"パッシブ"),$BE143,0))</x:f>
      </x:c>
      <x:c r="W143" s="42" t="str">
        <x:f>IF($A143="","",IF(AND($U143="発射物",$DI143&lt;&gt;"パッシブ"),$BF143,0))</x:f>
      </x:c>
      <x:c r="X143" s="42" t="str">
        <x:f>IF($A143="","",IF(AND($U143="発射物",$DI143&lt;&gt;"パッシブ"),IF($BG143="有効","有効","無効"),"無効"))</x:f>
      </x:c>
      <x:c r="AD143" s="14"/>
      <x:c r="AE143" s="14"/>
      <x:c r="AF143" s="14"/>
      <x:c r="AH143" s="14"/>
      <x:c r="AJ143" s="14"/>
      <x:c r="AN143" s="14"/>
      <x:c r="AO143" s="14"/>
      <x:c r="AP143" s="14"/>
      <x:c r="AR143" s="14"/>
      <x:c r="AT143" s="14"/>
      <x:c r="AX143" s="14"/>
      <x:c r="AY143" s="14"/>
      <x:c r="AZ143" s="14"/>
      <x:c r="BB143" s="14"/>
      <x:c r="BD143" s="14"/>
      <x:c r="BE143" s="14"/>
      <x:c r="BF143" s="14"/>
      <x:c r="BK143" s="14"/>
      <x:c r="BM143" s="14"/>
      <x:c r="BN143" s="14"/>
      <x:c r="BP143" s="14"/>
      <x:c r="BQ143" s="14"/>
      <x:c r="BR143" s="14"/>
      <x:c r="BT143" s="14"/>
      <x:c r="BU143" s="14"/>
      <x:c r="BV143" s="14"/>
      <x:c r="BW143" s="14"/>
      <x:c r="BX143" s="14"/>
      <x:c r="BY143" s="14"/>
      <x:c r="BZ143" s="14"/>
      <x:c r="CA143" s="14"/>
      <x:c r="CB143" s="14"/>
      <x:c r="CC143" s="14"/>
      <x:c r="CD143" s="14"/>
      <x:c r="CE143" s="14"/>
      <x:c r="CF143" s="14"/>
      <x:c r="CJ143" s="14"/>
      <x:c r="CK143" s="14"/>
      <x:c r="CL143" s="14"/>
      <x:c r="CM143" s="14"/>
      <x:c r="CO143" s="14"/>
      <x:c r="CQ143" s="14"/>
      <x:c r="CS143" s="14"/>
      <x:c r="CT143" s="14"/>
      <x:c r="CU143" s="14"/>
      <x:c r="CW143" s="14"/>
      <x:c r="CX143" s="14"/>
      <x:c r="CY143" s="14"/>
      <x:c r="CZ143" s="14"/>
      <x:c r="DC143" s="14"/>
      <x:c r="DD143" s="14"/>
      <x:c r="DI143" s="88"/>
      <x:c r="DJ143" s="88"/>
      <x:c r="DK143" s="88"/>
      <x:c r="DL143" s="88"/>
      <x:c r="DM143" s="88"/>
      <x:c r="DN143" s="88"/>
      <x:c r="DO143" s="88"/>
      <x:c r="DP143" s="88"/>
      <x:c r="DQ143" s="88"/>
      <x:c r="DR143" s="88"/>
      <x:c r="DS143" s="88"/>
    </x:row>
    <x:row r="144" ht="25" customHeight="1">
      <x:c r="A144" s="10"/>
      <x:c r="D144" s="12"/>
      <x:c r="E144" s="12"/>
      <x:c r="F144" s="12"/>
      <x:c r="G144" s="14"/>
      <x:c r="H144" s="14"/>
      <x:c r="I144" s="14"/>
      <x:c r="J144" s="14"/>
      <x:c r="N144" s="14"/>
      <x:c r="O144" s="12"/>
      <x:c r="S144" s="14"/>
      <x:c r="T144" s="12"/>
      <x:c r="V144" s="42" t="str">
        <x:f>IF($A144="","",IF(AND($U144="発射物",$DI144&lt;&gt;"パッシブ"),$BE144,0))</x:f>
      </x:c>
      <x:c r="W144" s="42" t="str">
        <x:f>IF($A144="","",IF(AND($U144="発射物",$DI144&lt;&gt;"パッシブ"),$BF144,0))</x:f>
      </x:c>
      <x:c r="X144" s="42" t="str">
        <x:f>IF($A144="","",IF(AND($U144="発射物",$DI144&lt;&gt;"パッシブ"),IF($BG144="有効","有効","無効"),"無効"))</x:f>
      </x:c>
      <x:c r="AD144" s="14"/>
      <x:c r="AE144" s="14"/>
      <x:c r="AF144" s="14"/>
      <x:c r="AH144" s="14"/>
      <x:c r="AJ144" s="14"/>
      <x:c r="AN144" s="14"/>
      <x:c r="AO144" s="14"/>
      <x:c r="AP144" s="14"/>
      <x:c r="AR144" s="14"/>
      <x:c r="AT144" s="14"/>
      <x:c r="AX144" s="14"/>
      <x:c r="AY144" s="14"/>
      <x:c r="AZ144" s="14"/>
      <x:c r="BB144" s="14"/>
      <x:c r="BD144" s="14"/>
      <x:c r="BE144" s="14"/>
      <x:c r="BF144" s="14"/>
      <x:c r="BK144" s="14"/>
      <x:c r="BM144" s="14"/>
      <x:c r="BN144" s="14"/>
      <x:c r="BP144" s="14"/>
      <x:c r="BQ144" s="14"/>
      <x:c r="BR144" s="14"/>
      <x:c r="BT144" s="14"/>
      <x:c r="BU144" s="14"/>
      <x:c r="BV144" s="14"/>
      <x:c r="BW144" s="14"/>
      <x:c r="BX144" s="14"/>
      <x:c r="BY144" s="14"/>
      <x:c r="BZ144" s="14"/>
      <x:c r="CA144" s="14"/>
      <x:c r="CB144" s="14"/>
      <x:c r="CC144" s="14"/>
      <x:c r="CD144" s="14"/>
      <x:c r="CE144" s="14"/>
      <x:c r="CF144" s="14"/>
      <x:c r="CJ144" s="14"/>
      <x:c r="CK144" s="14"/>
      <x:c r="CL144" s="14"/>
      <x:c r="CM144" s="14"/>
      <x:c r="CO144" s="14"/>
      <x:c r="CQ144" s="14"/>
      <x:c r="CS144" s="14"/>
      <x:c r="CT144" s="14"/>
      <x:c r="CU144" s="14"/>
      <x:c r="CW144" s="14"/>
      <x:c r="CX144" s="14"/>
      <x:c r="CY144" s="14"/>
      <x:c r="CZ144" s="14"/>
      <x:c r="DC144" s="14"/>
      <x:c r="DD144" s="14"/>
      <x:c r="DI144" s="88"/>
      <x:c r="DJ144" s="88"/>
      <x:c r="DK144" s="88"/>
      <x:c r="DL144" s="88"/>
      <x:c r="DM144" s="88"/>
      <x:c r="DN144" s="88"/>
      <x:c r="DO144" s="88"/>
      <x:c r="DP144" s="88"/>
      <x:c r="DQ144" s="88"/>
      <x:c r="DR144" s="88"/>
      <x:c r="DS144" s="88"/>
    </x:row>
    <x:row r="145" ht="25" customHeight="1">
      <x:c r="A145" s="10"/>
      <x:c r="D145" s="12"/>
      <x:c r="E145" s="12"/>
      <x:c r="F145" s="12"/>
      <x:c r="G145" s="14"/>
      <x:c r="H145" s="14"/>
      <x:c r="I145" s="14"/>
      <x:c r="J145" s="14"/>
      <x:c r="N145" s="14"/>
      <x:c r="O145" s="12"/>
      <x:c r="S145" s="14"/>
      <x:c r="T145" s="12"/>
      <x:c r="V145" s="42" t="str">
        <x:f>IF($A145="","",IF(AND($U145="発射物",$DI145&lt;&gt;"パッシブ"),$BE145,0))</x:f>
      </x:c>
      <x:c r="W145" s="42" t="str">
        <x:f>IF($A145="","",IF(AND($U145="発射物",$DI145&lt;&gt;"パッシブ"),$BF145,0))</x:f>
      </x:c>
      <x:c r="X145" s="42" t="str">
        <x:f>IF($A145="","",IF(AND($U145="発射物",$DI145&lt;&gt;"パッシブ"),IF($BG145="有効","有効","無効"),"無効"))</x:f>
      </x:c>
      <x:c r="AD145" s="14"/>
      <x:c r="AE145" s="14"/>
      <x:c r="AF145" s="14"/>
      <x:c r="AH145" s="14"/>
      <x:c r="AJ145" s="14"/>
      <x:c r="AN145" s="14"/>
      <x:c r="AO145" s="14"/>
      <x:c r="AP145" s="14"/>
      <x:c r="AR145" s="14"/>
      <x:c r="AT145" s="14"/>
      <x:c r="AX145" s="14"/>
      <x:c r="AY145" s="14"/>
      <x:c r="AZ145" s="14"/>
      <x:c r="BB145" s="14"/>
      <x:c r="BD145" s="14"/>
      <x:c r="BE145" s="14"/>
      <x:c r="BF145" s="14"/>
      <x:c r="BK145" s="14"/>
      <x:c r="BM145" s="14"/>
      <x:c r="BN145" s="14"/>
      <x:c r="BP145" s="14"/>
      <x:c r="BQ145" s="14"/>
      <x:c r="BR145" s="14"/>
      <x:c r="BT145" s="14"/>
      <x:c r="BU145" s="14"/>
      <x:c r="BV145" s="14"/>
      <x:c r="BW145" s="14"/>
      <x:c r="BX145" s="14"/>
      <x:c r="BY145" s="14"/>
      <x:c r="BZ145" s="14"/>
      <x:c r="CA145" s="14"/>
      <x:c r="CB145" s="14"/>
      <x:c r="CC145" s="14"/>
      <x:c r="CD145" s="14"/>
      <x:c r="CE145" s="14"/>
      <x:c r="CF145" s="14"/>
      <x:c r="CJ145" s="14"/>
      <x:c r="CK145" s="14"/>
      <x:c r="CL145" s="14"/>
      <x:c r="CM145" s="14"/>
      <x:c r="CO145" s="14"/>
      <x:c r="CQ145" s="14"/>
      <x:c r="CS145" s="14"/>
      <x:c r="CT145" s="14"/>
      <x:c r="CU145" s="14"/>
      <x:c r="CW145" s="14"/>
      <x:c r="CX145" s="14"/>
      <x:c r="CY145" s="14"/>
      <x:c r="CZ145" s="14"/>
      <x:c r="DC145" s="14"/>
      <x:c r="DD145" s="14"/>
      <x:c r="DI145" s="88"/>
      <x:c r="DJ145" s="88"/>
      <x:c r="DK145" s="88"/>
      <x:c r="DL145" s="88"/>
      <x:c r="DM145" s="88"/>
      <x:c r="DN145" s="88"/>
      <x:c r="DO145" s="88"/>
      <x:c r="DP145" s="88"/>
      <x:c r="DQ145" s="88"/>
      <x:c r="DR145" s="88"/>
      <x:c r="DS145" s="88"/>
    </x:row>
    <x:row r="146" ht="25" customHeight="1">
      <x:c r="A146" s="10"/>
      <x:c r="D146" s="12"/>
      <x:c r="E146" s="12"/>
      <x:c r="F146" s="12"/>
      <x:c r="G146" s="14"/>
      <x:c r="H146" s="14"/>
      <x:c r="I146" s="14"/>
      <x:c r="J146" s="14"/>
      <x:c r="N146" s="14"/>
      <x:c r="O146" s="12"/>
      <x:c r="S146" s="14"/>
      <x:c r="T146" s="12"/>
      <x:c r="V146" s="42" t="str">
        <x:f>IF($A146="","",IF(AND($U146="発射物",$DI146&lt;&gt;"パッシブ"),$BE146,0))</x:f>
      </x:c>
      <x:c r="W146" s="42" t="str">
        <x:f>IF($A146="","",IF(AND($U146="発射物",$DI146&lt;&gt;"パッシブ"),$BF146,0))</x:f>
      </x:c>
      <x:c r="X146" s="42" t="str">
        <x:f>IF($A146="","",IF(AND($U146="発射物",$DI146&lt;&gt;"パッシブ"),IF($BG146="有効","有効","無効"),"無効"))</x:f>
      </x:c>
      <x:c r="AD146" s="14"/>
      <x:c r="AE146" s="14"/>
      <x:c r="AF146" s="14"/>
      <x:c r="AH146" s="14"/>
      <x:c r="AJ146" s="14"/>
      <x:c r="AN146" s="14"/>
      <x:c r="AO146" s="14"/>
      <x:c r="AP146" s="14"/>
      <x:c r="AR146" s="14"/>
      <x:c r="AT146" s="14"/>
      <x:c r="AX146" s="14"/>
      <x:c r="AY146" s="14"/>
      <x:c r="AZ146" s="14"/>
      <x:c r="BB146" s="14"/>
      <x:c r="BD146" s="14"/>
      <x:c r="BE146" s="14"/>
      <x:c r="BF146" s="14"/>
      <x:c r="BK146" s="14"/>
      <x:c r="BM146" s="14"/>
      <x:c r="BN146" s="14"/>
      <x:c r="BP146" s="14"/>
      <x:c r="BQ146" s="14"/>
      <x:c r="BR146" s="14"/>
      <x:c r="BT146" s="14"/>
      <x:c r="BU146" s="14"/>
      <x:c r="BV146" s="14"/>
      <x:c r="BW146" s="14"/>
      <x:c r="BX146" s="14"/>
      <x:c r="BY146" s="14"/>
      <x:c r="BZ146" s="14"/>
      <x:c r="CA146" s="14"/>
      <x:c r="CB146" s="14"/>
      <x:c r="CC146" s="14"/>
      <x:c r="CD146" s="14"/>
      <x:c r="CE146" s="14"/>
      <x:c r="CF146" s="14"/>
      <x:c r="CJ146" s="14"/>
      <x:c r="CK146" s="14"/>
      <x:c r="CL146" s="14"/>
      <x:c r="CM146" s="14"/>
      <x:c r="CO146" s="14"/>
      <x:c r="CQ146" s="14"/>
      <x:c r="CS146" s="14"/>
      <x:c r="CT146" s="14"/>
      <x:c r="CU146" s="14"/>
      <x:c r="CW146" s="14"/>
      <x:c r="CX146" s="14"/>
      <x:c r="CY146" s="14"/>
      <x:c r="CZ146" s="14"/>
      <x:c r="DC146" s="14"/>
      <x:c r="DD146" s="14"/>
      <x:c r="DI146" s="88"/>
      <x:c r="DJ146" s="88"/>
      <x:c r="DK146" s="88"/>
      <x:c r="DL146" s="88"/>
      <x:c r="DM146" s="88"/>
      <x:c r="DN146" s="88"/>
      <x:c r="DO146" s="88"/>
      <x:c r="DP146" s="88"/>
      <x:c r="DQ146" s="88"/>
      <x:c r="DR146" s="88"/>
      <x:c r="DS146" s="88"/>
    </x:row>
    <x:row r="147" ht="25" customHeight="1">
      <x:c r="A147" s="10"/>
      <x:c r="D147" s="12"/>
      <x:c r="E147" s="12"/>
      <x:c r="F147" s="12"/>
      <x:c r="G147" s="14"/>
      <x:c r="H147" s="14"/>
      <x:c r="I147" s="14"/>
      <x:c r="J147" s="14"/>
      <x:c r="N147" s="14"/>
      <x:c r="O147" s="12"/>
      <x:c r="S147" s="14"/>
      <x:c r="T147" s="12"/>
      <x:c r="V147" s="42" t="str">
        <x:f>IF($A147="","",IF(AND($U147="発射物",$DI147&lt;&gt;"パッシブ"),$BE147,0))</x:f>
      </x:c>
      <x:c r="W147" s="42" t="str">
        <x:f>IF($A147="","",IF(AND($U147="発射物",$DI147&lt;&gt;"パッシブ"),$BF147,0))</x:f>
      </x:c>
      <x:c r="X147" s="42" t="str">
        <x:f>IF($A147="","",IF(AND($U147="発射物",$DI147&lt;&gt;"パッシブ"),IF($BG147="有効","有効","無効"),"無効"))</x:f>
      </x:c>
      <x:c r="AD147" s="14"/>
      <x:c r="AE147" s="14"/>
      <x:c r="AF147" s="14"/>
      <x:c r="AH147" s="14"/>
      <x:c r="AJ147" s="14"/>
      <x:c r="AN147" s="14"/>
      <x:c r="AO147" s="14"/>
      <x:c r="AP147" s="14"/>
      <x:c r="AR147" s="14"/>
      <x:c r="AT147" s="14"/>
      <x:c r="AX147" s="14"/>
      <x:c r="AY147" s="14"/>
      <x:c r="AZ147" s="14"/>
      <x:c r="BB147" s="14"/>
      <x:c r="BD147" s="14"/>
      <x:c r="BE147" s="14"/>
      <x:c r="BF147" s="14"/>
      <x:c r="BK147" s="14"/>
      <x:c r="BM147" s="14"/>
      <x:c r="BN147" s="14"/>
      <x:c r="BP147" s="14"/>
      <x:c r="BQ147" s="14"/>
      <x:c r="BR147" s="14"/>
      <x:c r="BT147" s="14"/>
      <x:c r="BU147" s="14"/>
      <x:c r="BV147" s="14"/>
      <x:c r="BW147" s="14"/>
      <x:c r="BX147" s="14"/>
      <x:c r="BY147" s="14"/>
      <x:c r="BZ147" s="14"/>
      <x:c r="CA147" s="14"/>
      <x:c r="CB147" s="14"/>
      <x:c r="CC147" s="14"/>
      <x:c r="CD147" s="14"/>
      <x:c r="CE147" s="14"/>
      <x:c r="CF147" s="14"/>
      <x:c r="CJ147" s="14"/>
      <x:c r="CK147" s="14"/>
      <x:c r="CL147" s="14"/>
      <x:c r="CM147" s="14"/>
      <x:c r="CO147" s="14"/>
      <x:c r="CQ147" s="14"/>
      <x:c r="CS147" s="14"/>
      <x:c r="CT147" s="14"/>
      <x:c r="CU147" s="14"/>
      <x:c r="CW147" s="14"/>
      <x:c r="CX147" s="14"/>
      <x:c r="CY147" s="14"/>
      <x:c r="CZ147" s="14"/>
      <x:c r="DC147" s="14"/>
      <x:c r="DD147" s="14"/>
      <x:c r="DI147" s="88"/>
      <x:c r="DJ147" s="88"/>
      <x:c r="DK147" s="88"/>
      <x:c r="DL147" s="88"/>
      <x:c r="DM147" s="88"/>
      <x:c r="DN147" s="88"/>
      <x:c r="DO147" s="88"/>
      <x:c r="DP147" s="88"/>
      <x:c r="DQ147" s="88"/>
      <x:c r="DR147" s="88"/>
      <x:c r="DS147" s="88"/>
    </x:row>
    <x:row r="148" ht="25" customHeight="1">
      <x:c r="A148" s="10"/>
      <x:c r="D148" s="12"/>
      <x:c r="E148" s="12"/>
      <x:c r="F148" s="12"/>
      <x:c r="G148" s="14"/>
      <x:c r="H148" s="14"/>
      <x:c r="I148" s="14"/>
      <x:c r="J148" s="14"/>
      <x:c r="N148" s="14"/>
      <x:c r="O148" s="12"/>
      <x:c r="S148" s="14"/>
      <x:c r="T148" s="12"/>
      <x:c r="V148" s="42" t="str">
        <x:f>IF($A148="","",IF(AND($U148="発射物",$DI148&lt;&gt;"パッシブ"),$BE148,0))</x:f>
      </x:c>
      <x:c r="W148" s="42" t="str">
        <x:f>IF($A148="","",IF(AND($U148="発射物",$DI148&lt;&gt;"パッシブ"),$BF148,0))</x:f>
      </x:c>
      <x:c r="X148" s="42" t="str">
        <x:f>IF($A148="","",IF(AND($U148="発射物",$DI148&lt;&gt;"パッシブ"),IF($BG148="有効","有効","無効"),"無効"))</x:f>
      </x:c>
      <x:c r="AD148" s="14"/>
      <x:c r="AE148" s="14"/>
      <x:c r="AF148" s="14"/>
      <x:c r="AH148" s="14"/>
      <x:c r="AJ148" s="14"/>
      <x:c r="AN148" s="14"/>
      <x:c r="AO148" s="14"/>
      <x:c r="AP148" s="14"/>
      <x:c r="AR148" s="14"/>
      <x:c r="AT148" s="14"/>
      <x:c r="AX148" s="14"/>
      <x:c r="AY148" s="14"/>
      <x:c r="AZ148" s="14"/>
      <x:c r="BB148" s="14"/>
      <x:c r="BD148" s="14"/>
      <x:c r="BE148" s="14"/>
      <x:c r="BF148" s="14"/>
      <x:c r="BK148" s="14"/>
      <x:c r="BM148" s="14"/>
      <x:c r="BN148" s="14"/>
      <x:c r="BP148" s="14"/>
      <x:c r="BQ148" s="14"/>
      <x:c r="BR148" s="14"/>
      <x:c r="BT148" s="14"/>
      <x:c r="BU148" s="14"/>
      <x:c r="BV148" s="14"/>
      <x:c r="BW148" s="14"/>
      <x:c r="BX148" s="14"/>
      <x:c r="BY148" s="14"/>
      <x:c r="BZ148" s="14"/>
      <x:c r="CA148" s="14"/>
      <x:c r="CB148" s="14"/>
      <x:c r="CC148" s="14"/>
      <x:c r="CD148" s="14"/>
      <x:c r="CE148" s="14"/>
      <x:c r="CF148" s="14"/>
      <x:c r="CJ148" s="14"/>
      <x:c r="CK148" s="14"/>
      <x:c r="CL148" s="14"/>
      <x:c r="CM148" s="14"/>
      <x:c r="CO148" s="14"/>
      <x:c r="CQ148" s="14"/>
      <x:c r="CS148" s="14"/>
      <x:c r="CT148" s="14"/>
      <x:c r="CU148" s="14"/>
      <x:c r="CW148" s="14"/>
      <x:c r="CX148" s="14"/>
      <x:c r="CY148" s="14"/>
      <x:c r="CZ148" s="14"/>
      <x:c r="DC148" s="14"/>
      <x:c r="DD148" s="14"/>
      <x:c r="DI148" s="88"/>
      <x:c r="DJ148" s="88"/>
      <x:c r="DK148" s="88"/>
      <x:c r="DL148" s="88"/>
      <x:c r="DM148" s="88"/>
      <x:c r="DN148" s="88"/>
      <x:c r="DO148" s="88"/>
      <x:c r="DP148" s="88"/>
      <x:c r="DQ148" s="88"/>
      <x:c r="DR148" s="88"/>
      <x:c r="DS148" s="88"/>
    </x:row>
    <x:row r="149" ht="25" customHeight="1">
      <x:c r="A149" s="10"/>
      <x:c r="D149" s="12"/>
      <x:c r="E149" s="12"/>
      <x:c r="F149" s="12"/>
      <x:c r="G149" s="14"/>
      <x:c r="H149" s="14"/>
      <x:c r="I149" s="14"/>
      <x:c r="J149" s="14"/>
      <x:c r="N149" s="14"/>
      <x:c r="O149" s="12"/>
      <x:c r="S149" s="14"/>
      <x:c r="T149" s="12"/>
      <x:c r="V149" s="42" t="str">
        <x:f>IF($A149="","",IF(AND($U149="発射物",$DI149&lt;&gt;"パッシブ"),$BE149,0))</x:f>
      </x:c>
      <x:c r="W149" s="42" t="str">
        <x:f>IF($A149="","",IF(AND($U149="発射物",$DI149&lt;&gt;"パッシブ"),$BF149,0))</x:f>
      </x:c>
      <x:c r="X149" s="42" t="str">
        <x:f>IF($A149="","",IF(AND($U149="発射物",$DI149&lt;&gt;"パッシブ"),IF($BG149="有効","有効","無効"),"無効"))</x:f>
      </x:c>
      <x:c r="AD149" s="14"/>
      <x:c r="AE149" s="14"/>
      <x:c r="AF149" s="14"/>
      <x:c r="AH149" s="14"/>
      <x:c r="AJ149" s="14"/>
      <x:c r="AN149" s="14"/>
      <x:c r="AO149" s="14"/>
      <x:c r="AP149" s="14"/>
      <x:c r="AR149" s="14"/>
      <x:c r="AT149" s="14"/>
      <x:c r="AX149" s="14"/>
      <x:c r="AY149" s="14"/>
      <x:c r="AZ149" s="14"/>
      <x:c r="BB149" s="14"/>
      <x:c r="BD149" s="14"/>
      <x:c r="BE149" s="14"/>
      <x:c r="BF149" s="14"/>
      <x:c r="BK149" s="14"/>
      <x:c r="BM149" s="14"/>
      <x:c r="BN149" s="14"/>
      <x:c r="BP149" s="14"/>
      <x:c r="BQ149" s="14"/>
      <x:c r="BR149" s="14"/>
      <x:c r="BT149" s="14"/>
      <x:c r="BU149" s="14"/>
      <x:c r="BV149" s="14"/>
      <x:c r="BW149" s="14"/>
      <x:c r="BX149" s="14"/>
      <x:c r="BY149" s="14"/>
      <x:c r="BZ149" s="14"/>
      <x:c r="CA149" s="14"/>
      <x:c r="CB149" s="14"/>
      <x:c r="CC149" s="14"/>
      <x:c r="CD149" s="14"/>
      <x:c r="CE149" s="14"/>
      <x:c r="CF149" s="14"/>
      <x:c r="CJ149" s="14"/>
      <x:c r="CK149" s="14"/>
      <x:c r="CL149" s="14"/>
      <x:c r="CM149" s="14"/>
      <x:c r="CO149" s="14"/>
      <x:c r="CQ149" s="14"/>
      <x:c r="CS149" s="14"/>
      <x:c r="CT149" s="14"/>
      <x:c r="CU149" s="14"/>
      <x:c r="CW149" s="14"/>
      <x:c r="CX149" s="14"/>
      <x:c r="CY149" s="14"/>
      <x:c r="CZ149" s="14"/>
      <x:c r="DC149" s="14"/>
      <x:c r="DD149" s="14"/>
      <x:c r="DI149" s="88"/>
      <x:c r="DJ149" s="88"/>
      <x:c r="DK149" s="88"/>
      <x:c r="DL149" s="88"/>
      <x:c r="DM149" s="88"/>
      <x:c r="DN149" s="88"/>
      <x:c r="DO149" s="88"/>
      <x:c r="DP149" s="88"/>
      <x:c r="DQ149" s="88"/>
      <x:c r="DR149" s="88"/>
      <x:c r="DS149" s="88"/>
    </x:row>
    <x:row r="150" ht="25" customHeight="1">
      <x:c r="A150" s="10"/>
      <x:c r="D150" s="12"/>
      <x:c r="E150" s="12"/>
      <x:c r="F150" s="12"/>
      <x:c r="G150" s="14"/>
      <x:c r="H150" s="14"/>
      <x:c r="I150" s="14"/>
      <x:c r="J150" s="14"/>
      <x:c r="N150" s="14"/>
      <x:c r="O150" s="12"/>
      <x:c r="S150" s="14"/>
      <x:c r="T150" s="12"/>
      <x:c r="V150" s="42" t="str">
        <x:f>IF($A150="","",IF(AND($U150="発射物",$DI150&lt;&gt;"パッシブ"),$BE150,0))</x:f>
      </x:c>
      <x:c r="W150" s="42" t="str">
        <x:f>IF($A150="","",IF(AND($U150="発射物",$DI150&lt;&gt;"パッシブ"),$BF150,0))</x:f>
      </x:c>
      <x:c r="X150" s="42" t="str">
        <x:f>IF($A150="","",IF(AND($U150="発射物",$DI150&lt;&gt;"パッシブ"),IF($BG150="有効","有効","無効"),"無効"))</x:f>
      </x:c>
      <x:c r="AD150" s="14"/>
      <x:c r="AE150" s="14"/>
      <x:c r="AF150" s="14"/>
      <x:c r="AH150" s="14"/>
      <x:c r="AJ150" s="14"/>
      <x:c r="AN150" s="14"/>
      <x:c r="AO150" s="14"/>
      <x:c r="AP150" s="14"/>
      <x:c r="AR150" s="14"/>
      <x:c r="AT150" s="14"/>
      <x:c r="AX150" s="14"/>
      <x:c r="AY150" s="14"/>
      <x:c r="AZ150" s="14"/>
      <x:c r="BB150" s="14"/>
      <x:c r="BD150" s="14"/>
      <x:c r="BE150" s="14"/>
      <x:c r="BF150" s="14"/>
      <x:c r="BK150" s="14"/>
      <x:c r="BM150" s="14"/>
      <x:c r="BN150" s="14"/>
      <x:c r="BP150" s="14"/>
      <x:c r="BQ150" s="14"/>
      <x:c r="BR150" s="14"/>
      <x:c r="BT150" s="14"/>
      <x:c r="BU150" s="14"/>
      <x:c r="BV150" s="14"/>
      <x:c r="BW150" s="14"/>
      <x:c r="BX150" s="14"/>
      <x:c r="BY150" s="14"/>
      <x:c r="BZ150" s="14"/>
      <x:c r="CA150" s="14"/>
      <x:c r="CB150" s="14"/>
      <x:c r="CC150" s="14"/>
      <x:c r="CD150" s="14"/>
      <x:c r="CE150" s="14"/>
      <x:c r="CF150" s="14"/>
      <x:c r="CJ150" s="14"/>
      <x:c r="CK150" s="14"/>
      <x:c r="CL150" s="14"/>
      <x:c r="CM150" s="14"/>
      <x:c r="CO150" s="14"/>
      <x:c r="CQ150" s="14"/>
      <x:c r="CS150" s="14"/>
      <x:c r="CT150" s="14"/>
      <x:c r="CU150" s="14"/>
      <x:c r="CW150" s="14"/>
      <x:c r="CX150" s="14"/>
      <x:c r="CY150" s="14"/>
      <x:c r="CZ150" s="14"/>
      <x:c r="DC150" s="14"/>
      <x:c r="DD150" s="14"/>
      <x:c r="DI150" s="88"/>
      <x:c r="DJ150" s="88"/>
      <x:c r="DK150" s="88"/>
      <x:c r="DL150" s="88"/>
      <x:c r="DM150" s="88"/>
      <x:c r="DN150" s="88"/>
      <x:c r="DO150" s="88"/>
      <x:c r="DP150" s="88"/>
      <x:c r="DQ150" s="88"/>
      <x:c r="DR150" s="88"/>
      <x:c r="DS150" s="88"/>
    </x:row>
    <x:row r="151" ht="25" customHeight="1">
      <x:c r="A151" s="10"/>
      <x:c r="D151" s="12"/>
      <x:c r="E151" s="12"/>
      <x:c r="F151" s="12"/>
      <x:c r="G151" s="14"/>
      <x:c r="H151" s="14"/>
      <x:c r="I151" s="14"/>
      <x:c r="J151" s="14"/>
      <x:c r="N151" s="14"/>
      <x:c r="O151" s="12"/>
      <x:c r="S151" s="14"/>
      <x:c r="T151" s="12"/>
      <x:c r="V151" s="42" t="str">
        <x:f>IF($A151="","",IF(AND($U151="発射物",$DI151&lt;&gt;"パッシブ"),$BE151,0))</x:f>
      </x:c>
      <x:c r="W151" s="42" t="str">
        <x:f>IF($A151="","",IF(AND($U151="発射物",$DI151&lt;&gt;"パッシブ"),$BF151,0))</x:f>
      </x:c>
      <x:c r="X151" s="42" t="str">
        <x:f>IF($A151="","",IF(AND($U151="発射物",$DI151&lt;&gt;"パッシブ"),IF($BG151="有効","有効","無効"),"無効"))</x:f>
      </x:c>
      <x:c r="AD151" s="14"/>
      <x:c r="AE151" s="14"/>
      <x:c r="AF151" s="14"/>
      <x:c r="AH151" s="14"/>
      <x:c r="AJ151" s="14"/>
      <x:c r="AN151" s="14"/>
      <x:c r="AO151" s="14"/>
      <x:c r="AP151" s="14"/>
      <x:c r="AR151" s="14"/>
      <x:c r="AT151" s="14"/>
      <x:c r="AX151" s="14"/>
      <x:c r="AY151" s="14"/>
      <x:c r="AZ151" s="14"/>
      <x:c r="BB151" s="14"/>
      <x:c r="BD151" s="14"/>
      <x:c r="BE151" s="14"/>
      <x:c r="BF151" s="14"/>
      <x:c r="BK151" s="14"/>
      <x:c r="BM151" s="14"/>
      <x:c r="BN151" s="14"/>
      <x:c r="BP151" s="14"/>
      <x:c r="BQ151" s="14"/>
      <x:c r="BR151" s="14"/>
      <x:c r="BT151" s="14"/>
      <x:c r="BU151" s="14"/>
      <x:c r="BV151" s="14"/>
      <x:c r="BW151" s="14"/>
      <x:c r="BX151" s="14"/>
      <x:c r="BY151" s="14"/>
      <x:c r="BZ151" s="14"/>
      <x:c r="CA151" s="14"/>
      <x:c r="CB151" s="14"/>
      <x:c r="CC151" s="14"/>
      <x:c r="CD151" s="14"/>
      <x:c r="CE151" s="14"/>
      <x:c r="CF151" s="14"/>
      <x:c r="CJ151" s="14"/>
      <x:c r="CK151" s="14"/>
      <x:c r="CL151" s="14"/>
      <x:c r="CM151" s="14"/>
      <x:c r="CO151" s="14"/>
      <x:c r="CQ151" s="14"/>
      <x:c r="CS151" s="14"/>
      <x:c r="CT151" s="14"/>
      <x:c r="CU151" s="14"/>
      <x:c r="CW151" s="14"/>
      <x:c r="CX151" s="14"/>
      <x:c r="CY151" s="14"/>
      <x:c r="CZ151" s="14"/>
      <x:c r="DC151" s="14"/>
      <x:c r="DD151" s="14"/>
      <x:c r="DI151" s="88"/>
      <x:c r="DJ151" s="88"/>
      <x:c r="DK151" s="88"/>
      <x:c r="DL151" s="88"/>
      <x:c r="DM151" s="88"/>
      <x:c r="DN151" s="88"/>
      <x:c r="DO151" s="88"/>
      <x:c r="DP151" s="88"/>
      <x:c r="DQ151" s="88"/>
      <x:c r="DR151" s="88"/>
      <x:c r="DS151" s="88"/>
    </x:row>
    <x:row r="152" ht="25" customHeight="1">
      <x:c r="A152" s="10"/>
      <x:c r="D152" s="12"/>
      <x:c r="E152" s="12"/>
      <x:c r="F152" s="12"/>
      <x:c r="G152" s="14"/>
      <x:c r="H152" s="14"/>
      <x:c r="I152" s="14"/>
      <x:c r="J152" s="14"/>
      <x:c r="N152" s="14"/>
      <x:c r="O152" s="12"/>
      <x:c r="S152" s="14"/>
      <x:c r="T152" s="12"/>
      <x:c r="V152" s="42" t="str">
        <x:f>IF($A152="","",IF(AND($U152="発射物",$DI152&lt;&gt;"パッシブ"),$BE152,0))</x:f>
      </x:c>
      <x:c r="W152" s="42" t="str">
        <x:f>IF($A152="","",IF(AND($U152="発射物",$DI152&lt;&gt;"パッシブ"),$BF152,0))</x:f>
      </x:c>
      <x:c r="X152" s="42" t="str">
        <x:f>IF($A152="","",IF(AND($U152="発射物",$DI152&lt;&gt;"パッシブ"),IF($BG152="有効","有効","無効"),"無効"))</x:f>
      </x:c>
      <x:c r="AD152" s="14"/>
      <x:c r="AE152" s="14"/>
      <x:c r="AF152" s="14"/>
      <x:c r="AH152" s="14"/>
      <x:c r="AJ152" s="14"/>
      <x:c r="AN152" s="14"/>
      <x:c r="AO152" s="14"/>
      <x:c r="AP152" s="14"/>
      <x:c r="AR152" s="14"/>
      <x:c r="AT152" s="14"/>
      <x:c r="AX152" s="14"/>
      <x:c r="AY152" s="14"/>
      <x:c r="AZ152" s="14"/>
      <x:c r="BB152" s="14"/>
      <x:c r="BD152" s="14"/>
      <x:c r="BE152" s="14"/>
      <x:c r="BF152" s="14"/>
      <x:c r="BK152" s="14"/>
      <x:c r="BM152" s="14"/>
      <x:c r="BN152" s="14"/>
      <x:c r="BP152" s="14"/>
      <x:c r="BQ152" s="14"/>
      <x:c r="BR152" s="14"/>
      <x:c r="BT152" s="14"/>
      <x:c r="BU152" s="14"/>
      <x:c r="BV152" s="14"/>
      <x:c r="BW152" s="14"/>
      <x:c r="BX152" s="14"/>
      <x:c r="BY152" s="14"/>
      <x:c r="BZ152" s="14"/>
      <x:c r="CA152" s="14"/>
      <x:c r="CB152" s="14"/>
      <x:c r="CC152" s="14"/>
      <x:c r="CD152" s="14"/>
      <x:c r="CE152" s="14"/>
      <x:c r="CF152" s="14"/>
      <x:c r="CJ152" s="14"/>
      <x:c r="CK152" s="14"/>
      <x:c r="CL152" s="14"/>
      <x:c r="CM152" s="14"/>
      <x:c r="CO152" s="14"/>
      <x:c r="CQ152" s="14"/>
      <x:c r="CS152" s="14"/>
      <x:c r="CT152" s="14"/>
      <x:c r="CU152" s="14"/>
      <x:c r="CW152" s="14"/>
      <x:c r="CX152" s="14"/>
      <x:c r="CY152" s="14"/>
      <x:c r="CZ152" s="14"/>
      <x:c r="DC152" s="14"/>
      <x:c r="DD152" s="14"/>
      <x:c r="DI152" s="88"/>
      <x:c r="DJ152" s="88"/>
      <x:c r="DK152" s="88"/>
      <x:c r="DL152" s="88"/>
      <x:c r="DM152" s="88"/>
      <x:c r="DN152" s="88"/>
      <x:c r="DO152" s="88"/>
      <x:c r="DP152" s="88"/>
      <x:c r="DQ152" s="88"/>
      <x:c r="DR152" s="88"/>
      <x:c r="DS152" s="88"/>
    </x:row>
    <x:row r="153" ht="25" customHeight="1">
      <x:c r="A153" s="10"/>
      <x:c r="D153" s="12"/>
      <x:c r="E153" s="12"/>
      <x:c r="F153" s="12"/>
      <x:c r="G153" s="14"/>
      <x:c r="H153" s="14"/>
      <x:c r="I153" s="14"/>
      <x:c r="J153" s="14"/>
      <x:c r="N153" s="14"/>
      <x:c r="O153" s="12"/>
      <x:c r="S153" s="14"/>
      <x:c r="T153" s="12"/>
      <x:c r="V153" s="42" t="str">
        <x:f>IF($A153="","",IF(AND($U153="発射物",$DI153&lt;&gt;"パッシブ"),$BE153,0))</x:f>
      </x:c>
      <x:c r="W153" s="42" t="str">
        <x:f>IF($A153="","",IF(AND($U153="発射物",$DI153&lt;&gt;"パッシブ"),$BF153,0))</x:f>
      </x:c>
      <x:c r="X153" s="42" t="str">
        <x:f>IF($A153="","",IF(AND($U153="発射物",$DI153&lt;&gt;"パッシブ"),IF($BG153="有効","有効","無効"),"無効"))</x:f>
      </x:c>
      <x:c r="AD153" s="14"/>
      <x:c r="AE153" s="14"/>
      <x:c r="AF153" s="14"/>
      <x:c r="AH153" s="14"/>
      <x:c r="AJ153" s="14"/>
      <x:c r="AN153" s="14"/>
      <x:c r="AO153" s="14"/>
      <x:c r="AP153" s="14"/>
      <x:c r="AR153" s="14"/>
      <x:c r="AT153" s="14"/>
      <x:c r="AX153" s="14"/>
      <x:c r="AY153" s="14"/>
      <x:c r="AZ153" s="14"/>
      <x:c r="BB153" s="14"/>
      <x:c r="BD153" s="14"/>
      <x:c r="BE153" s="14"/>
      <x:c r="BF153" s="14"/>
      <x:c r="BK153" s="14"/>
      <x:c r="BM153" s="14"/>
      <x:c r="BN153" s="14"/>
      <x:c r="BP153" s="14"/>
      <x:c r="BQ153" s="14"/>
      <x:c r="BR153" s="14"/>
      <x:c r="BT153" s="14"/>
      <x:c r="BU153" s="14"/>
      <x:c r="BV153" s="14"/>
      <x:c r="BW153" s="14"/>
      <x:c r="BX153" s="14"/>
      <x:c r="BY153" s="14"/>
      <x:c r="BZ153" s="14"/>
      <x:c r="CA153" s="14"/>
      <x:c r="CB153" s="14"/>
      <x:c r="CC153" s="14"/>
      <x:c r="CD153" s="14"/>
      <x:c r="CE153" s="14"/>
      <x:c r="CF153" s="14"/>
      <x:c r="CJ153" s="14"/>
      <x:c r="CK153" s="14"/>
      <x:c r="CL153" s="14"/>
      <x:c r="CM153" s="14"/>
      <x:c r="CO153" s="14"/>
      <x:c r="CQ153" s="14"/>
      <x:c r="CS153" s="14"/>
      <x:c r="CT153" s="14"/>
      <x:c r="CU153" s="14"/>
      <x:c r="CW153" s="14"/>
      <x:c r="CX153" s="14"/>
      <x:c r="CY153" s="14"/>
      <x:c r="CZ153" s="14"/>
      <x:c r="DC153" s="14"/>
      <x:c r="DD153" s="14"/>
      <x:c r="DI153" s="88"/>
      <x:c r="DJ153" s="88"/>
      <x:c r="DK153" s="88"/>
      <x:c r="DL153" s="88"/>
      <x:c r="DM153" s="88"/>
      <x:c r="DN153" s="88"/>
      <x:c r="DO153" s="88"/>
      <x:c r="DP153" s="88"/>
      <x:c r="DQ153" s="88"/>
      <x:c r="DR153" s="88"/>
      <x:c r="DS153" s="88"/>
    </x:row>
    <x:row r="154" ht="25" customHeight="1">
      <x:c r="A154" s="10"/>
      <x:c r="D154" s="12"/>
      <x:c r="E154" s="12"/>
      <x:c r="F154" s="12"/>
      <x:c r="G154" s="14"/>
      <x:c r="H154" s="14"/>
      <x:c r="I154" s="14"/>
      <x:c r="J154" s="14"/>
      <x:c r="N154" s="14"/>
      <x:c r="O154" s="12"/>
      <x:c r="S154" s="14"/>
      <x:c r="T154" s="12"/>
      <x:c r="V154" s="42" t="str">
        <x:f>IF($A154="","",IF(AND($U154="発射物",$DI154&lt;&gt;"パッシブ"),$BE154,0))</x:f>
      </x:c>
      <x:c r="W154" s="42" t="str">
        <x:f>IF($A154="","",IF(AND($U154="発射物",$DI154&lt;&gt;"パッシブ"),$BF154,0))</x:f>
      </x:c>
      <x:c r="X154" s="42" t="str">
        <x:f>IF($A154="","",IF(AND($U154="発射物",$DI154&lt;&gt;"パッシブ"),IF($BG154="有効","有効","無効"),"無効"))</x:f>
      </x:c>
      <x:c r="AD154" s="14"/>
      <x:c r="AE154" s="14"/>
      <x:c r="AF154" s="14"/>
      <x:c r="AH154" s="14"/>
      <x:c r="AJ154" s="14"/>
      <x:c r="AN154" s="14"/>
      <x:c r="AO154" s="14"/>
      <x:c r="AP154" s="14"/>
      <x:c r="AR154" s="14"/>
      <x:c r="AT154" s="14"/>
      <x:c r="AX154" s="14"/>
      <x:c r="AY154" s="14"/>
      <x:c r="AZ154" s="14"/>
      <x:c r="BB154" s="14"/>
      <x:c r="BD154" s="14"/>
      <x:c r="BE154" s="14"/>
      <x:c r="BF154" s="14"/>
      <x:c r="BK154" s="14"/>
      <x:c r="BM154" s="14"/>
      <x:c r="BN154" s="14"/>
      <x:c r="BP154" s="14"/>
      <x:c r="BQ154" s="14"/>
      <x:c r="BR154" s="14"/>
      <x:c r="BT154" s="14"/>
      <x:c r="BU154" s="14"/>
      <x:c r="BV154" s="14"/>
      <x:c r="BW154" s="14"/>
      <x:c r="BX154" s="14"/>
      <x:c r="BY154" s="14"/>
      <x:c r="BZ154" s="14"/>
      <x:c r="CA154" s="14"/>
      <x:c r="CB154" s="14"/>
      <x:c r="CC154" s="14"/>
      <x:c r="CD154" s="14"/>
      <x:c r="CE154" s="14"/>
      <x:c r="CF154" s="14"/>
      <x:c r="CJ154" s="14"/>
      <x:c r="CK154" s="14"/>
      <x:c r="CL154" s="14"/>
      <x:c r="CM154" s="14"/>
      <x:c r="CO154" s="14"/>
      <x:c r="CQ154" s="14"/>
      <x:c r="CS154" s="14"/>
      <x:c r="CT154" s="14"/>
      <x:c r="CU154" s="14"/>
      <x:c r="CW154" s="14"/>
      <x:c r="CX154" s="14"/>
      <x:c r="CY154" s="14"/>
      <x:c r="CZ154" s="14"/>
      <x:c r="DC154" s="14"/>
      <x:c r="DD154" s="14"/>
      <x:c r="DI154" s="88"/>
      <x:c r="DJ154" s="88"/>
      <x:c r="DK154" s="88"/>
      <x:c r="DL154" s="88"/>
      <x:c r="DM154" s="88"/>
      <x:c r="DN154" s="88"/>
      <x:c r="DO154" s="88"/>
      <x:c r="DP154" s="88"/>
      <x:c r="DQ154" s="88"/>
      <x:c r="DR154" s="88"/>
      <x:c r="DS154" s="88"/>
    </x:row>
    <x:row r="155" ht="25" customHeight="1">
      <x:c r="A155" s="10"/>
      <x:c r="D155" s="12"/>
      <x:c r="E155" s="12"/>
      <x:c r="F155" s="12"/>
      <x:c r="G155" s="14"/>
      <x:c r="H155" s="14"/>
      <x:c r="I155" s="14"/>
      <x:c r="J155" s="14"/>
      <x:c r="N155" s="14"/>
      <x:c r="O155" s="12"/>
      <x:c r="S155" s="14"/>
      <x:c r="T155" s="12"/>
      <x:c r="V155" s="42" t="str">
        <x:f>IF($A155="","",IF(AND($U155="発射物",$DI155&lt;&gt;"パッシブ"),$BE155,0))</x:f>
      </x:c>
      <x:c r="W155" s="42" t="str">
        <x:f>IF($A155="","",IF(AND($U155="発射物",$DI155&lt;&gt;"パッシブ"),$BF155,0))</x:f>
      </x:c>
      <x:c r="X155" s="42" t="str">
        <x:f>IF($A155="","",IF(AND($U155="発射物",$DI155&lt;&gt;"パッシブ"),IF($BG155="有効","有効","無効"),"無効"))</x:f>
      </x:c>
      <x:c r="AD155" s="14"/>
      <x:c r="AE155" s="14"/>
      <x:c r="AF155" s="14"/>
      <x:c r="AH155" s="14"/>
      <x:c r="AJ155" s="14"/>
      <x:c r="AN155" s="14"/>
      <x:c r="AO155" s="14"/>
      <x:c r="AP155" s="14"/>
      <x:c r="AR155" s="14"/>
      <x:c r="AT155" s="14"/>
      <x:c r="AX155" s="14"/>
      <x:c r="AY155" s="14"/>
      <x:c r="AZ155" s="14"/>
      <x:c r="BB155" s="14"/>
      <x:c r="BD155" s="14"/>
      <x:c r="BE155" s="14"/>
      <x:c r="BF155" s="14"/>
      <x:c r="BK155" s="14"/>
      <x:c r="BM155" s="14"/>
      <x:c r="BN155" s="14"/>
      <x:c r="BP155" s="14"/>
      <x:c r="BQ155" s="14"/>
      <x:c r="BR155" s="14"/>
      <x:c r="BT155" s="14"/>
      <x:c r="BU155" s="14"/>
      <x:c r="BV155" s="14"/>
      <x:c r="BW155" s="14"/>
      <x:c r="BX155" s="14"/>
      <x:c r="BY155" s="14"/>
      <x:c r="BZ155" s="14"/>
      <x:c r="CA155" s="14"/>
      <x:c r="CB155" s="14"/>
      <x:c r="CC155" s="14"/>
      <x:c r="CD155" s="14"/>
      <x:c r="CE155" s="14"/>
      <x:c r="CF155" s="14"/>
      <x:c r="CJ155" s="14"/>
      <x:c r="CK155" s="14"/>
      <x:c r="CL155" s="14"/>
      <x:c r="CM155" s="14"/>
      <x:c r="CO155" s="14"/>
      <x:c r="CQ155" s="14"/>
      <x:c r="CS155" s="14"/>
      <x:c r="CT155" s="14"/>
      <x:c r="CU155" s="14"/>
      <x:c r="CW155" s="14"/>
      <x:c r="CX155" s="14"/>
      <x:c r="CY155" s="14"/>
      <x:c r="CZ155" s="14"/>
      <x:c r="DC155" s="14"/>
      <x:c r="DD155" s="14"/>
      <x:c r="DI155" s="88"/>
      <x:c r="DJ155" s="88"/>
      <x:c r="DK155" s="88"/>
      <x:c r="DL155" s="88"/>
      <x:c r="DM155" s="88"/>
      <x:c r="DN155" s="88"/>
      <x:c r="DO155" s="88"/>
      <x:c r="DP155" s="88"/>
      <x:c r="DQ155" s="88"/>
      <x:c r="DR155" s="88"/>
      <x:c r="DS155" s="88"/>
    </x:row>
    <x:row r="156" ht="25" customHeight="1">
      <x:c r="A156" s="10"/>
      <x:c r="D156" s="12"/>
      <x:c r="E156" s="12"/>
      <x:c r="F156" s="12"/>
      <x:c r="G156" s="14"/>
      <x:c r="H156" s="14"/>
      <x:c r="I156" s="14"/>
      <x:c r="J156" s="14"/>
      <x:c r="N156" s="14"/>
      <x:c r="O156" s="12"/>
      <x:c r="S156" s="14"/>
      <x:c r="T156" s="12"/>
      <x:c r="V156" s="42" t="str">
        <x:f>IF($A156="","",IF(AND($U156="発射物",$DI156&lt;&gt;"パッシブ"),$BE156,0))</x:f>
      </x:c>
      <x:c r="W156" s="42" t="str">
        <x:f>IF($A156="","",IF(AND($U156="発射物",$DI156&lt;&gt;"パッシブ"),$BF156,0))</x:f>
      </x:c>
      <x:c r="X156" s="42" t="str">
        <x:f>IF($A156="","",IF(AND($U156="発射物",$DI156&lt;&gt;"パッシブ"),IF($BG156="有効","有効","無効"),"無効"))</x:f>
      </x:c>
      <x:c r="AD156" s="14"/>
      <x:c r="AE156" s="14"/>
      <x:c r="AF156" s="14"/>
      <x:c r="AH156" s="14"/>
      <x:c r="AJ156" s="14"/>
      <x:c r="AN156" s="14"/>
      <x:c r="AO156" s="14"/>
      <x:c r="AP156" s="14"/>
      <x:c r="AR156" s="14"/>
      <x:c r="AT156" s="14"/>
      <x:c r="AX156" s="14"/>
      <x:c r="AY156" s="14"/>
      <x:c r="AZ156" s="14"/>
      <x:c r="BB156" s="14"/>
      <x:c r="BD156" s="14"/>
      <x:c r="BE156" s="14"/>
      <x:c r="BF156" s="14"/>
      <x:c r="BK156" s="14"/>
      <x:c r="BM156" s="14"/>
      <x:c r="BN156" s="14"/>
      <x:c r="BP156" s="14"/>
      <x:c r="BQ156" s="14"/>
      <x:c r="BR156" s="14"/>
      <x:c r="BT156" s="14"/>
      <x:c r="BU156" s="14"/>
      <x:c r="BV156" s="14"/>
      <x:c r="BW156" s="14"/>
      <x:c r="BX156" s="14"/>
      <x:c r="BY156" s="14"/>
      <x:c r="BZ156" s="14"/>
      <x:c r="CA156" s="14"/>
      <x:c r="CB156" s="14"/>
      <x:c r="CC156" s="14"/>
      <x:c r="CD156" s="14"/>
      <x:c r="CE156" s="14"/>
      <x:c r="CF156" s="14"/>
      <x:c r="CJ156" s="14"/>
      <x:c r="CK156" s="14"/>
      <x:c r="CL156" s="14"/>
      <x:c r="CM156" s="14"/>
      <x:c r="CO156" s="14"/>
      <x:c r="CQ156" s="14"/>
      <x:c r="CS156" s="14"/>
      <x:c r="CT156" s="14"/>
      <x:c r="CU156" s="14"/>
      <x:c r="CW156" s="14"/>
      <x:c r="CX156" s="14"/>
      <x:c r="CY156" s="14"/>
      <x:c r="CZ156" s="14"/>
      <x:c r="DC156" s="14"/>
      <x:c r="DD156" s="14"/>
      <x:c r="DI156" s="88"/>
      <x:c r="DJ156" s="88"/>
      <x:c r="DK156" s="88"/>
      <x:c r="DL156" s="88"/>
      <x:c r="DM156" s="88"/>
      <x:c r="DN156" s="88"/>
      <x:c r="DO156" s="88"/>
      <x:c r="DP156" s="88"/>
      <x:c r="DQ156" s="88"/>
      <x:c r="DR156" s="88"/>
      <x:c r="DS156" s="88"/>
    </x:row>
    <x:row r="157" ht="25" customHeight="1">
      <x:c r="A157" s="10"/>
      <x:c r="D157" s="12"/>
      <x:c r="E157" s="12"/>
      <x:c r="F157" s="12"/>
      <x:c r="G157" s="14"/>
      <x:c r="H157" s="14"/>
      <x:c r="I157" s="14"/>
      <x:c r="J157" s="14"/>
      <x:c r="N157" s="14"/>
      <x:c r="O157" s="12"/>
      <x:c r="S157" s="14"/>
      <x:c r="T157" s="12"/>
      <x:c r="V157" s="42" t="str">
        <x:f>IF($A157="","",IF(AND($U157="発射物",$DI157&lt;&gt;"パッシブ"),$BE157,0))</x:f>
      </x:c>
      <x:c r="W157" s="42" t="str">
        <x:f>IF($A157="","",IF(AND($U157="発射物",$DI157&lt;&gt;"パッシブ"),$BF157,0))</x:f>
      </x:c>
      <x:c r="X157" s="42" t="str">
        <x:f>IF($A157="","",IF(AND($U157="発射物",$DI157&lt;&gt;"パッシブ"),IF($BG157="有効","有効","無効"),"無効"))</x:f>
      </x:c>
      <x:c r="AD157" s="14"/>
      <x:c r="AE157" s="14"/>
      <x:c r="AF157" s="14"/>
      <x:c r="AH157" s="14"/>
      <x:c r="AJ157" s="14"/>
      <x:c r="AN157" s="14"/>
      <x:c r="AO157" s="14"/>
      <x:c r="AP157" s="14"/>
      <x:c r="AR157" s="14"/>
      <x:c r="AT157" s="14"/>
      <x:c r="AX157" s="14"/>
      <x:c r="AY157" s="14"/>
      <x:c r="AZ157" s="14"/>
      <x:c r="BB157" s="14"/>
      <x:c r="BD157" s="14"/>
      <x:c r="BE157" s="14"/>
      <x:c r="BF157" s="14"/>
      <x:c r="BK157" s="14"/>
      <x:c r="BM157" s="14"/>
      <x:c r="BN157" s="14"/>
      <x:c r="BP157" s="14"/>
      <x:c r="BQ157" s="14"/>
      <x:c r="BR157" s="14"/>
      <x:c r="BT157" s="14"/>
      <x:c r="BU157" s="14"/>
      <x:c r="BV157" s="14"/>
      <x:c r="BW157" s="14"/>
      <x:c r="BX157" s="14"/>
      <x:c r="BY157" s="14"/>
      <x:c r="BZ157" s="14"/>
      <x:c r="CA157" s="14"/>
      <x:c r="CB157" s="14"/>
      <x:c r="CC157" s="14"/>
      <x:c r="CD157" s="14"/>
      <x:c r="CE157" s="14"/>
      <x:c r="CF157" s="14"/>
      <x:c r="CJ157" s="14"/>
      <x:c r="CK157" s="14"/>
      <x:c r="CL157" s="14"/>
      <x:c r="CM157" s="14"/>
      <x:c r="CO157" s="14"/>
      <x:c r="CQ157" s="14"/>
      <x:c r="CS157" s="14"/>
      <x:c r="CT157" s="14"/>
      <x:c r="CU157" s="14"/>
      <x:c r="CW157" s="14"/>
      <x:c r="CX157" s="14"/>
      <x:c r="CY157" s="14"/>
      <x:c r="CZ157" s="14"/>
      <x:c r="DC157" s="14"/>
      <x:c r="DD157" s="14"/>
      <x:c r="DI157" s="88"/>
      <x:c r="DJ157" s="88"/>
      <x:c r="DK157" s="88"/>
      <x:c r="DL157" s="88"/>
      <x:c r="DM157" s="88"/>
      <x:c r="DN157" s="88"/>
      <x:c r="DO157" s="88"/>
      <x:c r="DP157" s="88"/>
      <x:c r="DQ157" s="88"/>
      <x:c r="DR157" s="88"/>
      <x:c r="DS157" s="88"/>
    </x:row>
    <x:row r="158" ht="25" customHeight="1">
      <x:c r="A158" s="10"/>
      <x:c r="D158" s="12"/>
      <x:c r="E158" s="12"/>
      <x:c r="F158" s="12"/>
      <x:c r="G158" s="14"/>
      <x:c r="H158" s="14"/>
      <x:c r="I158" s="14"/>
      <x:c r="J158" s="14"/>
      <x:c r="N158" s="14"/>
      <x:c r="O158" s="12"/>
      <x:c r="S158" s="14"/>
      <x:c r="T158" s="12"/>
      <x:c r="V158" s="42" t="str">
        <x:f>IF($A158="","",IF(AND($U158="発射物",$DI158&lt;&gt;"パッシブ"),$BE158,0))</x:f>
      </x:c>
      <x:c r="W158" s="42" t="str">
        <x:f>IF($A158="","",IF(AND($U158="発射物",$DI158&lt;&gt;"パッシブ"),$BF158,0))</x:f>
      </x:c>
      <x:c r="X158" s="42" t="str">
        <x:f>IF($A158="","",IF(AND($U158="発射物",$DI158&lt;&gt;"パッシブ"),IF($BG158="有効","有効","無効"),"無効"))</x:f>
      </x:c>
      <x:c r="AD158" s="14"/>
      <x:c r="AE158" s="14"/>
      <x:c r="AF158" s="14"/>
      <x:c r="AH158" s="14"/>
      <x:c r="AJ158" s="14"/>
      <x:c r="AN158" s="14"/>
      <x:c r="AO158" s="14"/>
      <x:c r="AP158" s="14"/>
      <x:c r="AR158" s="14"/>
      <x:c r="AT158" s="14"/>
      <x:c r="AX158" s="14"/>
      <x:c r="AY158" s="14"/>
      <x:c r="AZ158" s="14"/>
      <x:c r="BB158" s="14"/>
      <x:c r="BD158" s="14"/>
      <x:c r="BE158" s="14"/>
      <x:c r="BF158" s="14"/>
      <x:c r="BK158" s="14"/>
      <x:c r="BM158" s="14"/>
      <x:c r="BN158" s="14"/>
      <x:c r="BP158" s="14"/>
      <x:c r="BQ158" s="14"/>
      <x:c r="BR158" s="14"/>
      <x:c r="BT158" s="14"/>
      <x:c r="BU158" s="14"/>
      <x:c r="BV158" s="14"/>
      <x:c r="BW158" s="14"/>
      <x:c r="BX158" s="14"/>
      <x:c r="BY158" s="14"/>
      <x:c r="BZ158" s="14"/>
      <x:c r="CA158" s="14"/>
      <x:c r="CB158" s="14"/>
      <x:c r="CC158" s="14"/>
      <x:c r="CD158" s="14"/>
      <x:c r="CE158" s="14"/>
      <x:c r="CF158" s="14"/>
      <x:c r="CJ158" s="14"/>
      <x:c r="CK158" s="14"/>
      <x:c r="CL158" s="14"/>
      <x:c r="CM158" s="14"/>
      <x:c r="CO158" s="14"/>
      <x:c r="CQ158" s="14"/>
      <x:c r="CS158" s="14"/>
      <x:c r="CT158" s="14"/>
      <x:c r="CU158" s="14"/>
      <x:c r="CW158" s="14"/>
      <x:c r="CX158" s="14"/>
      <x:c r="CY158" s="14"/>
      <x:c r="CZ158" s="14"/>
      <x:c r="DC158" s="14"/>
      <x:c r="DD158" s="14"/>
      <x:c r="DI158" s="88"/>
      <x:c r="DJ158" s="88"/>
      <x:c r="DK158" s="88"/>
      <x:c r="DL158" s="88"/>
      <x:c r="DM158" s="88"/>
      <x:c r="DN158" s="88"/>
      <x:c r="DO158" s="88"/>
      <x:c r="DP158" s="88"/>
      <x:c r="DQ158" s="88"/>
      <x:c r="DR158" s="88"/>
      <x:c r="DS158" s="88"/>
    </x:row>
    <x:row r="159" ht="25" customHeight="1">
      <x:c r="A159" s="10"/>
      <x:c r="D159" s="12"/>
      <x:c r="E159" s="12"/>
      <x:c r="F159" s="12"/>
      <x:c r="G159" s="14"/>
      <x:c r="H159" s="14"/>
      <x:c r="I159" s="14"/>
      <x:c r="J159" s="14"/>
      <x:c r="N159" s="14"/>
      <x:c r="O159" s="12"/>
      <x:c r="S159" s="14"/>
      <x:c r="T159" s="12"/>
      <x:c r="V159" s="42" t="str">
        <x:f>IF($A159="","",IF(AND($U159="発射物",$DI159&lt;&gt;"パッシブ"),$BE159,0))</x:f>
      </x:c>
      <x:c r="W159" s="42" t="str">
        <x:f>IF($A159="","",IF(AND($U159="発射物",$DI159&lt;&gt;"パッシブ"),$BF159,0))</x:f>
      </x:c>
      <x:c r="X159" s="42" t="str">
        <x:f>IF($A159="","",IF(AND($U159="発射物",$DI159&lt;&gt;"パッシブ"),IF($BG159="有効","有効","無効"),"無効"))</x:f>
      </x:c>
      <x:c r="AD159" s="14"/>
      <x:c r="AE159" s="14"/>
      <x:c r="AF159" s="14"/>
      <x:c r="AH159" s="14"/>
      <x:c r="AJ159" s="14"/>
      <x:c r="AN159" s="14"/>
      <x:c r="AO159" s="14"/>
      <x:c r="AP159" s="14"/>
      <x:c r="AR159" s="14"/>
      <x:c r="AT159" s="14"/>
      <x:c r="AX159" s="14"/>
      <x:c r="AY159" s="14"/>
      <x:c r="AZ159" s="14"/>
      <x:c r="BB159" s="14"/>
      <x:c r="BD159" s="14"/>
      <x:c r="BE159" s="14"/>
      <x:c r="BF159" s="14"/>
      <x:c r="BK159" s="14"/>
      <x:c r="BM159" s="14"/>
      <x:c r="BN159" s="14"/>
      <x:c r="BP159" s="14"/>
      <x:c r="BQ159" s="14"/>
      <x:c r="BR159" s="14"/>
      <x:c r="BT159" s="14"/>
      <x:c r="BU159" s="14"/>
      <x:c r="BV159" s="14"/>
      <x:c r="BW159" s="14"/>
      <x:c r="BX159" s="14"/>
      <x:c r="BY159" s="14"/>
      <x:c r="BZ159" s="14"/>
      <x:c r="CA159" s="14"/>
      <x:c r="CB159" s="14"/>
      <x:c r="CC159" s="14"/>
      <x:c r="CD159" s="14"/>
      <x:c r="CE159" s="14"/>
      <x:c r="CF159" s="14"/>
      <x:c r="CJ159" s="14"/>
      <x:c r="CK159" s="14"/>
      <x:c r="CL159" s="14"/>
      <x:c r="CM159" s="14"/>
      <x:c r="CO159" s="14"/>
      <x:c r="CQ159" s="14"/>
      <x:c r="CS159" s="14"/>
      <x:c r="CT159" s="14"/>
      <x:c r="CU159" s="14"/>
      <x:c r="CW159" s="14"/>
      <x:c r="CX159" s="14"/>
      <x:c r="CY159" s="14"/>
      <x:c r="CZ159" s="14"/>
      <x:c r="DC159" s="14"/>
      <x:c r="DD159" s="14"/>
      <x:c r="DI159" s="88"/>
      <x:c r="DJ159" s="88"/>
      <x:c r="DK159" s="88"/>
      <x:c r="DL159" s="88"/>
      <x:c r="DM159" s="88"/>
      <x:c r="DN159" s="88"/>
      <x:c r="DO159" s="88"/>
      <x:c r="DP159" s="88"/>
      <x:c r="DQ159" s="88"/>
      <x:c r="DR159" s="88"/>
      <x:c r="DS159" s="88"/>
    </x:row>
    <x:row r="160" ht="25" customHeight="1">
      <x:c r="A160" s="10"/>
      <x:c r="D160" s="12"/>
      <x:c r="E160" s="12"/>
      <x:c r="F160" s="12"/>
      <x:c r="G160" s="14"/>
      <x:c r="H160" s="14"/>
      <x:c r="I160" s="14"/>
      <x:c r="J160" s="14"/>
      <x:c r="N160" s="14"/>
      <x:c r="O160" s="12"/>
      <x:c r="S160" s="14"/>
      <x:c r="T160" s="12"/>
      <x:c r="V160" s="42" t="str">
        <x:f>IF($A160="","",IF(AND($U160="発射物",$DI160&lt;&gt;"パッシブ"),$BE160,0))</x:f>
      </x:c>
      <x:c r="W160" s="42" t="str">
        <x:f>IF($A160="","",IF(AND($U160="発射物",$DI160&lt;&gt;"パッシブ"),$BF160,0))</x:f>
      </x:c>
      <x:c r="X160" s="42" t="str">
        <x:f>IF($A160="","",IF(AND($U160="発射物",$DI160&lt;&gt;"パッシブ"),IF($BG160="有効","有効","無効"),"無効"))</x:f>
      </x:c>
      <x:c r="AD160" s="14"/>
      <x:c r="AE160" s="14"/>
      <x:c r="AF160" s="14"/>
      <x:c r="AH160" s="14"/>
      <x:c r="AJ160" s="14"/>
      <x:c r="AN160" s="14"/>
      <x:c r="AO160" s="14"/>
      <x:c r="AP160" s="14"/>
      <x:c r="AR160" s="14"/>
      <x:c r="AT160" s="14"/>
      <x:c r="AX160" s="14"/>
      <x:c r="AY160" s="14"/>
      <x:c r="AZ160" s="14"/>
      <x:c r="BB160" s="14"/>
      <x:c r="BD160" s="14"/>
      <x:c r="BE160" s="14"/>
      <x:c r="BF160" s="14"/>
      <x:c r="BK160" s="14"/>
      <x:c r="BM160" s="14"/>
      <x:c r="BN160" s="14"/>
      <x:c r="BP160" s="14"/>
      <x:c r="BQ160" s="14"/>
      <x:c r="BR160" s="14"/>
      <x:c r="BT160" s="14"/>
      <x:c r="BU160" s="14"/>
      <x:c r="BV160" s="14"/>
      <x:c r="BW160" s="14"/>
      <x:c r="BX160" s="14"/>
      <x:c r="BY160" s="14"/>
      <x:c r="BZ160" s="14"/>
      <x:c r="CA160" s="14"/>
      <x:c r="CB160" s="14"/>
      <x:c r="CC160" s="14"/>
      <x:c r="CD160" s="14"/>
      <x:c r="CE160" s="14"/>
      <x:c r="CF160" s="14"/>
      <x:c r="CJ160" s="14"/>
      <x:c r="CK160" s="14"/>
      <x:c r="CL160" s="14"/>
      <x:c r="CM160" s="14"/>
      <x:c r="CO160" s="14"/>
      <x:c r="CQ160" s="14"/>
      <x:c r="CS160" s="14"/>
      <x:c r="CT160" s="14"/>
      <x:c r="CU160" s="14"/>
      <x:c r="CW160" s="14"/>
      <x:c r="CX160" s="14"/>
      <x:c r="CY160" s="14"/>
      <x:c r="CZ160" s="14"/>
      <x:c r="DC160" s="14"/>
      <x:c r="DD160" s="14"/>
      <x:c r="DI160" s="88"/>
      <x:c r="DJ160" s="88"/>
      <x:c r="DK160" s="88"/>
      <x:c r="DL160" s="88"/>
      <x:c r="DM160" s="88"/>
      <x:c r="DN160" s="88"/>
      <x:c r="DO160" s="88"/>
      <x:c r="DP160" s="88"/>
      <x:c r="DQ160" s="88"/>
      <x:c r="DR160" s="88"/>
      <x:c r="DS160" s="88"/>
    </x:row>
    <x:row r="161" ht="25" customHeight="1">
      <x:c r="A161" s="10"/>
      <x:c r="D161" s="12"/>
      <x:c r="E161" s="12"/>
      <x:c r="F161" s="12"/>
      <x:c r="G161" s="14"/>
      <x:c r="H161" s="14"/>
      <x:c r="I161" s="14"/>
      <x:c r="J161" s="14"/>
      <x:c r="N161" s="14"/>
      <x:c r="O161" s="12"/>
      <x:c r="S161" s="14"/>
      <x:c r="T161" s="12"/>
      <x:c r="V161" s="42" t="str">
        <x:f>IF($A161="","",IF(AND($U161="発射物",$DI161&lt;&gt;"パッシブ"),$BE161,0))</x:f>
      </x:c>
      <x:c r="W161" s="42" t="str">
        <x:f>IF($A161="","",IF(AND($U161="発射物",$DI161&lt;&gt;"パッシブ"),$BF161,0))</x:f>
      </x:c>
      <x:c r="X161" s="42" t="str">
        <x:f>IF($A161="","",IF(AND($U161="発射物",$DI161&lt;&gt;"パッシブ"),IF($BG161="有効","有効","無効"),"無効"))</x:f>
      </x:c>
      <x:c r="AD161" s="14"/>
      <x:c r="AE161" s="14"/>
      <x:c r="AF161" s="14"/>
      <x:c r="AH161" s="14"/>
      <x:c r="AJ161" s="14"/>
      <x:c r="AN161" s="14"/>
      <x:c r="AO161" s="14"/>
      <x:c r="AP161" s="14"/>
      <x:c r="AR161" s="14"/>
      <x:c r="AT161" s="14"/>
      <x:c r="AX161" s="14"/>
      <x:c r="AY161" s="14"/>
      <x:c r="AZ161" s="14"/>
      <x:c r="BB161" s="14"/>
      <x:c r="BD161" s="14"/>
      <x:c r="BE161" s="14"/>
      <x:c r="BF161" s="14"/>
      <x:c r="BK161" s="14"/>
      <x:c r="BM161" s="14"/>
      <x:c r="BN161" s="14"/>
      <x:c r="BP161" s="14"/>
      <x:c r="BQ161" s="14"/>
      <x:c r="BR161" s="14"/>
      <x:c r="BT161" s="14"/>
      <x:c r="BU161" s="14"/>
      <x:c r="BV161" s="14"/>
      <x:c r="BW161" s="14"/>
      <x:c r="BX161" s="14"/>
      <x:c r="BY161" s="14"/>
      <x:c r="BZ161" s="14"/>
      <x:c r="CA161" s="14"/>
      <x:c r="CB161" s="14"/>
      <x:c r="CC161" s="14"/>
      <x:c r="CD161" s="14"/>
      <x:c r="CE161" s="14"/>
      <x:c r="CF161" s="14"/>
      <x:c r="CJ161" s="14"/>
      <x:c r="CK161" s="14"/>
      <x:c r="CL161" s="14"/>
      <x:c r="CM161" s="14"/>
      <x:c r="CO161" s="14"/>
      <x:c r="CQ161" s="14"/>
      <x:c r="CS161" s="14"/>
      <x:c r="CT161" s="14"/>
      <x:c r="CU161" s="14"/>
      <x:c r="CW161" s="14"/>
      <x:c r="CX161" s="14"/>
      <x:c r="CY161" s="14"/>
      <x:c r="CZ161" s="14"/>
      <x:c r="DC161" s="14"/>
      <x:c r="DD161" s="14"/>
      <x:c r="DI161" s="88"/>
      <x:c r="DJ161" s="88"/>
      <x:c r="DK161" s="88"/>
      <x:c r="DL161" s="88"/>
      <x:c r="DM161" s="88"/>
      <x:c r="DN161" s="88"/>
      <x:c r="DO161" s="88"/>
      <x:c r="DP161" s="88"/>
      <x:c r="DQ161" s="88"/>
      <x:c r="DR161" s="88"/>
      <x:c r="DS161" s="88"/>
    </x:row>
    <x:row r="162" ht="25" customHeight="1">
      <x:c r="A162" s="10"/>
      <x:c r="D162" s="12"/>
      <x:c r="E162" s="12"/>
      <x:c r="F162" s="12"/>
      <x:c r="G162" s="14"/>
      <x:c r="H162" s="14"/>
      <x:c r="I162" s="14"/>
      <x:c r="J162" s="14"/>
      <x:c r="N162" s="14"/>
      <x:c r="O162" s="12"/>
      <x:c r="S162" s="14"/>
      <x:c r="T162" s="12"/>
      <x:c r="V162" s="42" t="str">
        <x:f>IF($A162="","",IF(AND($U162="発射物",$DI162&lt;&gt;"パッシブ"),$BE162,0))</x:f>
      </x:c>
      <x:c r="W162" s="42" t="str">
        <x:f>IF($A162="","",IF(AND($U162="発射物",$DI162&lt;&gt;"パッシブ"),$BF162,0))</x:f>
      </x:c>
      <x:c r="X162" s="42" t="str">
        <x:f>IF($A162="","",IF(AND($U162="発射物",$DI162&lt;&gt;"パッシブ"),IF($BG162="有効","有効","無効"),"無効"))</x:f>
      </x:c>
      <x:c r="AD162" s="14"/>
      <x:c r="AE162" s="14"/>
      <x:c r="AF162" s="14"/>
      <x:c r="AH162" s="14"/>
      <x:c r="AJ162" s="14"/>
      <x:c r="AN162" s="14"/>
      <x:c r="AO162" s="14"/>
      <x:c r="AP162" s="14"/>
      <x:c r="AR162" s="14"/>
      <x:c r="AT162" s="14"/>
      <x:c r="AX162" s="14"/>
      <x:c r="AY162" s="14"/>
      <x:c r="AZ162" s="14"/>
      <x:c r="BB162" s="14"/>
      <x:c r="BD162" s="14"/>
      <x:c r="BE162" s="14"/>
      <x:c r="BF162" s="14"/>
      <x:c r="BK162" s="14"/>
      <x:c r="BM162" s="14"/>
      <x:c r="BN162" s="14"/>
      <x:c r="BP162" s="14"/>
      <x:c r="BQ162" s="14"/>
      <x:c r="BR162" s="14"/>
      <x:c r="BT162" s="14"/>
      <x:c r="BU162" s="14"/>
      <x:c r="BV162" s="14"/>
      <x:c r="BW162" s="14"/>
      <x:c r="BX162" s="14"/>
      <x:c r="BY162" s="14"/>
      <x:c r="BZ162" s="14"/>
      <x:c r="CA162" s="14"/>
      <x:c r="CB162" s="14"/>
      <x:c r="CC162" s="14"/>
      <x:c r="CD162" s="14"/>
      <x:c r="CE162" s="14"/>
      <x:c r="CF162" s="14"/>
      <x:c r="CJ162" s="14"/>
      <x:c r="CK162" s="14"/>
      <x:c r="CL162" s="14"/>
      <x:c r="CM162" s="14"/>
      <x:c r="CO162" s="14"/>
      <x:c r="CQ162" s="14"/>
      <x:c r="CS162" s="14"/>
      <x:c r="CT162" s="14"/>
      <x:c r="CU162" s="14"/>
      <x:c r="CW162" s="14"/>
      <x:c r="CX162" s="14"/>
      <x:c r="CY162" s="14"/>
      <x:c r="CZ162" s="14"/>
      <x:c r="DC162" s="14"/>
      <x:c r="DD162" s="14"/>
      <x:c r="DI162" s="88"/>
      <x:c r="DJ162" s="88"/>
      <x:c r="DK162" s="88"/>
      <x:c r="DL162" s="88"/>
      <x:c r="DM162" s="88"/>
      <x:c r="DN162" s="88"/>
      <x:c r="DO162" s="88"/>
      <x:c r="DP162" s="88"/>
      <x:c r="DQ162" s="88"/>
      <x:c r="DR162" s="88"/>
      <x:c r="DS162" s="88"/>
    </x:row>
    <x:row r="163" ht="25" customHeight="1">
      <x:c r="A163" s="10"/>
      <x:c r="D163" s="12"/>
      <x:c r="E163" s="12"/>
      <x:c r="F163" s="12"/>
      <x:c r="G163" s="14"/>
      <x:c r="H163" s="14"/>
      <x:c r="I163" s="14"/>
      <x:c r="J163" s="14"/>
      <x:c r="N163" s="14"/>
      <x:c r="O163" s="12"/>
      <x:c r="S163" s="14"/>
      <x:c r="T163" s="12"/>
      <x:c r="V163" s="42" t="str">
        <x:f>IF($A163="","",IF(AND($U163="発射物",$DI163&lt;&gt;"パッシブ"),$BE163,0))</x:f>
      </x:c>
      <x:c r="W163" s="42" t="str">
        <x:f>IF($A163="","",IF(AND($U163="発射物",$DI163&lt;&gt;"パッシブ"),$BF163,0))</x:f>
      </x:c>
      <x:c r="X163" s="42" t="str">
        <x:f>IF($A163="","",IF(AND($U163="発射物",$DI163&lt;&gt;"パッシブ"),IF($BG163="有効","有効","無効"),"無効"))</x:f>
      </x:c>
      <x:c r="AD163" s="14"/>
      <x:c r="AE163" s="14"/>
      <x:c r="AF163" s="14"/>
      <x:c r="AH163" s="14"/>
      <x:c r="AJ163" s="14"/>
      <x:c r="AN163" s="14"/>
      <x:c r="AO163" s="14"/>
      <x:c r="AP163" s="14"/>
      <x:c r="AR163" s="14"/>
      <x:c r="AT163" s="14"/>
      <x:c r="AX163" s="14"/>
      <x:c r="AY163" s="14"/>
      <x:c r="AZ163" s="14"/>
      <x:c r="BB163" s="14"/>
      <x:c r="BD163" s="14"/>
      <x:c r="BE163" s="14"/>
      <x:c r="BF163" s="14"/>
      <x:c r="BK163" s="14"/>
      <x:c r="BM163" s="14"/>
      <x:c r="BN163" s="14"/>
      <x:c r="BP163" s="14"/>
      <x:c r="BQ163" s="14"/>
      <x:c r="BR163" s="14"/>
      <x:c r="BT163" s="14"/>
      <x:c r="BU163" s="14"/>
      <x:c r="BV163" s="14"/>
      <x:c r="BW163" s="14"/>
      <x:c r="BX163" s="14"/>
      <x:c r="BY163" s="14"/>
      <x:c r="BZ163" s="14"/>
      <x:c r="CA163" s="14"/>
      <x:c r="CB163" s="14"/>
      <x:c r="CC163" s="14"/>
      <x:c r="CD163" s="14"/>
      <x:c r="CE163" s="14"/>
      <x:c r="CF163" s="14"/>
      <x:c r="CJ163" s="14"/>
      <x:c r="CK163" s="14"/>
      <x:c r="CL163" s="14"/>
      <x:c r="CM163" s="14"/>
      <x:c r="CO163" s="14"/>
      <x:c r="CQ163" s="14"/>
      <x:c r="CS163" s="14"/>
      <x:c r="CT163" s="14"/>
      <x:c r="CU163" s="14"/>
      <x:c r="CW163" s="14"/>
      <x:c r="CX163" s="14"/>
      <x:c r="CY163" s="14"/>
      <x:c r="CZ163" s="14"/>
      <x:c r="DC163" s="14"/>
      <x:c r="DD163" s="14"/>
      <x:c r="DI163" s="88"/>
      <x:c r="DJ163" s="88"/>
      <x:c r="DK163" s="88"/>
      <x:c r="DL163" s="88"/>
      <x:c r="DM163" s="88"/>
      <x:c r="DN163" s="88"/>
      <x:c r="DO163" s="88"/>
      <x:c r="DP163" s="88"/>
      <x:c r="DQ163" s="88"/>
      <x:c r="DR163" s="88"/>
      <x:c r="DS163" s="88"/>
    </x:row>
    <x:row r="164" ht="25" customHeight="1">
      <x:c r="A164" s="10"/>
      <x:c r="D164" s="12"/>
      <x:c r="E164" s="12"/>
      <x:c r="F164" s="12"/>
      <x:c r="G164" s="14"/>
      <x:c r="H164" s="14"/>
      <x:c r="I164" s="14"/>
      <x:c r="J164" s="14"/>
      <x:c r="N164" s="14"/>
      <x:c r="O164" s="12"/>
      <x:c r="S164" s="14"/>
      <x:c r="T164" s="12"/>
      <x:c r="V164" s="42" t="str">
        <x:f>IF($A164="","",IF(AND($U164="発射物",$DI164&lt;&gt;"パッシブ"),$BE164,0))</x:f>
      </x:c>
      <x:c r="W164" s="42" t="str">
        <x:f>IF($A164="","",IF(AND($U164="発射物",$DI164&lt;&gt;"パッシブ"),$BF164,0))</x:f>
      </x:c>
      <x:c r="X164" s="42" t="str">
        <x:f>IF($A164="","",IF(AND($U164="発射物",$DI164&lt;&gt;"パッシブ"),IF($BG164="有効","有効","無効"),"無効"))</x:f>
      </x:c>
      <x:c r="AD164" s="14"/>
      <x:c r="AE164" s="14"/>
      <x:c r="AF164" s="14"/>
      <x:c r="AH164" s="14"/>
      <x:c r="AJ164" s="14"/>
      <x:c r="AN164" s="14"/>
      <x:c r="AO164" s="14"/>
      <x:c r="AP164" s="14"/>
      <x:c r="AR164" s="14"/>
      <x:c r="AT164" s="14"/>
      <x:c r="AX164" s="14"/>
      <x:c r="AY164" s="14"/>
      <x:c r="AZ164" s="14"/>
      <x:c r="BB164" s="14"/>
      <x:c r="BD164" s="14"/>
      <x:c r="BE164" s="14"/>
      <x:c r="BF164" s="14"/>
      <x:c r="BK164" s="14"/>
      <x:c r="BM164" s="14"/>
      <x:c r="BN164" s="14"/>
      <x:c r="BP164" s="14"/>
      <x:c r="BQ164" s="14"/>
      <x:c r="BR164" s="14"/>
      <x:c r="BT164" s="14"/>
      <x:c r="BU164" s="14"/>
      <x:c r="BV164" s="14"/>
      <x:c r="BW164" s="14"/>
      <x:c r="BX164" s="14"/>
      <x:c r="BY164" s="14"/>
      <x:c r="BZ164" s="14"/>
      <x:c r="CA164" s="14"/>
      <x:c r="CB164" s="14"/>
      <x:c r="CC164" s="14"/>
      <x:c r="CD164" s="14"/>
      <x:c r="CE164" s="14"/>
      <x:c r="CF164" s="14"/>
      <x:c r="CJ164" s="14"/>
      <x:c r="CK164" s="14"/>
      <x:c r="CL164" s="14"/>
      <x:c r="CM164" s="14"/>
      <x:c r="CO164" s="14"/>
      <x:c r="CQ164" s="14"/>
      <x:c r="CS164" s="14"/>
      <x:c r="CT164" s="14"/>
      <x:c r="CU164" s="14"/>
      <x:c r="CW164" s="14"/>
      <x:c r="CX164" s="14"/>
      <x:c r="CY164" s="14"/>
      <x:c r="CZ164" s="14"/>
      <x:c r="DC164" s="14"/>
      <x:c r="DD164" s="14"/>
      <x:c r="DI164" s="88"/>
      <x:c r="DJ164" s="88"/>
      <x:c r="DK164" s="88"/>
      <x:c r="DL164" s="88"/>
      <x:c r="DM164" s="88"/>
      <x:c r="DN164" s="88"/>
      <x:c r="DO164" s="88"/>
      <x:c r="DP164" s="88"/>
      <x:c r="DQ164" s="88"/>
      <x:c r="DR164" s="88"/>
      <x:c r="DS164" s="88"/>
    </x:row>
    <x:row r="165" ht="25" customHeight="1">
      <x:c r="A165" s="10"/>
      <x:c r="D165" s="12"/>
      <x:c r="E165" s="12"/>
      <x:c r="F165" s="12"/>
      <x:c r="G165" s="14"/>
      <x:c r="H165" s="14"/>
      <x:c r="I165" s="14"/>
      <x:c r="J165" s="14"/>
      <x:c r="N165" s="14"/>
      <x:c r="O165" s="12"/>
      <x:c r="S165" s="14"/>
      <x:c r="T165" s="12"/>
      <x:c r="V165" s="42" t="str">
        <x:f>IF($A165="","",IF(AND($U165="発射物",$DI165&lt;&gt;"パッシブ"),$BE165,0))</x:f>
      </x:c>
      <x:c r="W165" s="42" t="str">
        <x:f>IF($A165="","",IF(AND($U165="発射物",$DI165&lt;&gt;"パッシブ"),$BF165,0))</x:f>
      </x:c>
      <x:c r="X165" s="42" t="str">
        <x:f>IF($A165="","",IF(AND($U165="発射物",$DI165&lt;&gt;"パッシブ"),IF($BG165="有効","有効","無効"),"無効"))</x:f>
      </x:c>
      <x:c r="AD165" s="14"/>
      <x:c r="AE165" s="14"/>
      <x:c r="AF165" s="14"/>
      <x:c r="AH165" s="14"/>
      <x:c r="AJ165" s="14"/>
      <x:c r="AN165" s="14"/>
      <x:c r="AO165" s="14"/>
      <x:c r="AP165" s="14"/>
      <x:c r="AR165" s="14"/>
      <x:c r="AT165" s="14"/>
      <x:c r="AX165" s="14"/>
      <x:c r="AY165" s="14"/>
      <x:c r="AZ165" s="14"/>
      <x:c r="BB165" s="14"/>
      <x:c r="BD165" s="14"/>
      <x:c r="BE165" s="14"/>
      <x:c r="BF165" s="14"/>
      <x:c r="BK165" s="14"/>
      <x:c r="BM165" s="14"/>
      <x:c r="BN165" s="14"/>
      <x:c r="BP165" s="14"/>
      <x:c r="BQ165" s="14"/>
      <x:c r="BR165" s="14"/>
      <x:c r="BT165" s="14"/>
      <x:c r="BU165" s="14"/>
      <x:c r="BV165" s="14"/>
      <x:c r="BW165" s="14"/>
      <x:c r="BX165" s="14"/>
      <x:c r="BY165" s="14"/>
      <x:c r="BZ165" s="14"/>
      <x:c r="CA165" s="14"/>
      <x:c r="CB165" s="14"/>
      <x:c r="CC165" s="14"/>
      <x:c r="CD165" s="14"/>
      <x:c r="CE165" s="14"/>
      <x:c r="CF165" s="14"/>
      <x:c r="CJ165" s="14"/>
      <x:c r="CK165" s="14"/>
      <x:c r="CL165" s="14"/>
      <x:c r="CM165" s="14"/>
      <x:c r="CO165" s="14"/>
      <x:c r="CQ165" s="14"/>
      <x:c r="CS165" s="14"/>
      <x:c r="CT165" s="14"/>
      <x:c r="CU165" s="14"/>
      <x:c r="CW165" s="14"/>
      <x:c r="CX165" s="14"/>
      <x:c r="CY165" s="14"/>
      <x:c r="CZ165" s="14"/>
      <x:c r="DC165" s="14"/>
      <x:c r="DD165" s="14"/>
      <x:c r="DI165" s="88"/>
      <x:c r="DJ165" s="88"/>
      <x:c r="DK165" s="88"/>
      <x:c r="DL165" s="88"/>
      <x:c r="DM165" s="88"/>
      <x:c r="DN165" s="88"/>
      <x:c r="DO165" s="88"/>
      <x:c r="DP165" s="88"/>
      <x:c r="DQ165" s="88"/>
      <x:c r="DR165" s="88"/>
      <x:c r="DS165" s="88"/>
    </x:row>
    <x:row r="166" ht="25" customHeight="1">
      <x:c r="A166" s="10"/>
      <x:c r="D166" s="12"/>
      <x:c r="E166" s="12"/>
      <x:c r="F166" s="12"/>
      <x:c r="G166" s="14"/>
      <x:c r="H166" s="14"/>
      <x:c r="I166" s="14"/>
      <x:c r="J166" s="14"/>
      <x:c r="N166" s="14"/>
      <x:c r="O166" s="12"/>
      <x:c r="S166" s="14"/>
      <x:c r="T166" s="12"/>
      <x:c r="V166" s="42" t="str">
        <x:f>IF($A166="","",IF(AND($U166="発射物",$DI166&lt;&gt;"パッシブ"),$BE166,0))</x:f>
      </x:c>
      <x:c r="W166" s="42" t="str">
        <x:f>IF($A166="","",IF(AND($U166="発射物",$DI166&lt;&gt;"パッシブ"),$BF166,0))</x:f>
      </x:c>
      <x:c r="X166" s="42" t="str">
        <x:f>IF($A166="","",IF(AND($U166="発射物",$DI166&lt;&gt;"パッシブ"),IF($BG166="有効","有効","無効"),"無効"))</x:f>
      </x:c>
      <x:c r="AD166" s="14"/>
      <x:c r="AE166" s="14"/>
      <x:c r="AF166" s="14"/>
      <x:c r="AH166" s="14"/>
      <x:c r="AJ166" s="14"/>
      <x:c r="AN166" s="14"/>
      <x:c r="AO166" s="14"/>
      <x:c r="AP166" s="14"/>
      <x:c r="AR166" s="14"/>
      <x:c r="AT166" s="14"/>
      <x:c r="AX166" s="14"/>
      <x:c r="AY166" s="14"/>
      <x:c r="AZ166" s="14"/>
      <x:c r="BB166" s="14"/>
      <x:c r="BD166" s="14"/>
      <x:c r="BE166" s="14"/>
      <x:c r="BF166" s="14"/>
      <x:c r="BK166" s="14"/>
      <x:c r="BM166" s="14"/>
      <x:c r="BN166" s="14"/>
      <x:c r="BP166" s="14"/>
      <x:c r="BQ166" s="14"/>
      <x:c r="BR166" s="14"/>
      <x:c r="BT166" s="14"/>
      <x:c r="BU166" s="14"/>
      <x:c r="BV166" s="14"/>
      <x:c r="BW166" s="14"/>
      <x:c r="BX166" s="14"/>
      <x:c r="BY166" s="14"/>
      <x:c r="BZ166" s="14"/>
      <x:c r="CA166" s="14"/>
      <x:c r="CB166" s="14"/>
      <x:c r="CC166" s="14"/>
      <x:c r="CD166" s="14"/>
      <x:c r="CE166" s="14"/>
      <x:c r="CF166" s="14"/>
      <x:c r="CJ166" s="14"/>
      <x:c r="CK166" s="14"/>
      <x:c r="CL166" s="14"/>
      <x:c r="CM166" s="14"/>
      <x:c r="CO166" s="14"/>
      <x:c r="CQ166" s="14"/>
      <x:c r="CS166" s="14"/>
      <x:c r="CT166" s="14"/>
      <x:c r="CU166" s="14"/>
      <x:c r="CW166" s="14"/>
      <x:c r="CX166" s="14"/>
      <x:c r="CY166" s="14"/>
      <x:c r="CZ166" s="14"/>
      <x:c r="DC166" s="14"/>
      <x:c r="DD166" s="14"/>
      <x:c r="DI166" s="88"/>
      <x:c r="DJ166" s="88"/>
      <x:c r="DK166" s="88"/>
      <x:c r="DL166" s="88"/>
      <x:c r="DM166" s="88"/>
      <x:c r="DN166" s="88"/>
      <x:c r="DO166" s="88"/>
      <x:c r="DP166" s="88"/>
      <x:c r="DQ166" s="88"/>
      <x:c r="DR166" s="88"/>
      <x:c r="DS166" s="88"/>
    </x:row>
    <x:row r="167" ht="25" customHeight="1">
      <x:c r="A167" s="10"/>
      <x:c r="D167" s="12"/>
      <x:c r="E167" s="12"/>
      <x:c r="F167" s="12"/>
      <x:c r="G167" s="14"/>
      <x:c r="H167" s="14"/>
      <x:c r="I167" s="14"/>
      <x:c r="J167" s="14"/>
      <x:c r="N167" s="14"/>
      <x:c r="O167" s="12"/>
      <x:c r="S167" s="14"/>
      <x:c r="T167" s="12"/>
      <x:c r="V167" s="42" t="str">
        <x:f>IF($A167="","",IF(AND($U167="発射物",$DI167&lt;&gt;"パッシブ"),$BE167,0))</x:f>
      </x:c>
      <x:c r="W167" s="42" t="str">
        <x:f>IF($A167="","",IF(AND($U167="発射物",$DI167&lt;&gt;"パッシブ"),$BF167,0))</x:f>
      </x:c>
      <x:c r="X167" s="42" t="str">
        <x:f>IF($A167="","",IF(AND($U167="発射物",$DI167&lt;&gt;"パッシブ"),IF($BG167="有効","有効","無効"),"無効"))</x:f>
      </x:c>
      <x:c r="AD167" s="14"/>
      <x:c r="AE167" s="14"/>
      <x:c r="AF167" s="14"/>
      <x:c r="AH167" s="14"/>
      <x:c r="AJ167" s="14"/>
      <x:c r="AN167" s="14"/>
      <x:c r="AO167" s="14"/>
      <x:c r="AP167" s="14"/>
      <x:c r="AR167" s="14"/>
      <x:c r="AT167" s="14"/>
      <x:c r="AX167" s="14"/>
      <x:c r="AY167" s="14"/>
      <x:c r="AZ167" s="14"/>
      <x:c r="BB167" s="14"/>
      <x:c r="BD167" s="14"/>
      <x:c r="BE167" s="14"/>
      <x:c r="BF167" s="14"/>
      <x:c r="BK167" s="14"/>
      <x:c r="BM167" s="14"/>
      <x:c r="BN167" s="14"/>
      <x:c r="BP167" s="14"/>
      <x:c r="BQ167" s="14"/>
      <x:c r="BR167" s="14"/>
      <x:c r="BT167" s="14"/>
      <x:c r="BU167" s="14"/>
      <x:c r="BV167" s="14"/>
      <x:c r="BW167" s="14"/>
      <x:c r="BX167" s="14"/>
      <x:c r="BY167" s="14"/>
      <x:c r="BZ167" s="14"/>
      <x:c r="CA167" s="14"/>
      <x:c r="CB167" s="14"/>
      <x:c r="CC167" s="14"/>
      <x:c r="CD167" s="14"/>
      <x:c r="CE167" s="14"/>
      <x:c r="CF167" s="14"/>
      <x:c r="CJ167" s="14"/>
      <x:c r="CK167" s="14"/>
      <x:c r="CL167" s="14"/>
      <x:c r="CM167" s="14"/>
      <x:c r="CO167" s="14"/>
      <x:c r="CQ167" s="14"/>
      <x:c r="CS167" s="14"/>
      <x:c r="CT167" s="14"/>
      <x:c r="CU167" s="14"/>
      <x:c r="CW167" s="14"/>
      <x:c r="CX167" s="14"/>
      <x:c r="CY167" s="14"/>
      <x:c r="CZ167" s="14"/>
      <x:c r="DC167" s="14"/>
      <x:c r="DD167" s="14"/>
      <x:c r="DI167" s="88"/>
      <x:c r="DJ167" s="88"/>
      <x:c r="DK167" s="88"/>
      <x:c r="DL167" s="88"/>
      <x:c r="DM167" s="88"/>
      <x:c r="DN167" s="88"/>
      <x:c r="DO167" s="88"/>
      <x:c r="DP167" s="88"/>
      <x:c r="DQ167" s="88"/>
      <x:c r="DR167" s="88"/>
      <x:c r="DS167" s="88"/>
    </x:row>
    <x:row r="168" ht="25" customHeight="1">
      <x:c r="A168" s="10"/>
      <x:c r="D168" s="12"/>
      <x:c r="E168" s="12"/>
      <x:c r="F168" s="12"/>
      <x:c r="G168" s="14"/>
      <x:c r="H168" s="14"/>
      <x:c r="I168" s="14"/>
      <x:c r="J168" s="14"/>
      <x:c r="N168" s="14"/>
      <x:c r="O168" s="12"/>
      <x:c r="S168" s="14"/>
      <x:c r="T168" s="12"/>
      <x:c r="V168" s="42" t="str">
        <x:f>IF($A168="","",IF(AND($U168="発射物",$DI168&lt;&gt;"パッシブ"),$BE168,0))</x:f>
      </x:c>
      <x:c r="W168" s="42" t="str">
        <x:f>IF($A168="","",IF(AND($U168="発射物",$DI168&lt;&gt;"パッシブ"),$BF168,0))</x:f>
      </x:c>
      <x:c r="X168" s="42" t="str">
        <x:f>IF($A168="","",IF(AND($U168="発射物",$DI168&lt;&gt;"パッシブ"),IF($BG168="有効","有効","無効"),"無効"))</x:f>
      </x:c>
      <x:c r="AD168" s="14"/>
      <x:c r="AE168" s="14"/>
      <x:c r="AF168" s="14"/>
      <x:c r="AH168" s="14"/>
      <x:c r="AJ168" s="14"/>
      <x:c r="AN168" s="14"/>
      <x:c r="AO168" s="14"/>
      <x:c r="AP168" s="14"/>
      <x:c r="AR168" s="14"/>
      <x:c r="AT168" s="14"/>
      <x:c r="AX168" s="14"/>
      <x:c r="AY168" s="14"/>
      <x:c r="AZ168" s="14"/>
      <x:c r="BB168" s="14"/>
      <x:c r="BD168" s="14"/>
      <x:c r="BE168" s="14"/>
      <x:c r="BF168" s="14"/>
      <x:c r="BK168" s="14"/>
      <x:c r="BM168" s="14"/>
      <x:c r="BN168" s="14"/>
      <x:c r="BP168" s="14"/>
      <x:c r="BQ168" s="14"/>
      <x:c r="BR168" s="14"/>
      <x:c r="BT168" s="14"/>
      <x:c r="BU168" s="14"/>
      <x:c r="BV168" s="14"/>
      <x:c r="BW168" s="14"/>
      <x:c r="BX168" s="14"/>
      <x:c r="BY168" s="14"/>
      <x:c r="BZ168" s="14"/>
      <x:c r="CA168" s="14"/>
      <x:c r="CB168" s="14"/>
      <x:c r="CC168" s="14"/>
      <x:c r="CD168" s="14"/>
      <x:c r="CE168" s="14"/>
      <x:c r="CF168" s="14"/>
      <x:c r="CJ168" s="14"/>
      <x:c r="CK168" s="14"/>
      <x:c r="CL168" s="14"/>
      <x:c r="CM168" s="14"/>
      <x:c r="CO168" s="14"/>
      <x:c r="CQ168" s="14"/>
      <x:c r="CS168" s="14"/>
      <x:c r="CT168" s="14"/>
      <x:c r="CU168" s="14"/>
      <x:c r="CW168" s="14"/>
      <x:c r="CX168" s="14"/>
      <x:c r="CY168" s="14"/>
      <x:c r="CZ168" s="14"/>
      <x:c r="DC168" s="14"/>
      <x:c r="DD168" s="14"/>
      <x:c r="DI168" s="88"/>
      <x:c r="DJ168" s="88"/>
      <x:c r="DK168" s="88"/>
      <x:c r="DL168" s="88"/>
      <x:c r="DM168" s="88"/>
      <x:c r="DN168" s="88"/>
      <x:c r="DO168" s="88"/>
      <x:c r="DP168" s="88"/>
      <x:c r="DQ168" s="88"/>
      <x:c r="DR168" s="88"/>
      <x:c r="DS168" s="88"/>
    </x:row>
    <x:row r="169" ht="25" customHeight="1">
      <x:c r="A169" s="10"/>
      <x:c r="D169" s="12"/>
      <x:c r="E169" s="12"/>
      <x:c r="F169" s="12"/>
      <x:c r="G169" s="14"/>
      <x:c r="H169" s="14"/>
      <x:c r="I169" s="14"/>
      <x:c r="J169" s="14"/>
      <x:c r="N169" s="14"/>
      <x:c r="O169" s="12"/>
      <x:c r="S169" s="14"/>
      <x:c r="T169" s="12"/>
      <x:c r="V169" s="42" t="str">
        <x:f>IF($A169="","",IF(AND($U169="発射物",$DI169&lt;&gt;"パッシブ"),$BE169,0))</x:f>
      </x:c>
      <x:c r="W169" s="42" t="str">
        <x:f>IF($A169="","",IF(AND($U169="発射物",$DI169&lt;&gt;"パッシブ"),$BF169,0))</x:f>
      </x:c>
      <x:c r="X169" s="42" t="str">
        <x:f>IF($A169="","",IF(AND($U169="発射物",$DI169&lt;&gt;"パッシブ"),IF($BG169="有効","有効","無効"),"無効"))</x:f>
      </x:c>
      <x:c r="AD169" s="14"/>
      <x:c r="AE169" s="14"/>
      <x:c r="AF169" s="14"/>
      <x:c r="AH169" s="14"/>
      <x:c r="AJ169" s="14"/>
      <x:c r="AN169" s="14"/>
      <x:c r="AO169" s="14"/>
      <x:c r="AP169" s="14"/>
      <x:c r="AR169" s="14"/>
      <x:c r="AT169" s="14"/>
      <x:c r="AX169" s="14"/>
      <x:c r="AY169" s="14"/>
      <x:c r="AZ169" s="14"/>
      <x:c r="BB169" s="14"/>
      <x:c r="BD169" s="14"/>
      <x:c r="BE169" s="14"/>
      <x:c r="BF169" s="14"/>
      <x:c r="BK169" s="14"/>
      <x:c r="BM169" s="14"/>
      <x:c r="BN169" s="14"/>
      <x:c r="BP169" s="14"/>
      <x:c r="BQ169" s="14"/>
      <x:c r="BR169" s="14"/>
      <x:c r="BT169" s="14"/>
      <x:c r="BU169" s="14"/>
      <x:c r="BV169" s="14"/>
      <x:c r="BW169" s="14"/>
      <x:c r="BX169" s="14"/>
      <x:c r="BY169" s="14"/>
      <x:c r="BZ169" s="14"/>
      <x:c r="CA169" s="14"/>
      <x:c r="CB169" s="14"/>
      <x:c r="CC169" s="14"/>
      <x:c r="CD169" s="14"/>
      <x:c r="CE169" s="14"/>
      <x:c r="CF169" s="14"/>
      <x:c r="CJ169" s="14"/>
      <x:c r="CK169" s="14"/>
      <x:c r="CL169" s="14"/>
      <x:c r="CM169" s="14"/>
      <x:c r="CO169" s="14"/>
      <x:c r="CQ169" s="14"/>
      <x:c r="CS169" s="14"/>
      <x:c r="CT169" s="14"/>
      <x:c r="CU169" s="14"/>
      <x:c r="CW169" s="14"/>
      <x:c r="CX169" s="14"/>
      <x:c r="CY169" s="14"/>
      <x:c r="CZ169" s="14"/>
      <x:c r="DC169" s="14"/>
      <x:c r="DD169" s="14"/>
      <x:c r="DI169" s="88"/>
      <x:c r="DJ169" s="88"/>
      <x:c r="DK169" s="88"/>
      <x:c r="DL169" s="88"/>
      <x:c r="DM169" s="88"/>
      <x:c r="DN169" s="88"/>
      <x:c r="DO169" s="88"/>
      <x:c r="DP169" s="88"/>
      <x:c r="DQ169" s="88"/>
      <x:c r="DR169" s="88"/>
      <x:c r="DS169" s="88"/>
    </x:row>
    <x:row r="170" ht="25" customHeight="1">
      <x:c r="A170" s="10"/>
      <x:c r="D170" s="12"/>
      <x:c r="E170" s="12"/>
      <x:c r="F170" s="12"/>
      <x:c r="G170" s="14"/>
      <x:c r="H170" s="14"/>
      <x:c r="I170" s="14"/>
      <x:c r="J170" s="14"/>
      <x:c r="N170" s="14"/>
      <x:c r="O170" s="12"/>
      <x:c r="S170" s="14"/>
      <x:c r="T170" s="12"/>
      <x:c r="V170" s="42" t="str">
        <x:f>IF($A170="","",IF(AND($U170="発射物",$DI170&lt;&gt;"パッシブ"),$BE170,0))</x:f>
      </x:c>
      <x:c r="W170" s="42" t="str">
        <x:f>IF($A170="","",IF(AND($U170="発射物",$DI170&lt;&gt;"パッシブ"),$BF170,0))</x:f>
      </x:c>
      <x:c r="X170" s="42" t="str">
        <x:f>IF($A170="","",IF(AND($U170="発射物",$DI170&lt;&gt;"パッシブ"),IF($BG170="有効","有効","無効"),"無効"))</x:f>
      </x:c>
      <x:c r="AD170" s="14"/>
      <x:c r="AE170" s="14"/>
      <x:c r="AF170" s="14"/>
      <x:c r="AH170" s="14"/>
      <x:c r="AJ170" s="14"/>
      <x:c r="AN170" s="14"/>
      <x:c r="AO170" s="14"/>
      <x:c r="AP170" s="14"/>
      <x:c r="AR170" s="14"/>
      <x:c r="AT170" s="14"/>
      <x:c r="AX170" s="14"/>
      <x:c r="AY170" s="14"/>
      <x:c r="AZ170" s="14"/>
      <x:c r="BB170" s="14"/>
      <x:c r="BD170" s="14"/>
      <x:c r="BE170" s="14"/>
      <x:c r="BF170" s="14"/>
      <x:c r="BK170" s="14"/>
      <x:c r="BM170" s="14"/>
      <x:c r="BN170" s="14"/>
      <x:c r="BP170" s="14"/>
      <x:c r="BQ170" s="14"/>
      <x:c r="BR170" s="14"/>
      <x:c r="BT170" s="14"/>
      <x:c r="BU170" s="14"/>
      <x:c r="BV170" s="14"/>
      <x:c r="BW170" s="14"/>
      <x:c r="BX170" s="14"/>
      <x:c r="BY170" s="14"/>
      <x:c r="BZ170" s="14"/>
      <x:c r="CA170" s="14"/>
      <x:c r="CB170" s="14"/>
      <x:c r="CC170" s="14"/>
      <x:c r="CD170" s="14"/>
      <x:c r="CE170" s="14"/>
      <x:c r="CF170" s="14"/>
      <x:c r="CJ170" s="14"/>
      <x:c r="CK170" s="14"/>
      <x:c r="CL170" s="14"/>
      <x:c r="CM170" s="14"/>
      <x:c r="CO170" s="14"/>
      <x:c r="CQ170" s="14"/>
      <x:c r="CS170" s="14"/>
      <x:c r="CT170" s="14"/>
      <x:c r="CU170" s="14"/>
      <x:c r="CW170" s="14"/>
      <x:c r="CX170" s="14"/>
      <x:c r="CY170" s="14"/>
      <x:c r="CZ170" s="14"/>
      <x:c r="DC170" s="14"/>
      <x:c r="DD170" s="14"/>
      <x:c r="DI170" s="88"/>
      <x:c r="DJ170" s="88"/>
      <x:c r="DK170" s="88"/>
      <x:c r="DL170" s="88"/>
      <x:c r="DM170" s="88"/>
      <x:c r="DN170" s="88"/>
      <x:c r="DO170" s="88"/>
      <x:c r="DP170" s="88"/>
      <x:c r="DQ170" s="88"/>
      <x:c r="DR170" s="88"/>
      <x:c r="DS170" s="88"/>
    </x:row>
    <x:row r="171" ht="25" customHeight="1">
      <x:c r="A171" s="10"/>
      <x:c r="D171" s="12"/>
      <x:c r="E171" s="12"/>
      <x:c r="F171" s="12"/>
      <x:c r="G171" s="14"/>
      <x:c r="H171" s="14"/>
      <x:c r="I171" s="14"/>
      <x:c r="J171" s="14"/>
      <x:c r="N171" s="14"/>
      <x:c r="O171" s="12"/>
      <x:c r="S171" s="14"/>
      <x:c r="T171" s="12"/>
      <x:c r="V171" s="42" t="str">
        <x:f>IF($A171="","",IF(AND($U171="発射物",$DI171&lt;&gt;"パッシブ"),$BE171,0))</x:f>
      </x:c>
      <x:c r="W171" s="42" t="str">
        <x:f>IF($A171="","",IF(AND($U171="発射物",$DI171&lt;&gt;"パッシブ"),$BF171,0))</x:f>
      </x:c>
      <x:c r="X171" s="42" t="str">
        <x:f>IF($A171="","",IF(AND($U171="発射物",$DI171&lt;&gt;"パッシブ"),IF($BG171="有効","有効","無効"),"無効"))</x:f>
      </x:c>
      <x:c r="AD171" s="14"/>
      <x:c r="AE171" s="14"/>
      <x:c r="AF171" s="14"/>
      <x:c r="AH171" s="14"/>
      <x:c r="AJ171" s="14"/>
      <x:c r="AN171" s="14"/>
      <x:c r="AO171" s="14"/>
      <x:c r="AP171" s="14"/>
      <x:c r="AR171" s="14"/>
      <x:c r="AT171" s="14"/>
      <x:c r="AX171" s="14"/>
      <x:c r="AY171" s="14"/>
      <x:c r="AZ171" s="14"/>
      <x:c r="BB171" s="14"/>
      <x:c r="BD171" s="14"/>
      <x:c r="BE171" s="14"/>
      <x:c r="BF171" s="14"/>
      <x:c r="BK171" s="14"/>
      <x:c r="BM171" s="14"/>
      <x:c r="BN171" s="14"/>
      <x:c r="BP171" s="14"/>
      <x:c r="BQ171" s="14"/>
      <x:c r="BR171" s="14"/>
      <x:c r="BT171" s="14"/>
      <x:c r="BU171" s="14"/>
      <x:c r="BV171" s="14"/>
      <x:c r="BW171" s="14"/>
      <x:c r="BX171" s="14"/>
      <x:c r="BY171" s="14"/>
      <x:c r="BZ171" s="14"/>
      <x:c r="CA171" s="14"/>
      <x:c r="CB171" s="14"/>
      <x:c r="CC171" s="14"/>
      <x:c r="CD171" s="14"/>
      <x:c r="CE171" s="14"/>
      <x:c r="CF171" s="14"/>
      <x:c r="CJ171" s="14"/>
      <x:c r="CK171" s="14"/>
      <x:c r="CL171" s="14"/>
      <x:c r="CM171" s="14"/>
      <x:c r="CO171" s="14"/>
      <x:c r="CQ171" s="14"/>
      <x:c r="CS171" s="14"/>
      <x:c r="CT171" s="14"/>
      <x:c r="CU171" s="14"/>
      <x:c r="CW171" s="14"/>
      <x:c r="CX171" s="14"/>
      <x:c r="CY171" s="14"/>
      <x:c r="CZ171" s="14"/>
      <x:c r="DC171" s="14"/>
      <x:c r="DD171" s="14"/>
      <x:c r="DI171" s="88"/>
      <x:c r="DJ171" s="88"/>
      <x:c r="DK171" s="88"/>
      <x:c r="DL171" s="88"/>
      <x:c r="DM171" s="88"/>
      <x:c r="DN171" s="88"/>
      <x:c r="DO171" s="88"/>
      <x:c r="DP171" s="88"/>
      <x:c r="DQ171" s="88"/>
      <x:c r="DR171" s="88"/>
      <x:c r="DS171" s="88"/>
    </x:row>
    <x:row r="172" ht="25" customHeight="1">
      <x:c r="A172" s="10"/>
      <x:c r="D172" s="12"/>
      <x:c r="E172" s="12"/>
      <x:c r="F172" s="12"/>
      <x:c r="G172" s="14"/>
      <x:c r="H172" s="14"/>
      <x:c r="I172" s="14"/>
      <x:c r="J172" s="14"/>
      <x:c r="N172" s="14"/>
      <x:c r="O172" s="12"/>
      <x:c r="S172" s="14"/>
      <x:c r="T172" s="12"/>
      <x:c r="V172" s="42" t="str">
        <x:f>IF($A172="","",IF(AND($U172="発射物",$DI172&lt;&gt;"パッシブ"),$BE172,0))</x:f>
      </x:c>
      <x:c r="W172" s="42" t="str">
        <x:f>IF($A172="","",IF(AND($U172="発射物",$DI172&lt;&gt;"パッシブ"),$BF172,0))</x:f>
      </x:c>
      <x:c r="X172" s="42" t="str">
        <x:f>IF($A172="","",IF(AND($U172="発射物",$DI172&lt;&gt;"パッシブ"),IF($BG172="有効","有効","無効"),"無効"))</x:f>
      </x:c>
      <x:c r="AD172" s="14"/>
      <x:c r="AE172" s="14"/>
      <x:c r="AF172" s="14"/>
      <x:c r="AH172" s="14"/>
      <x:c r="AJ172" s="14"/>
      <x:c r="AN172" s="14"/>
      <x:c r="AO172" s="14"/>
      <x:c r="AP172" s="14"/>
      <x:c r="AR172" s="14"/>
      <x:c r="AT172" s="14"/>
      <x:c r="AX172" s="14"/>
      <x:c r="AY172" s="14"/>
      <x:c r="AZ172" s="14"/>
      <x:c r="BB172" s="14"/>
      <x:c r="BD172" s="14"/>
      <x:c r="BE172" s="14"/>
      <x:c r="BF172" s="14"/>
      <x:c r="BK172" s="14"/>
      <x:c r="BM172" s="14"/>
      <x:c r="BN172" s="14"/>
      <x:c r="BP172" s="14"/>
      <x:c r="BQ172" s="14"/>
      <x:c r="BR172" s="14"/>
      <x:c r="BT172" s="14"/>
      <x:c r="BU172" s="14"/>
      <x:c r="BV172" s="14"/>
      <x:c r="BW172" s="14"/>
      <x:c r="BX172" s="14"/>
      <x:c r="BY172" s="14"/>
      <x:c r="BZ172" s="14"/>
      <x:c r="CA172" s="14"/>
      <x:c r="CB172" s="14"/>
      <x:c r="CC172" s="14"/>
      <x:c r="CD172" s="14"/>
      <x:c r="CE172" s="14"/>
      <x:c r="CF172" s="14"/>
      <x:c r="CJ172" s="14"/>
      <x:c r="CK172" s="14"/>
      <x:c r="CL172" s="14"/>
      <x:c r="CM172" s="14"/>
      <x:c r="CO172" s="14"/>
      <x:c r="CQ172" s="14"/>
      <x:c r="CS172" s="14"/>
      <x:c r="CT172" s="14"/>
      <x:c r="CU172" s="14"/>
      <x:c r="CW172" s="14"/>
      <x:c r="CX172" s="14"/>
      <x:c r="CY172" s="14"/>
      <x:c r="CZ172" s="14"/>
      <x:c r="DC172" s="14"/>
      <x:c r="DD172" s="14"/>
      <x:c r="DI172" s="88"/>
      <x:c r="DJ172" s="88"/>
      <x:c r="DK172" s="88"/>
      <x:c r="DL172" s="88"/>
      <x:c r="DM172" s="88"/>
      <x:c r="DN172" s="88"/>
      <x:c r="DO172" s="88"/>
      <x:c r="DP172" s="88"/>
      <x:c r="DQ172" s="88"/>
      <x:c r="DR172" s="88"/>
      <x:c r="DS172" s="88"/>
    </x:row>
    <x:row r="173" ht="25" customHeight="1">
      <x:c r="A173" s="10"/>
      <x:c r="D173" s="12"/>
      <x:c r="E173" s="12"/>
      <x:c r="F173" s="12"/>
      <x:c r="G173" s="14"/>
      <x:c r="H173" s="14"/>
      <x:c r="I173" s="14"/>
      <x:c r="J173" s="14"/>
      <x:c r="N173" s="14"/>
      <x:c r="O173" s="12"/>
      <x:c r="S173" s="14"/>
      <x:c r="T173" s="12"/>
      <x:c r="V173" s="42" t="str">
        <x:f>IF($A173="","",IF(AND($U173="発射物",$DI173&lt;&gt;"パッシブ"),$BE173,0))</x:f>
      </x:c>
      <x:c r="W173" s="42" t="str">
        <x:f>IF($A173="","",IF(AND($U173="発射物",$DI173&lt;&gt;"パッシブ"),$BF173,0))</x:f>
      </x:c>
      <x:c r="X173" s="42" t="str">
        <x:f>IF($A173="","",IF(AND($U173="発射物",$DI173&lt;&gt;"パッシブ"),IF($BG173="有効","有効","無効"),"無効"))</x:f>
      </x:c>
      <x:c r="AD173" s="14"/>
      <x:c r="AE173" s="14"/>
      <x:c r="AF173" s="14"/>
      <x:c r="AH173" s="14"/>
      <x:c r="AJ173" s="14"/>
      <x:c r="AN173" s="14"/>
      <x:c r="AO173" s="14"/>
      <x:c r="AP173" s="14"/>
      <x:c r="AR173" s="14"/>
      <x:c r="AT173" s="14"/>
      <x:c r="AX173" s="14"/>
      <x:c r="AY173" s="14"/>
      <x:c r="AZ173" s="14"/>
      <x:c r="BB173" s="14"/>
      <x:c r="BD173" s="14"/>
      <x:c r="BE173" s="14"/>
      <x:c r="BF173" s="14"/>
      <x:c r="BK173" s="14"/>
      <x:c r="BM173" s="14"/>
      <x:c r="BN173" s="14"/>
      <x:c r="BP173" s="14"/>
      <x:c r="BQ173" s="14"/>
      <x:c r="BR173" s="14"/>
      <x:c r="BT173" s="14"/>
      <x:c r="BU173" s="14"/>
      <x:c r="BV173" s="14"/>
      <x:c r="BW173" s="14"/>
      <x:c r="BX173" s="14"/>
      <x:c r="BY173" s="14"/>
      <x:c r="BZ173" s="14"/>
      <x:c r="CA173" s="14"/>
      <x:c r="CB173" s="14"/>
      <x:c r="CC173" s="14"/>
      <x:c r="CD173" s="14"/>
      <x:c r="CE173" s="14"/>
      <x:c r="CF173" s="14"/>
      <x:c r="CJ173" s="14"/>
      <x:c r="CK173" s="14"/>
      <x:c r="CL173" s="14"/>
      <x:c r="CM173" s="14"/>
      <x:c r="CO173" s="14"/>
      <x:c r="CQ173" s="14"/>
      <x:c r="CS173" s="14"/>
      <x:c r="CT173" s="14"/>
      <x:c r="CU173" s="14"/>
      <x:c r="CW173" s="14"/>
      <x:c r="CX173" s="14"/>
      <x:c r="CY173" s="14"/>
      <x:c r="CZ173" s="14"/>
      <x:c r="DC173" s="14"/>
      <x:c r="DD173" s="14"/>
      <x:c r="DI173" s="88"/>
      <x:c r="DJ173" s="88"/>
      <x:c r="DK173" s="88"/>
      <x:c r="DL173" s="88"/>
      <x:c r="DM173" s="88"/>
      <x:c r="DN173" s="88"/>
      <x:c r="DO173" s="88"/>
      <x:c r="DP173" s="88"/>
      <x:c r="DQ173" s="88"/>
      <x:c r="DR173" s="88"/>
      <x:c r="DS173" s="88"/>
    </x:row>
    <x:row r="174" ht="25" customHeight="1">
      <x:c r="A174" s="10"/>
      <x:c r="D174" s="12"/>
      <x:c r="E174" s="12"/>
      <x:c r="F174" s="12"/>
      <x:c r="G174" s="14"/>
      <x:c r="H174" s="14"/>
      <x:c r="I174" s="14"/>
      <x:c r="J174" s="14"/>
      <x:c r="N174" s="14"/>
      <x:c r="O174" s="12"/>
      <x:c r="S174" s="14"/>
      <x:c r="T174" s="12"/>
      <x:c r="V174" s="42" t="str">
        <x:f>IF($A174="","",IF(AND($U174="発射物",$DI174&lt;&gt;"パッシブ"),$BE174,0))</x:f>
      </x:c>
      <x:c r="W174" s="42" t="str">
        <x:f>IF($A174="","",IF(AND($U174="発射物",$DI174&lt;&gt;"パッシブ"),$BF174,0))</x:f>
      </x:c>
      <x:c r="X174" s="42" t="str">
        <x:f>IF($A174="","",IF(AND($U174="発射物",$DI174&lt;&gt;"パッシブ"),IF($BG174="有効","有効","無効"),"無効"))</x:f>
      </x:c>
      <x:c r="AD174" s="14"/>
      <x:c r="AE174" s="14"/>
      <x:c r="AF174" s="14"/>
      <x:c r="AH174" s="14"/>
      <x:c r="AJ174" s="14"/>
      <x:c r="AN174" s="14"/>
      <x:c r="AO174" s="14"/>
      <x:c r="AP174" s="14"/>
      <x:c r="AR174" s="14"/>
      <x:c r="AT174" s="14"/>
      <x:c r="AX174" s="14"/>
      <x:c r="AY174" s="14"/>
      <x:c r="AZ174" s="14"/>
      <x:c r="BB174" s="14"/>
      <x:c r="BD174" s="14"/>
      <x:c r="BE174" s="14"/>
      <x:c r="BF174" s="14"/>
      <x:c r="BK174" s="14"/>
      <x:c r="BM174" s="14"/>
      <x:c r="BN174" s="14"/>
      <x:c r="BP174" s="14"/>
      <x:c r="BQ174" s="14"/>
      <x:c r="BR174" s="14"/>
      <x:c r="BT174" s="14"/>
      <x:c r="BU174" s="14"/>
      <x:c r="BV174" s="14"/>
      <x:c r="BW174" s="14"/>
      <x:c r="BX174" s="14"/>
      <x:c r="BY174" s="14"/>
      <x:c r="BZ174" s="14"/>
      <x:c r="CA174" s="14"/>
      <x:c r="CB174" s="14"/>
      <x:c r="CC174" s="14"/>
      <x:c r="CD174" s="14"/>
      <x:c r="CE174" s="14"/>
      <x:c r="CF174" s="14"/>
      <x:c r="CJ174" s="14"/>
      <x:c r="CK174" s="14"/>
      <x:c r="CL174" s="14"/>
      <x:c r="CM174" s="14"/>
      <x:c r="CO174" s="14"/>
      <x:c r="CQ174" s="14"/>
      <x:c r="CS174" s="14"/>
      <x:c r="CT174" s="14"/>
      <x:c r="CU174" s="14"/>
      <x:c r="CW174" s="14"/>
      <x:c r="CX174" s="14"/>
      <x:c r="CY174" s="14"/>
      <x:c r="CZ174" s="14"/>
      <x:c r="DC174" s="14"/>
      <x:c r="DD174" s="14"/>
      <x:c r="DI174" s="88"/>
      <x:c r="DJ174" s="88"/>
      <x:c r="DK174" s="88"/>
      <x:c r="DL174" s="88"/>
      <x:c r="DM174" s="88"/>
      <x:c r="DN174" s="88"/>
      <x:c r="DO174" s="88"/>
      <x:c r="DP174" s="88"/>
      <x:c r="DQ174" s="88"/>
      <x:c r="DR174" s="88"/>
      <x:c r="DS174" s="88"/>
    </x:row>
    <x:row r="175" ht="25" customHeight="1">
      <x:c r="A175" s="10"/>
      <x:c r="D175" s="12"/>
      <x:c r="E175" s="12"/>
      <x:c r="F175" s="12"/>
      <x:c r="G175" s="14"/>
      <x:c r="H175" s="14"/>
      <x:c r="I175" s="14"/>
      <x:c r="J175" s="14"/>
      <x:c r="N175" s="14"/>
      <x:c r="O175" s="12"/>
      <x:c r="S175" s="14"/>
      <x:c r="T175" s="12"/>
      <x:c r="V175" s="42" t="str">
        <x:f>IF($A175="","",IF(AND($U175="発射物",$DI175&lt;&gt;"パッシブ"),$BE175,0))</x:f>
      </x:c>
      <x:c r="W175" s="42" t="str">
        <x:f>IF($A175="","",IF(AND($U175="発射物",$DI175&lt;&gt;"パッシブ"),$BF175,0))</x:f>
      </x:c>
      <x:c r="X175" s="42" t="str">
        <x:f>IF($A175="","",IF(AND($U175="発射物",$DI175&lt;&gt;"パッシブ"),IF($BG175="有効","有効","無効"),"無効"))</x:f>
      </x:c>
      <x:c r="AD175" s="14"/>
      <x:c r="AE175" s="14"/>
      <x:c r="AF175" s="14"/>
      <x:c r="AH175" s="14"/>
      <x:c r="AJ175" s="14"/>
      <x:c r="AN175" s="14"/>
      <x:c r="AO175" s="14"/>
      <x:c r="AP175" s="14"/>
      <x:c r="AR175" s="14"/>
      <x:c r="AT175" s="14"/>
      <x:c r="AX175" s="14"/>
      <x:c r="AY175" s="14"/>
      <x:c r="AZ175" s="14"/>
      <x:c r="BB175" s="14"/>
      <x:c r="BD175" s="14"/>
      <x:c r="BE175" s="14"/>
      <x:c r="BF175" s="14"/>
      <x:c r="BK175" s="14"/>
      <x:c r="BM175" s="14"/>
      <x:c r="BN175" s="14"/>
      <x:c r="BP175" s="14"/>
      <x:c r="BQ175" s="14"/>
      <x:c r="BR175" s="14"/>
      <x:c r="BT175" s="14"/>
      <x:c r="BU175" s="14"/>
      <x:c r="BV175" s="14"/>
      <x:c r="BW175" s="14"/>
      <x:c r="BX175" s="14"/>
      <x:c r="BY175" s="14"/>
      <x:c r="BZ175" s="14"/>
      <x:c r="CA175" s="14"/>
      <x:c r="CB175" s="14"/>
      <x:c r="CC175" s="14"/>
      <x:c r="CD175" s="14"/>
      <x:c r="CE175" s="14"/>
      <x:c r="CF175" s="14"/>
      <x:c r="CJ175" s="14"/>
      <x:c r="CK175" s="14"/>
      <x:c r="CL175" s="14"/>
      <x:c r="CM175" s="14"/>
      <x:c r="CO175" s="14"/>
      <x:c r="CQ175" s="14"/>
      <x:c r="CS175" s="14"/>
      <x:c r="CT175" s="14"/>
      <x:c r="CU175" s="14"/>
      <x:c r="CW175" s="14"/>
      <x:c r="CX175" s="14"/>
      <x:c r="CY175" s="14"/>
      <x:c r="CZ175" s="14"/>
      <x:c r="DC175" s="14"/>
      <x:c r="DD175" s="14"/>
      <x:c r="DI175" s="88"/>
      <x:c r="DJ175" s="88"/>
      <x:c r="DK175" s="88"/>
      <x:c r="DL175" s="88"/>
      <x:c r="DM175" s="88"/>
      <x:c r="DN175" s="88"/>
      <x:c r="DO175" s="88"/>
      <x:c r="DP175" s="88"/>
      <x:c r="DQ175" s="88"/>
      <x:c r="DR175" s="88"/>
      <x:c r="DS175" s="88"/>
    </x:row>
    <x:row r="176" ht="25" customHeight="1">
      <x:c r="A176" s="10"/>
      <x:c r="D176" s="12"/>
      <x:c r="E176" s="12"/>
      <x:c r="F176" s="12"/>
      <x:c r="G176" s="14"/>
      <x:c r="H176" s="14"/>
      <x:c r="I176" s="14"/>
      <x:c r="J176" s="14"/>
      <x:c r="N176" s="14"/>
      <x:c r="O176" s="12"/>
      <x:c r="S176" s="14"/>
      <x:c r="T176" s="12"/>
      <x:c r="V176" s="42" t="str">
        <x:f>IF($A176="","",IF(AND($U176="発射物",$DI176&lt;&gt;"パッシブ"),$BE176,0))</x:f>
      </x:c>
      <x:c r="W176" s="42" t="str">
        <x:f>IF($A176="","",IF(AND($U176="発射物",$DI176&lt;&gt;"パッシブ"),$BF176,0))</x:f>
      </x:c>
      <x:c r="X176" s="42" t="str">
        <x:f>IF($A176="","",IF(AND($U176="発射物",$DI176&lt;&gt;"パッシブ"),IF($BG176="有効","有効","無効"),"無効"))</x:f>
      </x:c>
      <x:c r="AD176" s="14"/>
      <x:c r="AE176" s="14"/>
      <x:c r="AF176" s="14"/>
      <x:c r="AH176" s="14"/>
      <x:c r="AJ176" s="14"/>
      <x:c r="AN176" s="14"/>
      <x:c r="AO176" s="14"/>
      <x:c r="AP176" s="14"/>
      <x:c r="AR176" s="14"/>
      <x:c r="AT176" s="14"/>
      <x:c r="AX176" s="14"/>
      <x:c r="AY176" s="14"/>
      <x:c r="AZ176" s="14"/>
      <x:c r="BB176" s="14"/>
      <x:c r="BD176" s="14"/>
      <x:c r="BE176" s="14"/>
      <x:c r="BF176" s="14"/>
      <x:c r="BK176" s="14"/>
      <x:c r="BM176" s="14"/>
      <x:c r="BN176" s="14"/>
      <x:c r="BP176" s="14"/>
      <x:c r="BQ176" s="14"/>
      <x:c r="BR176" s="14"/>
      <x:c r="BT176" s="14"/>
      <x:c r="BU176" s="14"/>
      <x:c r="BV176" s="14"/>
      <x:c r="BW176" s="14"/>
      <x:c r="BX176" s="14"/>
      <x:c r="BY176" s="14"/>
      <x:c r="BZ176" s="14"/>
      <x:c r="CA176" s="14"/>
      <x:c r="CB176" s="14"/>
      <x:c r="CC176" s="14"/>
      <x:c r="CD176" s="14"/>
      <x:c r="CE176" s="14"/>
      <x:c r="CF176" s="14"/>
      <x:c r="CJ176" s="14"/>
      <x:c r="CK176" s="14"/>
      <x:c r="CL176" s="14"/>
      <x:c r="CM176" s="14"/>
      <x:c r="CO176" s="14"/>
      <x:c r="CQ176" s="14"/>
      <x:c r="CS176" s="14"/>
      <x:c r="CT176" s="14"/>
      <x:c r="CU176" s="14"/>
      <x:c r="CW176" s="14"/>
      <x:c r="CX176" s="14"/>
      <x:c r="CY176" s="14"/>
      <x:c r="CZ176" s="14"/>
      <x:c r="DC176" s="14"/>
      <x:c r="DD176" s="14"/>
      <x:c r="DI176" s="88"/>
      <x:c r="DJ176" s="88"/>
      <x:c r="DK176" s="88"/>
      <x:c r="DL176" s="88"/>
      <x:c r="DM176" s="88"/>
      <x:c r="DN176" s="88"/>
      <x:c r="DO176" s="88"/>
      <x:c r="DP176" s="88"/>
      <x:c r="DQ176" s="88"/>
      <x:c r="DR176" s="88"/>
      <x:c r="DS176" s="88"/>
    </x:row>
    <x:row r="177" ht="25" customHeight="1">
      <x:c r="A177" s="10"/>
      <x:c r="D177" s="12"/>
      <x:c r="E177" s="12"/>
      <x:c r="F177" s="12"/>
      <x:c r="G177" s="14"/>
      <x:c r="H177" s="14"/>
      <x:c r="I177" s="14"/>
      <x:c r="J177" s="14"/>
      <x:c r="N177" s="14"/>
      <x:c r="O177" s="12"/>
      <x:c r="S177" s="14"/>
      <x:c r="T177" s="12"/>
      <x:c r="V177" s="42" t="str">
        <x:f>IF($A177="","",IF(AND($U177="発射物",$DI177&lt;&gt;"パッシブ"),$BE177,0))</x:f>
      </x:c>
      <x:c r="W177" s="42" t="str">
        <x:f>IF($A177="","",IF(AND($U177="発射物",$DI177&lt;&gt;"パッシブ"),$BF177,0))</x:f>
      </x:c>
      <x:c r="X177" s="42" t="str">
        <x:f>IF($A177="","",IF(AND($U177="発射物",$DI177&lt;&gt;"パッシブ"),IF($BG177="有効","有効","無効"),"無効"))</x:f>
      </x:c>
      <x:c r="AD177" s="14"/>
      <x:c r="AE177" s="14"/>
      <x:c r="AF177" s="14"/>
      <x:c r="AH177" s="14"/>
      <x:c r="AJ177" s="14"/>
      <x:c r="AN177" s="14"/>
      <x:c r="AO177" s="14"/>
      <x:c r="AP177" s="14"/>
      <x:c r="AR177" s="14"/>
      <x:c r="AT177" s="14"/>
      <x:c r="AX177" s="14"/>
      <x:c r="AY177" s="14"/>
      <x:c r="AZ177" s="14"/>
      <x:c r="BB177" s="14"/>
      <x:c r="BD177" s="14"/>
      <x:c r="BE177" s="14"/>
      <x:c r="BF177" s="14"/>
      <x:c r="BK177" s="14"/>
      <x:c r="BM177" s="14"/>
      <x:c r="BN177" s="14"/>
      <x:c r="BP177" s="14"/>
      <x:c r="BQ177" s="14"/>
      <x:c r="BR177" s="14"/>
      <x:c r="BT177" s="14"/>
      <x:c r="BU177" s="14"/>
      <x:c r="BV177" s="14"/>
      <x:c r="BW177" s="14"/>
      <x:c r="BX177" s="14"/>
      <x:c r="BY177" s="14"/>
      <x:c r="BZ177" s="14"/>
      <x:c r="CA177" s="14"/>
      <x:c r="CB177" s="14"/>
      <x:c r="CC177" s="14"/>
      <x:c r="CD177" s="14"/>
      <x:c r="CE177" s="14"/>
      <x:c r="CF177" s="14"/>
      <x:c r="CJ177" s="14"/>
      <x:c r="CK177" s="14"/>
      <x:c r="CL177" s="14"/>
      <x:c r="CM177" s="14"/>
      <x:c r="CO177" s="14"/>
      <x:c r="CQ177" s="14"/>
      <x:c r="CS177" s="14"/>
      <x:c r="CT177" s="14"/>
      <x:c r="CU177" s="14"/>
      <x:c r="CW177" s="14"/>
      <x:c r="CX177" s="14"/>
      <x:c r="CY177" s="14"/>
      <x:c r="CZ177" s="14"/>
      <x:c r="DC177" s="14"/>
      <x:c r="DD177" s="14"/>
      <x:c r="DI177" s="88"/>
      <x:c r="DJ177" s="88"/>
      <x:c r="DK177" s="88"/>
      <x:c r="DL177" s="88"/>
      <x:c r="DM177" s="88"/>
      <x:c r="DN177" s="88"/>
      <x:c r="DO177" s="88"/>
      <x:c r="DP177" s="88"/>
      <x:c r="DQ177" s="88"/>
      <x:c r="DR177" s="88"/>
      <x:c r="DS177" s="88"/>
    </x:row>
    <x:row r="178" ht="25" customHeight="1">
      <x:c r="A178" s="10"/>
      <x:c r="D178" s="12"/>
      <x:c r="E178" s="12"/>
      <x:c r="F178" s="12"/>
      <x:c r="G178" s="14"/>
      <x:c r="H178" s="14"/>
      <x:c r="I178" s="14"/>
      <x:c r="J178" s="14"/>
      <x:c r="N178" s="14"/>
      <x:c r="O178" s="12"/>
      <x:c r="S178" s="14"/>
      <x:c r="T178" s="12"/>
      <x:c r="V178" s="42" t="str">
        <x:f>IF($A178="","",IF(AND($U178="発射物",$DI178&lt;&gt;"パッシブ"),$BE178,0))</x:f>
      </x:c>
      <x:c r="W178" s="42" t="str">
        <x:f>IF($A178="","",IF(AND($U178="発射物",$DI178&lt;&gt;"パッシブ"),$BF178,0))</x:f>
      </x:c>
      <x:c r="X178" s="42" t="str">
        <x:f>IF($A178="","",IF(AND($U178="発射物",$DI178&lt;&gt;"パッシブ"),IF($BG178="有効","有効","無効"),"無効"))</x:f>
      </x:c>
      <x:c r="AD178" s="14"/>
      <x:c r="AE178" s="14"/>
      <x:c r="AF178" s="14"/>
      <x:c r="AH178" s="14"/>
      <x:c r="AJ178" s="14"/>
      <x:c r="AN178" s="14"/>
      <x:c r="AO178" s="14"/>
      <x:c r="AP178" s="14"/>
      <x:c r="AR178" s="14"/>
      <x:c r="AT178" s="14"/>
      <x:c r="AX178" s="14"/>
      <x:c r="AY178" s="14"/>
      <x:c r="AZ178" s="14"/>
      <x:c r="BB178" s="14"/>
      <x:c r="BD178" s="14"/>
      <x:c r="BE178" s="14"/>
      <x:c r="BF178" s="14"/>
      <x:c r="BK178" s="14"/>
      <x:c r="BM178" s="14"/>
      <x:c r="BN178" s="14"/>
      <x:c r="BP178" s="14"/>
      <x:c r="BQ178" s="14"/>
      <x:c r="BR178" s="14"/>
      <x:c r="BT178" s="14"/>
      <x:c r="BU178" s="14"/>
      <x:c r="BV178" s="14"/>
      <x:c r="BW178" s="14"/>
      <x:c r="BX178" s="14"/>
      <x:c r="BY178" s="14"/>
      <x:c r="BZ178" s="14"/>
      <x:c r="CA178" s="14"/>
      <x:c r="CB178" s="14"/>
      <x:c r="CC178" s="14"/>
      <x:c r="CD178" s="14"/>
      <x:c r="CE178" s="14"/>
      <x:c r="CF178" s="14"/>
      <x:c r="CJ178" s="14"/>
      <x:c r="CK178" s="14"/>
      <x:c r="CL178" s="14"/>
      <x:c r="CM178" s="14"/>
      <x:c r="CO178" s="14"/>
      <x:c r="CQ178" s="14"/>
      <x:c r="CS178" s="14"/>
      <x:c r="CT178" s="14"/>
      <x:c r="CU178" s="14"/>
      <x:c r="CW178" s="14"/>
      <x:c r="CX178" s="14"/>
      <x:c r="CY178" s="14"/>
      <x:c r="CZ178" s="14"/>
      <x:c r="DC178" s="14"/>
      <x:c r="DD178" s="14"/>
      <x:c r="DI178" s="88"/>
      <x:c r="DJ178" s="88"/>
      <x:c r="DK178" s="88"/>
      <x:c r="DL178" s="88"/>
      <x:c r="DM178" s="88"/>
      <x:c r="DN178" s="88"/>
      <x:c r="DO178" s="88"/>
      <x:c r="DP178" s="88"/>
      <x:c r="DQ178" s="88"/>
      <x:c r="DR178" s="88"/>
      <x:c r="DS178" s="88"/>
    </x:row>
    <x:row r="179" ht="25" customHeight="1">
      <x:c r="A179" s="10"/>
      <x:c r="D179" s="12"/>
      <x:c r="E179" s="12"/>
      <x:c r="F179" s="12"/>
      <x:c r="G179" s="14"/>
      <x:c r="H179" s="14"/>
      <x:c r="I179" s="14"/>
      <x:c r="J179" s="14"/>
      <x:c r="N179" s="14"/>
      <x:c r="O179" s="12"/>
      <x:c r="S179" s="14"/>
      <x:c r="T179" s="12"/>
      <x:c r="V179" s="42" t="str">
        <x:f>IF($A179="","",IF(AND($U179="発射物",$DI179&lt;&gt;"パッシブ"),$BE179,0))</x:f>
      </x:c>
      <x:c r="W179" s="42" t="str">
        <x:f>IF($A179="","",IF(AND($U179="発射物",$DI179&lt;&gt;"パッシブ"),$BF179,0))</x:f>
      </x:c>
      <x:c r="X179" s="42" t="str">
        <x:f>IF($A179="","",IF(AND($U179="発射物",$DI179&lt;&gt;"パッシブ"),IF($BG179="有効","有効","無効"),"無効"))</x:f>
      </x:c>
      <x:c r="AD179" s="14"/>
      <x:c r="AE179" s="14"/>
      <x:c r="AF179" s="14"/>
      <x:c r="AH179" s="14"/>
      <x:c r="AJ179" s="14"/>
      <x:c r="AN179" s="14"/>
      <x:c r="AO179" s="14"/>
      <x:c r="AP179" s="14"/>
      <x:c r="AR179" s="14"/>
      <x:c r="AT179" s="14"/>
      <x:c r="AX179" s="14"/>
      <x:c r="AY179" s="14"/>
      <x:c r="AZ179" s="14"/>
      <x:c r="BB179" s="14"/>
      <x:c r="BD179" s="14"/>
      <x:c r="BE179" s="14"/>
      <x:c r="BF179" s="14"/>
      <x:c r="BK179" s="14"/>
      <x:c r="BM179" s="14"/>
      <x:c r="BN179" s="14"/>
      <x:c r="BP179" s="14"/>
      <x:c r="BQ179" s="14"/>
      <x:c r="BR179" s="14"/>
      <x:c r="BT179" s="14"/>
      <x:c r="BU179" s="14"/>
      <x:c r="BV179" s="14"/>
      <x:c r="BW179" s="14"/>
      <x:c r="BX179" s="14"/>
      <x:c r="BY179" s="14"/>
      <x:c r="BZ179" s="14"/>
      <x:c r="CA179" s="14"/>
      <x:c r="CB179" s="14"/>
      <x:c r="CC179" s="14"/>
      <x:c r="CD179" s="14"/>
      <x:c r="CE179" s="14"/>
      <x:c r="CF179" s="14"/>
      <x:c r="CJ179" s="14"/>
      <x:c r="CK179" s="14"/>
      <x:c r="CL179" s="14"/>
      <x:c r="CM179" s="14"/>
      <x:c r="CO179" s="14"/>
      <x:c r="CQ179" s="14"/>
      <x:c r="CS179" s="14"/>
      <x:c r="CT179" s="14"/>
      <x:c r="CU179" s="14"/>
      <x:c r="CW179" s="14"/>
      <x:c r="CX179" s="14"/>
      <x:c r="CY179" s="14"/>
      <x:c r="CZ179" s="14"/>
      <x:c r="DC179" s="14"/>
      <x:c r="DD179" s="14"/>
      <x:c r="DI179" s="88"/>
      <x:c r="DJ179" s="88"/>
      <x:c r="DK179" s="88"/>
      <x:c r="DL179" s="88"/>
      <x:c r="DM179" s="88"/>
      <x:c r="DN179" s="88"/>
      <x:c r="DO179" s="88"/>
      <x:c r="DP179" s="88"/>
      <x:c r="DQ179" s="88"/>
      <x:c r="DR179" s="88"/>
      <x:c r="DS179" s="88"/>
    </x:row>
    <x:row r="180" ht="25" customHeight="1">
      <x:c r="A180" s="10"/>
      <x:c r="D180" s="12"/>
      <x:c r="E180" s="12"/>
      <x:c r="F180" s="12"/>
      <x:c r="G180" s="14"/>
      <x:c r="H180" s="14"/>
      <x:c r="I180" s="14"/>
      <x:c r="J180" s="14"/>
      <x:c r="N180" s="14"/>
      <x:c r="O180" s="12"/>
      <x:c r="S180" s="14"/>
      <x:c r="T180" s="12"/>
      <x:c r="V180" s="42" t="str">
        <x:f>IF($A180="","",IF(AND($U180="発射物",$DI180&lt;&gt;"パッシブ"),$BE180,0))</x:f>
      </x:c>
      <x:c r="W180" s="42" t="str">
        <x:f>IF($A180="","",IF(AND($U180="発射物",$DI180&lt;&gt;"パッシブ"),$BF180,0))</x:f>
      </x:c>
      <x:c r="X180" s="42" t="str">
        <x:f>IF($A180="","",IF(AND($U180="発射物",$DI180&lt;&gt;"パッシブ"),IF($BG180="有効","有効","無効"),"無効"))</x:f>
      </x:c>
      <x:c r="AD180" s="14"/>
      <x:c r="AE180" s="14"/>
      <x:c r="AF180" s="14"/>
      <x:c r="AH180" s="14"/>
      <x:c r="AJ180" s="14"/>
      <x:c r="AN180" s="14"/>
      <x:c r="AO180" s="14"/>
      <x:c r="AP180" s="14"/>
      <x:c r="AR180" s="14"/>
      <x:c r="AT180" s="14"/>
      <x:c r="AX180" s="14"/>
      <x:c r="AY180" s="14"/>
      <x:c r="AZ180" s="14"/>
      <x:c r="BB180" s="14"/>
      <x:c r="BD180" s="14"/>
      <x:c r="BE180" s="14"/>
      <x:c r="BF180" s="14"/>
      <x:c r="BK180" s="14"/>
      <x:c r="BM180" s="14"/>
      <x:c r="BN180" s="14"/>
      <x:c r="BP180" s="14"/>
      <x:c r="BQ180" s="14"/>
      <x:c r="BR180" s="14"/>
      <x:c r="BT180" s="14"/>
      <x:c r="BU180" s="14"/>
      <x:c r="BV180" s="14"/>
      <x:c r="BW180" s="14"/>
      <x:c r="BX180" s="14"/>
      <x:c r="BY180" s="14"/>
      <x:c r="BZ180" s="14"/>
      <x:c r="CA180" s="14"/>
      <x:c r="CB180" s="14"/>
      <x:c r="CC180" s="14"/>
      <x:c r="CD180" s="14"/>
      <x:c r="CE180" s="14"/>
      <x:c r="CF180" s="14"/>
      <x:c r="CJ180" s="14"/>
      <x:c r="CK180" s="14"/>
      <x:c r="CL180" s="14"/>
      <x:c r="CM180" s="14"/>
      <x:c r="CO180" s="14"/>
      <x:c r="CQ180" s="14"/>
      <x:c r="CS180" s="14"/>
      <x:c r="CT180" s="14"/>
      <x:c r="CU180" s="14"/>
      <x:c r="CW180" s="14"/>
      <x:c r="CX180" s="14"/>
      <x:c r="CY180" s="14"/>
      <x:c r="CZ180" s="14"/>
      <x:c r="DC180" s="14"/>
      <x:c r="DD180" s="14"/>
      <x:c r="DI180" s="88"/>
      <x:c r="DJ180" s="88"/>
      <x:c r="DK180" s="88"/>
      <x:c r="DL180" s="88"/>
      <x:c r="DM180" s="88"/>
      <x:c r="DN180" s="88"/>
      <x:c r="DO180" s="88"/>
      <x:c r="DP180" s="88"/>
      <x:c r="DQ180" s="88"/>
      <x:c r="DR180" s="88"/>
      <x:c r="DS180" s="88"/>
    </x:row>
    <x:row r="181" ht="25" customHeight="1">
      <x:c r="A181" s="10"/>
      <x:c r="D181" s="12"/>
      <x:c r="E181" s="12"/>
      <x:c r="F181" s="12"/>
      <x:c r="G181" s="14"/>
      <x:c r="H181" s="14"/>
      <x:c r="I181" s="14"/>
      <x:c r="J181" s="14"/>
      <x:c r="N181" s="14"/>
      <x:c r="O181" s="12"/>
      <x:c r="S181" s="14"/>
      <x:c r="T181" s="12"/>
      <x:c r="V181" s="42" t="str">
        <x:f>IF($A181="","",IF(AND($U181="発射物",$DI181&lt;&gt;"パッシブ"),$BE181,0))</x:f>
      </x:c>
      <x:c r="W181" s="42" t="str">
        <x:f>IF($A181="","",IF(AND($U181="発射物",$DI181&lt;&gt;"パッシブ"),$BF181,0))</x:f>
      </x:c>
      <x:c r="X181" s="42" t="str">
        <x:f>IF($A181="","",IF(AND($U181="発射物",$DI181&lt;&gt;"パッシブ"),IF($BG181="有効","有効","無効"),"無効"))</x:f>
      </x:c>
      <x:c r="AD181" s="14"/>
      <x:c r="AE181" s="14"/>
      <x:c r="AF181" s="14"/>
      <x:c r="AH181" s="14"/>
      <x:c r="AJ181" s="14"/>
      <x:c r="AN181" s="14"/>
      <x:c r="AO181" s="14"/>
      <x:c r="AP181" s="14"/>
      <x:c r="AR181" s="14"/>
      <x:c r="AT181" s="14"/>
      <x:c r="AX181" s="14"/>
      <x:c r="AY181" s="14"/>
      <x:c r="AZ181" s="14"/>
      <x:c r="BB181" s="14"/>
      <x:c r="BD181" s="14"/>
      <x:c r="BE181" s="14"/>
      <x:c r="BF181" s="14"/>
      <x:c r="BK181" s="14"/>
      <x:c r="BM181" s="14"/>
      <x:c r="BN181" s="14"/>
      <x:c r="BP181" s="14"/>
      <x:c r="BQ181" s="14"/>
      <x:c r="BR181" s="14"/>
      <x:c r="BT181" s="14"/>
      <x:c r="BU181" s="14"/>
      <x:c r="BV181" s="14"/>
      <x:c r="BW181" s="14"/>
      <x:c r="BX181" s="14"/>
      <x:c r="BY181" s="14"/>
      <x:c r="BZ181" s="14"/>
      <x:c r="CA181" s="14"/>
      <x:c r="CB181" s="14"/>
      <x:c r="CC181" s="14"/>
      <x:c r="CD181" s="14"/>
      <x:c r="CE181" s="14"/>
      <x:c r="CF181" s="14"/>
      <x:c r="CJ181" s="14"/>
      <x:c r="CK181" s="14"/>
      <x:c r="CL181" s="14"/>
      <x:c r="CM181" s="14"/>
      <x:c r="CO181" s="14"/>
      <x:c r="CQ181" s="14"/>
      <x:c r="CS181" s="14"/>
      <x:c r="CT181" s="14"/>
      <x:c r="CU181" s="14"/>
      <x:c r="CW181" s="14"/>
      <x:c r="CX181" s="14"/>
      <x:c r="CY181" s="14"/>
      <x:c r="CZ181" s="14"/>
      <x:c r="DC181" s="14"/>
      <x:c r="DD181" s="14"/>
      <x:c r="DI181" s="88"/>
      <x:c r="DJ181" s="88"/>
      <x:c r="DK181" s="88"/>
      <x:c r="DL181" s="88"/>
      <x:c r="DM181" s="88"/>
      <x:c r="DN181" s="88"/>
      <x:c r="DO181" s="88"/>
      <x:c r="DP181" s="88"/>
      <x:c r="DQ181" s="88"/>
      <x:c r="DR181" s="88"/>
      <x:c r="DS181" s="88"/>
    </x:row>
    <x:row r="182" ht="25" customHeight="1">
      <x:c r="A182" s="10"/>
      <x:c r="D182" s="12"/>
      <x:c r="E182" s="12"/>
      <x:c r="F182" s="12"/>
      <x:c r="G182" s="14"/>
      <x:c r="H182" s="14"/>
      <x:c r="I182" s="14"/>
      <x:c r="J182" s="14"/>
      <x:c r="N182" s="14"/>
      <x:c r="O182" s="12"/>
      <x:c r="S182" s="14"/>
      <x:c r="T182" s="12"/>
      <x:c r="V182" s="42" t="str">
        <x:f>IF($A182="","",IF(AND($U182="発射物",$DI182&lt;&gt;"パッシブ"),$BE182,0))</x:f>
      </x:c>
      <x:c r="W182" s="42" t="str">
        <x:f>IF($A182="","",IF(AND($U182="発射物",$DI182&lt;&gt;"パッシブ"),$BF182,0))</x:f>
      </x:c>
      <x:c r="X182" s="42" t="str">
        <x:f>IF($A182="","",IF(AND($U182="発射物",$DI182&lt;&gt;"パッシブ"),IF($BG182="有効","有効","無効"),"無効"))</x:f>
      </x:c>
      <x:c r="AD182" s="14"/>
      <x:c r="AE182" s="14"/>
      <x:c r="AF182" s="14"/>
      <x:c r="AH182" s="14"/>
      <x:c r="AJ182" s="14"/>
      <x:c r="AN182" s="14"/>
      <x:c r="AO182" s="14"/>
      <x:c r="AP182" s="14"/>
      <x:c r="AR182" s="14"/>
      <x:c r="AT182" s="14"/>
      <x:c r="AX182" s="14"/>
      <x:c r="AY182" s="14"/>
      <x:c r="AZ182" s="14"/>
      <x:c r="BB182" s="14"/>
      <x:c r="BD182" s="14"/>
      <x:c r="BE182" s="14"/>
      <x:c r="BF182" s="14"/>
      <x:c r="BK182" s="14"/>
      <x:c r="BM182" s="14"/>
      <x:c r="BN182" s="14"/>
      <x:c r="BP182" s="14"/>
      <x:c r="BQ182" s="14"/>
      <x:c r="BR182" s="14"/>
      <x:c r="BT182" s="14"/>
      <x:c r="BU182" s="14"/>
      <x:c r="BV182" s="14"/>
      <x:c r="BW182" s="14"/>
      <x:c r="BX182" s="14"/>
      <x:c r="BY182" s="14"/>
      <x:c r="BZ182" s="14"/>
      <x:c r="CA182" s="14"/>
      <x:c r="CB182" s="14"/>
      <x:c r="CC182" s="14"/>
      <x:c r="CD182" s="14"/>
      <x:c r="CE182" s="14"/>
      <x:c r="CF182" s="14"/>
      <x:c r="CJ182" s="14"/>
      <x:c r="CK182" s="14"/>
      <x:c r="CL182" s="14"/>
      <x:c r="CM182" s="14"/>
      <x:c r="CO182" s="14"/>
      <x:c r="CQ182" s="14"/>
      <x:c r="CS182" s="14"/>
      <x:c r="CT182" s="14"/>
      <x:c r="CU182" s="14"/>
      <x:c r="CW182" s="14"/>
      <x:c r="CX182" s="14"/>
      <x:c r="CY182" s="14"/>
      <x:c r="CZ182" s="14"/>
      <x:c r="DC182" s="14"/>
      <x:c r="DD182" s="14"/>
      <x:c r="DI182" s="88"/>
      <x:c r="DJ182" s="88"/>
      <x:c r="DK182" s="88"/>
      <x:c r="DL182" s="88"/>
      <x:c r="DM182" s="88"/>
      <x:c r="DN182" s="88"/>
      <x:c r="DO182" s="88"/>
      <x:c r="DP182" s="88"/>
      <x:c r="DQ182" s="88"/>
      <x:c r="DR182" s="88"/>
      <x:c r="DS182" s="88"/>
    </x:row>
    <x:row r="183" ht="25" customHeight="1">
      <x:c r="A183" s="10"/>
      <x:c r="D183" s="12"/>
      <x:c r="E183" s="12"/>
      <x:c r="F183" s="12"/>
      <x:c r="G183" s="14"/>
      <x:c r="H183" s="14"/>
      <x:c r="I183" s="14"/>
      <x:c r="J183" s="14"/>
      <x:c r="N183" s="14"/>
      <x:c r="O183" s="12"/>
      <x:c r="S183" s="14"/>
      <x:c r="T183" s="12"/>
      <x:c r="V183" s="42" t="str">
        <x:f>IF($A183="","",IF(AND($U183="発射物",$DI183&lt;&gt;"パッシブ"),$BE183,0))</x:f>
      </x:c>
      <x:c r="W183" s="42" t="str">
        <x:f>IF($A183="","",IF(AND($U183="発射物",$DI183&lt;&gt;"パッシブ"),$BF183,0))</x:f>
      </x:c>
      <x:c r="X183" s="42" t="str">
        <x:f>IF($A183="","",IF(AND($U183="発射物",$DI183&lt;&gt;"パッシブ"),IF($BG183="有効","有効","無効"),"無効"))</x:f>
      </x:c>
      <x:c r="AD183" s="14"/>
      <x:c r="AE183" s="14"/>
      <x:c r="AF183" s="14"/>
      <x:c r="AH183" s="14"/>
      <x:c r="AJ183" s="14"/>
      <x:c r="AN183" s="14"/>
      <x:c r="AO183" s="14"/>
      <x:c r="AP183" s="14"/>
      <x:c r="AR183" s="14"/>
      <x:c r="AT183" s="14"/>
      <x:c r="AX183" s="14"/>
      <x:c r="AY183" s="14"/>
      <x:c r="AZ183" s="14"/>
      <x:c r="BB183" s="14"/>
      <x:c r="BD183" s="14"/>
      <x:c r="BE183" s="14"/>
      <x:c r="BF183" s="14"/>
      <x:c r="BK183" s="14"/>
      <x:c r="BM183" s="14"/>
      <x:c r="BN183" s="14"/>
      <x:c r="BP183" s="14"/>
      <x:c r="BQ183" s="14"/>
      <x:c r="BR183" s="14"/>
      <x:c r="BT183" s="14"/>
      <x:c r="BU183" s="14"/>
      <x:c r="BV183" s="14"/>
      <x:c r="BW183" s="14"/>
      <x:c r="BX183" s="14"/>
      <x:c r="BY183" s="14"/>
      <x:c r="BZ183" s="14"/>
      <x:c r="CA183" s="14"/>
      <x:c r="CB183" s="14"/>
      <x:c r="CC183" s="14"/>
      <x:c r="CD183" s="14"/>
      <x:c r="CE183" s="14"/>
      <x:c r="CF183" s="14"/>
      <x:c r="CJ183" s="14"/>
      <x:c r="CK183" s="14"/>
      <x:c r="CL183" s="14"/>
      <x:c r="CM183" s="14"/>
      <x:c r="CO183" s="14"/>
      <x:c r="CQ183" s="14"/>
      <x:c r="CS183" s="14"/>
      <x:c r="CT183" s="14"/>
      <x:c r="CU183" s="14"/>
      <x:c r="CW183" s="14"/>
      <x:c r="CX183" s="14"/>
      <x:c r="CY183" s="14"/>
      <x:c r="CZ183" s="14"/>
      <x:c r="DC183" s="14"/>
      <x:c r="DD183" s="14"/>
      <x:c r="DI183" s="88"/>
      <x:c r="DJ183" s="88"/>
      <x:c r="DK183" s="88"/>
      <x:c r="DL183" s="88"/>
      <x:c r="DM183" s="88"/>
      <x:c r="DN183" s="88"/>
      <x:c r="DO183" s="88"/>
      <x:c r="DP183" s="88"/>
      <x:c r="DQ183" s="88"/>
      <x:c r="DR183" s="88"/>
      <x:c r="DS183" s="88"/>
    </x:row>
    <x:row r="184" ht="25" customHeight="1">
      <x:c r="A184" s="10"/>
      <x:c r="D184" s="12"/>
      <x:c r="E184" s="12"/>
      <x:c r="F184" s="12"/>
      <x:c r="G184" s="14"/>
      <x:c r="H184" s="14"/>
      <x:c r="I184" s="14"/>
      <x:c r="J184" s="14"/>
      <x:c r="N184" s="14"/>
      <x:c r="O184" s="12"/>
      <x:c r="S184" s="14"/>
      <x:c r="T184" s="12"/>
      <x:c r="V184" s="42" t="str">
        <x:f>IF($A184="","",IF(AND($U184="発射物",$DI184&lt;&gt;"パッシブ"),$BE184,0))</x:f>
      </x:c>
      <x:c r="W184" s="42" t="str">
        <x:f>IF($A184="","",IF(AND($U184="発射物",$DI184&lt;&gt;"パッシブ"),$BF184,0))</x:f>
      </x:c>
      <x:c r="X184" s="42" t="str">
        <x:f>IF($A184="","",IF(AND($U184="発射物",$DI184&lt;&gt;"パッシブ"),IF($BG184="有効","有効","無効"),"無効"))</x:f>
      </x:c>
      <x:c r="AD184" s="14"/>
      <x:c r="AE184" s="14"/>
      <x:c r="AF184" s="14"/>
      <x:c r="AH184" s="14"/>
      <x:c r="AJ184" s="14"/>
      <x:c r="AN184" s="14"/>
      <x:c r="AO184" s="14"/>
      <x:c r="AP184" s="14"/>
      <x:c r="AR184" s="14"/>
      <x:c r="AT184" s="14"/>
      <x:c r="AX184" s="14"/>
      <x:c r="AY184" s="14"/>
      <x:c r="AZ184" s="14"/>
      <x:c r="BB184" s="14"/>
      <x:c r="BD184" s="14"/>
      <x:c r="BE184" s="14"/>
      <x:c r="BF184" s="14"/>
      <x:c r="BK184" s="14"/>
      <x:c r="BM184" s="14"/>
      <x:c r="BN184" s="14"/>
      <x:c r="BP184" s="14"/>
      <x:c r="BQ184" s="14"/>
      <x:c r="BR184" s="14"/>
      <x:c r="BT184" s="14"/>
      <x:c r="BU184" s="14"/>
      <x:c r="BV184" s="14"/>
      <x:c r="BW184" s="14"/>
      <x:c r="BX184" s="14"/>
      <x:c r="BY184" s="14"/>
      <x:c r="BZ184" s="14"/>
      <x:c r="CA184" s="14"/>
      <x:c r="CB184" s="14"/>
      <x:c r="CC184" s="14"/>
      <x:c r="CD184" s="14"/>
      <x:c r="CE184" s="14"/>
      <x:c r="CF184" s="14"/>
      <x:c r="CJ184" s="14"/>
      <x:c r="CK184" s="14"/>
      <x:c r="CL184" s="14"/>
      <x:c r="CM184" s="14"/>
      <x:c r="CO184" s="14"/>
      <x:c r="CQ184" s="14"/>
      <x:c r="CS184" s="14"/>
      <x:c r="CT184" s="14"/>
      <x:c r="CU184" s="14"/>
      <x:c r="CW184" s="14"/>
      <x:c r="CX184" s="14"/>
      <x:c r="CY184" s="14"/>
      <x:c r="CZ184" s="14"/>
      <x:c r="DC184" s="14"/>
      <x:c r="DD184" s="14"/>
      <x:c r="DI184" s="88"/>
      <x:c r="DJ184" s="88"/>
      <x:c r="DK184" s="88"/>
      <x:c r="DL184" s="88"/>
      <x:c r="DM184" s="88"/>
      <x:c r="DN184" s="88"/>
      <x:c r="DO184" s="88"/>
      <x:c r="DP184" s="88"/>
      <x:c r="DQ184" s="88"/>
      <x:c r="DR184" s="88"/>
      <x:c r="DS184" s="88"/>
    </x:row>
    <x:row r="185" ht="25" customHeight="1">
      <x:c r="A185" s="10"/>
      <x:c r="D185" s="12"/>
      <x:c r="E185" s="12"/>
      <x:c r="F185" s="12"/>
      <x:c r="G185" s="14"/>
      <x:c r="H185" s="14"/>
      <x:c r="I185" s="14"/>
      <x:c r="J185" s="14"/>
      <x:c r="N185" s="14"/>
      <x:c r="O185" s="12"/>
      <x:c r="S185" s="14"/>
      <x:c r="T185" s="12"/>
      <x:c r="V185" s="42" t="str">
        <x:f>IF($A185="","",IF(AND($U185="発射物",$DI185&lt;&gt;"パッシブ"),$BE185,0))</x:f>
      </x:c>
      <x:c r="W185" s="42" t="str">
        <x:f>IF($A185="","",IF(AND($U185="発射物",$DI185&lt;&gt;"パッシブ"),$BF185,0))</x:f>
      </x:c>
      <x:c r="X185" s="42" t="str">
        <x:f>IF($A185="","",IF(AND($U185="発射物",$DI185&lt;&gt;"パッシブ"),IF($BG185="有効","有効","無効"),"無効"))</x:f>
      </x:c>
      <x:c r="AD185" s="14"/>
      <x:c r="AE185" s="14"/>
      <x:c r="AF185" s="14"/>
      <x:c r="AH185" s="14"/>
      <x:c r="AJ185" s="14"/>
      <x:c r="AN185" s="14"/>
      <x:c r="AO185" s="14"/>
      <x:c r="AP185" s="14"/>
      <x:c r="AR185" s="14"/>
      <x:c r="AT185" s="14"/>
      <x:c r="AX185" s="14"/>
      <x:c r="AY185" s="14"/>
      <x:c r="AZ185" s="14"/>
      <x:c r="BB185" s="14"/>
      <x:c r="BD185" s="14"/>
      <x:c r="BE185" s="14"/>
      <x:c r="BF185" s="14"/>
      <x:c r="BK185" s="14"/>
      <x:c r="BM185" s="14"/>
      <x:c r="BN185" s="14"/>
      <x:c r="BP185" s="14"/>
      <x:c r="BQ185" s="14"/>
      <x:c r="BR185" s="14"/>
      <x:c r="BT185" s="14"/>
      <x:c r="BU185" s="14"/>
      <x:c r="BV185" s="14"/>
      <x:c r="BW185" s="14"/>
      <x:c r="BX185" s="14"/>
      <x:c r="BY185" s="14"/>
      <x:c r="BZ185" s="14"/>
      <x:c r="CA185" s="14"/>
      <x:c r="CB185" s="14"/>
      <x:c r="CC185" s="14"/>
      <x:c r="CD185" s="14"/>
      <x:c r="CE185" s="14"/>
      <x:c r="CF185" s="14"/>
      <x:c r="CJ185" s="14"/>
      <x:c r="CK185" s="14"/>
      <x:c r="CL185" s="14"/>
      <x:c r="CM185" s="14"/>
      <x:c r="CO185" s="14"/>
      <x:c r="CQ185" s="14"/>
      <x:c r="CS185" s="14"/>
      <x:c r="CT185" s="14"/>
      <x:c r="CU185" s="14"/>
      <x:c r="CW185" s="14"/>
      <x:c r="CX185" s="14"/>
      <x:c r="CY185" s="14"/>
      <x:c r="CZ185" s="14"/>
      <x:c r="DC185" s="14"/>
      <x:c r="DD185" s="14"/>
      <x:c r="DI185" s="88"/>
      <x:c r="DJ185" s="88"/>
      <x:c r="DK185" s="88"/>
      <x:c r="DL185" s="88"/>
      <x:c r="DM185" s="88"/>
      <x:c r="DN185" s="88"/>
      <x:c r="DO185" s="88"/>
      <x:c r="DP185" s="88"/>
      <x:c r="DQ185" s="88"/>
      <x:c r="DR185" s="88"/>
      <x:c r="DS185" s="88"/>
    </x:row>
    <x:row r="186" ht="25" customHeight="1">
      <x:c r="A186" s="10"/>
      <x:c r="D186" s="12"/>
      <x:c r="E186" s="12"/>
      <x:c r="F186" s="12"/>
      <x:c r="G186" s="14"/>
      <x:c r="H186" s="14"/>
      <x:c r="I186" s="14"/>
      <x:c r="J186" s="14"/>
      <x:c r="N186" s="14"/>
      <x:c r="O186" s="12"/>
      <x:c r="S186" s="14"/>
      <x:c r="T186" s="12"/>
      <x:c r="V186" s="42" t="str">
        <x:f>IF($A186="","",IF(AND($U186="発射物",$DI186&lt;&gt;"パッシブ"),$BE186,0))</x:f>
      </x:c>
      <x:c r="W186" s="42" t="str">
        <x:f>IF($A186="","",IF(AND($U186="発射物",$DI186&lt;&gt;"パッシブ"),$BF186,0))</x:f>
      </x:c>
      <x:c r="X186" s="42" t="str">
        <x:f>IF($A186="","",IF(AND($U186="発射物",$DI186&lt;&gt;"パッシブ"),IF($BG186="有効","有効","無効"),"無効"))</x:f>
      </x:c>
      <x:c r="AD186" s="14"/>
      <x:c r="AE186" s="14"/>
      <x:c r="AF186" s="14"/>
      <x:c r="AH186" s="14"/>
      <x:c r="AJ186" s="14"/>
      <x:c r="AN186" s="14"/>
      <x:c r="AO186" s="14"/>
      <x:c r="AP186" s="14"/>
      <x:c r="AR186" s="14"/>
      <x:c r="AT186" s="14"/>
      <x:c r="AX186" s="14"/>
      <x:c r="AY186" s="14"/>
      <x:c r="AZ186" s="14"/>
      <x:c r="BB186" s="14"/>
      <x:c r="BD186" s="14"/>
      <x:c r="BE186" s="14"/>
      <x:c r="BF186" s="14"/>
      <x:c r="BK186" s="14"/>
      <x:c r="BM186" s="14"/>
      <x:c r="BN186" s="14"/>
      <x:c r="BP186" s="14"/>
      <x:c r="BQ186" s="14"/>
      <x:c r="BR186" s="14"/>
      <x:c r="BT186" s="14"/>
      <x:c r="BU186" s="14"/>
      <x:c r="BV186" s="14"/>
      <x:c r="BW186" s="14"/>
      <x:c r="BX186" s="14"/>
      <x:c r="BY186" s="14"/>
      <x:c r="BZ186" s="14"/>
      <x:c r="CA186" s="14"/>
      <x:c r="CB186" s="14"/>
      <x:c r="CC186" s="14"/>
      <x:c r="CD186" s="14"/>
      <x:c r="CE186" s="14"/>
      <x:c r="CF186" s="14"/>
      <x:c r="CJ186" s="14"/>
      <x:c r="CK186" s="14"/>
      <x:c r="CL186" s="14"/>
      <x:c r="CM186" s="14"/>
      <x:c r="CO186" s="14"/>
      <x:c r="CQ186" s="14"/>
      <x:c r="CS186" s="14"/>
      <x:c r="CT186" s="14"/>
      <x:c r="CU186" s="14"/>
      <x:c r="CW186" s="14"/>
      <x:c r="CX186" s="14"/>
      <x:c r="CY186" s="14"/>
      <x:c r="CZ186" s="14"/>
      <x:c r="DC186" s="14"/>
      <x:c r="DD186" s="14"/>
      <x:c r="DI186" s="88"/>
      <x:c r="DJ186" s="88"/>
      <x:c r="DK186" s="88"/>
      <x:c r="DL186" s="88"/>
      <x:c r="DM186" s="88"/>
      <x:c r="DN186" s="88"/>
      <x:c r="DO186" s="88"/>
      <x:c r="DP186" s="88"/>
      <x:c r="DQ186" s="88"/>
      <x:c r="DR186" s="88"/>
      <x:c r="DS186" s="88"/>
    </x:row>
    <x:row r="187" ht="25" customHeight="1">
      <x:c r="A187" s="10"/>
      <x:c r="D187" s="12"/>
      <x:c r="E187" s="12"/>
      <x:c r="F187" s="12"/>
      <x:c r="G187" s="14"/>
      <x:c r="H187" s="14"/>
      <x:c r="I187" s="14"/>
      <x:c r="J187" s="14"/>
      <x:c r="N187" s="14"/>
      <x:c r="O187" s="12"/>
      <x:c r="S187" s="14"/>
      <x:c r="T187" s="12"/>
      <x:c r="V187" s="42" t="str">
        <x:f>IF($A187="","",IF(AND($U187="発射物",$DI187&lt;&gt;"パッシブ"),$BE187,0))</x:f>
      </x:c>
      <x:c r="W187" s="42" t="str">
        <x:f>IF($A187="","",IF(AND($U187="発射物",$DI187&lt;&gt;"パッシブ"),$BF187,0))</x:f>
      </x:c>
      <x:c r="X187" s="42" t="str">
        <x:f>IF($A187="","",IF(AND($U187="発射物",$DI187&lt;&gt;"パッシブ"),IF($BG187="有効","有効","無効"),"無効"))</x:f>
      </x:c>
      <x:c r="AD187" s="14"/>
      <x:c r="AE187" s="14"/>
      <x:c r="AF187" s="14"/>
      <x:c r="AH187" s="14"/>
      <x:c r="AJ187" s="14"/>
      <x:c r="AN187" s="14"/>
      <x:c r="AO187" s="14"/>
      <x:c r="AP187" s="14"/>
      <x:c r="AR187" s="14"/>
      <x:c r="AT187" s="14"/>
      <x:c r="AX187" s="14"/>
      <x:c r="AY187" s="14"/>
      <x:c r="AZ187" s="14"/>
      <x:c r="BB187" s="14"/>
      <x:c r="BD187" s="14"/>
      <x:c r="BE187" s="14"/>
      <x:c r="BF187" s="14"/>
      <x:c r="BK187" s="14"/>
      <x:c r="BM187" s="14"/>
      <x:c r="BN187" s="14"/>
      <x:c r="BP187" s="14"/>
      <x:c r="BQ187" s="14"/>
      <x:c r="BR187" s="14"/>
      <x:c r="BT187" s="14"/>
      <x:c r="BU187" s="14"/>
      <x:c r="BV187" s="14"/>
      <x:c r="BW187" s="14"/>
      <x:c r="BX187" s="14"/>
      <x:c r="BY187" s="14"/>
      <x:c r="BZ187" s="14"/>
      <x:c r="CA187" s="14"/>
      <x:c r="CB187" s="14"/>
      <x:c r="CC187" s="14"/>
      <x:c r="CD187" s="14"/>
      <x:c r="CE187" s="14"/>
      <x:c r="CF187" s="14"/>
      <x:c r="CJ187" s="14"/>
      <x:c r="CK187" s="14"/>
      <x:c r="CL187" s="14"/>
      <x:c r="CM187" s="14"/>
      <x:c r="CO187" s="14"/>
      <x:c r="CQ187" s="14"/>
      <x:c r="CS187" s="14"/>
      <x:c r="CT187" s="14"/>
      <x:c r="CU187" s="14"/>
      <x:c r="CW187" s="14"/>
      <x:c r="CX187" s="14"/>
      <x:c r="CY187" s="14"/>
      <x:c r="CZ187" s="14"/>
      <x:c r="DC187" s="14"/>
      <x:c r="DD187" s="14"/>
      <x:c r="DI187" s="88"/>
      <x:c r="DJ187" s="88"/>
      <x:c r="DK187" s="88"/>
      <x:c r="DL187" s="88"/>
      <x:c r="DM187" s="88"/>
      <x:c r="DN187" s="88"/>
      <x:c r="DO187" s="88"/>
      <x:c r="DP187" s="88"/>
      <x:c r="DQ187" s="88"/>
      <x:c r="DR187" s="88"/>
      <x:c r="DS187" s="88"/>
    </x:row>
    <x:row r="188" ht="25" customHeight="1">
      <x:c r="A188" s="10"/>
      <x:c r="D188" s="12"/>
      <x:c r="E188" s="12"/>
      <x:c r="F188" s="12"/>
      <x:c r="G188" s="14"/>
      <x:c r="H188" s="14"/>
      <x:c r="I188" s="14"/>
      <x:c r="J188" s="14"/>
      <x:c r="N188" s="14"/>
      <x:c r="O188" s="12"/>
      <x:c r="S188" s="14"/>
      <x:c r="T188" s="12"/>
      <x:c r="V188" s="42" t="str">
        <x:f>IF($A188="","",IF(AND($U188="発射物",$DI188&lt;&gt;"パッシブ"),$BE188,0))</x:f>
      </x:c>
      <x:c r="W188" s="42" t="str">
        <x:f>IF($A188="","",IF(AND($U188="発射物",$DI188&lt;&gt;"パッシブ"),$BF188,0))</x:f>
      </x:c>
      <x:c r="X188" s="42" t="str">
        <x:f>IF($A188="","",IF(AND($U188="発射物",$DI188&lt;&gt;"パッシブ"),IF($BG188="有効","有効","無効"),"無効"))</x:f>
      </x:c>
      <x:c r="AD188" s="14"/>
      <x:c r="AE188" s="14"/>
      <x:c r="AF188" s="14"/>
      <x:c r="AH188" s="14"/>
      <x:c r="AJ188" s="14"/>
      <x:c r="AN188" s="14"/>
      <x:c r="AO188" s="14"/>
      <x:c r="AP188" s="14"/>
      <x:c r="AR188" s="14"/>
      <x:c r="AT188" s="14"/>
      <x:c r="AX188" s="14"/>
      <x:c r="AY188" s="14"/>
      <x:c r="AZ188" s="14"/>
      <x:c r="BB188" s="14"/>
      <x:c r="BD188" s="14"/>
      <x:c r="BE188" s="14"/>
      <x:c r="BF188" s="14"/>
      <x:c r="BK188" s="14"/>
      <x:c r="BM188" s="14"/>
      <x:c r="BN188" s="14"/>
      <x:c r="BP188" s="14"/>
      <x:c r="BQ188" s="14"/>
      <x:c r="BR188" s="14"/>
      <x:c r="BT188" s="14"/>
      <x:c r="BU188" s="14"/>
      <x:c r="BV188" s="14"/>
      <x:c r="BW188" s="14"/>
      <x:c r="BX188" s="14"/>
      <x:c r="BY188" s="14"/>
      <x:c r="BZ188" s="14"/>
      <x:c r="CA188" s="14"/>
      <x:c r="CB188" s="14"/>
      <x:c r="CC188" s="14"/>
      <x:c r="CD188" s="14"/>
      <x:c r="CE188" s="14"/>
      <x:c r="CF188" s="14"/>
      <x:c r="CJ188" s="14"/>
      <x:c r="CK188" s="14"/>
      <x:c r="CL188" s="14"/>
      <x:c r="CM188" s="14"/>
      <x:c r="CO188" s="14"/>
      <x:c r="CQ188" s="14"/>
      <x:c r="CS188" s="14"/>
      <x:c r="CT188" s="14"/>
      <x:c r="CU188" s="14"/>
      <x:c r="CW188" s="14"/>
      <x:c r="CX188" s="14"/>
      <x:c r="CY188" s="14"/>
      <x:c r="CZ188" s="14"/>
      <x:c r="DC188" s="14"/>
      <x:c r="DD188" s="14"/>
      <x:c r="DI188" s="88"/>
      <x:c r="DJ188" s="88"/>
      <x:c r="DK188" s="88"/>
      <x:c r="DL188" s="88"/>
      <x:c r="DM188" s="88"/>
      <x:c r="DN188" s="88"/>
      <x:c r="DO188" s="88"/>
      <x:c r="DP188" s="88"/>
      <x:c r="DQ188" s="88"/>
      <x:c r="DR188" s="88"/>
      <x:c r="DS188" s="88"/>
    </x:row>
    <x:row r="189" ht="25" customHeight="1">
      <x:c r="A189" s="10"/>
      <x:c r="D189" s="12"/>
      <x:c r="E189" s="12"/>
      <x:c r="F189" s="12"/>
      <x:c r="G189" s="14"/>
      <x:c r="H189" s="14"/>
      <x:c r="I189" s="14"/>
      <x:c r="J189" s="14"/>
      <x:c r="N189" s="14"/>
      <x:c r="O189" s="12"/>
      <x:c r="S189" s="14"/>
      <x:c r="T189" s="12"/>
      <x:c r="V189" s="42" t="str">
        <x:f>IF($A189="","",IF(AND($U189="発射物",$DI189&lt;&gt;"パッシブ"),$BE189,0))</x:f>
      </x:c>
      <x:c r="W189" s="42" t="str">
        <x:f>IF($A189="","",IF(AND($U189="発射物",$DI189&lt;&gt;"パッシブ"),$BF189,0))</x:f>
      </x:c>
      <x:c r="X189" s="42" t="str">
        <x:f>IF($A189="","",IF(AND($U189="発射物",$DI189&lt;&gt;"パッシブ"),IF($BG189="有効","有効","無効"),"無効"))</x:f>
      </x:c>
      <x:c r="AD189" s="14"/>
      <x:c r="AE189" s="14"/>
      <x:c r="AF189" s="14"/>
      <x:c r="AH189" s="14"/>
      <x:c r="AJ189" s="14"/>
      <x:c r="AN189" s="14"/>
      <x:c r="AO189" s="14"/>
      <x:c r="AP189" s="14"/>
      <x:c r="AR189" s="14"/>
      <x:c r="AT189" s="14"/>
      <x:c r="AX189" s="14"/>
      <x:c r="AY189" s="14"/>
      <x:c r="AZ189" s="14"/>
      <x:c r="BB189" s="14"/>
      <x:c r="BD189" s="14"/>
      <x:c r="BE189" s="14"/>
      <x:c r="BF189" s="14"/>
      <x:c r="BK189" s="14"/>
      <x:c r="BM189" s="14"/>
      <x:c r="BN189" s="14"/>
      <x:c r="BP189" s="14"/>
      <x:c r="BQ189" s="14"/>
      <x:c r="BR189" s="14"/>
      <x:c r="BT189" s="14"/>
      <x:c r="BU189" s="14"/>
      <x:c r="BV189" s="14"/>
      <x:c r="BW189" s="14"/>
      <x:c r="BX189" s="14"/>
      <x:c r="BY189" s="14"/>
      <x:c r="BZ189" s="14"/>
      <x:c r="CA189" s="14"/>
      <x:c r="CB189" s="14"/>
      <x:c r="CC189" s="14"/>
      <x:c r="CD189" s="14"/>
      <x:c r="CE189" s="14"/>
      <x:c r="CF189" s="14"/>
      <x:c r="CJ189" s="14"/>
      <x:c r="CK189" s="14"/>
      <x:c r="CL189" s="14"/>
      <x:c r="CM189" s="14"/>
      <x:c r="CO189" s="14"/>
      <x:c r="CQ189" s="14"/>
      <x:c r="CS189" s="14"/>
      <x:c r="CT189" s="14"/>
      <x:c r="CU189" s="14"/>
      <x:c r="CW189" s="14"/>
      <x:c r="CX189" s="14"/>
      <x:c r="CY189" s="14"/>
      <x:c r="CZ189" s="14"/>
      <x:c r="DC189" s="14"/>
      <x:c r="DD189" s="14"/>
      <x:c r="DI189" s="88"/>
      <x:c r="DJ189" s="88"/>
      <x:c r="DK189" s="88"/>
      <x:c r="DL189" s="88"/>
      <x:c r="DM189" s="88"/>
      <x:c r="DN189" s="88"/>
      <x:c r="DO189" s="88"/>
      <x:c r="DP189" s="88"/>
      <x:c r="DQ189" s="88"/>
      <x:c r="DR189" s="88"/>
      <x:c r="DS189" s="88"/>
    </x:row>
    <x:row r="190" ht="25" customHeight="1">
      <x:c r="A190" s="10"/>
      <x:c r="D190" s="12"/>
      <x:c r="E190" s="12"/>
      <x:c r="F190" s="12"/>
      <x:c r="G190" s="14"/>
      <x:c r="H190" s="14"/>
      <x:c r="I190" s="14"/>
      <x:c r="J190" s="14"/>
      <x:c r="N190" s="14"/>
      <x:c r="O190" s="12"/>
      <x:c r="S190" s="14"/>
      <x:c r="T190" s="12"/>
      <x:c r="V190" s="42" t="str">
        <x:f>IF($A190="","",IF(AND($U190="発射物",$DI190&lt;&gt;"パッシブ"),$BE190,0))</x:f>
      </x:c>
      <x:c r="W190" s="42" t="str">
        <x:f>IF($A190="","",IF(AND($U190="発射物",$DI190&lt;&gt;"パッシブ"),$BF190,0))</x:f>
      </x:c>
      <x:c r="X190" s="42" t="str">
        <x:f>IF($A190="","",IF(AND($U190="発射物",$DI190&lt;&gt;"パッシブ"),IF($BG190="有効","有効","無効"),"無効"))</x:f>
      </x:c>
      <x:c r="AD190" s="14"/>
      <x:c r="AE190" s="14"/>
      <x:c r="AF190" s="14"/>
      <x:c r="AH190" s="14"/>
      <x:c r="AJ190" s="14"/>
      <x:c r="AN190" s="14"/>
      <x:c r="AO190" s="14"/>
      <x:c r="AP190" s="14"/>
      <x:c r="AR190" s="14"/>
      <x:c r="AT190" s="14"/>
      <x:c r="AX190" s="14"/>
      <x:c r="AY190" s="14"/>
      <x:c r="AZ190" s="14"/>
      <x:c r="BB190" s="14"/>
      <x:c r="BD190" s="14"/>
      <x:c r="BE190" s="14"/>
      <x:c r="BF190" s="14"/>
      <x:c r="BK190" s="14"/>
      <x:c r="BM190" s="14"/>
      <x:c r="BN190" s="14"/>
      <x:c r="BP190" s="14"/>
      <x:c r="BQ190" s="14"/>
      <x:c r="BR190" s="14"/>
      <x:c r="BT190" s="14"/>
      <x:c r="BU190" s="14"/>
      <x:c r="BV190" s="14"/>
      <x:c r="BW190" s="14"/>
      <x:c r="BX190" s="14"/>
      <x:c r="BY190" s="14"/>
      <x:c r="BZ190" s="14"/>
      <x:c r="CA190" s="14"/>
      <x:c r="CB190" s="14"/>
      <x:c r="CC190" s="14"/>
      <x:c r="CD190" s="14"/>
      <x:c r="CE190" s="14"/>
      <x:c r="CF190" s="14"/>
      <x:c r="CJ190" s="14"/>
      <x:c r="CK190" s="14"/>
      <x:c r="CL190" s="14"/>
      <x:c r="CM190" s="14"/>
      <x:c r="CO190" s="14"/>
      <x:c r="CQ190" s="14"/>
      <x:c r="CS190" s="14"/>
      <x:c r="CT190" s="14"/>
      <x:c r="CU190" s="14"/>
      <x:c r="CW190" s="14"/>
      <x:c r="CX190" s="14"/>
      <x:c r="CY190" s="14"/>
      <x:c r="CZ190" s="14"/>
      <x:c r="DC190" s="14"/>
      <x:c r="DD190" s="14"/>
      <x:c r="DI190" s="88"/>
      <x:c r="DJ190" s="88"/>
      <x:c r="DK190" s="88"/>
      <x:c r="DL190" s="88"/>
      <x:c r="DM190" s="88"/>
      <x:c r="DN190" s="88"/>
      <x:c r="DO190" s="88"/>
      <x:c r="DP190" s="88"/>
      <x:c r="DQ190" s="88"/>
      <x:c r="DR190" s="88"/>
      <x:c r="DS190" s="88"/>
    </x:row>
    <x:row r="191" ht="25" customHeight="1">
      <x:c r="A191" s="10"/>
      <x:c r="D191" s="12"/>
      <x:c r="E191" s="12"/>
      <x:c r="F191" s="12"/>
      <x:c r="G191" s="14"/>
      <x:c r="H191" s="14"/>
      <x:c r="I191" s="14"/>
      <x:c r="J191" s="14"/>
      <x:c r="N191" s="14"/>
      <x:c r="O191" s="12"/>
      <x:c r="S191" s="14"/>
      <x:c r="T191" s="12"/>
      <x:c r="V191" s="42" t="str">
        <x:f>IF($A191="","",IF(AND($U191="発射物",$DI191&lt;&gt;"パッシブ"),$BE191,0))</x:f>
      </x:c>
      <x:c r="W191" s="42" t="str">
        <x:f>IF($A191="","",IF(AND($U191="発射物",$DI191&lt;&gt;"パッシブ"),$BF191,0))</x:f>
      </x:c>
      <x:c r="X191" s="42" t="str">
        <x:f>IF($A191="","",IF(AND($U191="発射物",$DI191&lt;&gt;"パッシブ"),IF($BG191="有効","有効","無効"),"無効"))</x:f>
      </x:c>
      <x:c r="AD191" s="14"/>
      <x:c r="AE191" s="14"/>
      <x:c r="AF191" s="14"/>
      <x:c r="AH191" s="14"/>
      <x:c r="AJ191" s="14"/>
      <x:c r="AN191" s="14"/>
      <x:c r="AO191" s="14"/>
      <x:c r="AP191" s="14"/>
      <x:c r="AR191" s="14"/>
      <x:c r="AT191" s="14"/>
      <x:c r="AX191" s="14"/>
      <x:c r="AY191" s="14"/>
      <x:c r="AZ191" s="14"/>
      <x:c r="BB191" s="14"/>
      <x:c r="BD191" s="14"/>
      <x:c r="BE191" s="14"/>
      <x:c r="BF191" s="14"/>
      <x:c r="BK191" s="14"/>
      <x:c r="BM191" s="14"/>
      <x:c r="BN191" s="14"/>
      <x:c r="BP191" s="14"/>
      <x:c r="BQ191" s="14"/>
      <x:c r="BR191" s="14"/>
      <x:c r="BT191" s="14"/>
      <x:c r="BU191" s="14"/>
      <x:c r="BV191" s="14"/>
      <x:c r="BW191" s="14"/>
      <x:c r="BX191" s="14"/>
      <x:c r="BY191" s="14"/>
      <x:c r="BZ191" s="14"/>
      <x:c r="CA191" s="14"/>
      <x:c r="CB191" s="14"/>
      <x:c r="CC191" s="14"/>
      <x:c r="CD191" s="14"/>
      <x:c r="CE191" s="14"/>
      <x:c r="CF191" s="14"/>
      <x:c r="CJ191" s="14"/>
      <x:c r="CK191" s="14"/>
      <x:c r="CL191" s="14"/>
      <x:c r="CM191" s="14"/>
      <x:c r="CO191" s="14"/>
      <x:c r="CQ191" s="14"/>
      <x:c r="CS191" s="14"/>
      <x:c r="CT191" s="14"/>
      <x:c r="CU191" s="14"/>
      <x:c r="CW191" s="14"/>
      <x:c r="CX191" s="14"/>
      <x:c r="CY191" s="14"/>
      <x:c r="CZ191" s="14"/>
      <x:c r="DC191" s="14"/>
      <x:c r="DD191" s="14"/>
      <x:c r="DI191" s="88"/>
      <x:c r="DJ191" s="88"/>
      <x:c r="DK191" s="88"/>
      <x:c r="DL191" s="88"/>
      <x:c r="DM191" s="88"/>
      <x:c r="DN191" s="88"/>
      <x:c r="DO191" s="88"/>
      <x:c r="DP191" s="88"/>
      <x:c r="DQ191" s="88"/>
      <x:c r="DR191" s="88"/>
      <x:c r="DS191" s="88"/>
    </x:row>
    <x:row r="192" ht="25" customHeight="1">
      <x:c r="A192" s="10"/>
      <x:c r="D192" s="12"/>
      <x:c r="E192" s="12"/>
      <x:c r="F192" s="12"/>
      <x:c r="G192" s="14"/>
      <x:c r="H192" s="14"/>
      <x:c r="I192" s="14"/>
      <x:c r="J192" s="14"/>
      <x:c r="N192" s="14"/>
      <x:c r="O192" s="12"/>
      <x:c r="S192" s="14"/>
      <x:c r="T192" s="12"/>
      <x:c r="V192" s="42" t="str">
        <x:f>IF($A192="","",IF(AND($U192="発射物",$DI192&lt;&gt;"パッシブ"),$BE192,0))</x:f>
      </x:c>
      <x:c r="W192" s="42" t="str">
        <x:f>IF($A192="","",IF(AND($U192="発射物",$DI192&lt;&gt;"パッシブ"),$BF192,0))</x:f>
      </x:c>
      <x:c r="X192" s="42" t="str">
        <x:f>IF($A192="","",IF(AND($U192="発射物",$DI192&lt;&gt;"パッシブ"),IF($BG192="有効","有効","無効"),"無効"))</x:f>
      </x:c>
      <x:c r="AD192" s="14"/>
      <x:c r="AE192" s="14"/>
      <x:c r="AF192" s="14"/>
      <x:c r="AH192" s="14"/>
      <x:c r="AJ192" s="14"/>
      <x:c r="AN192" s="14"/>
      <x:c r="AO192" s="14"/>
      <x:c r="AP192" s="14"/>
      <x:c r="AR192" s="14"/>
      <x:c r="AT192" s="14"/>
      <x:c r="AX192" s="14"/>
      <x:c r="AY192" s="14"/>
      <x:c r="AZ192" s="14"/>
      <x:c r="BB192" s="14"/>
      <x:c r="BD192" s="14"/>
      <x:c r="BE192" s="14"/>
      <x:c r="BF192" s="14"/>
      <x:c r="BK192" s="14"/>
      <x:c r="BM192" s="14"/>
      <x:c r="BN192" s="14"/>
      <x:c r="BP192" s="14"/>
      <x:c r="BQ192" s="14"/>
      <x:c r="BR192" s="14"/>
      <x:c r="BT192" s="14"/>
      <x:c r="BU192" s="14"/>
      <x:c r="BV192" s="14"/>
      <x:c r="BW192" s="14"/>
      <x:c r="BX192" s="14"/>
      <x:c r="BY192" s="14"/>
      <x:c r="BZ192" s="14"/>
      <x:c r="CA192" s="14"/>
      <x:c r="CB192" s="14"/>
      <x:c r="CC192" s="14"/>
      <x:c r="CD192" s="14"/>
      <x:c r="CE192" s="14"/>
      <x:c r="CF192" s="14"/>
      <x:c r="CJ192" s="14"/>
      <x:c r="CK192" s="14"/>
      <x:c r="CL192" s="14"/>
      <x:c r="CM192" s="14"/>
      <x:c r="CO192" s="14"/>
      <x:c r="CQ192" s="14"/>
      <x:c r="CS192" s="14"/>
      <x:c r="CT192" s="14"/>
      <x:c r="CU192" s="14"/>
      <x:c r="CW192" s="14"/>
      <x:c r="CX192" s="14"/>
      <x:c r="CY192" s="14"/>
      <x:c r="CZ192" s="14"/>
      <x:c r="DC192" s="14"/>
      <x:c r="DD192" s="14"/>
      <x:c r="DI192" s="88"/>
      <x:c r="DJ192" s="88"/>
      <x:c r="DK192" s="88"/>
      <x:c r="DL192" s="88"/>
      <x:c r="DM192" s="88"/>
      <x:c r="DN192" s="88"/>
      <x:c r="DO192" s="88"/>
      <x:c r="DP192" s="88"/>
      <x:c r="DQ192" s="88"/>
      <x:c r="DR192" s="88"/>
      <x:c r="DS192" s="88"/>
    </x:row>
    <x:row r="193" ht="25" customHeight="1">
      <x:c r="A193" s="10"/>
      <x:c r="D193" s="12"/>
      <x:c r="E193" s="12"/>
      <x:c r="F193" s="12"/>
      <x:c r="G193" s="14"/>
      <x:c r="H193" s="14"/>
      <x:c r="I193" s="14"/>
      <x:c r="J193" s="14"/>
      <x:c r="N193" s="14"/>
      <x:c r="O193" s="12"/>
      <x:c r="S193" s="14"/>
      <x:c r="T193" s="12"/>
      <x:c r="V193" s="42" t="str">
        <x:f>IF($A193="","",IF(AND($U193="発射物",$DI193&lt;&gt;"パッシブ"),$BE193,0))</x:f>
      </x:c>
      <x:c r="W193" s="42" t="str">
        <x:f>IF($A193="","",IF(AND($U193="発射物",$DI193&lt;&gt;"パッシブ"),$BF193,0))</x:f>
      </x:c>
      <x:c r="X193" s="42" t="str">
        <x:f>IF($A193="","",IF(AND($U193="発射物",$DI193&lt;&gt;"パッシブ"),IF($BG193="有効","有効","無効"),"無効"))</x:f>
      </x:c>
      <x:c r="AD193" s="14"/>
      <x:c r="AE193" s="14"/>
      <x:c r="AF193" s="14"/>
      <x:c r="AH193" s="14"/>
      <x:c r="AJ193" s="14"/>
      <x:c r="AN193" s="14"/>
      <x:c r="AO193" s="14"/>
      <x:c r="AP193" s="14"/>
      <x:c r="AR193" s="14"/>
      <x:c r="AT193" s="14"/>
      <x:c r="AX193" s="14"/>
      <x:c r="AY193" s="14"/>
      <x:c r="AZ193" s="14"/>
      <x:c r="BB193" s="14"/>
      <x:c r="BD193" s="14"/>
      <x:c r="BE193" s="14"/>
      <x:c r="BF193" s="14"/>
      <x:c r="BK193" s="14"/>
      <x:c r="BM193" s="14"/>
      <x:c r="BN193" s="14"/>
      <x:c r="BP193" s="14"/>
      <x:c r="BQ193" s="14"/>
      <x:c r="BR193" s="14"/>
      <x:c r="BT193" s="14"/>
      <x:c r="BU193" s="14"/>
      <x:c r="BV193" s="14"/>
      <x:c r="BW193" s="14"/>
      <x:c r="BX193" s="14"/>
      <x:c r="BY193" s="14"/>
      <x:c r="BZ193" s="14"/>
      <x:c r="CA193" s="14"/>
      <x:c r="CB193" s="14"/>
      <x:c r="CC193" s="14"/>
      <x:c r="CD193" s="14"/>
      <x:c r="CE193" s="14"/>
      <x:c r="CF193" s="14"/>
      <x:c r="CJ193" s="14"/>
      <x:c r="CK193" s="14"/>
      <x:c r="CL193" s="14"/>
      <x:c r="CM193" s="14"/>
      <x:c r="CO193" s="14"/>
      <x:c r="CQ193" s="14"/>
      <x:c r="CS193" s="14"/>
      <x:c r="CT193" s="14"/>
      <x:c r="CU193" s="14"/>
      <x:c r="CW193" s="14"/>
      <x:c r="CX193" s="14"/>
      <x:c r="CY193" s="14"/>
      <x:c r="CZ193" s="14"/>
      <x:c r="DC193" s="14"/>
      <x:c r="DD193" s="14"/>
      <x:c r="DI193" s="88"/>
      <x:c r="DJ193" s="88"/>
      <x:c r="DK193" s="88"/>
      <x:c r="DL193" s="88"/>
      <x:c r="DM193" s="88"/>
      <x:c r="DN193" s="88"/>
      <x:c r="DO193" s="88"/>
      <x:c r="DP193" s="88"/>
      <x:c r="DQ193" s="88"/>
      <x:c r="DR193" s="88"/>
      <x:c r="DS193" s="88"/>
    </x:row>
    <x:row r="194" ht="25" customHeight="1">
      <x:c r="A194" s="10"/>
      <x:c r="D194" s="12"/>
      <x:c r="E194" s="12"/>
      <x:c r="F194" s="12"/>
      <x:c r="G194" s="14"/>
      <x:c r="H194" s="14"/>
      <x:c r="I194" s="14"/>
      <x:c r="J194" s="14"/>
      <x:c r="N194" s="14"/>
      <x:c r="O194" s="12"/>
      <x:c r="S194" s="14"/>
      <x:c r="T194" s="12"/>
      <x:c r="V194" s="42" t="str">
        <x:f>IF($A194="","",IF(AND($U194="発射物",$DI194&lt;&gt;"パッシブ"),$BE194,0))</x:f>
      </x:c>
      <x:c r="W194" s="42" t="str">
        <x:f>IF($A194="","",IF(AND($U194="発射物",$DI194&lt;&gt;"パッシブ"),$BF194,0))</x:f>
      </x:c>
      <x:c r="X194" s="42" t="str">
        <x:f>IF($A194="","",IF(AND($U194="発射物",$DI194&lt;&gt;"パッシブ"),IF($BG194="有効","有効","無効"),"無効"))</x:f>
      </x:c>
      <x:c r="AD194" s="14"/>
      <x:c r="AE194" s="14"/>
      <x:c r="AF194" s="14"/>
      <x:c r="AH194" s="14"/>
      <x:c r="AJ194" s="14"/>
      <x:c r="AN194" s="14"/>
      <x:c r="AO194" s="14"/>
      <x:c r="AP194" s="14"/>
      <x:c r="AR194" s="14"/>
      <x:c r="AT194" s="14"/>
      <x:c r="AX194" s="14"/>
      <x:c r="AY194" s="14"/>
      <x:c r="AZ194" s="14"/>
      <x:c r="BB194" s="14"/>
      <x:c r="BD194" s="14"/>
      <x:c r="BE194" s="14"/>
      <x:c r="BF194" s="14"/>
      <x:c r="BK194" s="14"/>
      <x:c r="BM194" s="14"/>
      <x:c r="BN194" s="14"/>
      <x:c r="BP194" s="14"/>
      <x:c r="BQ194" s="14"/>
      <x:c r="BR194" s="14"/>
      <x:c r="BT194" s="14"/>
      <x:c r="BU194" s="14"/>
      <x:c r="BV194" s="14"/>
      <x:c r="BW194" s="14"/>
      <x:c r="BX194" s="14"/>
      <x:c r="BY194" s="14"/>
      <x:c r="BZ194" s="14"/>
      <x:c r="CA194" s="14"/>
      <x:c r="CB194" s="14"/>
      <x:c r="CC194" s="14"/>
      <x:c r="CD194" s="14"/>
      <x:c r="CE194" s="14"/>
      <x:c r="CF194" s="14"/>
      <x:c r="CJ194" s="14"/>
      <x:c r="CK194" s="14"/>
      <x:c r="CL194" s="14"/>
      <x:c r="CM194" s="14"/>
      <x:c r="CO194" s="14"/>
      <x:c r="CQ194" s="14"/>
      <x:c r="CS194" s="14"/>
      <x:c r="CT194" s="14"/>
      <x:c r="CU194" s="14"/>
      <x:c r="CW194" s="14"/>
      <x:c r="CX194" s="14"/>
      <x:c r="CY194" s="14"/>
      <x:c r="CZ194" s="14"/>
      <x:c r="DC194" s="14"/>
      <x:c r="DD194" s="14"/>
      <x:c r="DI194" s="88"/>
      <x:c r="DJ194" s="88"/>
      <x:c r="DK194" s="88"/>
      <x:c r="DL194" s="88"/>
      <x:c r="DM194" s="88"/>
      <x:c r="DN194" s="88"/>
      <x:c r="DO194" s="88"/>
      <x:c r="DP194" s="88"/>
      <x:c r="DQ194" s="88"/>
      <x:c r="DR194" s="88"/>
      <x:c r="DS194" s="88"/>
    </x:row>
    <x:row r="195" ht="25" customHeight="1">
      <x:c r="A195" s="10"/>
      <x:c r="D195" s="12"/>
      <x:c r="E195" s="12"/>
      <x:c r="F195" s="12"/>
      <x:c r="G195" s="14"/>
      <x:c r="H195" s="14"/>
      <x:c r="I195" s="14"/>
      <x:c r="J195" s="14"/>
      <x:c r="N195" s="14"/>
      <x:c r="O195" s="12"/>
      <x:c r="S195" s="14"/>
      <x:c r="T195" s="12"/>
      <x:c r="V195" s="42" t="str">
        <x:f>IF($A195="","",IF(AND($U195="発射物",$DI195&lt;&gt;"パッシブ"),$BE195,0))</x:f>
      </x:c>
      <x:c r="W195" s="42" t="str">
        <x:f>IF($A195="","",IF(AND($U195="発射物",$DI195&lt;&gt;"パッシブ"),$BF195,0))</x:f>
      </x:c>
      <x:c r="X195" s="42" t="str">
        <x:f>IF($A195="","",IF(AND($U195="発射物",$DI195&lt;&gt;"パッシブ"),IF($BG195="有効","有効","無効"),"無効"))</x:f>
      </x:c>
      <x:c r="AD195" s="14"/>
      <x:c r="AE195" s="14"/>
      <x:c r="AF195" s="14"/>
      <x:c r="AH195" s="14"/>
      <x:c r="AJ195" s="14"/>
      <x:c r="AN195" s="14"/>
      <x:c r="AO195" s="14"/>
      <x:c r="AP195" s="14"/>
      <x:c r="AR195" s="14"/>
      <x:c r="AT195" s="14"/>
      <x:c r="AX195" s="14"/>
      <x:c r="AY195" s="14"/>
      <x:c r="AZ195" s="14"/>
      <x:c r="BB195" s="14"/>
      <x:c r="BD195" s="14"/>
      <x:c r="BE195" s="14"/>
      <x:c r="BF195" s="14"/>
      <x:c r="BK195" s="14"/>
      <x:c r="BM195" s="14"/>
      <x:c r="BN195" s="14"/>
      <x:c r="BP195" s="14"/>
      <x:c r="BQ195" s="14"/>
      <x:c r="BR195" s="14"/>
      <x:c r="BT195" s="14"/>
      <x:c r="BU195" s="14"/>
      <x:c r="BV195" s="14"/>
      <x:c r="BW195" s="14"/>
      <x:c r="BX195" s="14"/>
      <x:c r="BY195" s="14"/>
      <x:c r="BZ195" s="14"/>
      <x:c r="CA195" s="14"/>
      <x:c r="CB195" s="14"/>
      <x:c r="CC195" s="14"/>
      <x:c r="CD195" s="14"/>
      <x:c r="CE195" s="14"/>
      <x:c r="CF195" s="14"/>
      <x:c r="CJ195" s="14"/>
      <x:c r="CK195" s="14"/>
      <x:c r="CL195" s="14"/>
      <x:c r="CM195" s="14"/>
      <x:c r="CO195" s="14"/>
      <x:c r="CQ195" s="14"/>
      <x:c r="CS195" s="14"/>
      <x:c r="CT195" s="14"/>
      <x:c r="CU195" s="14"/>
      <x:c r="CW195" s="14"/>
      <x:c r="CX195" s="14"/>
      <x:c r="CY195" s="14"/>
      <x:c r="CZ195" s="14"/>
      <x:c r="DC195" s="14"/>
      <x:c r="DD195" s="14"/>
      <x:c r="DI195" s="88"/>
      <x:c r="DJ195" s="88"/>
      <x:c r="DK195" s="88"/>
      <x:c r="DL195" s="88"/>
      <x:c r="DM195" s="88"/>
      <x:c r="DN195" s="88"/>
      <x:c r="DO195" s="88"/>
      <x:c r="DP195" s="88"/>
      <x:c r="DQ195" s="88"/>
      <x:c r="DR195" s="88"/>
      <x:c r="DS195" s="88"/>
    </x:row>
    <x:row r="196" ht="25" customHeight="1">
      <x:c r="A196" s="10"/>
      <x:c r="D196" s="12"/>
      <x:c r="E196" s="12"/>
      <x:c r="F196" s="12"/>
      <x:c r="G196" s="14"/>
      <x:c r="H196" s="14"/>
      <x:c r="I196" s="14"/>
      <x:c r="J196" s="14"/>
      <x:c r="N196" s="14"/>
      <x:c r="O196" s="12"/>
      <x:c r="S196" s="14"/>
      <x:c r="T196" s="12"/>
      <x:c r="V196" s="42" t="str">
        <x:f>IF($A196="","",IF(AND($U196="発射物",$DI196&lt;&gt;"パッシブ"),$BE196,0))</x:f>
      </x:c>
      <x:c r="W196" s="42" t="str">
        <x:f>IF($A196="","",IF(AND($U196="発射物",$DI196&lt;&gt;"パッシブ"),$BF196,0))</x:f>
      </x:c>
      <x:c r="X196" s="42" t="str">
        <x:f>IF($A196="","",IF(AND($U196="発射物",$DI196&lt;&gt;"パッシブ"),IF($BG196="有効","有効","無効"),"無効"))</x:f>
      </x:c>
      <x:c r="AD196" s="14"/>
      <x:c r="AE196" s="14"/>
      <x:c r="AF196" s="14"/>
      <x:c r="AH196" s="14"/>
      <x:c r="AJ196" s="14"/>
      <x:c r="AN196" s="14"/>
      <x:c r="AO196" s="14"/>
      <x:c r="AP196" s="14"/>
      <x:c r="AR196" s="14"/>
      <x:c r="AT196" s="14"/>
      <x:c r="AX196" s="14"/>
      <x:c r="AY196" s="14"/>
      <x:c r="AZ196" s="14"/>
      <x:c r="BB196" s="14"/>
      <x:c r="BD196" s="14"/>
      <x:c r="BE196" s="14"/>
      <x:c r="BF196" s="14"/>
      <x:c r="BK196" s="14"/>
      <x:c r="BM196" s="14"/>
      <x:c r="BN196" s="14"/>
      <x:c r="BP196" s="14"/>
      <x:c r="BQ196" s="14"/>
      <x:c r="BR196" s="14"/>
      <x:c r="BT196" s="14"/>
      <x:c r="BU196" s="14"/>
      <x:c r="BV196" s="14"/>
      <x:c r="BW196" s="14"/>
      <x:c r="BX196" s="14"/>
      <x:c r="BY196" s="14"/>
      <x:c r="BZ196" s="14"/>
      <x:c r="CA196" s="14"/>
      <x:c r="CB196" s="14"/>
      <x:c r="CC196" s="14"/>
      <x:c r="CD196" s="14"/>
      <x:c r="CE196" s="14"/>
      <x:c r="CF196" s="14"/>
      <x:c r="CJ196" s="14"/>
      <x:c r="CK196" s="14"/>
      <x:c r="CL196" s="14"/>
      <x:c r="CM196" s="14"/>
      <x:c r="CO196" s="14"/>
      <x:c r="CQ196" s="14"/>
      <x:c r="CS196" s="14"/>
      <x:c r="CT196" s="14"/>
      <x:c r="CU196" s="14"/>
      <x:c r="CW196" s="14"/>
      <x:c r="CX196" s="14"/>
      <x:c r="CY196" s="14"/>
      <x:c r="CZ196" s="14"/>
      <x:c r="DC196" s="14"/>
      <x:c r="DD196" s="14"/>
      <x:c r="DI196" s="88"/>
      <x:c r="DJ196" s="88"/>
      <x:c r="DK196" s="88"/>
      <x:c r="DL196" s="88"/>
      <x:c r="DM196" s="88"/>
      <x:c r="DN196" s="88"/>
      <x:c r="DO196" s="88"/>
      <x:c r="DP196" s="88"/>
      <x:c r="DQ196" s="88"/>
      <x:c r="DR196" s="88"/>
      <x:c r="DS196" s="88"/>
    </x:row>
    <x:row r="197" ht="25" customHeight="1">
      <x:c r="A197" s="10"/>
      <x:c r="D197" s="12"/>
      <x:c r="E197" s="12"/>
      <x:c r="F197" s="12"/>
      <x:c r="G197" s="14"/>
      <x:c r="H197" s="14"/>
      <x:c r="I197" s="14"/>
      <x:c r="J197" s="14"/>
      <x:c r="N197" s="14"/>
      <x:c r="O197" s="12"/>
      <x:c r="S197" s="14"/>
      <x:c r="T197" s="12"/>
      <x:c r="V197" s="42" t="str">
        <x:f>IF($A197="","",IF(AND($U197="発射物",$DI197&lt;&gt;"パッシブ"),$BE197,0))</x:f>
      </x:c>
      <x:c r="W197" s="42" t="str">
        <x:f>IF($A197="","",IF(AND($U197="発射物",$DI197&lt;&gt;"パッシブ"),$BF197,0))</x:f>
      </x:c>
      <x:c r="X197" s="42" t="str">
        <x:f>IF($A197="","",IF(AND($U197="発射物",$DI197&lt;&gt;"パッシブ"),IF($BG197="有効","有効","無効"),"無効"))</x:f>
      </x:c>
      <x:c r="AD197" s="14"/>
      <x:c r="AE197" s="14"/>
      <x:c r="AF197" s="14"/>
      <x:c r="AH197" s="14"/>
      <x:c r="AJ197" s="14"/>
      <x:c r="AN197" s="14"/>
      <x:c r="AO197" s="14"/>
      <x:c r="AP197" s="14"/>
      <x:c r="AR197" s="14"/>
      <x:c r="AT197" s="14"/>
      <x:c r="AX197" s="14"/>
      <x:c r="AY197" s="14"/>
      <x:c r="AZ197" s="14"/>
      <x:c r="BB197" s="14"/>
      <x:c r="BD197" s="14"/>
      <x:c r="BE197" s="14"/>
      <x:c r="BF197" s="14"/>
      <x:c r="BK197" s="14"/>
      <x:c r="BM197" s="14"/>
      <x:c r="BN197" s="14"/>
      <x:c r="BP197" s="14"/>
      <x:c r="BQ197" s="14"/>
      <x:c r="BR197" s="14"/>
      <x:c r="BT197" s="14"/>
      <x:c r="BU197" s="14"/>
      <x:c r="BV197" s="14"/>
      <x:c r="BW197" s="14"/>
      <x:c r="BX197" s="14"/>
      <x:c r="BY197" s="14"/>
      <x:c r="BZ197" s="14"/>
      <x:c r="CA197" s="14"/>
      <x:c r="CB197" s="14"/>
      <x:c r="CC197" s="14"/>
      <x:c r="CD197" s="14"/>
      <x:c r="CE197" s="14"/>
      <x:c r="CF197" s="14"/>
      <x:c r="CJ197" s="14"/>
      <x:c r="CK197" s="14"/>
      <x:c r="CL197" s="14"/>
      <x:c r="CM197" s="14"/>
      <x:c r="CO197" s="14"/>
      <x:c r="CQ197" s="14"/>
      <x:c r="CS197" s="14"/>
      <x:c r="CT197" s="14"/>
      <x:c r="CU197" s="14"/>
      <x:c r="CW197" s="14"/>
      <x:c r="CX197" s="14"/>
      <x:c r="CY197" s="14"/>
      <x:c r="CZ197" s="14"/>
      <x:c r="DC197" s="14"/>
      <x:c r="DD197" s="14"/>
      <x:c r="DI197" s="88"/>
      <x:c r="DJ197" s="88"/>
      <x:c r="DK197" s="88"/>
      <x:c r="DL197" s="88"/>
      <x:c r="DM197" s="88"/>
      <x:c r="DN197" s="88"/>
      <x:c r="DO197" s="88"/>
      <x:c r="DP197" s="88"/>
      <x:c r="DQ197" s="88"/>
      <x:c r="DR197" s="88"/>
      <x:c r="DS197" s="88"/>
    </x:row>
    <x:row r="198" ht="25" customHeight="1">
      <x:c r="A198" s="10"/>
      <x:c r="D198" s="12"/>
      <x:c r="E198" s="12"/>
      <x:c r="F198" s="12"/>
      <x:c r="G198" s="14"/>
      <x:c r="H198" s="14"/>
      <x:c r="I198" s="14"/>
      <x:c r="J198" s="14"/>
      <x:c r="N198" s="14"/>
      <x:c r="O198" s="12"/>
      <x:c r="S198" s="14"/>
      <x:c r="T198" s="12"/>
      <x:c r="V198" s="42" t="str">
        <x:f>IF($A198="","",IF(AND($U198="発射物",$DI198&lt;&gt;"パッシブ"),$BE198,0))</x:f>
      </x:c>
      <x:c r="W198" s="42" t="str">
        <x:f>IF($A198="","",IF(AND($U198="発射物",$DI198&lt;&gt;"パッシブ"),$BF198,0))</x:f>
      </x:c>
      <x:c r="X198" s="42" t="str">
        <x:f>IF($A198="","",IF(AND($U198="発射物",$DI198&lt;&gt;"パッシブ"),IF($BG198="有効","有効","無効"),"無効"))</x:f>
      </x:c>
      <x:c r="AD198" s="14"/>
      <x:c r="AE198" s="14"/>
      <x:c r="AF198" s="14"/>
      <x:c r="AH198" s="14"/>
      <x:c r="AJ198" s="14"/>
      <x:c r="AN198" s="14"/>
      <x:c r="AO198" s="14"/>
      <x:c r="AP198" s="14"/>
      <x:c r="AR198" s="14"/>
      <x:c r="AT198" s="14"/>
      <x:c r="AX198" s="14"/>
      <x:c r="AY198" s="14"/>
      <x:c r="AZ198" s="14"/>
      <x:c r="BB198" s="14"/>
      <x:c r="BD198" s="14"/>
      <x:c r="BE198" s="14"/>
      <x:c r="BF198" s="14"/>
      <x:c r="BK198" s="14"/>
      <x:c r="BM198" s="14"/>
      <x:c r="BN198" s="14"/>
      <x:c r="BP198" s="14"/>
      <x:c r="BQ198" s="14"/>
      <x:c r="BR198" s="14"/>
      <x:c r="BT198" s="14"/>
      <x:c r="BU198" s="14"/>
      <x:c r="BV198" s="14"/>
      <x:c r="BW198" s="14"/>
      <x:c r="BX198" s="14"/>
      <x:c r="BY198" s="14"/>
      <x:c r="BZ198" s="14"/>
      <x:c r="CA198" s="14"/>
      <x:c r="CB198" s="14"/>
      <x:c r="CC198" s="14"/>
      <x:c r="CD198" s="14"/>
      <x:c r="CE198" s="14"/>
      <x:c r="CF198" s="14"/>
      <x:c r="CJ198" s="14"/>
      <x:c r="CK198" s="14"/>
      <x:c r="CL198" s="14"/>
      <x:c r="CM198" s="14"/>
      <x:c r="CO198" s="14"/>
      <x:c r="CQ198" s="14"/>
      <x:c r="CS198" s="14"/>
      <x:c r="CT198" s="14"/>
      <x:c r="CU198" s="14"/>
      <x:c r="CW198" s="14"/>
      <x:c r="CX198" s="14"/>
      <x:c r="CY198" s="14"/>
      <x:c r="CZ198" s="14"/>
      <x:c r="DC198" s="14"/>
      <x:c r="DD198" s="14"/>
      <x:c r="DI198" s="88"/>
      <x:c r="DJ198" s="88"/>
      <x:c r="DK198" s="88"/>
      <x:c r="DL198" s="88"/>
      <x:c r="DM198" s="88"/>
      <x:c r="DN198" s="88"/>
      <x:c r="DO198" s="88"/>
      <x:c r="DP198" s="88"/>
      <x:c r="DQ198" s="88"/>
      <x:c r="DR198" s="88"/>
      <x:c r="DS198" s="88"/>
    </x:row>
    <x:row r="199" ht="25" customHeight="1">
      <x:c r="A199" s="10"/>
      <x:c r="D199" s="12"/>
      <x:c r="E199" s="12"/>
      <x:c r="F199" s="12"/>
      <x:c r="G199" s="14"/>
      <x:c r="H199" s="14"/>
      <x:c r="I199" s="14"/>
      <x:c r="J199" s="14"/>
      <x:c r="N199" s="14"/>
      <x:c r="O199" s="12"/>
      <x:c r="S199" s="14"/>
      <x:c r="T199" s="12"/>
      <x:c r="V199" s="42" t="str">
        <x:f>IF($A199="","",IF(AND($U199="発射物",$DI199&lt;&gt;"パッシブ"),$BE199,0))</x:f>
      </x:c>
      <x:c r="W199" s="42" t="str">
        <x:f>IF($A199="","",IF(AND($U199="発射物",$DI199&lt;&gt;"パッシブ"),$BF199,0))</x:f>
      </x:c>
      <x:c r="X199" s="42" t="str">
        <x:f>IF($A199="","",IF(AND($U199="発射物",$DI199&lt;&gt;"パッシブ"),IF($BG199="有効","有効","無効"),"無効"))</x:f>
      </x:c>
      <x:c r="AD199" s="14"/>
      <x:c r="AE199" s="14"/>
      <x:c r="AF199" s="14"/>
      <x:c r="AH199" s="14"/>
      <x:c r="AJ199" s="14"/>
      <x:c r="AN199" s="14"/>
      <x:c r="AO199" s="14"/>
      <x:c r="AP199" s="14"/>
      <x:c r="AR199" s="14"/>
      <x:c r="AT199" s="14"/>
      <x:c r="AX199" s="14"/>
      <x:c r="AY199" s="14"/>
      <x:c r="AZ199" s="14"/>
      <x:c r="BB199" s="14"/>
      <x:c r="BD199" s="14"/>
      <x:c r="BE199" s="14"/>
      <x:c r="BF199" s="14"/>
      <x:c r="BK199" s="14"/>
      <x:c r="BM199" s="14"/>
      <x:c r="BN199" s="14"/>
      <x:c r="BP199" s="14"/>
      <x:c r="BQ199" s="14"/>
      <x:c r="BR199" s="14"/>
      <x:c r="BT199" s="14"/>
      <x:c r="BU199" s="14"/>
      <x:c r="BV199" s="14"/>
      <x:c r="BW199" s="14"/>
      <x:c r="BX199" s="14"/>
      <x:c r="BY199" s="14"/>
      <x:c r="BZ199" s="14"/>
      <x:c r="CA199" s="14"/>
      <x:c r="CB199" s="14"/>
      <x:c r="CC199" s="14"/>
      <x:c r="CD199" s="14"/>
      <x:c r="CE199" s="14"/>
      <x:c r="CF199" s="14"/>
      <x:c r="CJ199" s="14"/>
      <x:c r="CK199" s="14"/>
      <x:c r="CL199" s="14"/>
      <x:c r="CM199" s="14"/>
      <x:c r="CO199" s="14"/>
      <x:c r="CQ199" s="14"/>
      <x:c r="CS199" s="14"/>
      <x:c r="CT199" s="14"/>
      <x:c r="CU199" s="14"/>
      <x:c r="CW199" s="14"/>
      <x:c r="CX199" s="14"/>
      <x:c r="CY199" s="14"/>
      <x:c r="CZ199" s="14"/>
      <x:c r="DC199" s="14"/>
      <x:c r="DD199" s="14"/>
      <x:c r="DI199" s="88"/>
      <x:c r="DJ199" s="88"/>
      <x:c r="DK199" s="88"/>
      <x:c r="DL199" s="88"/>
      <x:c r="DM199" s="88"/>
      <x:c r="DN199" s="88"/>
      <x:c r="DO199" s="88"/>
      <x:c r="DP199" s="88"/>
      <x:c r="DQ199" s="88"/>
      <x:c r="DR199" s="88"/>
      <x:c r="DS199" s="88"/>
    </x:row>
    <x:row r="200" ht="25" customHeight="1">
      <x:c r="A200" s="10"/>
      <x:c r="D200" s="12"/>
      <x:c r="E200" s="12"/>
      <x:c r="F200" s="12"/>
      <x:c r="G200" s="14"/>
      <x:c r="H200" s="14"/>
      <x:c r="I200" s="14"/>
      <x:c r="J200" s="14"/>
      <x:c r="N200" s="14"/>
      <x:c r="O200" s="12"/>
      <x:c r="S200" s="14"/>
      <x:c r="T200" s="12"/>
      <x:c r="V200" s="42" t="str">
        <x:f>IF($A200="","",IF(AND($U200="発射物",$DI200&lt;&gt;"パッシブ"),$BE200,0))</x:f>
      </x:c>
      <x:c r="W200" s="42" t="str">
        <x:f>IF($A200="","",IF(AND($U200="発射物",$DI200&lt;&gt;"パッシブ"),$BF200,0))</x:f>
      </x:c>
      <x:c r="X200" s="42" t="str">
        <x:f>IF($A200="","",IF(AND($U200="発射物",$DI200&lt;&gt;"パッシブ"),IF($BG200="有効","有効","無効"),"無効"))</x:f>
      </x:c>
      <x:c r="AD200" s="14"/>
      <x:c r="AE200" s="14"/>
      <x:c r="AF200" s="14"/>
      <x:c r="AH200" s="14"/>
      <x:c r="AJ200" s="14"/>
      <x:c r="AN200" s="14"/>
      <x:c r="AO200" s="14"/>
      <x:c r="AP200" s="14"/>
      <x:c r="AR200" s="14"/>
      <x:c r="AT200" s="14"/>
      <x:c r="AX200" s="14"/>
      <x:c r="AY200" s="14"/>
      <x:c r="AZ200" s="14"/>
      <x:c r="BB200" s="14"/>
      <x:c r="BD200" s="14"/>
      <x:c r="BE200" s="14"/>
      <x:c r="BF200" s="14"/>
      <x:c r="BK200" s="14"/>
      <x:c r="BM200" s="14"/>
      <x:c r="BN200" s="14"/>
      <x:c r="BP200" s="14"/>
      <x:c r="BQ200" s="14"/>
      <x:c r="BR200" s="14"/>
      <x:c r="BT200" s="14"/>
      <x:c r="BU200" s="14"/>
      <x:c r="BV200" s="14"/>
      <x:c r="BW200" s="14"/>
      <x:c r="BX200" s="14"/>
      <x:c r="BY200" s="14"/>
      <x:c r="BZ200" s="14"/>
      <x:c r="CA200" s="14"/>
      <x:c r="CB200" s="14"/>
      <x:c r="CC200" s="14"/>
      <x:c r="CD200" s="14"/>
      <x:c r="CE200" s="14"/>
      <x:c r="CF200" s="14"/>
      <x:c r="CJ200" s="14"/>
      <x:c r="CK200" s="14"/>
      <x:c r="CL200" s="14"/>
      <x:c r="CM200" s="14"/>
      <x:c r="CO200" s="14"/>
      <x:c r="CQ200" s="14"/>
      <x:c r="CS200" s="14"/>
      <x:c r="CT200" s="14"/>
      <x:c r="CU200" s="14"/>
      <x:c r="CW200" s="14"/>
      <x:c r="CX200" s="14"/>
      <x:c r="CY200" s="14"/>
      <x:c r="CZ200" s="14"/>
      <x:c r="DC200" s="14"/>
      <x:c r="DD200" s="14"/>
      <x:c r="DI200" s="88"/>
      <x:c r="DJ200" s="88"/>
      <x:c r="DK200" s="88"/>
      <x:c r="DL200" s="88"/>
      <x:c r="DM200" s="88"/>
      <x:c r="DN200" s="88"/>
      <x:c r="DO200" s="88"/>
      <x:c r="DP200" s="88"/>
      <x:c r="DQ200" s="88"/>
      <x:c r="DR200" s="88"/>
      <x:c r="DS200" s="88"/>
    </x:row>
  </x:sheetData>
  <x:dataValidations count="45">
    <x:dataValidation type="list" sqref="K2:K200">
      <x:formula1>"自身,敵一体,味方一体,自身中心,敵中心"</x:formula1>
    </x:dataValidation>
    <x:dataValidation type="list" sqref="L2:L200">
      <x:formula1>"ダメージ,回復,なし"</x:formula1>
    </x:dataValidation>
    <x:dataValidation type="list" sqref="M2:M200">
      <x:formula1>"攻撃力,魔法攻撃力,最大体力,なし"</x:formula1>
    </x:dataValidation>
    <x:dataValidation type="list" sqref="P2:P200">
      <x:formula1>"使用者と同じ,無属性,火,水,風,雷,光,闇"</x:formula1>
    </x:dataValidation>
    <x:dataValidation type="list" sqref="Q2:Q200">
      <x:formula1>"有効,無効"</x:formula1>
    </x:dataValidation>
    <x:dataValidation type="list" sqref="R2:R200">
      <x:formula1>"選択対象,自身,範囲内の敵,範囲内の味方"</x:formula1>
    </x:dataValidation>
    <x:dataValidation type="list" sqref="U2:U200">
      <x:formula1>"即時,発射物"</x:formula1>
    </x:dataValidation>
    <x:dataValidation type="list" sqref="X2:X200">
      <x:formula1>"有効,無効"</x:formula1>
    </x:dataValidation>
    <x:dataValidation type="list" sqref="AA2:AA200">
      <x:formula1>"なし,バフ,デバフ,状態異常"</x:formula1>
    </x:dataValidation>
    <x:dataValidation type="list" sqref="AB2:AB200">
      <x:formula1>"なし,攻撃力,魔法攻撃力,防御力,魔法防御力,移動速度,攻撃速度,攻撃範囲"</x:formula1>
    </x:dataValidation>
    <x:dataValidation type="list" sqref="AC2:AC200">
      <x:formula1>"なし,割合変化,固定値変化,固定ダメージ,最大体力割合"</x:formula1>
    </x:dataValidation>
    <x:dataValidation type="list" sqref="AG2:AG200">
      <x:formula1>"なし,毒,火傷,凍結,麻痺,睡眠,沈黙,暗闇,混乱"</x:formula1>
    </x:dataValidation>
    <x:dataValidation type="list" sqref="AI2:AI200">
      <x:formula1>"時間更新,重ね掛け,無視"</x:formula1>
    </x:dataValidation>
    <x:dataValidation type="list" sqref="AK2:AK200">
      <x:formula1>"なし,バフ,デバフ,状態異常"</x:formula1>
    </x:dataValidation>
    <x:dataValidation type="list" sqref="AL2:AL200">
      <x:formula1>"なし,攻撃力,魔法攻撃力,防御力,魔法防御力,移動速度,攻撃速度,攻撃範囲"</x:formula1>
    </x:dataValidation>
    <x:dataValidation type="list" sqref="AM2:AM200">
      <x:formula1>"なし,割合変化,固定値変化,固定ダメージ,最大体力割合"</x:formula1>
    </x:dataValidation>
    <x:dataValidation type="list" sqref="AQ2:AQ200">
      <x:formula1>"なし,毒,火傷,凍結,麻痺,睡眠,沈黙,暗闇,混乱"</x:formula1>
    </x:dataValidation>
    <x:dataValidation type="list" sqref="AS2:AS200">
      <x:formula1>"時間更新,重ね掛け,無視"</x:formula1>
    </x:dataValidation>
    <x:dataValidation type="list" sqref="AU2:AU200">
      <x:formula1>"なし,バフ,デバフ,状態異常"</x:formula1>
    </x:dataValidation>
    <x:dataValidation type="list" sqref="AV2:AV200">
      <x:formula1>"なし,攻撃力,魔法攻撃力,防御力,魔法防御力,移動速度,攻撃速度,攻撃範囲"</x:formula1>
    </x:dataValidation>
    <x:dataValidation type="list" sqref="AW2:AW200">
      <x:formula1>"なし,割合変化,固定値変化,固定ダメージ,最大体力割合"</x:formula1>
    </x:dataValidation>
    <x:dataValidation type="list" sqref="BA2:BA200">
      <x:formula1>"なし,毒,火傷,凍結,麻痺,睡眠,沈黙,暗闇,混乱"</x:formula1>
    </x:dataValidation>
    <x:dataValidation type="list" sqref="BC2:BC200">
      <x:formula1>"時間更新,重ね掛け,無視"</x:formula1>
    </x:dataValidation>
    <x:dataValidation type="list" sqref="BG2:BG200">
      <x:formula1>"有効,無効"</x:formula1>
    </x:dataValidation>
    <x:dataValidation type="list" sqref="BI2:BI200">
      <x:formula1>"有効,無効"</x:formula1>
    </x:dataValidation>
    <x:dataValidation type="list" sqref="BJ2:BJ200">
      <x:formula1>"有効,無効"</x:formula1>
    </x:dataValidation>
    <x:dataValidation type="list" sqref="BL2:BL200">
      <x:formula1>"有効,無効"</x:formula1>
    </x:dataValidation>
    <x:dataValidation type="list" sqref="BO2:BO200">
      <x:formula1>"有効,無効"</x:formula1>
    </x:dataValidation>
    <x:dataValidation type="list" sqref="BS2:BS200">
      <x:formula1>"直進,追尾,拡大直進,その場,ブーメラン,周回後に射出,蛇行,加速,減速停止,遅延追尾,螺旋,往復,感応地雷,収束成長"</x:formula1>
    </x:dataValidation>
    <x:dataValidation type="list" sqref="CG2:CG200">
      <x:formula1>"有効,無効"</x:formula1>
    </x:dataValidation>
    <x:dataValidation type="list" sqref="CH2:CH200">
      <x:formula1>"有効,無効"</x:formula1>
    </x:dataValidation>
    <x:dataValidation type="list" sqref="CI2:CI200">
      <x:formula1>"有効,無効"</x:formula1>
    </x:dataValidation>
    <x:dataValidation type="list" sqref="CN2:CN200">
      <x:formula1>"有効,無効"</x:formula1>
    </x:dataValidation>
    <x:dataValidation type="list" sqref="CP2:CP200">
      <x:formula1>"直進,追尾,拡大直進,その場,ブーメラン,周回後に射出,蛇行,加速,減速停止,遅延追尾,螺旋,往復,感応地雷,収束成長"</x:formula1>
    </x:dataValidation>
    <x:dataValidation type="list" sqref="CR2:CR200">
      <x:formula1>"有効,無効"</x:formula1>
    </x:dataValidation>
    <x:dataValidation type="list" sqref="CV2:CV200">
      <x:formula1>"有効,無効"</x:formula1>
    </x:dataValidation>
    <x:dataValidation type="list" sqref="DA2:DA200">
      <x:formula1>"有効,無効"</x:formula1>
    </x:dataValidation>
    <x:dataValidation type="list" sqref="DB2:DB200">
      <x:formula1>"有効,無効"</x:formula1>
    </x:dataValidation>
    <x:dataValidation type="list" sqref="DI2:DI200">
      <x:formula1>"アクティブ,パッシブ"</x:formula1>
    </x:dataValidation>
    <x:dataValidation type="list" sqref="DJ2:DJ200">
      <x:formula1>"使用者,対象"</x:formula1>
    </x:dataValidation>
    <x:dataValidation type="list" sqref="DK2:DK200">
      <x:formula1>"追従なし,使用者,対象"</x:formula1>
    </x:dataValidation>
    <x:dataValidation type="list" sqref="DL2:DL200">
      <x:formula1>"命中時,生成時,一定間隔"</x:formula1>
    </x:dataValidation>
    <x:dataValidation type="list" sqref="DN2:DN200">
      <x:formula1>"なし,最大HP,最大MP,攻撃力,魔法攻撃力,防御力,魔法防御力,移動速度,攻撃速度,攻撃範囲,会心率,会心倍率,素材ドロップ率,装備ドロップ率,火属性耐性,水属性耐性,風属性耐性,雷属性耐性,光属性耐性,闇属性耐性,全属性耐性,近接攻撃タイプ,遠距離攻撃タイプ,配合確率,武器取得数,称号抽選回数,敵リスポーン速度"</x:formula1>
    </x:dataValidation>
    <x:dataValidation type="list" sqref="DP2:DP200">
      <x:formula1>"なし,最大HP,最大MP,攻撃力,魔法攻撃力,防御力,魔法防御力,移動速度,攻撃速度,攻撃範囲,会心率,会心倍率,素材ドロップ率,装備ドロップ率,火属性耐性,水属性耐性,風属性耐性,雷属性耐性,光属性耐性,闇属性耐性,全属性耐性,近接攻撃タイプ,遠距離攻撃タイプ,配合確率,武器取得数,称号抽選回数,敵リスポーン速度"</x:formula1>
    </x:dataValidation>
    <x:dataValidation type="list" sqref="DR2:DR200">
      <x:formula1>"なし,最大HP,最大MP,攻撃力,魔法攻撃力,防御力,魔法防御力,移動速度,攻撃速度,攻撃範囲,会心率,会心倍率,素材ドロップ率,装備ドロップ率,火属性耐性,水属性耐性,風属性耐性,雷属性耐性,光属性耐性,闇属性耐性,全属性耐性,近接攻撃タイプ,遠距離攻撃タイプ,配合確率,武器取得数,称号抽選回数,敵リスポーン速度"</x:formula1>
    </x:dataValidation>
  </x:dataValidations>
  <x:pageMargins left="0.7" right="0.7" top="0.75" bottom="0.75" header="0.3" footer="0.3"/>
  <x:tableParts count="1">
    <x:tablePart xmlns:r="http://schemas.openxmlformats.org/officeDocument/2006/relationships" r:id="R285f1149c16b48b8"/>
  </x:tableParts>
</x:worksheet>
</file>

<file path=xl/worksheets/sheet2.xml><?xml version="1.0" encoding="utf-8"?>
<x:worksheet xmlns:x="http://schemas.openxmlformats.org/spreadsheetml/2006/main">
  <x:sheetPr>
    <x:tabColor rgb="FF527091"/>
  </x:sheetPr>
  <x:sheetViews>
    <x:sheetView showGridLines="0" workbookViewId="0"/>
  </x:sheetViews>
  <x:sheetFormatPr defaultRowHeight="15"/>
  <x:cols>
    <x:col min="1" max="1" width="20" hidden="0" customWidth="1"/>
    <x:col min="2" max="2" width="44" hidden="0" customWidth="1"/>
    <x:col min="3" max="3" width="44" hidden="0" customWidth="1"/>
  </x:cols>
  <x:sheetData>
    <x:row r="1" ht="48" customHeight="1">
      <x:c r="A1" s="22" t="str">
        <x:v>ID</x:v>
      </x:c>
      <x:c r="B1" s="22" t="str">
        <x:v>習得可能スキル</x:v>
      </x:c>
      <x:c r="C1" s="22" t="str">
        <x:v>敵使用スキル</x:v>
      </x:c>
    </x:row>
    <x:row r="2" ht="38" customHeight="1">
      <x:c r="A2" s="2" t="str">
        <x:v>1</x:v>
      </x:c>
      <x:c r="B2" s="2" t="str">
        <x:v>1;2;3</x:v>
      </x:c>
      <x:c r="C2" s="2" t="str">
        <x:v>1;12</x:v>
      </x:c>
    </x:row>
    <x:row r="3">
      <x:c r="A3" s="2"/>
      <x:c r="B3" s="2"/>
      <x:c r="C3" s="2"/>
    </x:row>
    <x:row r="4">
      <x:c r="A4" s="2" t="str">
        <x:v>既存モンスター表への列追加例です。ID「1」は使用する種族へ差し替えてください。</x:v>
      </x:c>
      <x:c r="B4" s="2"/>
      <x:c r="C4" s="2"/>
    </x:row>
    <x:row r="5">
      <x:c r="A5" s="2"/>
      <x:c r="B5" s="2"/>
      <x:c r="C5" s="2"/>
    </x:row>
    <x:row r="6" ht="48" customHeight="1">
      <x:c r="A6" s="22" t="str">
        <x:v>列</x:v>
      </x:c>
      <x:c r="B6" s="22" t="str">
        <x:v>用途</x:v>
      </x:c>
      <x:c r="C6" s="22" t="str">
        <x:v>区切り</x:v>
      </x:c>
    </x:row>
    <x:row r="7" ht="34" customHeight="1">
      <x:c r="A7" s="2" t="str">
        <x:v>習得可能スキル</x:v>
      </x:c>
      <x:c r="B7" s="2" t="str">
        <x:v>仲間・転生で習得できるスキル一覧</x:v>
      </x:c>
      <x:c r="C7" s="2" t="str">
        <x:v>半角セミコロン ;</x:v>
      </x:c>
    </x:row>
    <x:row r="8" ht="34" customHeight="1">
      <x:c r="A8" s="2" t="str">
        <x:v>敵使用スキル</x:v>
      </x:c>
      <x:c r="B8" s="2" t="str">
        <x:v>敵として再使用時間後に使用する一覧</x:v>
      </x:c>
      <x:c r="C8" s="2" t="str">
        <x:v>半角セミコロン ;</x:v>
      </x:c>
    </x:row>
    <x:row r="9">
      <x:c r="A9" s="2"/>
      <x:c r="B9" s="2"/>
      <x:c r="C9" s="2"/>
    </x:row>
    <x:row r="10">
      <x:c r="A10" s="2" t="str">
        <x:v>他の既存列は維持します。日本語列名への対応は今後インポーターで実装する予定です。</x:v>
      </x:c>
      <x:c r="B10" s="2"/>
      <x:c r="C10" s="2"/>
    </x:row>
    <x:row r="11">
      <x:c r="A11" s="2"/>
      <x:c r="B11" s="2"/>
      <x:c r="C11" s="2"/>
    </x:row>
    <x:row r="12">
      <x:c r="A12" s="2" t="str">
        <x:v>敵使用スキルが空欄ならスキルなし。複数の識別子は半角セミコロンで区切ります。</x:v>
      </x:c>
      <x:c r="B12" s="2"/>
      <x:c r="C12" s="2"/>
    </x:row>
  </x:sheetData>
  <x:pageMargins left="0.7" right="0.7" top="0.75" bottom="0.75" header="0.3" footer="0.3"/>
  <x:tableParts count="1">
    <x:tablePart xmlns:r="http://schemas.openxmlformats.org/officeDocument/2006/relationships" r:id="R56965fdc623d47e8"/>
  </x:tableParts>
</x:worksheet>
</file>

<file path=xl/worksheets/sheet3.xml><?xml version="1.0" encoding="utf-8"?>
<x:worksheet xmlns:x="http://schemas.openxmlformats.org/spreadsheetml/2006/main">
  <x:sheetPr>
    <x:tabColor rgb="FF8B95A3"/>
  </x:sheetPr>
  <x:sheetViews>
    <x:sheetView showGridLines="0" workbookViewId="0">
      <x:pane ySplit="6" topLeftCell="A7" activePane="bottomLeft" state="frozen"/>
    </x:sheetView>
  </x:sheetViews>
  <x:sheetFormatPr defaultRowHeight="15"/>
  <x:cols>
    <x:col min="1" max="1" width="32" hidden="0" customWidth="1"/>
    <x:col min="2" max="2" width="94" hidden="0" customWidth="1"/>
    <x:col min="3" max="3" width="45" hidden="0" customWidth="1"/>
    <x:col min="4" max="4" width="45" hidden="0" customWidth="1"/>
  </x:cols>
  <x:sheetData>
    <x:row r="1">
      <x:c r="A1" s="16" t="str">
        <x:v>スキル入力ガイド</x:v>
      </x:c>
      <x:c r="B1" s="2"/>
      <x:c r="C1" s="2"/>
      <x:c r="D1" s="2"/>
    </x:row>
    <x:row r="2">
      <x:c r="A2" s="2"/>
      <x:c r="B2" s="2"/>
      <x:c r="C2" s="2"/>
      <x:c r="D2" s="2"/>
    </x:row>
    <x:row r="3">
      <x:c r="A3" s="2" t="str">
        <x:v>一行＝一スキル。識別子以外の表示と選択肢は日本語です。即時・発射物ともに追加効果を使えます。</x:v>
      </x:c>
      <x:c r="B3" s="2"/>
      <x:c r="C3" s="2"/>
      <x:c r="D3" s="2"/>
    </x:row>
    <x:row r="4">
      <x:c r="A4" s="2" t="str">
        <x:v>テンプレートの更新です。追加効果の実行処理と日本語対応インポーターは未実装です。</x:v>
      </x:c>
      <x:c r="B4" s="2"/>
      <x:c r="C4" s="2"/>
      <x:c r="D4" s="2"/>
    </x:row>
    <x:row r="5">
      <x:c r="A5" s="2"/>
      <x:c r="B5" s="2"/>
      <x:c r="C5" s="2"/>
      <x:c r="D5" s="2"/>
    </x:row>
    <x:row r="6" ht="48" customHeight="1">
      <x:c r="A6" s="22" t="str">
        <x:v>列名</x:v>
      </x:c>
      <x:c r="B6" s="22" t="str">
        <x:v>入力内容・選択肢</x:v>
      </x:c>
      <x:c r="C6" s="22" t="str">
        <x:v>入力例</x:v>
      </x:c>
      <x:c r="D6" s="22" t="str">
        <x:v>区分</x:v>
      </x:c>
    </x:row>
    <x:row r="7" ht="54" customHeight="1">
      <x:c r="A7" s="2" t="str">
        <x:v>ID</x:v>
      </x:c>
      <x:c r="B7" s="17" t="str">
        <x:v>変更しない一意の数字の識別子。モンスター表から参照。</x:v>
      </x:c>
      <x:c r="C7" s="17" t="str">
        <x:v>1</x:v>
      </x:c>
      <x:c r="D7" s="2" t="str">
        <x:v>設定値</x:v>
      </x:c>
    </x:row>
    <x:row r="8" ht="54" customHeight="1">
      <x:c r="A8" s="2" t="str">
        <x:v>名前</x:v>
      </x:c>
      <x:c r="B8" s="17" t="str">
        <x:v>ゲーム内のスキル名。</x:v>
      </x:c>
      <x:c r="C8" s="17" t="str">
        <x:v>ファイアボール</x:v>
      </x:c>
      <x:c r="D8" s="2" t="str">
        <x:v>設定値</x:v>
      </x:c>
    </x:row>
    <x:row r="9" ht="54" customHeight="1">
      <x:c r="A9" s="2" t="str">
        <x:v>説明</x:v>
      </x:c>
      <x:c r="B9" s="17" t="str">
        <x:v>効果の説明。数値はすべて入力例です。</x:v>
      </x:c>
      <x:c r="C9" s="17" t="str">
        <x:v>敵一体へ火属性の魔弾を放つ</x:v>
      </x:c>
      <x:c r="D9" s="2" t="str">
        <x:v>設定値</x:v>
      </x:c>
    </x:row>
    <x:row r="10" ht="54" customHeight="1">
      <x:c r="A10" s="2" t="str">
        <x:v>必要レベル</x:v>
      </x:c>
      <x:c r="B10" s="17" t="str">
        <x:v>習得できるレベル。1以上の整数。</x:v>
      </x:c>
      <x:c r="C10" s="17" t="n">
        <x:v>1</x:v>
      </x:c>
      <x:c r="D10" s="2" t="str">
        <x:v>設定値</x:v>
      </x:c>
    </x:row>
    <x:row r="11" ht="54" customHeight="1">
      <x:c r="A11" s="2" t="str">
        <x:v>習得ポイント</x:v>
      </x:c>
      <x:c r="B11" s="17" t="str">
        <x:v>習得に消費するスキルポイント。0以上。</x:v>
      </x:c>
      <x:c r="C11" s="17" t="n">
        <x:v>1</x:v>
      </x:c>
      <x:c r="D11" s="2" t="str">
        <x:v>設定値</x:v>
      </x:c>
    </x:row>
    <x:row r="12" ht="54" customHeight="1">
      <x:c r="A12" s="2" t="str">
        <x:v>消費MP</x:v>
      </x:c>
      <x:c r="B12" s="17" t="str">
        <x:v>MP残量から消費する量。魔法攻撃力とは別。</x:v>
      </x:c>
      <x:c r="C12" s="17" t="n">
        <x:v>10</x:v>
      </x:c>
      <x:c r="D12" s="2" t="str">
        <x:v>設定値</x:v>
      </x:c>
    </x:row>
    <x:row r="13" ht="54" customHeight="1">
      <x:c r="A13" s="2" t="str">
        <x:v>再使用時間秒</x:v>
      </x:c>
      <x:c r="B13" s="17" t="str">
        <x:v>発動後の待機時間。通常攻撃速度とは別。</x:v>
      </x:c>
      <x:c r="C13" s="17" t="n">
        <x:v>5</x:v>
      </x:c>
      <x:c r="D13" s="2" t="str">
        <x:v>設定値</x:v>
      </x:c>
    </x:row>
    <x:row r="14" ht="54" customHeight="1">
      <x:c r="A14" s="2" t="str">
        <x:v>詠唱時間秒</x:v>
      </x:c>
      <x:c r="B14" s="17" t="str">
        <x:v>発動までの待機時間。0は即時。</x:v>
      </x:c>
      <x:c r="C14" s="17" t="n">
        <x:v>0</x:v>
      </x:c>
      <x:c r="D14" s="2" t="str">
        <x:v>設定値</x:v>
      </x:c>
    </x:row>
    <x:row r="15" ht="54" customHeight="1">
      <x:c r="A15" s="2" t="str">
        <x:v>共通待機時間秒</x:v>
      </x:c>
      <x:c r="B15" s="17" t="str">
        <x:v>別のスキルを続けて使うまでの待機時間。</x:v>
      </x:c>
      <x:c r="C15" s="17" t="n">
        <x:v>0.2</x:v>
      </x:c>
      <x:c r="D15" s="2" t="str">
        <x:v>設定値</x:v>
      </x:c>
    </x:row>
    <x:row r="16" ht="54" customHeight="1">
      <x:c r="A16" s="2" t="str">
        <x:v>射程</x:v>
      </x:c>
      <x:c r="B16" s="17" t="str">
        <x:v>選択対象までの距離。自身中心は0。</x:v>
      </x:c>
      <x:c r="C16" s="17" t="n">
        <x:v>6</x:v>
      </x:c>
      <x:c r="D16" s="2" t="str">
        <x:v>設定値</x:v>
      </x:c>
    </x:row>
    <x:row r="17" ht="54" customHeight="1">
      <x:c r="A17" s="2" t="str">
        <x:v>対象</x:v>
      </x:c>
      <x:c r="B17" s="17" t="str">
        <x:v>自身／敵一体／味方一体／自身中心／敵中心。味方一体は自身も選択可能。</x:v>
      </x:c>
      <x:c r="C17" s="17" t="str">
        <x:v>敵一体</x:v>
      </x:c>
      <x:c r="D17" s="2" t="str">
        <x:v>設定値</x:v>
      </x:c>
    </x:row>
    <x:row r="18" ht="54" customHeight="1">
      <x:c r="A18" s="2" t="str">
        <x:v>基本効果</x:v>
      </x:c>
      <x:c r="B18" s="17" t="str">
        <x:v>ダメージ／回復／なし。補助だけのスキルは「なし」。</x:v>
      </x:c>
      <x:c r="C18" s="17" t="str">
        <x:v>ダメージ</x:v>
      </x:c>
      <x:c r="D18" s="2" t="str">
        <x:v>設定値</x:v>
      </x:c>
    </x:row>
    <x:row r="19" ht="54" customHeight="1">
      <x:c r="A19" s="2" t="str">
        <x:v>参照能力</x:v>
      </x:c>
      <x:c r="B19" s="17" t="str">
        <x:v>ダメージは攻撃力／魔法攻撃力。回復は魔法攻撃力／最大体力／なし。</x:v>
      </x:c>
      <x:c r="C19" s="17" t="str">
        <x:v>魔法攻撃力</x:v>
      </x:c>
      <x:c r="D19" s="2" t="str">
        <x:v>設定値</x:v>
      </x:c>
    </x:row>
    <x:row r="20" ht="54" customHeight="1">
      <x:c r="A20" s="2" t="str">
        <x:v>倍率</x:v>
      </x:c>
      <x:c r="B20" s="17" t="str">
        <x:v>参照能力に掛ける倍率。2は2倍。基本効果なしは0。</x:v>
      </x:c>
      <x:c r="C20" s="17" t="n">
        <x:v>2</x:v>
      </x:c>
      <x:c r="D20" s="2" t="str">
        <x:v>設定値</x:v>
      </x:c>
    </x:row>
    <x:row r="21" ht="54" customHeight="1">
      <x:c r="A21" s="2" t="str">
        <x:v>固定値</x:v>
      </x:c>
      <x:c r="B21" s="17" t="str">
        <x:v>参照能力×倍率に加算する量。0以上。</x:v>
      </x:c>
      <x:c r="C21" s="17" t="n">
        <x:v>0</x:v>
      </x:c>
      <x:c r="D21" s="2" t="str">
        <x:v>設定値</x:v>
      </x:c>
    </x:row>
    <x:row r="22" ht="54" customHeight="1">
      <x:c r="A22" s="2" t="str">
        <x:v>属性</x:v>
      </x:c>
      <x:c r="B22" s="17" t="str">
        <x:v>使用者と同じ／無属性／火／水／風／雷／光／闇。</x:v>
      </x:c>
      <x:c r="C22" s="17" t="str">
        <x:v>火</x:v>
      </x:c>
      <x:c r="D22" s="2" t="str">
        <x:v>設定値</x:v>
      </x:c>
    </x:row>
    <x:row r="23" ht="54" customHeight="1">
      <x:c r="A23" s="2" t="str">
        <x:v>会心有効</x:v>
      </x:c>
      <x:c r="B23" s="17" t="str">
        <x:v>有効／無効。回復・補助専用は無効。</x:v>
      </x:c>
      <x:c r="C23" s="17" t="str">
        <x:v>有効</x:v>
      </x:c>
      <x:c r="D23" s="2" t="str">
        <x:v>設定値</x:v>
      </x:c>
    </x:row>
    <x:row r="24" ht="54" customHeight="1">
      <x:c r="A24" s="2" t="str">
        <x:v>適用先</x:v>
      </x:c>
      <x:c r="B24" s="17" t="str">
        <x:v>選択対象／自身／範囲内の敵／範囲内の味方。基本効果と追加効果を同じ相手に適用。</x:v>
      </x:c>
      <x:c r="C24" s="17" t="str">
        <x:v>選択対象</x:v>
      </x:c>
      <x:c r="D24" s="2" t="str">
        <x:v>設定値</x:v>
      </x:c>
    </x:row>
    <x:row r="25" ht="54" customHeight="1">
      <x:c r="A25" s="2" t="str">
        <x:v>範囲半径</x:v>
      </x:c>
      <x:c r="B25" s="17" t="str">
        <x:v>範囲効果の半径。単体は0。</x:v>
      </x:c>
      <x:c r="C25" s="17" t="n">
        <x:v>0</x:v>
      </x:c>
      <x:c r="D25" s="2" t="str">
        <x:v>設定値</x:v>
      </x:c>
    </x:row>
    <x:row r="26" ht="54" customHeight="1">
      <x:c r="A26" s="2" t="str">
        <x:v>命中上限</x:v>
      </x:c>
      <x:c r="B26" s="17" t="str">
        <x:v>単体は1。範囲の0は人数上限なし。</x:v>
      </x:c>
      <x:c r="C26" s="17" t="n">
        <x:v>1</x:v>
      </x:c>
      <x:c r="D26" s="2" t="str">
        <x:v>設定値</x:v>
      </x:c>
    </x:row>
    <x:row r="27" ht="54" customHeight="1">
      <x:c r="A27" s="2" t="str">
        <x:v>発動形式</x:v>
      </x:c>
      <x:c r="B27" s="17" t="str">
        <x:v>即時／発射物。どちらでもバフ・デバフ・状態異常を使用可能。</x:v>
      </x:c>
      <x:c r="C27" s="17" t="str">
        <x:v>発射物</x:v>
      </x:c>
      <x:c r="D27" s="2" t="str">
        <x:v>設定値</x:v>
      </x:c>
    </x:row>
    <x:row r="28" ht="54" customHeight="1">
      <x:c r="A28" s="2" t="str">
        <x:v>発射物速度</x:v>
      </x:c>
      <x:c r="B28" s="17" t="str">
        <x:v>自動計算。発射物なら右端の入力値、それ以外は0。直接編集しない。</x:v>
      </x:c>
      <x:c r="C28" s="17" t="str">
        <x:v>自動計算</x:v>
      </x:c>
      <x:c r="D28" s="2" t="str">
        <x:v>数式</x:v>
      </x:c>
    </x:row>
    <x:row r="29" ht="54" customHeight="1">
      <x:c r="A29" s="2" t="str">
        <x:v>発射物寿命秒</x:v>
      </x:c>
      <x:c r="B29" s="17" t="str">
        <x:v>自動計算。発射物なら右端の入力値、それ以外は0。直接編集しない。</x:v>
      </x:c>
      <x:c r="C29" s="17" t="str">
        <x:v>自動計算</x:v>
      </x:c>
      <x:c r="D29" s="2" t="str">
        <x:v>数式</x:v>
      </x:c>
    </x:row>
    <x:row r="30" ht="54" customHeight="1">
      <x:c r="A30" s="2" t="str">
        <x:v>追尾</x:v>
      </x:c>
      <x:c r="B30" s="17" t="str">
        <x:v>自動計算。発射物なら右端の入力値、それ以外は無効。無効は偽に相当。</x:v>
      </x:c>
      <x:c r="C30" s="17" t="str">
        <x:v>自動計算</x:v>
      </x:c>
      <x:c r="D30" s="2" t="str">
        <x:v>数式</x:v>
      </x:c>
    </x:row>
    <x:row r="31" ht="54" customHeight="1">
      <x:c r="A31" s="2" t="str">
        <x:v>画像パス</x:v>
      </x:c>
      <x:c r="B31" s="17" t="str">
        <x:v>任意。画像の実在ファイルパスは元の表記を維持。空欄可。</x:v>
      </x:c>
      <x:c r="C31" s="17" t="str"/>
      <x:c r="D31" s="2" t="str">
        <x:v>任意</x:v>
      </x:c>
    </x:row>
    <x:row r="32" ht="54" customHeight="1">
      <x:c r="A32" s="2" t="str">
        <x:v>演出パス</x:v>
      </x:c>
      <x:c r="B32" s="17" t="str">
        <x:v>任意。演出の実在ファイルパスは元の表記を維持。空欄可。</x:v>
      </x:c>
      <x:c r="C32" s="17" t="str"/>
      <x:c r="D32" s="2" t="str">
        <x:v>任意</x:v>
      </x:c>
    </x:row>
    <x:row r="33" ht="54" customHeight="1">
      <x:c r="A33" s="2" t="str">
        <x:v>追加効果1_種別</x:v>
      </x:c>
      <x:c r="B33" s="17" t="str">
        <x:v>なし／バフ／デバフ／状態異常。基本効果の後に適用。</x:v>
      </x:c>
      <x:c r="C33" s="17" t="str">
        <x:v>バフ</x:v>
      </x:c>
      <x:c r="D33" s="2" t="str">
        <x:v>設定値</x:v>
      </x:c>
    </x:row>
    <x:row r="34" ht="54" customHeight="1">
      <x:c r="A34" s="2" t="str">
        <x:v>追加効果1_対象能力</x:v>
      </x:c>
      <x:c r="B34" s="17" t="str">
        <x:v>能力強化・弱体の対象。状態異常は「なし」。</x:v>
      </x:c>
      <x:c r="C34" s="17" t="str">
        <x:v>攻撃力</x:v>
      </x:c>
      <x:c r="D34" s="2" t="str">
        <x:v>設定値</x:v>
      </x:c>
    </x:row>
    <x:row r="35" ht="54" customHeight="1">
      <x:c r="A35" s="2" t="str">
        <x:v>追加効果1_変化方式</x:v>
      </x:c>
      <x:c r="B35" s="17" t="str">
        <x:v>能力は割合変化／固定値変化。毒・火傷は固定ダメージ／最大体力割合。</x:v>
      </x:c>
      <x:c r="C35" s="17" t="str">
        <x:v>割合変化</x:v>
      </x:c>
      <x:c r="D35" s="2" t="str">
        <x:v>設定値</x:v>
      </x:c>
    </x:row>
    <x:row r="36" ht="54" customHeight="1">
      <x:c r="A36" s="2" t="str">
        <x:v>追加効果1_効果量</x:v>
      </x:c>
      <x:c r="B36" s="17" t="str">
        <x:v>割合変化の20は20％。バフ・デバフは正の数で増減量を指定。毒・火傷の最大体力割合1は一回につき対象最大体力の1％。</x:v>
      </x:c>
      <x:c r="C36" s="17" t="n">
        <x:v>20</x:v>
      </x:c>
      <x:c r="D36" s="2" t="str">
        <x:v>設定値</x:v>
      </x:c>
    </x:row>
    <x:row r="37" ht="54" customHeight="1">
      <x:c r="A37" s="2" t="str">
        <x:v>追加効果1_持続秒</x:v>
      </x:c>
      <x:c r="B37" s="17" t="str">
        <x:v>持続時間。有効な追加効果は0より大きい値。</x:v>
      </x:c>
      <x:c r="C37" s="17" t="n">
        <x:v>10</x:v>
      </x:c>
      <x:c r="D37" s="2" t="str">
        <x:v>設定値</x:v>
      </x:c>
    </x:row>
    <x:row r="38" ht="54" customHeight="1">
      <x:c r="A38" s="2" t="str">
        <x:v>追加効果1_付与確率％</x:v>
      </x:c>
      <x:c r="B38" s="17" t="str">
        <x:v>対象ごとの抽選確率。0〜100。100は必ず付与。</x:v>
      </x:c>
      <x:c r="C38" s="17" t="n">
        <x:v>100</x:v>
      </x:c>
      <x:c r="D38" s="2" t="str">
        <x:v>設定値</x:v>
      </x:c>
    </x:row>
    <x:row r="39" ht="54" customHeight="1">
      <x:c r="A39" s="2" t="str">
        <x:v>追加効果1_状態異常</x:v>
      </x:c>
      <x:c r="B39" s="17" t="str">
        <x:v>なし／毒／火傷／凍結／麻痺／睡眠／沈黙／暗闇／混乱。</x:v>
      </x:c>
      <x:c r="C39" s="17" t="str">
        <x:v>なし</x:v>
      </x:c>
      <x:c r="D39" s="2" t="str">
        <x:v>設定値</x:v>
      </x:c>
    </x:row>
    <x:row r="40" ht="54" customHeight="1">
      <x:c r="A40" s="2" t="str">
        <x:v>追加効果1_継続間隔秒</x:v>
      </x:c>
      <x:c r="B40" s="17" t="str">
        <x:v>毒・火傷の継続ダメージ間隔。0より大きい値。それ以外は0。</x:v>
      </x:c>
      <x:c r="C40" s="17" t="n">
        <x:v>0</x:v>
      </x:c>
      <x:c r="D40" s="2" t="str">
        <x:v>設定値</x:v>
      </x:c>
    </x:row>
    <x:row r="41" ht="54" customHeight="1">
      <x:c r="A41" s="2" t="str">
        <x:v>追加効果1_重複方式</x:v>
      </x:c>
      <x:c r="B41" s="17" t="str">
        <x:v>時間更新／重ね掛け／無視。時間更新は効果量を重ねず残り時間だけ更新。</x:v>
      </x:c>
      <x:c r="C41" s="17" t="str">
        <x:v>時間更新</x:v>
      </x:c>
      <x:c r="D41" s="2" t="str">
        <x:v>設定値</x:v>
      </x:c>
    </x:row>
    <x:row r="42" ht="54" customHeight="1">
      <x:c r="A42" s="2" t="str">
        <x:v>追加効果1_重複上限</x:v>
      </x:c>
      <x:c r="B42" s="17" t="str">
        <x:v>重ね掛けできる最大数。時間更新・無視は1。</x:v>
      </x:c>
      <x:c r="C42" s="17" t="n">
        <x:v>1</x:v>
      </x:c>
      <x:c r="D42" s="2" t="str">
        <x:v>設定値</x:v>
      </x:c>
    </x:row>
    <x:row r="43" ht="54" customHeight="1">
      <x:c r="A43" s="2" t="str">
        <x:v>追加効果2_種別</x:v>
      </x:c>
      <x:c r="B43" s="17" t="str">
        <x:v>なし／バフ／デバフ／状態異常。基本効果の後に適用。</x:v>
      </x:c>
      <x:c r="C43" s="17" t="str">
        <x:v>なし</x:v>
      </x:c>
      <x:c r="D43" s="2" t="str">
        <x:v>設定値</x:v>
      </x:c>
    </x:row>
    <x:row r="44" ht="54" customHeight="1">
      <x:c r="A44" s="2" t="str">
        <x:v>追加効果2_対象能力</x:v>
      </x:c>
      <x:c r="B44" s="17" t="str">
        <x:v>能力強化・弱体の対象。状態異常は「なし」。</x:v>
      </x:c>
      <x:c r="C44" s="17" t="str">
        <x:v>なし</x:v>
      </x:c>
      <x:c r="D44" s="2" t="str">
        <x:v>設定値</x:v>
      </x:c>
    </x:row>
    <x:row r="45" ht="54" customHeight="1">
      <x:c r="A45" s="2" t="str">
        <x:v>追加効果2_変化方式</x:v>
      </x:c>
      <x:c r="B45" s="17" t="str">
        <x:v>能力は割合変化／固定値変化。毒・火傷は固定ダメージ／最大体力割合。</x:v>
      </x:c>
      <x:c r="C45" s="17" t="str">
        <x:v>なし</x:v>
      </x:c>
      <x:c r="D45" s="2" t="str">
        <x:v>設定値</x:v>
      </x:c>
    </x:row>
    <x:row r="46" ht="54" customHeight="1">
      <x:c r="A46" s="2" t="str">
        <x:v>追加効果2_効果量</x:v>
      </x:c>
      <x:c r="B46" s="17" t="str">
        <x:v>割合変化の20は20％。バフ・デバフは正の数で増減量を指定。毒・火傷の最大体力割合1は一回につき対象最大体力の1％。</x:v>
      </x:c>
      <x:c r="C46" s="17" t="n">
        <x:v>0</x:v>
      </x:c>
      <x:c r="D46" s="2" t="str">
        <x:v>設定値</x:v>
      </x:c>
    </x:row>
    <x:row r="47" ht="54" customHeight="1">
      <x:c r="A47" s="2" t="str">
        <x:v>追加効果2_持続秒</x:v>
      </x:c>
      <x:c r="B47" s="17" t="str">
        <x:v>持続時間。有効な追加効果は0より大きい値。</x:v>
      </x:c>
      <x:c r="C47" s="17" t="n">
        <x:v>0</x:v>
      </x:c>
      <x:c r="D47" s="2" t="str">
        <x:v>設定値</x:v>
      </x:c>
    </x:row>
    <x:row r="48" ht="54" customHeight="1">
      <x:c r="A48" s="2" t="str">
        <x:v>追加効果2_付与確率％</x:v>
      </x:c>
      <x:c r="B48" s="17" t="str">
        <x:v>対象ごとの抽選確率。0〜100。100は必ず付与。</x:v>
      </x:c>
      <x:c r="C48" s="17" t="n">
        <x:v>0</x:v>
      </x:c>
      <x:c r="D48" s="2" t="str">
        <x:v>設定値</x:v>
      </x:c>
    </x:row>
    <x:row r="49" ht="54" customHeight="1">
      <x:c r="A49" s="2" t="str">
        <x:v>追加効果2_状態異常</x:v>
      </x:c>
      <x:c r="B49" s="17" t="str">
        <x:v>なし／毒／火傷／凍結／麻痺／睡眠／沈黙／暗闇／混乱。</x:v>
      </x:c>
      <x:c r="C49" s="17" t="str">
        <x:v>なし</x:v>
      </x:c>
      <x:c r="D49" s="2" t="str">
        <x:v>設定値</x:v>
      </x:c>
    </x:row>
    <x:row r="50" ht="54" customHeight="1">
      <x:c r="A50" s="2" t="str">
        <x:v>追加効果2_継続間隔秒</x:v>
      </x:c>
      <x:c r="B50" s="17" t="str">
        <x:v>毒・火傷の継続ダメージ間隔。0より大きい値。それ以外は0。</x:v>
      </x:c>
      <x:c r="C50" s="17" t="n">
        <x:v>0</x:v>
      </x:c>
      <x:c r="D50" s="2" t="str">
        <x:v>設定値</x:v>
      </x:c>
    </x:row>
    <x:row r="51" ht="54" customHeight="1">
      <x:c r="A51" s="2" t="str">
        <x:v>追加効果2_重複方式</x:v>
      </x:c>
      <x:c r="B51" s="17" t="str">
        <x:v>時間更新／重ね掛け／無視。時間更新は効果量を重ねず残り時間だけ更新。</x:v>
      </x:c>
      <x:c r="C51" s="17" t="str">
        <x:v>時間更新</x:v>
      </x:c>
      <x:c r="D51" s="2" t="str">
        <x:v>設定値</x:v>
      </x:c>
    </x:row>
    <x:row r="52" ht="54" customHeight="1">
      <x:c r="A52" s="2" t="str">
        <x:v>追加効果2_重複上限</x:v>
      </x:c>
      <x:c r="B52" s="17" t="str">
        <x:v>重ね掛けできる最大数。時間更新・無視は1。</x:v>
      </x:c>
      <x:c r="C52" s="17" t="n">
        <x:v>1</x:v>
      </x:c>
      <x:c r="D52" s="2" t="str">
        <x:v>設定値</x:v>
      </x:c>
    </x:row>
    <x:row r="53" ht="54" customHeight="1">
      <x:c r="A53" s="2" t="str">
        <x:v>追加効果3_種別</x:v>
      </x:c>
      <x:c r="B53" s="17" t="str">
        <x:v>なし／バフ／デバフ／状態異常。基本効果の後に適用。</x:v>
      </x:c>
      <x:c r="C53" s="17" t="str">
        <x:v>なし</x:v>
      </x:c>
      <x:c r="D53" s="2" t="str">
        <x:v>設定値</x:v>
      </x:c>
    </x:row>
    <x:row r="54" ht="54" customHeight="1">
      <x:c r="A54" s="2" t="str">
        <x:v>追加効果3_対象能力</x:v>
      </x:c>
      <x:c r="B54" s="17" t="str">
        <x:v>能力強化・弱体の対象。状態異常は「なし」。</x:v>
      </x:c>
      <x:c r="C54" s="17" t="str">
        <x:v>なし</x:v>
      </x:c>
      <x:c r="D54" s="2" t="str">
        <x:v>設定値</x:v>
      </x:c>
    </x:row>
    <x:row r="55" ht="54" customHeight="1">
      <x:c r="A55" s="2" t="str">
        <x:v>追加効果3_変化方式</x:v>
      </x:c>
      <x:c r="B55" s="17" t="str">
        <x:v>能力は割合変化／固定値変化。毒・火傷は固定ダメージ／最大体力割合。</x:v>
      </x:c>
      <x:c r="C55" s="17" t="str">
        <x:v>なし</x:v>
      </x:c>
      <x:c r="D55" s="2" t="str">
        <x:v>設定値</x:v>
      </x:c>
    </x:row>
    <x:row r="56" ht="54" customHeight="1">
      <x:c r="A56" s="2" t="str">
        <x:v>追加効果3_効果量</x:v>
      </x:c>
      <x:c r="B56" s="17" t="str">
        <x:v>割合変化の20は20％。バフ・デバフは正の数で増減量を指定。毒・火傷の最大体力割合1は一回につき対象最大体力の1％。</x:v>
      </x:c>
      <x:c r="C56" s="17" t="n">
        <x:v>0</x:v>
      </x:c>
      <x:c r="D56" s="2" t="str">
        <x:v>設定値</x:v>
      </x:c>
    </x:row>
    <x:row r="57" ht="54" customHeight="1">
      <x:c r="A57" s="2" t="str">
        <x:v>追加効果3_持続秒</x:v>
      </x:c>
      <x:c r="B57" s="17" t="str">
        <x:v>持続時間。有効な追加効果は0より大きい値。</x:v>
      </x:c>
      <x:c r="C57" s="17" t="n">
        <x:v>0</x:v>
      </x:c>
      <x:c r="D57" s="2" t="str">
        <x:v>設定値</x:v>
      </x:c>
    </x:row>
    <x:row r="58" ht="54" customHeight="1">
      <x:c r="A58" s="2" t="str">
        <x:v>追加効果3_付与確率％</x:v>
      </x:c>
      <x:c r="B58" s="17" t="str">
        <x:v>対象ごとの抽選確率。0〜100。100は必ず付与。</x:v>
      </x:c>
      <x:c r="C58" s="17" t="n">
        <x:v>0</x:v>
      </x:c>
      <x:c r="D58" s="2" t="str">
        <x:v>設定値</x:v>
      </x:c>
    </x:row>
    <x:row r="59" ht="54" customHeight="1">
      <x:c r="A59" s="2" t="str">
        <x:v>追加効果3_状態異常</x:v>
      </x:c>
      <x:c r="B59" s="17" t="str">
        <x:v>なし／毒／火傷／凍結／麻痺／睡眠／沈黙／暗闇／混乱。</x:v>
      </x:c>
      <x:c r="C59" s="17" t="str">
        <x:v>なし</x:v>
      </x:c>
      <x:c r="D59" s="2" t="str">
        <x:v>設定値</x:v>
      </x:c>
    </x:row>
    <x:row r="60" ht="54" customHeight="1">
      <x:c r="A60" s="2" t="str">
        <x:v>追加効果3_継続間隔秒</x:v>
      </x:c>
      <x:c r="B60" s="17" t="str">
        <x:v>毒・火傷の継続ダメージ間隔。0より大きい値。それ以外は0。</x:v>
      </x:c>
      <x:c r="C60" s="17" t="n">
        <x:v>0</x:v>
      </x:c>
      <x:c r="D60" s="2" t="str">
        <x:v>設定値</x:v>
      </x:c>
    </x:row>
    <x:row r="61" ht="54" customHeight="1">
      <x:c r="A61" s="2" t="str">
        <x:v>追加効果3_重複方式</x:v>
      </x:c>
      <x:c r="B61" s="17" t="str">
        <x:v>時間更新／重ね掛け／無視。時間更新は効果量を重ねず残り時間だけ更新。</x:v>
      </x:c>
      <x:c r="C61" s="17" t="str">
        <x:v>時間更新</x:v>
      </x:c>
      <x:c r="D61" s="2" t="str">
        <x:v>設定値</x:v>
      </x:c>
    </x:row>
    <x:row r="62" ht="54" customHeight="1">
      <x:c r="A62" s="2" t="str">
        <x:v>追加効果3_重複上限</x:v>
      </x:c>
      <x:c r="B62" s="17" t="str">
        <x:v>重ね掛けできる最大数。時間更新・無視は1。</x:v>
      </x:c>
      <x:c r="C62" s="17" t="n">
        <x:v>1</x:v>
      </x:c>
      <x:c r="D62" s="2" t="str">
        <x:v>設定値</x:v>
      </x:c>
    </x:row>
    <x:row r="63" ht="54" customHeight="1">
      <x:c r="A63" s="2" t="str">
        <x:v>発射物速度入力</x:v>
      </x:c>
      <x:c r="B63" s="17" t="str">
        <x:v>編集する元の値。発射物を使う場合は0より大きい値。切り替えても保持。</x:v>
      </x:c>
      <x:c r="C63" s="17" t="n">
        <x:v>8</x:v>
      </x:c>
      <x:c r="D63" s="2" t="str">
        <x:v>入力元</x:v>
      </x:c>
    </x:row>
    <x:row r="64" ht="54" customHeight="1">
      <x:c r="A64" s="2" t="str">
        <x:v>発射物寿命入力秒</x:v>
      </x:c>
      <x:c r="B64" s="17" t="str">
        <x:v>編集する元の秒数。発射物を使う場合は0より大きい値。切り替えても保持。</x:v>
      </x:c>
      <x:c r="C64" s="17" t="n">
        <x:v>3</x:v>
      </x:c>
      <x:c r="D64" s="2" t="str">
        <x:v>入力元</x:v>
      </x:c>
    </x:row>
    <x:row r="65" ht="54" customHeight="1">
      <x:c r="A65" s="2" t="str">
        <x:v>追尾入力</x:v>
      </x:c>
      <x:c r="B65" s="17" t="str">
        <x:v>有効／無効。発射物でない間も設定を保持。</x:v>
      </x:c>
      <x:c r="C65" s="17" t="str">
        <x:v>有効</x:v>
      </x:c>
      <x:c r="D65" s="2" t="str">
        <x:v>入力元</x:v>
      </x:c>
    </x:row>
    <x:row r="66">
      <x:c r="A66" s="2"/>
      <x:c r="B66" s="2"/>
      <x:c r="C66" s="2"/>
      <x:c r="D66" s="2"/>
    </x:row>
    <x:row r="67">
      <x:c r="A67" s="18" t="str">
        <x:v>入力と計算</x:v>
      </x:c>
      <x:c r="B67" s="2"/>
      <x:c r="C67" s="2"/>
      <x:c r="D67" s="2"/>
    </x:row>
    <x:row r="68" ht="26" customHeight="1">
      <x:c r="A68" s="2" t="str">
        <x:v>灰色の発射物速度・寿命・追尾は数式です。右端の黄色い入力欄を編集してください。</x:v>
      </x:c>
      <x:c r="B68" s="2"/>
      <x:c r="C68" s="2"/>
      <x:c r="D68" s="2"/>
    </x:row>
    <x:row r="69" ht="26" customHeight="1">
      <x:c r="A69" s="2" t="str">
        <x:v>即時へ変更すると速度・寿命は零、追尾は無効へ自動切替。発射物へ戻すと入力値が復元します。</x:v>
      </x:c>
      <x:c r="B69" s="2"/>
      <x:c r="C69" s="2"/>
      <x:c r="D69" s="2"/>
    </x:row>
    <x:row r="70" ht="26" customHeight="1">
      <x:c r="A70" s="2" t="str">
        <x:v>追尾の無効はプログラム上の偽に相当します。表示は日本語に統一しています。</x:v>
      </x:c>
      <x:c r="B70" s="2"/>
      <x:c r="C70" s="2"/>
      <x:c r="D70" s="2"/>
    </x:row>
    <x:row r="71" ht="26" customHeight="1">
      <x:c r="A71" s="2" t="str">
        <x:v>数式は二行目から二百行目まで設定済みです。それを超える行は上の行の数式をコピーします。</x:v>
      </x:c>
      <x:c r="B71" s="2"/>
      <x:c r="C71" s="2"/>
      <x:c r="D71" s="2"/>
    </x:row>
    <x:row r="72" ht="26" customHeight="1">
      <x:c r="A72" s="2" t="str">
        <x:v>即時は発動成功時、発射物は命中時に基本効果を処理し、続けて追加効果一〜三を適用します。</x:v>
      </x:c>
      <x:c r="B72" s="2"/>
      <x:c r="C72" s="2"/>
      <x:c r="D72" s="2"/>
    </x:row>
    <x:row r="73" ht="26" customHeight="1">
      <x:c r="A73" s="2" t="str">
        <x:v>追加効果は同じ適用先へ付与。基本効果なしの補助専用スキルも使用可能です。</x:v>
      </x:c>
      <x:c r="B73" s="2"/>
      <x:c r="C73" s="2"/>
      <x:c r="D73" s="2"/>
    </x:row>
    <x:row r="74" ht="26" customHeight="1">
      <x:c r="A74" s="2" t="str">
        <x:v>攻撃で対象が倒れた場合は追加効果を付与しません。空振り・消失した対象にも付与しません。</x:v>
      </x:c>
      <x:c r="B74" s="2"/>
      <x:c r="C74" s="2"/>
      <x:c r="D74" s="2"/>
    </x:row>
    <x:row r="75" ht="26" customHeight="1">
      <x:c r="A75" s="2" t="str">
        <x:v>範囲効果では各対象に一度ずつ付与抽選します。複数の当たり判定による二重処理はしません。</x:v>
      </x:c>
      <x:c r="B75" s="2"/>
      <x:c r="C75" s="2"/>
      <x:c r="D75" s="2"/>
    </x:row>
    <x:row r="76" ht="26" customHeight="1">
      <x:c r="A76" s="2" t="str">
        <x:v>能力変化は元の能力を基準に増減量を合計。負の能力や速度零にならない最小値を設ける案です。</x:v>
      </x:c>
      <x:c r="B76" s="2"/>
      <x:c r="C76" s="2"/>
      <x:c r="D76" s="2"/>
    </x:row>
    <x:row r="77" ht="26" customHeight="1">
      <x:c r="A77" s="2" t="str">
        <x:v>重複は同じスキル識別子・追加効果番号で判定。使用者が違っても同じ単位にまとめます。</x:v>
      </x:c>
      <x:c r="B77" s="2"/>
      <x:c r="C77" s="2"/>
      <x:c r="D77" s="2"/>
    </x:row>
    <x:row r="78" ht="26" customHeight="1">
      <x:c r="A78" s="2" t="str">
        <x:v>時間更新は量を重ねず再命中で残り時間を戻します。無視は効果中の再付与を行いません。</x:v>
      </x:c>
      <x:c r="B78" s="2"/>
      <x:c r="C78" s="2"/>
      <x:c r="D78" s="2"/>
    </x:row>
    <x:row r="79" ht="26" customHeight="1">
      <x:c r="A79" s="2" t="str">
        <x:v>重ね掛けは上限まで量を加算し、全段階で残り時間を共有。再付与で持続時間を更新します。</x:v>
      </x:c>
      <x:c r="B79" s="2"/>
      <x:c r="C79" s="2"/>
      <x:c r="D79" s="2"/>
    </x:row>
    <x:row r="80" ht="26" customHeight="1">
      <x:c r="A80" s="2" t="str">
        <x:v>毒・火傷は付与直後の継続ダメージなし。継続間隔が経過するごとに指定量を与えます。</x:v>
      </x:c>
      <x:c r="B80" s="2"/>
      <x:c r="C80" s="2"/>
      <x:c r="D80" s="2"/>
    </x:row>
    <x:row r="81" ht="26" customHeight="1">
      <x:c r="A81" s="2" t="str">
        <x:v>最大体力割合は付与時の対象最大体力から計算。小数切捨て、継続ダメージに防御・会心は適用しない案です。</x:v>
      </x:c>
      <x:c r="B81" s="2"/>
      <x:c r="C81" s="2"/>
      <x:c r="D81" s="2"/>
    </x:row>
    <x:row r="82" ht="26" customHeight="1">
      <x:c r="A82" s="2" t="str">
        <x:v>十秒持続・二秒間隔なら二、四、六、八、十秒の五回。持続時間ちょうどの回も実行します。</x:v>
      </x:c>
      <x:c r="B82" s="2"/>
      <x:c r="C82" s="2"/>
      <x:c r="D82" s="2"/>
    </x:row>
    <x:row r="83" ht="26" customHeight="1">
      <x:c r="A83" s="2" t="str">
        <x:v>行動を止める状態異常には重ね掛けを使用しません。時間更新か無視、重複上限一を指定します。</x:v>
      </x:c>
      <x:c r="B83" s="2"/>
      <x:c r="C83" s="2"/>
      <x:c r="D83" s="2"/>
    </x:row>
    <x:row r="84" ht="26" customHeight="1">
      <x:c r="A84" s="2" t="str">
        <x:v>主人公・仲間・敵で効果は共通。手動ボタンとトリガーは同じ再使用時間を共有します。</x:v>
      </x:c>
      <x:c r="B84" s="2"/>
      <x:c r="C84" s="2"/>
      <x:c r="D84" s="2"/>
    </x:row>
    <x:row r="85" ht="26" customHeight="1">
      <x:c r="A85" s="2" t="str">
        <x:v>トリガー条件はゲーム内で個別設定・保存し、スキル表には固定しません。</x:v>
      </x:c>
      <x:c r="B85" s="2"/>
      <x:c r="C85" s="2"/>
      <x:c r="D85" s="2"/>
    </x:row>
    <x:row r="86" ht="26" customHeight="1">
      <x:c r="A86" s="2" t="str">
        <x:v>実在する画像や演出のパスは元の表記で入力。新規時の空欄は未設定、更新時は既存指定を維持する案です。</x:v>
      </x:c>
      <x:c r="B86" s="2"/>
      <x:c r="C86" s="2"/>
      <x:c r="D86" s="2"/>
    </x:row>
    <x:row r="87" ht="26" customHeight="1">
      <x:c r="A87" s="2" t="str">
        <x:v>出典はこの会話の仕様案です。スキル数値と状態異常の細かい挙動は調整可能な入力例です。</x:v>
      </x:c>
      <x:c r="B87" s="2"/>
      <x:c r="C87" s="2"/>
      <x:c r="D87" s="2"/>
    </x:row>
    <x:row r="88">
      <x:c r="A88" s="2"/>
      <x:c r="B88" s="2"/>
      <x:c r="C88" s="2"/>
      <x:c r="D88" s="2"/>
    </x:row>
    <x:row r="89">
      <x:c r="A89" s="2"/>
      <x:c r="B89" s="2"/>
      <x:c r="C89" s="2"/>
      <x:c r="D89" s="2"/>
    </x:row>
    <x:row r="90" ht="48" customHeight="1">
      <x:c r="A90" s="22" t="str">
        <x:v>状態異常</x:v>
      </x:c>
      <x:c r="B90" s="22" t="str">
        <x:v>効果の案</x:v>
      </x:c>
      <x:c r="C90" s="22" t="str">
        <x:v>使用する数値</x:v>
      </x:c>
      <x:c r="D90" s="2"/>
    </x:row>
    <x:row r="91" ht="34" customHeight="1">
      <x:c r="A91" s="2" t="str">
        <x:v>毒</x:v>
      </x:c>
      <x:c r="B91" s="2" t="str">
        <x:v>間隔ごとに継続ダメージ</x:v>
      </x:c>
      <x:c r="C91" s="2" t="str">
        <x:v>量・持続・間隔</x:v>
      </x:c>
      <x:c r="D91" s="2"/>
    </x:row>
    <x:row r="92" ht="34" customHeight="1">
      <x:c r="A92" s="2" t="str">
        <x:v>火傷</x:v>
      </x:c>
      <x:c r="B92" s="2" t="str">
        <x:v>間隔ごとに継続ダメージ。毒と併用可能</x:v>
      </x:c>
      <x:c r="C92" s="2" t="str">
        <x:v>量・持続・間隔</x:v>
      </x:c>
      <x:c r="D92" s="2"/>
    </x:row>
    <x:row r="93" ht="34" customHeight="1">
      <x:c r="A93" s="2" t="str">
        <x:v>凍結</x:v>
      </x:c>
      <x:c r="B93" s="2" t="str">
        <x:v>移動・通常攻撃・スキルを停止</x:v>
      </x:c>
      <x:c r="C93" s="2" t="str">
        <x:v>持続秒</x:v>
      </x:c>
      <x:c r="D93" s="2"/>
    </x:row>
    <x:row r="94" ht="34" customHeight="1">
      <x:c r="A94" s="2" t="str">
        <x:v>麻痺</x:v>
      </x:c>
      <x:c r="B94" s="2" t="str">
        <x:v>移動・通常攻撃・スキルを停止</x:v>
      </x:c>
      <x:c r="C94" s="2" t="str">
        <x:v>持続秒</x:v>
      </x:c>
      <x:c r="D94" s="2"/>
    </x:row>
    <x:row r="95" ht="34" customHeight="1">
      <x:c r="A95" s="2" t="str">
        <x:v>睡眠</x:v>
      </x:c>
      <x:c r="B95" s="2" t="str">
        <x:v>移動・通常攻撃・スキルを停止。被ダメージで解除</x:v>
      </x:c>
      <x:c r="C95" s="2" t="str">
        <x:v>持続秒</x:v>
      </x:c>
      <x:c r="D95" s="2"/>
    </x:row>
    <x:row r="96" ht="34" customHeight="1">
      <x:c r="A96" s="2" t="str">
        <x:v>沈黙</x:v>
      </x:c>
      <x:c r="B96" s="2" t="str">
        <x:v>スキルのみ封印。移動・通常攻撃は可能</x:v>
      </x:c>
      <x:c r="C96" s="2" t="str">
        <x:v>持続秒</x:v>
      </x:c>
      <x:c r="D96" s="2"/>
    </x:row>
    <x:row r="97" ht="34" customHeight="1">
      <x:c r="A97" s="2" t="str">
        <x:v>暗闇</x:v>
      </x:c>
      <x:c r="B97" s="2" t="str">
        <x:v>通常攻撃・ダメージスキルの命中率を半分にする</x:v>
      </x:c>
      <x:c r="C97" s="2" t="str">
        <x:v>持続秒</x:v>
      </x:c>
      <x:c r="D97" s="2"/>
    </x:row>
    <x:row r="98" ht="34" customHeight="1">
      <x:c r="A98" s="2" t="str">
        <x:v>混乱</x:v>
      </x:c>
      <x:c r="B98" s="2" t="str">
        <x:v>敵味方から行動対象を無作為に選ぶ。自身は除外</x:v>
      </x:c>
      <x:c r="C98" s="2" t="str">
        <x:v>持続秒</x:v>
      </x:c>
      <x:c r="D98" s="2"/>
    </x:row>
    <x:row r="99">
      <x:c r="A99" s="2"/>
      <x:c r="B99" s="2"/>
      <x:c r="C99" s="2"/>
      <x:c r="D99" s="2"/>
    </x:row>
    <x:row r="100">
      <x:c r="A100" s="52" t="str">
        <x:v>発射物の動きと命中時オプション</x:v>
      </x:c>
      <x:c r="B100" s="2"/>
      <x:c r="C100" s="2"/>
      <x:c r="D100" s="2"/>
    </x:row>
    <x:row r="101">
      <x:c r="A101" s="2"/>
      <x:c r="B101" s="2"/>
      <x:c r="C101" s="2"/>
      <x:c r="D101" s="2"/>
    </x:row>
    <x:row r="102">
      <x:c r="A102" s="2" t="str">
        <x:v>設定方法</x:v>
      </x:c>
      <x:c r="B102" s="2" t="str">
        <x:v>内容</x:v>
      </x:c>
      <x:c r="C102" s="2" t="str"/>
      <x:c r="D102" s="2" t="str"/>
    </x:row>
    <x:row r="103">
      <x:c r="A103" s="2" t="str">
        <x:v>基本</x:v>
      </x:c>
      <x:c r="B103" s="2" t="str">
        <x:v>取り込み時に番号付きPrefabを自動生成・更新し、SkillSOへ自動設定。動きと見た目は表で管理。</x:v>
      </x:c>
      <x:c r="C103" s="2" t="str"/>
      <x:c r="D103" s="2" t="str"/>
    </x:row>
    <x:row r="104">
      <x:c r="A104" s="2" t="str">
        <x:v>優先順位</x:v>
      </x:c>
      <x:c r="B104" s="2" t="str">
        <x:v>表の指定が優先。動作の空欄は共通初期値、テンプレート指定時はその既定値。無効は明示的にOFF。</x:v>
      </x:c>
      <x:c r="C104" s="2" t="str"/>
      <x:c r="D104" s="2" t="str"/>
    </x:row>
    <x:row r="105">
      <x:c r="A105" s="2" t="str">
        <x:v>追尾</x:v>
      </x:c>
      <x:c r="B105" s="2" t="str">
        <x:v>既存の追尾入力が有効なら直進タイプにも追尾を追加。完全な直進は追尾入力を無効に。</x:v>
      </x:c>
      <x:c r="C105" s="2" t="str"/>
      <x:c r="D105" s="2" t="str"/>
    </x:row>
    <x:row r="107" ht="36" customHeight="1">
      <x:c r="A107" s="61" t="str">
        <x:v>列名</x:v>
      </x:c>
      <x:c r="B107" s="61" t="str">
        <x:v>入力内容</x:v>
      </x:c>
      <x:c r="C107" s="61" t="str">
        <x:v>選択肢・補足</x:v>
      </x:c>
      <x:c r="D107" s="61" t="str">
        <x:v>区分</x:v>
      </x:c>
    </x:row>
    <x:row r="108" ht="54" customHeight="1">
      <x:c r="A108" s="1" t="str">
        <x:v>発射物プレファブパス</x:v>
      </x:c>
      <x:c r="B108" s="54" t="str">
        <x:v>任意の複製元テンプレート。通常は空欄。出力先は常にResources/Skills/Projectile/番号.prefab。</x:v>
      </x:c>
      <x:c r="C108" s="54" t="str">
        <x:v>元のPrefabは変更しません</x:v>
      </x:c>
      <x:c r="D108" s="1" t="str">
        <x:v>任意</x:v>
      </x:c>
    </x:row>
    <x:row r="109" ht="54" customHeight="1">
      <x:c r="A109" s="1" t="str">
        <x:v>発射物_貫通</x:v>
      </x:c>
      <x:c r="B109" s="54" t="str">
        <x:v>空欄は下記の初期値（テンプレート指定時はその既定値）。有効／無効。</x:v>
      </x:c>
      <x:c r="C109" s="54" t="str">
        <x:v>有効／無効</x:v>
      </x:c>
      <x:c r="D109" s="1" t="str">
        <x:v>任意</x:v>
      </x:c>
    </x:row>
    <x:row r="110" ht="54" customHeight="1">
      <x:c r="A110" s="1" t="str">
        <x:v>発射物_回転</x:v>
      </x:c>
      <x:c r="B110" s="54" t="str">
        <x:v>空欄は下記の初期値（テンプレート指定時はその既定値）。有効／無効。</x:v>
      </x:c>
      <x:c r="C110" s="54" t="str">
        <x:v>有効／無効</x:v>
      </x:c>
      <x:c r="D110" s="1" t="str">
        <x:v>任意</x:v>
      </x:c>
    </x:row>
    <x:row r="111" ht="54" customHeight="1">
      <x:c r="A111" s="1" t="str">
        <x:v>発射物_回転速度</x:v>
      </x:c>
      <x:c r="B111" s="54" t="str">
        <x:v>空欄は下記の初期値（テンプレート指定時はその既定値）。度／秒。負数は逆回転。</x:v>
      </x:c>
      <x:c r="C111" s="54" t="str">
        <x:v>空欄ならPrefabの値</x:v>
      </x:c>
      <x:c r="D111" s="1" t="str">
        <x:v>任意</x:v>
      </x:c>
    </x:row>
    <x:row r="112" ht="54" customHeight="1">
      <x:c r="A112" s="1" t="str">
        <x:v>発射物_蛇行</x:v>
      </x:c>
      <x:c r="B112" s="54" t="str">
        <x:v>空欄は下記の初期値（テンプレート指定時はその既定値）。有効／無効。</x:v>
      </x:c>
      <x:c r="C112" s="54" t="str">
        <x:v>有効／無効</x:v>
      </x:c>
      <x:c r="D112" s="1" t="str">
        <x:v>任意</x:v>
      </x:c>
    </x:row>
    <x:row r="113" ht="54" customHeight="1">
      <x:c r="A113" s="1" t="str">
        <x:v>発射物_蛇行幅</x:v>
      </x:c>
      <x:c r="B113" s="54" t="str">
        <x:v>空欄は下記の初期値（テンプレート指定時はその既定値）。数値を指定。ワールド単位。</x:v>
      </x:c>
      <x:c r="C113" s="54" t="str">
        <x:v>空欄ならPrefabの値</x:v>
      </x:c>
      <x:c r="D113" s="1" t="str">
        <x:v>任意</x:v>
      </x:c>
    </x:row>
    <x:row r="114" ht="54" customHeight="1">
      <x:c r="A114" s="1" t="str">
        <x:v>発射物_蛇行回数</x:v>
      </x:c>
      <x:c r="B114" s="54" t="str">
        <x:v>空欄は下記の初期値（テンプレート指定時はその既定値）。回／秒。</x:v>
      </x:c>
      <x:c r="C114" s="54" t="str">
        <x:v>空欄ならPrefabの値</x:v>
      </x:c>
      <x:c r="D114" s="1" t="str">
        <x:v>任意</x:v>
      </x:c>
    </x:row>
    <x:row r="115" ht="54" customHeight="1">
      <x:c r="A115" s="1" t="str">
        <x:v>発射物_加速</x:v>
      </x:c>
      <x:c r="B115" s="54" t="str">
        <x:v>空欄は下記の初期値（テンプレート指定時はその既定値）。有効／無効。</x:v>
      </x:c>
      <x:c r="C115" s="54" t="str">
        <x:v>有効／無効</x:v>
      </x:c>
      <x:c r="D115" s="1" t="str">
        <x:v>任意</x:v>
      </x:c>
    </x:row>
    <x:row r="116" ht="54" customHeight="1">
      <x:c r="A116" s="1" t="str">
        <x:v>発射物_加速度</x:v>
      </x:c>
      <x:c r="B116" s="54" t="str">
        <x:v>空欄は下記の初期値（テンプレート指定時はその既定値）。ワールド単位／秒²。負数は減速。</x:v>
      </x:c>
      <x:c r="C116" s="54" t="str">
        <x:v>空欄ならPrefabの値</x:v>
      </x:c>
      <x:c r="D116" s="1" t="str">
        <x:v>任意</x:v>
      </x:c>
    </x:row>
    <x:row r="117" ht="54" customHeight="1">
      <x:c r="A117" s="1" t="str">
        <x:v>発射物_最高速度</x:v>
      </x:c>
      <x:c r="B117" s="54" t="str">
        <x:v>空欄は下記の初期値（テンプレート指定時はその既定値）。ワールド単位／秒。0より大きい値。</x:v>
      </x:c>
      <x:c r="C117" s="54" t="str">
        <x:v>空欄ならPrefabの値</x:v>
      </x:c>
      <x:c r="D117" s="1" t="str">
        <x:v>任意</x:v>
      </x:c>
    </x:row>
    <x:row r="118" ht="54" customHeight="1">
      <x:c r="A118" s="1" t="str">
        <x:v>発射物_命中半径</x:v>
      </x:c>
      <x:c r="B118" s="54" t="str">
        <x:v>空欄は下記の初期値（テンプレート指定時はその既定値）。ワールド単位。0より大きい値。</x:v>
      </x:c>
      <x:c r="C118" s="54" t="str">
        <x:v>空欄ならPrefabの値</x:v>
      </x:c>
      <x:c r="D118" s="1" t="str">
        <x:v>任意</x:v>
      </x:c>
    </x:row>
    <x:row r="119" ht="100" customHeight="1">
      <x:c r="A119" s="1" t="str">
        <x:v>発射物_移動タイプ</x:v>
      </x:c>
      <x:c r="B119" s="54" t="str">
        <x:v>空欄は下記の初期値（テンプレート指定時はその既定値）。移動方法を選択。</x:v>
      </x:c>
      <x:c r="C119" s="54" t="str">
        <x:v>直進／追尾／拡大直進／その場／ブーメラン／周回後に射出／蛇行／加速／減速停止／遅延追尾／螺旋／往復／感応地雷／収束成長</x:v>
      </x:c>
      <x:c r="D119" s="1" t="str">
        <x:v>任意</x:v>
      </x:c>
    </x:row>
    <x:row r="120" ht="54" customHeight="1">
      <x:c r="A120" s="1" t="str">
        <x:v>発射物_追尾旋回速度</x:v>
      </x:c>
      <x:c r="B120" s="54" t="str">
        <x:v>空欄は下記の初期値（テンプレート指定時はその既定値）。毎秒の追尾の強さ。</x:v>
      </x:c>
      <x:c r="C120" s="54" t="str">
        <x:v>空欄ならPrefabの値</x:v>
      </x:c>
      <x:c r="D120" s="1" t="str">
        <x:v>任意</x:v>
      </x:c>
    </x:row>
    <x:row r="121" ht="54" customHeight="1">
      <x:c r="A121" s="1" t="str">
        <x:v>発射物_拡大速度</x:v>
      </x:c>
      <x:c r="B121" s="54" t="str">
        <x:v>空欄は下記の初期値（テンプレート指定時はその既定値）。倍率／秒。</x:v>
      </x:c>
      <x:c r="C121" s="54" t="str">
        <x:v>空欄ならPrefabの値</x:v>
      </x:c>
      <x:c r="D121" s="1" t="str">
        <x:v>任意</x:v>
      </x:c>
    </x:row>
    <x:row r="122" ht="54" customHeight="1">
      <x:c r="A122" s="1" t="str">
        <x:v>発射物_最大拡大倍率</x:v>
      </x:c>
      <x:c r="B122" s="54" t="str">
        <x:v>空欄は下記の初期値（テンプレート指定時はその既定値）。倍率。1以上。</x:v>
      </x:c>
      <x:c r="C122" s="54" t="str">
        <x:v>空欄ならPrefabの値</x:v>
      </x:c>
      <x:c r="D122" s="1" t="str">
        <x:v>任意</x:v>
      </x:c>
    </x:row>
    <x:row r="123" ht="54" customHeight="1">
      <x:c r="A123" s="1" t="str">
        <x:v>発射物_直進秒</x:v>
      </x:c>
      <x:c r="B123" s="54" t="str">
        <x:v>空欄は下記の初期値（テンプレート指定時はその既定値）。数値を指定。秒。</x:v>
      </x:c>
      <x:c r="C123" s="54" t="str">
        <x:v>空欄ならPrefabの値</x:v>
      </x:c>
      <x:c r="D123" s="1" t="str">
        <x:v>任意</x:v>
      </x:c>
    </x:row>
    <x:row r="124" ht="54" customHeight="1">
      <x:c r="A124" s="1" t="str">
        <x:v>発射物_帰還速度</x:v>
      </x:c>
      <x:c r="B124" s="54" t="str">
        <x:v>空欄は下記の初期値（テンプレート指定時はその既定値）。ワールド単位／秒。</x:v>
      </x:c>
      <x:c r="C124" s="54" t="str">
        <x:v>空欄ならPrefabの値</x:v>
      </x:c>
      <x:c r="D124" s="1" t="str">
        <x:v>任意</x:v>
      </x:c>
    </x:row>
    <x:row r="125" ht="54" customHeight="1">
      <x:c r="A125" s="1" t="str">
        <x:v>発射物_周回秒</x:v>
      </x:c>
      <x:c r="B125" s="54" t="str">
        <x:v>空欄は下記の初期値（テンプレート指定時はその既定値）。数値を指定。秒。</x:v>
      </x:c>
      <x:c r="C125" s="54" t="str">
        <x:v>空欄ならPrefabの値</x:v>
      </x:c>
      <x:c r="D125" s="1" t="str">
        <x:v>任意</x:v>
      </x:c>
    </x:row>
    <x:row r="126" ht="54" customHeight="1">
      <x:c r="A126" s="1" t="str">
        <x:v>発射物_周回半径</x:v>
      </x:c>
      <x:c r="B126" s="54" t="str">
        <x:v>空欄は下記の初期値（テンプレート指定時はその既定値）。数値を指定。ワールド単位。</x:v>
      </x:c>
      <x:c r="C126" s="54" t="str">
        <x:v>空欄ならPrefabの値</x:v>
      </x:c>
      <x:c r="D126" s="1" t="str">
        <x:v>任意</x:v>
      </x:c>
    </x:row>
    <x:row r="127" ht="54" customHeight="1">
      <x:c r="A127" s="1" t="str">
        <x:v>発射物_周回角速度</x:v>
      </x:c>
      <x:c r="B127" s="54" t="str">
        <x:v>空欄は下記の初期値（テンプレート指定時はその既定値）。度／秒。負数で逆向き。</x:v>
      </x:c>
      <x:c r="C127" s="54" t="str">
        <x:v>空欄ならPrefabの値</x:v>
      </x:c>
      <x:c r="D127" s="1" t="str">
        <x:v>任意</x:v>
      </x:c>
    </x:row>
    <x:row r="128" ht="54" customHeight="1">
      <x:c r="A128" s="1" t="str">
        <x:v>発射物_追尾開始秒</x:v>
      </x:c>
      <x:c r="B128" s="54" t="str">
        <x:v>空欄は下記の初期値（テンプレート指定時はその既定値）。数値を指定。秒。</x:v>
      </x:c>
      <x:c r="C128" s="54" t="str">
        <x:v>空欄ならPrefabの値</x:v>
      </x:c>
      <x:c r="D128" s="1" t="str">
        <x:v>任意</x:v>
      </x:c>
    </x:row>
    <x:row r="129" ht="54" customHeight="1">
      <x:c r="A129" s="1" t="str">
        <x:v>発射物_螺旋角速度</x:v>
      </x:c>
      <x:c r="B129" s="54" t="str">
        <x:v>空欄は下記の初期値（テンプレート指定時はその既定値）。度／秒。負数で逆向き。</x:v>
      </x:c>
      <x:c r="C129" s="54" t="str">
        <x:v>空欄ならPrefabの値</x:v>
      </x:c>
      <x:c r="D129" s="1" t="str">
        <x:v>任意</x:v>
      </x:c>
    </x:row>
    <x:row r="130" ht="54" customHeight="1">
      <x:c r="A130" s="1" t="str">
        <x:v>発射物_螺旋拡大速度</x:v>
      </x:c>
      <x:c r="B130" s="54" t="str">
        <x:v>空欄は下記の初期値（テンプレート指定時はその既定値）。ワールド単位／秒。</x:v>
      </x:c>
      <x:c r="C130" s="54" t="str">
        <x:v>空欄ならPrefabの値</x:v>
      </x:c>
      <x:c r="D130" s="1" t="str">
        <x:v>任意</x:v>
      </x:c>
    </x:row>
    <x:row r="131" ht="54" customHeight="1">
      <x:c r="A131" s="1" t="str">
        <x:v>発射物_往復距離</x:v>
      </x:c>
      <x:c r="B131" s="54" t="str">
        <x:v>空欄は下記の初期値（テンプレート指定時はその既定値）。数値を指定。ワールド単位。</x:v>
      </x:c>
      <x:c r="C131" s="54" t="str">
        <x:v>空欄ならPrefabの値</x:v>
      </x:c>
      <x:c r="D131" s="1" t="str">
        <x:v>任意</x:v>
      </x:c>
    </x:row>
    <x:row r="132" ht="54" customHeight="1">
      <x:c r="A132" s="1" t="str">
        <x:v>発射物_反転回数</x:v>
      </x:c>
      <x:c r="B132" s="54" t="str">
        <x:v>空欄は下記の初期値（テンプレート指定時はその既定値）。1〜16の整数。</x:v>
      </x:c>
      <x:c r="C132" s="54" t="str">
        <x:v>空欄ならPrefabの値</x:v>
      </x:c>
      <x:c r="D132" s="1" t="str">
        <x:v>任意</x:v>
      </x:c>
    </x:row>
    <x:row r="133" ht="54" customHeight="1">
      <x:c r="A133" s="1" t="str">
        <x:v>発射物_反転終了で消滅</x:v>
      </x:c>
      <x:c r="B133" s="54" t="str">
        <x:v>空欄は下記の初期値（テンプレート指定時はその既定値）。有効／無効。</x:v>
      </x:c>
      <x:c r="C133" s="54" t="str">
        <x:v>有効／無効</x:v>
      </x:c>
      <x:c r="D133" s="1" t="str">
        <x:v>任意</x:v>
      </x:c>
    </x:row>
    <x:row r="134" ht="54" customHeight="1">
      <x:c r="A134" s="1" t="str">
        <x:v>発射物_使用者に追従</x:v>
      </x:c>
      <x:c r="B134" s="54" t="str">
        <x:v>空欄は下記の初期値（テンプレート指定時はその既定値）。有効／無効。</x:v>
      </x:c>
      <x:c r="C134" s="54" t="str">
        <x:v>有効／無効</x:v>
      </x:c>
      <x:c r="D134" s="1" t="str">
        <x:v>任意</x:v>
      </x:c>
    </x:row>
    <x:row r="135" ht="54" customHeight="1">
      <x:c r="A135" s="1" t="str">
        <x:v>発射物_再命中</x:v>
      </x:c>
      <x:c r="B135" s="54" t="str">
        <x:v>空欄は下記の初期値（テンプレート指定時はその既定値）。有効／無効。</x:v>
      </x:c>
      <x:c r="C135" s="54" t="str">
        <x:v>有効／無効</x:v>
      </x:c>
      <x:c r="D135" s="1" t="str">
        <x:v>任意</x:v>
      </x:c>
    </x:row>
    <x:row r="136" ht="54" customHeight="1">
      <x:c r="A136" s="1" t="str">
        <x:v>発射物_再命中間隔秒</x:v>
      </x:c>
      <x:c r="B136" s="54" t="str">
        <x:v>空欄は下記の初期値（テンプレート指定時はその既定値）。秒。0.02以上。</x:v>
      </x:c>
      <x:c r="C136" s="54" t="str">
        <x:v>空欄ならPrefabの値</x:v>
      </x:c>
      <x:c r="D136" s="1" t="str">
        <x:v>任意</x:v>
      </x:c>
    </x:row>
    <x:row r="137" ht="54" customHeight="1">
      <x:c r="A137" s="1" t="str">
        <x:v>発射物_収束秒</x:v>
      </x:c>
      <x:c r="B137" s="54" t="str">
        <x:v>空欄は下記の初期値（テンプレート指定時はその既定値）。数値を指定。秒。</x:v>
      </x:c>
      <x:c r="C137" s="54" t="str">
        <x:v>空欄ならPrefabの値</x:v>
      </x:c>
      <x:c r="D137" s="1" t="str">
        <x:v>任意</x:v>
      </x:c>
    </x:row>
    <x:row r="138" ht="54" customHeight="1">
      <x:c r="A138" s="1" t="str">
        <x:v>発射物_収束最大拡大倍率</x:v>
      </x:c>
      <x:c r="B138" s="54" t="str">
        <x:v>空欄は下記の初期値（テンプレート指定時はその既定値）。数値を指定。倍率。</x:v>
      </x:c>
      <x:c r="C138" s="54" t="str">
        <x:v>空欄ならPrefabの値</x:v>
      </x:c>
      <x:c r="D138" s="1" t="str">
        <x:v>任意</x:v>
      </x:c>
    </x:row>
    <x:row r="139" ht="54" customHeight="1">
      <x:c r="A139" s="1" t="str">
        <x:v>発射物_収束最大威力倍率</x:v>
      </x:c>
      <x:c r="B139" s="54" t="str">
        <x:v>空欄は下記の初期値（テンプレート指定時はその既定値）。数値を指定。倍率。</x:v>
      </x:c>
      <x:c r="C139" s="54" t="str">
        <x:v>空欄ならPrefabの値</x:v>
      </x:c>
      <x:c r="D139" s="1" t="str">
        <x:v>任意</x:v>
      </x:c>
    </x:row>
    <x:row r="140" ht="54" customHeight="1">
      <x:c r="A140" s="1" t="str">
        <x:v>発射物_時間切替</x:v>
      </x:c>
      <x:c r="B140" s="54" t="str">
        <x:v>空欄は下記の初期値（テンプレート指定時はその既定値）。有効／無効。</x:v>
      </x:c>
      <x:c r="C140" s="54" t="str">
        <x:v>有効／無効</x:v>
      </x:c>
      <x:c r="D140" s="1" t="str">
        <x:v>任意</x:v>
      </x:c>
    </x:row>
    <x:row r="141" ht="54" customHeight="1">
      <x:c r="A141" s="1" t="str">
        <x:v>発射物_切替秒</x:v>
      </x:c>
      <x:c r="B141" s="54" t="str">
        <x:v>空欄は下記の初期値（テンプレート指定時はその既定値）。数値を指定。秒。</x:v>
      </x:c>
      <x:c r="C141" s="54" t="str">
        <x:v>空欄ならPrefabの値</x:v>
      </x:c>
      <x:c r="D141" s="1" t="str">
        <x:v>任意</x:v>
      </x:c>
    </x:row>
    <x:row r="142" ht="100" customHeight="1">
      <x:c r="A142" s="1" t="str">
        <x:v>発射物_切替後移動タイプ</x:v>
      </x:c>
      <x:c r="B142" s="54" t="str">
        <x:v>空欄は下記の初期値（テンプレート指定時はその既定値）。移動方法を選択。</x:v>
      </x:c>
      <x:c r="C142" s="54" t="str">
        <x:v>直進／追尾／拡大直進／その場／ブーメラン／周回後に射出／蛇行／加速／減速停止／遅延追尾／螺旋／往復／感応地雷／収束成長</x:v>
      </x:c>
      <x:c r="D142" s="1" t="str">
        <x:v>任意</x:v>
      </x:c>
    </x:row>
    <x:row r="143" ht="54" customHeight="1">
      <x:c r="A143" s="1" t="str">
        <x:v>発射物_切替後速度</x:v>
      </x:c>
      <x:c r="B143" s="54" t="str">
        <x:v>空欄は下記の初期値（テンプレート指定時はその既定値）。数値を指定。ワールド単位。</x:v>
      </x:c>
      <x:c r="C143" s="54" t="str">
        <x:v>空欄ならPrefabの値</x:v>
      </x:c>
      <x:c r="D143" s="1" t="str">
        <x:v>任意</x:v>
      </x:c>
    </x:row>
    <x:row r="144" ht="54" customHeight="1">
      <x:c r="A144" s="1" t="str">
        <x:v>発射物_連鎖</x:v>
      </x:c>
      <x:c r="B144" s="54" t="str">
        <x:v>空欄は下記の初期値（テンプレート指定時はその既定値）。有効／無効。</x:v>
      </x:c>
      <x:c r="C144" s="54" t="str">
        <x:v>有効／無効</x:v>
      </x:c>
      <x:c r="D144" s="1" t="str">
        <x:v>任意</x:v>
      </x:c>
    </x:row>
    <x:row r="145" ht="54" customHeight="1">
      <x:c r="A145" s="1" t="str">
        <x:v>発射物_連鎖回数</x:v>
      </x:c>
      <x:c r="B145" s="54" t="str">
        <x:v>空欄は下記の初期値（テンプレート指定時はその既定値）。0〜16の整数。</x:v>
      </x:c>
      <x:c r="C145" s="54" t="str">
        <x:v>空欄ならPrefabの値</x:v>
      </x:c>
      <x:c r="D145" s="1" t="str">
        <x:v>任意</x:v>
      </x:c>
    </x:row>
    <x:row r="146" ht="54" customHeight="1">
      <x:c r="A146" s="1" t="str">
        <x:v>発射物_連鎖半径</x:v>
      </x:c>
      <x:c r="B146" s="54" t="str">
        <x:v>空欄は下記の初期値（テンプレート指定時はその既定値）。数値を指定。ワールド単位。</x:v>
      </x:c>
      <x:c r="C146" s="54" t="str">
        <x:v>空欄ならPrefabの値</x:v>
      </x:c>
      <x:c r="D146" s="1" t="str">
        <x:v>任意</x:v>
      </x:c>
    </x:row>
    <x:row r="147" ht="54" customHeight="1">
      <x:c r="A147" s="1" t="str">
        <x:v>発射物_連鎖威力倍率</x:v>
      </x:c>
      <x:c r="B147" s="54" t="str">
        <x:v>空欄は下記の初期値（テンプレート指定時はその既定値）。数値を指定。倍率。</x:v>
      </x:c>
      <x:c r="C147" s="54" t="str">
        <x:v>空欄ならPrefabの値</x:v>
      </x:c>
      <x:c r="D147" s="1" t="str">
        <x:v>任意</x:v>
      </x:c>
    </x:row>
    <x:row r="148" ht="54" customHeight="1">
      <x:c r="A148" s="1" t="str">
        <x:v>発射物_分裂</x:v>
      </x:c>
      <x:c r="B148" s="54" t="str">
        <x:v>空欄は下記の初期値（テンプレート指定時はその既定値）。有効／無効。</x:v>
      </x:c>
      <x:c r="C148" s="54" t="str">
        <x:v>有効／無効</x:v>
      </x:c>
      <x:c r="D148" s="1" t="str">
        <x:v>任意</x:v>
      </x:c>
    </x:row>
    <x:row r="149" ht="54" customHeight="1">
      <x:c r="A149" s="1" t="str">
        <x:v>発射物_子弾数</x:v>
      </x:c>
      <x:c r="B149" s="54" t="str">
        <x:v>空欄は下記の初期値（テンプレート指定時はその既定値）。1〜16の整数。</x:v>
      </x:c>
      <x:c r="C149" s="54" t="str">
        <x:v>空欄ならPrefabの値</x:v>
      </x:c>
      <x:c r="D149" s="1" t="str">
        <x:v>任意</x:v>
      </x:c>
    </x:row>
    <x:row r="150" ht="54" customHeight="1">
      <x:c r="A150" s="1" t="str">
        <x:v>発射物_分裂角度</x:v>
      </x:c>
      <x:c r="B150" s="54" t="str">
        <x:v>空欄は下記の初期値（テンプレート指定時はその既定値）。度。0〜360。</x:v>
      </x:c>
      <x:c r="C150" s="54" t="str">
        <x:v>空欄ならPrefabの値</x:v>
      </x:c>
      <x:c r="D150" s="1" t="str">
        <x:v>任意</x:v>
      </x:c>
    </x:row>
    <x:row r="151" ht="54" customHeight="1">
      <x:c r="A151" s="1" t="str">
        <x:v>発射物_子弾威力倍率</x:v>
      </x:c>
      <x:c r="B151" s="54" t="str">
        <x:v>空欄は下記の初期値（テンプレート指定時はその既定値）。数値を指定。倍率。</x:v>
      </x:c>
      <x:c r="C151" s="54" t="str">
        <x:v>空欄ならPrefabの値</x:v>
      </x:c>
      <x:c r="D151" s="1" t="str">
        <x:v>任意</x:v>
      </x:c>
    </x:row>
    <x:row r="152" ht="54" customHeight="1">
      <x:c r="A152" s="1" t="str">
        <x:v>発射物_分裂世代数</x:v>
      </x:c>
      <x:c r="B152" s="54" t="str">
        <x:v>空欄は下記の初期値（テンプレート指定時はその既定値）。0〜3の整数。1なら子弾の再分裂なし。</x:v>
      </x:c>
      <x:c r="C152" s="54" t="str">
        <x:v>空欄ならPrefabの値</x:v>
      </x:c>
      <x:c r="D152" s="1" t="str">
        <x:v>任意</x:v>
      </x:c>
    </x:row>
    <x:row r="153" ht="54" customHeight="1">
      <x:c r="A153" s="1" t="str">
        <x:v>発射物_命中時爆発</x:v>
      </x:c>
      <x:c r="B153" s="54" t="str">
        <x:v>空欄は下記の初期値（テンプレート指定時はその既定値）。有効／無効。</x:v>
      </x:c>
      <x:c r="C153" s="54" t="str">
        <x:v>有効／無効</x:v>
      </x:c>
      <x:c r="D153" s="1" t="str">
        <x:v>任意</x:v>
      </x:c>
    </x:row>
    <x:row r="154" ht="54" customHeight="1">
      <x:c r="A154" s="1" t="str">
        <x:v>発射物_停止時爆発</x:v>
      </x:c>
      <x:c r="B154" s="54" t="str">
        <x:v>空欄は下記の初期値（テンプレート指定時はその既定値）。有効／無効。</x:v>
      </x:c>
      <x:c r="C154" s="54" t="str">
        <x:v>有効／無効</x:v>
      </x:c>
      <x:c r="D154" s="1" t="str">
        <x:v>任意</x:v>
      </x:c>
    </x:row>
    <x:row r="155" ht="54" customHeight="1">
      <x:c r="A155" s="1" t="str">
        <x:v>発射物_爆発半径</x:v>
      </x:c>
      <x:c r="B155" s="54" t="str">
        <x:v>空欄は下記の初期値（テンプレート指定時はその既定値）。ワールド単位。0より大きい値。</x:v>
      </x:c>
      <x:c r="C155" s="54" t="str">
        <x:v>空欄ならPrefabの値</x:v>
      </x:c>
      <x:c r="D155" s="1" t="str">
        <x:v>任意</x:v>
      </x:c>
    </x:row>
    <x:row r="156" ht="54" customHeight="1">
      <x:c r="A156" s="1" t="str">
        <x:v>発射物_爆発表示秒</x:v>
      </x:c>
      <x:c r="B156" s="54" t="str">
        <x:v>空欄は下記の初期値（テンプレート指定時はその既定値）。数値を指定。秒。</x:v>
      </x:c>
      <x:c r="C156" s="54" t="str">
        <x:v>空欄ならPrefabの値</x:v>
      </x:c>
      <x:c r="D156" s="1" t="str">
        <x:v>任意</x:v>
      </x:c>
    </x:row>
    <x:row r="159" ht="32" customHeight="1">
      <x:c r="A159" s="1" t="str">
        <x:v>使用例</x:v>
      </x:c>
      <x:c r="B159" s="1" t="str">
        <x:v>設定</x:v>
      </x:c>
    </x:row>
    <x:row r="160" ht="32" customHeight="1">
      <x:c r="A160" s="1" t="str">
        <x:v>回る追尾弾</x:v>
      </x:c>
      <x:c r="B160" s="1" t="str">
        <x:v>追尾入力＝有効、発射物_回転＝有効</x:v>
      </x:c>
    </x:row>
    <x:row r="161" ht="32" customHeight="1">
      <x:c r="A161" s="1" t="str">
        <x:v>ブーメラン</x:v>
      </x:c>
      <x:c r="B161" s="1" t="str">
        <x:v>移動タイプ＝ブーメラン、貫通＝有効、直進秒＝0.8、帰還速度＝12</x:v>
      </x:c>
    </x:row>
    <x:row r="162" ht="32" customHeight="1">
      <x:c r="A162" s="1" t="str">
        <x:v>その場の継続攻撃</x:v>
      </x:c>
      <x:c r="B162" s="1" t="str">
        <x:v>移動タイプ＝その場、再命中＝有効、再命中間隔秒＝0.5</x:v>
      </x:c>
    </x:row>
    <x:row r="163" ht="32" customHeight="1">
      <x:c r="A163" s="1" t="str">
        <x:v>連鎖する弾</x:v>
      </x:c>
      <x:c r="B163" s="1" t="str">
        <x:v>連鎖＝有効、連鎖回数＝4、連鎖半径＝8、連鎖威力倍率＝0.85</x:v>
      </x:c>
    </x:row>
    <x:row r="166">
      <x:c r="A166" s="67" t="str">
        <x:v>番号付き発射物Prefabの自動生成</x:v>
      </x:c>
      <x:c r="B166" t="str"/>
      <x:c r="C166" t="str"/>
      <x:c r="D166" t="str"/>
    </x:row>
    <x:row r="168" ht="44" customHeight="1">
      <x:c r="A168" s="1" t="str">
        <x:v>画像の配置</x:v>
      </x:c>
      <x:c r="B168" s="54" t="str">
        <x:v>Assets/素材/Profectile または Assets/素材/Projectile に、スキル番号名（例：1.png）で配置。</x:v>
      </x:c>
    </x:row>
    <x:row r="169" ht="44" customHeight="1">
      <x:c r="A169" s="1" t="str">
        <x:v>画像の取り込み</x:v>
      </x:c>
      <x:c r="B169" s="54" t="str">
        <x:v>UnityのTexture TypeをSprite (2D and UI)に設定。001.pngも番号1。Multipleならサブスプライト名を番号にする。</x:v>
      </x:c>
    </x:row>
    <x:row r="170" ht="44" customHeight="1">
      <x:c r="A170" s="1" t="str">
        <x:v>表の取り込み</x:v>
      </x:c>
      <x:c r="B170" s="54" t="str">
        <x:v>MixMaster → スキル → Excel・CSVを選んで取り込む。CSVでも同じ処理。</x:v>
      </x:c>
    </x:row>
    <x:row r="171" ht="44" customHeight="1">
      <x:c r="A171" s="1" t="str">
        <x:v>生成と紐付け</x:v>
      </x:c>
      <x:c r="B171" s="54" t="str">
        <x:v>Assets/Resources/Skills/Projectile/番号.prefab を作成・更新し、SkillSOの発射物Prefabへ自動設定。</x:v>
      </x:c>
    </x:row>
    <x:row r="172" ht="44" customHeight="1">
      <x:c r="A172" s="1" t="str">
        <x:v>再取り込み</x:v>
      </x:c>
      <x:c r="B172" s="54" t="str">
        <x:v>同じパスのPrefabとSkillSOを更新し参照を維持。表の値を正とし、生成Prefabの手編集値は引き継がない。</x:v>
      </x:c>
    </x:row>
    <x:row r="173" ht="44" customHeight="1">
      <x:c r="A173" s="1" t="str">
        <x:v>発動形式が即時</x:v>
      </x:c>
      <x:c r="B173" s="54" t="str">
        <x:v>発射物Prefabは作成せずSkillSOの参照を解除。既存Prefab自体は削除しない。</x:v>
      </x:c>
    </x:row>
    <x:row r="174" ht="44" customHeight="1">
      <x:c r="A174" s="1" t="str">
        <x:v>画像がない・重複</x:v>
      </x:c>
      <x:c r="B174" s="54" t="str">
        <x:v>更新を開始する前に、対象の行番号とスキル番号を表示して停止。番号付き画像は別途配置が必要。</x:v>
      </x:c>
    </x:row>
    <x:row r="175" ht="44" customHeight="1">
      <x:c r="A175" s="1" t="str">
        <x:v>Prefabの構成</x:v>
      </x:c>
      <x:c r="B175" s="54" t="str">
        <x:v>番号名のルートにSkillProjectile、子VisualにSpriteRenderer。ColliderやRigidbodyは不要。</x:v>
      </x:c>
    </x:row>
    <x:row r="176" ht="44" customHeight="1">
      <x:c r="A176" s="1" t="str">
        <x:v>速度・寿命・効果</x:v>
      </x:c>
      <x:c r="B176" s="54" t="str">
        <x:v>速度と寿命は既存の入力欄からSkillSOへ保存。ダメージ・追加効果もSkillSOに保持し、発射・命中時に共通処理が参照。</x:v>
      </x:c>
    </x:row>
    <x:row r="177" ht="44" customHeight="1">
      <x:c r="A177" s="1" t="str">
        <x:v>画像の向きと倍率</x:v>
      </x:c>
      <x:c r="B177" s="54" t="str">
        <x:v>上向きを基準に飛行方向へ回転。表示倍率はルートの均等スケール、命中半径はワールド単位で独立。成長倍率は両方へ適用。</x:v>
      </x:c>
    </x:row>
    <x:row r="178" ht="44" customHeight="1">
      <x:c r="A178" s="1" t="str">
        <x:v>テンプレート</x:v>
      </x:c>
      <x:c r="B178" s="54" t="str">
        <x:v>発射物プレファブパスは任意。指定時も番号付きの複製先をSkillSOへ設定。Sprite・色・表示倍率・描画順・画像角度は表の値で更新。</x:v>
      </x:c>
    </x:row>
    <x:row r="181" ht="36" customHeight="1">
      <x:c r="A181" s="79" t="str">
        <x:v>Excel・CSVの列</x:v>
      </x:c>
      <x:c r="B181" s="79" t="str">
        <x:v>Prefabの設定先</x:v>
      </x:c>
      <x:c r="C181" s="79" t="str">
        <x:v>空欄の初期値</x:v>
      </x:c>
      <x:c r="D181" s="79" t="str">
        <x:v>補足</x:v>
      </x:c>
    </x:row>
    <x:row r="182" ht="32" customHeight="1">
      <x:c r="A182" s="1" t="str">
        <x:v>発射物_貫通</x:v>
      </x:c>
      <x:c r="B182" s="1" t="str">
        <x:v>piercing</x:v>
      </x:c>
      <x:c r="C182" s="74" t="str">
        <x:v>無効</x:v>
      </x:c>
      <x:c r="D182" s="54" t="str">
        <x:v>動作の空欄はテンプレート指定時のみ、その既定値を使用</x:v>
      </x:c>
    </x:row>
    <x:row r="183" ht="32" customHeight="1">
      <x:c r="A183" s="1" t="str">
        <x:v>発射物_回転</x:v>
      </x:c>
      <x:c r="B183" s="1" t="str">
        <x:v>spin</x:v>
      </x:c>
      <x:c r="C183" s="74" t="str">
        <x:v>無効</x:v>
      </x:c>
      <x:c r="D183" s="54" t="str">
        <x:v>動作の空欄はテンプレート指定時のみ、その既定値を使用</x:v>
      </x:c>
    </x:row>
    <x:row r="184" ht="32" customHeight="1">
      <x:c r="A184" s="1" t="str">
        <x:v>発射物_回転速度</x:v>
      </x:c>
      <x:c r="B184" s="1" t="str">
        <x:v>spinSpeed</x:v>
      </x:c>
      <x:c r="C184" s="74" t="n">
        <x:v>360</x:v>
      </x:c>
      <x:c r="D184" s="54" t="str">
        <x:v>動作の空欄はテンプレート指定時のみ、その既定値を使用</x:v>
      </x:c>
    </x:row>
    <x:row r="185" ht="32" customHeight="1">
      <x:c r="A185" s="1" t="str">
        <x:v>発射物_蛇行</x:v>
      </x:c>
      <x:c r="B185" s="1" t="str">
        <x:v>wave</x:v>
      </x:c>
      <x:c r="C185" s="74" t="str">
        <x:v>無効</x:v>
      </x:c>
      <x:c r="D185" s="54" t="str">
        <x:v>動作の空欄はテンプレート指定時のみ、その既定値を使用</x:v>
      </x:c>
    </x:row>
    <x:row r="186" ht="32" customHeight="1">
      <x:c r="A186" s="1" t="str">
        <x:v>発射物_蛇行幅</x:v>
      </x:c>
      <x:c r="B186" s="1" t="str">
        <x:v>waveWidth</x:v>
      </x:c>
      <x:c r="C186" s="74" t="n">
        <x:v>0.3</x:v>
      </x:c>
      <x:c r="D186" s="54" t="str">
        <x:v>動作の空欄はテンプレート指定時のみ、その既定値を使用</x:v>
      </x:c>
    </x:row>
    <x:row r="187" ht="32" customHeight="1">
      <x:c r="A187" s="1" t="str">
        <x:v>発射物_蛇行回数</x:v>
      </x:c>
      <x:c r="B187" s="1" t="str">
        <x:v>waveFrequency</x:v>
      </x:c>
      <x:c r="C187" s="74" t="n">
        <x:v>2</x:v>
      </x:c>
      <x:c r="D187" s="54" t="str">
        <x:v>動作の空欄はテンプレート指定時のみ、その既定値を使用</x:v>
      </x:c>
    </x:row>
    <x:row r="188" ht="32" customHeight="1">
      <x:c r="A188" s="1" t="str">
        <x:v>発射物_加速</x:v>
      </x:c>
      <x:c r="B188" s="1" t="str">
        <x:v>accelerate</x:v>
      </x:c>
      <x:c r="C188" s="74" t="str">
        <x:v>無効</x:v>
      </x:c>
      <x:c r="D188" s="54" t="str">
        <x:v>動作の空欄はテンプレート指定時のみ、その既定値を使用</x:v>
      </x:c>
    </x:row>
    <x:row r="189" ht="32" customHeight="1">
      <x:c r="A189" s="1" t="str">
        <x:v>発射物_加速度</x:v>
      </x:c>
      <x:c r="B189" s="1" t="str">
        <x:v>acceleration</x:v>
      </x:c>
      <x:c r="C189" s="74" t="n">
        <x:v>3</x:v>
      </x:c>
      <x:c r="D189" s="54" t="str">
        <x:v>動作の空欄はテンプレート指定時のみ、その既定値を使用</x:v>
      </x:c>
    </x:row>
    <x:row r="190" ht="32" customHeight="1">
      <x:c r="A190" s="1" t="str">
        <x:v>発射物_最高速度</x:v>
      </x:c>
      <x:c r="B190" s="1" t="str">
        <x:v>maximumSpeed</x:v>
      </x:c>
      <x:c r="C190" s="74" t="n">
        <x:v>50</x:v>
      </x:c>
      <x:c r="D190" s="54" t="str">
        <x:v>動作の空欄はテンプレート指定時のみ、その既定値を使用</x:v>
      </x:c>
    </x:row>
    <x:row r="191" ht="32" customHeight="1">
      <x:c r="A191" s="1" t="str">
        <x:v>発射物_命中半径</x:v>
      </x:c>
      <x:c r="B191" s="1" t="str">
        <x:v>hitRadius</x:v>
      </x:c>
      <x:c r="C191" s="74" t="n">
        <x:v>0.3</x:v>
      </x:c>
      <x:c r="D191" s="54" t="str">
        <x:v>動作の空欄はテンプレート指定時のみ、その既定値を使用</x:v>
      </x:c>
    </x:row>
    <x:row r="192" ht="32" customHeight="1">
      <x:c r="A192" s="1" t="str">
        <x:v>発射物_移動タイプ</x:v>
      </x:c>
      <x:c r="B192" s="1" t="str">
        <x:v>moveType</x:v>
      </x:c>
      <x:c r="C192" s="74" t="str">
        <x:v>直進</x:v>
      </x:c>
      <x:c r="D192" s="54" t="str">
        <x:v>動作の空欄はテンプレート指定時のみ、その既定値を使用</x:v>
      </x:c>
    </x:row>
    <x:row r="193" ht="32" customHeight="1">
      <x:c r="A193" s="1" t="str">
        <x:v>発射物_追尾旋回速度</x:v>
      </x:c>
      <x:c r="B193" s="1" t="str">
        <x:v>turnSpeed</x:v>
      </x:c>
      <x:c r="C193" s="74" t="n">
        <x:v>8</x:v>
      </x:c>
      <x:c r="D193" s="54" t="str">
        <x:v>動作の空欄はテンプレート指定時のみ、その既定値を使用</x:v>
      </x:c>
    </x:row>
    <x:row r="194" ht="32" customHeight="1">
      <x:c r="A194" s="1" t="str">
        <x:v>発射物_拡大速度</x:v>
      </x:c>
      <x:c r="B194" s="1" t="str">
        <x:v>growSpeed</x:v>
      </x:c>
      <x:c r="C194" s="74" t="n">
        <x:v>0.8</x:v>
      </x:c>
      <x:c r="D194" s="54" t="str">
        <x:v>動作の空欄はテンプレート指定時のみ、その既定値を使用</x:v>
      </x:c>
    </x:row>
    <x:row r="195" ht="32" customHeight="1">
      <x:c r="A195" s="1" t="str">
        <x:v>発射物_最大拡大倍率</x:v>
      </x:c>
      <x:c r="B195" s="1" t="str">
        <x:v>maximumScale</x:v>
      </x:c>
      <x:c r="C195" s="74" t="n">
        <x:v>2</x:v>
      </x:c>
      <x:c r="D195" s="54" t="str">
        <x:v>動作の空欄はテンプレート指定時のみ、その既定値を使用</x:v>
      </x:c>
    </x:row>
    <x:row r="196" ht="32" customHeight="1">
      <x:c r="A196" s="1" t="str">
        <x:v>発射物_直進秒</x:v>
      </x:c>
      <x:c r="B196" s="1" t="str">
        <x:v>outboundTime</x:v>
      </x:c>
      <x:c r="C196" s="74" t="n">
        <x:v>0.8</x:v>
      </x:c>
      <x:c r="D196" s="54" t="str">
        <x:v>動作の空欄はテンプレート指定時のみ、その既定値を使用</x:v>
      </x:c>
    </x:row>
    <x:row r="197" ht="32" customHeight="1">
      <x:c r="A197" s="1" t="str">
        <x:v>発射物_帰還速度</x:v>
      </x:c>
      <x:c r="B197" s="1" t="str">
        <x:v>returnSpeed</x:v>
      </x:c>
      <x:c r="C197" s="74" t="n">
        <x:v>12</x:v>
      </x:c>
      <x:c r="D197" s="54" t="str">
        <x:v>動作の空欄はテンプレート指定時のみ、その既定値を使用</x:v>
      </x:c>
    </x:row>
    <x:row r="198" ht="32" customHeight="1">
      <x:c r="A198" s="1" t="str">
        <x:v>発射物_周回秒</x:v>
      </x:c>
      <x:c r="B198" s="1" t="str">
        <x:v>orbitTime</x:v>
      </x:c>
      <x:c r="C198" s="74" t="n">
        <x:v>0.8</x:v>
      </x:c>
      <x:c r="D198" s="54" t="str">
        <x:v>動作の空欄はテンプレート指定時のみ、その既定値を使用</x:v>
      </x:c>
    </x:row>
    <x:row r="199" ht="32" customHeight="1">
      <x:c r="A199" s="1" t="str">
        <x:v>発射物_周回半径</x:v>
      </x:c>
      <x:c r="B199" s="1" t="str">
        <x:v>orbitRadius</x:v>
      </x:c>
      <x:c r="C199" s="74" t="n">
        <x:v>1.5</x:v>
      </x:c>
      <x:c r="D199" s="54" t="str">
        <x:v>動作の空欄はテンプレート指定時のみ、その既定値を使用</x:v>
      </x:c>
    </x:row>
    <x:row r="200" ht="32" customHeight="1">
      <x:c r="A200" s="1" t="str">
        <x:v>発射物_周回角速度</x:v>
      </x:c>
      <x:c r="B200" s="1" t="str">
        <x:v>orbitAngularSpeed</x:v>
      </x:c>
      <x:c r="C200" s="74" t="n">
        <x:v>720</x:v>
      </x:c>
      <x:c r="D200" s="54" t="str">
        <x:v>動作の空欄はテンプレート指定時のみ、その既定値を使用</x:v>
      </x:c>
    </x:row>
    <x:row r="201" ht="32" customHeight="1">
      <x:c r="A201" s="1" t="str">
        <x:v>発射物_追尾開始秒</x:v>
      </x:c>
      <x:c r="B201" s="1" t="str">
        <x:v>delayedHomingTime</x:v>
      </x:c>
      <x:c r="C201" s="74" t="n">
        <x:v>0.6</x:v>
      </x:c>
      <x:c r="D201" s="54" t="str">
        <x:v>動作の空欄はテンプレート指定時のみ、その既定値を使用</x:v>
      </x:c>
    </x:row>
    <x:row r="202" ht="32" customHeight="1">
      <x:c r="A202" s="1" t="str">
        <x:v>発射物_螺旋角速度</x:v>
      </x:c>
      <x:c r="B202" s="1" t="str">
        <x:v>spiralAngularSpeed</x:v>
      </x:c>
      <x:c r="C202" s="74" t="n">
        <x:v>540</x:v>
      </x:c>
      <x:c r="D202" s="54" t="str">
        <x:v>動作の空欄はテンプレート指定時のみ、その既定値を使用</x:v>
      </x:c>
    </x:row>
    <x:row r="203" ht="32" customHeight="1">
      <x:c r="A203" s="1" t="str">
        <x:v>発射物_螺旋拡大速度</x:v>
      </x:c>
      <x:c r="B203" s="1" t="str">
        <x:v>spiralGrowth</x:v>
      </x:c>
      <x:c r="C203" s="74" t="n">
        <x:v>1.8</x:v>
      </x:c>
      <x:c r="D203" s="54" t="str">
        <x:v>動作の空欄はテンプレート指定時のみ、その既定値を使用</x:v>
      </x:c>
    </x:row>
    <x:row r="204" ht="32" customHeight="1">
      <x:c r="A204" s="1" t="str">
        <x:v>発射物_往復距離</x:v>
      </x:c>
      <x:c r="B204" s="1" t="str">
        <x:v>pingPongDistance</x:v>
      </x:c>
      <x:c r="C204" s="74" t="n">
        <x:v>4</x:v>
      </x:c>
      <x:c r="D204" s="54" t="str">
        <x:v>動作の空欄はテンプレート指定時のみ、その既定値を使用</x:v>
      </x:c>
    </x:row>
    <x:row r="205" ht="32" customHeight="1">
      <x:c r="A205" s="1" t="str">
        <x:v>発射物_反転回数</x:v>
      </x:c>
      <x:c r="B205" s="1" t="str">
        <x:v>reversals</x:v>
      </x:c>
      <x:c r="C205" s="74" t="n">
        <x:v>4</x:v>
      </x:c>
      <x:c r="D205" s="54" t="str">
        <x:v>動作の空欄はテンプレート指定時のみ、その既定値を使用</x:v>
      </x:c>
    </x:row>
    <x:row r="206" ht="32" customHeight="1">
      <x:c r="A206" s="1" t="str">
        <x:v>発射物_反転終了で消滅</x:v>
      </x:c>
      <x:c r="B206" s="1" t="str">
        <x:v>destroyAfterReversals</x:v>
      </x:c>
      <x:c r="C206" s="74" t="str">
        <x:v>有効</x:v>
      </x:c>
      <x:c r="D206" s="54" t="str">
        <x:v>動作の空欄はテンプレート指定時のみ、その既定値を使用</x:v>
      </x:c>
    </x:row>
    <x:row r="207" ht="32" customHeight="1">
      <x:c r="A207" s="1" t="str">
        <x:v>発射物_使用者に追従</x:v>
      </x:c>
      <x:c r="B207" s="1" t="str">
        <x:v>followOwner</x:v>
      </x:c>
      <x:c r="C207" s="74" t="str">
        <x:v>無効</x:v>
      </x:c>
      <x:c r="D207" s="54" t="str">
        <x:v>動作の空欄はテンプレート指定時のみ、その既定値を使用</x:v>
      </x:c>
    </x:row>
    <x:row r="208" ht="32" customHeight="1">
      <x:c r="A208" s="1" t="str">
        <x:v>発射物_再命中</x:v>
      </x:c>
      <x:c r="B208" s="1" t="str">
        <x:v>repeatHits</x:v>
      </x:c>
      <x:c r="C208" s="74" t="str">
        <x:v>無効</x:v>
      </x:c>
      <x:c r="D208" s="54" t="str">
        <x:v>動作の空欄はテンプレート指定時のみ、その既定値を使用</x:v>
      </x:c>
    </x:row>
    <x:row r="209" ht="32" customHeight="1">
      <x:c r="A209" s="1" t="str">
        <x:v>発射物_再命中間隔秒</x:v>
      </x:c>
      <x:c r="B209" s="1" t="str">
        <x:v>repeatInterval</x:v>
      </x:c>
      <x:c r="C209" s="74" t="n">
        <x:v>0.5</x:v>
      </x:c>
      <x:c r="D209" s="54" t="str">
        <x:v>動作の空欄はテンプレート指定時のみ、その既定値を使用</x:v>
      </x:c>
    </x:row>
    <x:row r="210" ht="32" customHeight="1">
      <x:c r="A210" s="1" t="str">
        <x:v>発射物_収束秒</x:v>
      </x:c>
      <x:c r="B210" s="1" t="str">
        <x:v>chargeTime</x:v>
      </x:c>
      <x:c r="C210" s="74" t="n">
        <x:v>1.5</x:v>
      </x:c>
      <x:c r="D210" s="54" t="str">
        <x:v>動作の空欄はテンプレート指定時のみ、その既定値を使用</x:v>
      </x:c>
    </x:row>
    <x:row r="211" ht="32" customHeight="1">
      <x:c r="A211" s="1" t="str">
        <x:v>発射物_収束最大拡大倍率</x:v>
      </x:c>
      <x:c r="B211" s="1" t="str">
        <x:v>chargeScale</x:v>
      </x:c>
      <x:c r="C211" s="74" t="n">
        <x:v>2.5</x:v>
      </x:c>
      <x:c r="D211" s="54" t="str">
        <x:v>動作の空欄はテンプレート指定時のみ、その既定値を使用</x:v>
      </x:c>
    </x:row>
    <x:row r="212" ht="32" customHeight="1">
      <x:c r="A212" s="1" t="str">
        <x:v>発射物_収束最大威力倍率</x:v>
      </x:c>
      <x:c r="B212" s="1" t="str">
        <x:v>chargePower</x:v>
      </x:c>
      <x:c r="C212" s="74" t="n">
        <x:v>2.5</x:v>
      </x:c>
      <x:c r="D212" s="54" t="str">
        <x:v>動作の空欄はテンプレート指定時のみ、その既定値を使用</x:v>
      </x:c>
    </x:row>
    <x:row r="213" ht="32" customHeight="1">
      <x:c r="A213" s="1" t="str">
        <x:v>発射物_時間切替</x:v>
      </x:c>
      <x:c r="B213" s="1" t="str">
        <x:v>timedPhase</x:v>
      </x:c>
      <x:c r="C213" s="74" t="str">
        <x:v>無効</x:v>
      </x:c>
      <x:c r="D213" s="54" t="str">
        <x:v>動作の空欄はテンプレート指定時のみ、その既定値を使用</x:v>
      </x:c>
    </x:row>
    <x:row r="214" ht="32" customHeight="1">
      <x:c r="A214" s="1" t="str">
        <x:v>発射物_切替秒</x:v>
      </x:c>
      <x:c r="B214" s="1" t="str">
        <x:v>phaseTime</x:v>
      </x:c>
      <x:c r="C214" s="74" t="n">
        <x:v>1</x:v>
      </x:c>
      <x:c r="D214" s="54" t="str">
        <x:v>動作の空欄はテンプレート指定時のみ、その既定値を使用</x:v>
      </x:c>
    </x:row>
    <x:row r="215" ht="32" customHeight="1">
      <x:c r="A215" s="1" t="str">
        <x:v>発射物_切替後移動タイプ</x:v>
      </x:c>
      <x:c r="B215" s="1" t="str">
        <x:v>phaseType</x:v>
      </x:c>
      <x:c r="C215" s="74" t="str">
        <x:v>追尾</x:v>
      </x:c>
      <x:c r="D215" s="54" t="str">
        <x:v>動作の空欄はテンプレート指定時のみ、その既定値を使用</x:v>
      </x:c>
    </x:row>
    <x:row r="216" ht="32" customHeight="1">
      <x:c r="A216" s="1" t="str">
        <x:v>発射物_切替後速度</x:v>
      </x:c>
      <x:c r="B216" s="1" t="str">
        <x:v>phaseSpeed</x:v>
      </x:c>
      <x:c r="C216" s="74" t="n">
        <x:v>10</x:v>
      </x:c>
      <x:c r="D216" s="54" t="str">
        <x:v>動作の空欄はテンプレート指定時のみ、その既定値を使用</x:v>
      </x:c>
    </x:row>
    <x:row r="217" ht="32" customHeight="1">
      <x:c r="A217" s="1" t="str">
        <x:v>発射物_連鎖</x:v>
      </x:c>
      <x:c r="B217" s="1" t="str">
        <x:v>chain</x:v>
      </x:c>
      <x:c r="C217" s="74" t="str">
        <x:v>無効</x:v>
      </x:c>
      <x:c r="D217" s="54" t="str">
        <x:v>動作の空欄はテンプレート指定時のみ、その既定値を使用</x:v>
      </x:c>
    </x:row>
    <x:row r="218" ht="32" customHeight="1">
      <x:c r="A218" s="1" t="str">
        <x:v>発射物_連鎖回数</x:v>
      </x:c>
      <x:c r="B218" s="1" t="str">
        <x:v>chainCount</x:v>
      </x:c>
      <x:c r="C218" s="74" t="n">
        <x:v>4</x:v>
      </x:c>
      <x:c r="D218" s="54" t="str">
        <x:v>動作の空欄はテンプレート指定時のみ、その既定値を使用</x:v>
      </x:c>
    </x:row>
    <x:row r="219" ht="32" customHeight="1">
      <x:c r="A219" s="1" t="str">
        <x:v>発射物_連鎖半径</x:v>
      </x:c>
      <x:c r="B219" s="1" t="str">
        <x:v>chainRadius</x:v>
      </x:c>
      <x:c r="C219" s="74" t="n">
        <x:v>8</x:v>
      </x:c>
      <x:c r="D219" s="54" t="str">
        <x:v>動作の空欄はテンプレート指定時のみ、その既定値を使用</x:v>
      </x:c>
    </x:row>
    <x:row r="220" ht="32" customHeight="1">
      <x:c r="A220" s="1" t="str">
        <x:v>発射物_連鎖威力倍率</x:v>
      </x:c>
      <x:c r="B220" s="1" t="str">
        <x:v>chainPower</x:v>
      </x:c>
      <x:c r="C220" s="74" t="n">
        <x:v>0.85</x:v>
      </x:c>
      <x:c r="D220" s="54" t="str">
        <x:v>動作の空欄はテンプレート指定時のみ、その既定値を使用</x:v>
      </x:c>
    </x:row>
    <x:row r="221" ht="32" customHeight="1">
      <x:c r="A221" s="1" t="str">
        <x:v>発射物_分裂</x:v>
      </x:c>
      <x:c r="B221" s="1" t="str">
        <x:v>split</x:v>
      </x:c>
      <x:c r="C221" s="74" t="str">
        <x:v>無効</x:v>
      </x:c>
      <x:c r="D221" s="54" t="str">
        <x:v>動作の空欄はテンプレート指定時のみ、その既定値を使用</x:v>
      </x:c>
    </x:row>
    <x:row r="222" ht="32" customHeight="1">
      <x:c r="A222" s="1" t="str">
        <x:v>発射物_子弾数</x:v>
      </x:c>
      <x:c r="B222" s="1" t="str">
        <x:v>splitCount</x:v>
      </x:c>
      <x:c r="C222" s="74" t="n">
        <x:v>2</x:v>
      </x:c>
      <x:c r="D222" s="54" t="str">
        <x:v>動作の空欄はテンプレート指定時のみ、その既定値を使用</x:v>
      </x:c>
    </x:row>
    <x:row r="223" ht="32" customHeight="1">
      <x:c r="A223" s="1" t="str">
        <x:v>発射物_分裂角度</x:v>
      </x:c>
      <x:c r="B223" s="1" t="str">
        <x:v>splitAngle</x:v>
      </x:c>
      <x:c r="C223" s="74" t="n">
        <x:v>50</x:v>
      </x:c>
      <x:c r="D223" s="54" t="str">
        <x:v>動作の空欄はテンプレート指定時のみ、その既定値を使用</x:v>
      </x:c>
    </x:row>
    <x:row r="224" ht="32" customHeight="1">
      <x:c r="A224" s="1" t="str">
        <x:v>発射物_子弾威力倍率</x:v>
      </x:c>
      <x:c r="B224" s="1" t="str">
        <x:v>splitPower</x:v>
      </x:c>
      <x:c r="C224" s="74" t="n">
        <x:v>0.5</x:v>
      </x:c>
      <x:c r="D224" s="54" t="str">
        <x:v>動作の空欄はテンプレート指定時のみ、その既定値を使用</x:v>
      </x:c>
    </x:row>
    <x:row r="225" ht="32" customHeight="1">
      <x:c r="A225" s="1" t="str">
        <x:v>発射物_分裂世代数</x:v>
      </x:c>
      <x:c r="B225" s="1" t="str">
        <x:v>splitDepth</x:v>
      </x:c>
      <x:c r="C225" s="74" t="n">
        <x:v>1</x:v>
      </x:c>
      <x:c r="D225" s="54" t="str">
        <x:v>動作の空欄はテンプレート指定時のみ、その既定値を使用</x:v>
      </x:c>
    </x:row>
    <x:row r="226" ht="32" customHeight="1">
      <x:c r="A226" s="1" t="str">
        <x:v>発射物_命中時爆発</x:v>
      </x:c>
      <x:c r="B226" s="1" t="str">
        <x:v>explodeOnHit</x:v>
      </x:c>
      <x:c r="C226" s="74" t="str">
        <x:v>無効</x:v>
      </x:c>
      <x:c r="D226" s="54" t="str">
        <x:v>動作の空欄はテンプレート指定時のみ、その既定値を使用</x:v>
      </x:c>
    </x:row>
    <x:row r="227" ht="32" customHeight="1">
      <x:c r="A227" s="1" t="str">
        <x:v>発射物_停止時爆発</x:v>
      </x:c>
      <x:c r="B227" s="1" t="str">
        <x:v>explodeOnStop</x:v>
      </x:c>
      <x:c r="C227" s="74" t="str">
        <x:v>有効</x:v>
      </x:c>
      <x:c r="D227" s="54" t="str">
        <x:v>動作の空欄はテンプレート指定時のみ、その既定値を使用</x:v>
      </x:c>
    </x:row>
    <x:row r="228" ht="32" customHeight="1">
      <x:c r="A228" s="1" t="str">
        <x:v>発射物_爆発半径</x:v>
      </x:c>
      <x:c r="B228" s="1" t="str">
        <x:v>explosionRadius</x:v>
      </x:c>
      <x:c r="C228" s="74" t="n">
        <x:v>2</x:v>
      </x:c>
      <x:c r="D228" s="54" t="str">
        <x:v>動作の空欄はテンプレート指定時のみ、その既定値を使用</x:v>
      </x:c>
    </x:row>
    <x:row r="229" ht="32" customHeight="1">
      <x:c r="A229" s="1" t="str">
        <x:v>発射物_爆発表示秒</x:v>
      </x:c>
      <x:c r="B229" s="1" t="str">
        <x:v>explosionDuration</x:v>
      </x:c>
      <x:c r="C229" s="74" t="n">
        <x:v>0.4</x:v>
      </x:c>
      <x:c r="D229" s="54" t="str">
        <x:v>動作の空欄はテンプレート指定時のみ、その既定値を使用</x:v>
      </x:c>
    </x:row>
    <x:row r="230" ht="32" customHeight="1">
      <x:c r="A230" s="1" t="str">
        <x:v>発射物_表示倍率</x:v>
      </x:c>
      <x:c r="B230" s="1" t="str">
        <x:v>ルートの均等スケール</x:v>
      </x:c>
      <x:c r="C230" s="74" t="n">
        <x:v>0.3</x:v>
      </x:c>
      <x:c r="D230" s="54" t="str">
        <x:v>0より大きく1000以下</x:v>
      </x:c>
    </x:row>
    <x:row r="231" ht="32" customHeight="1">
      <x:c r="A231" s="1" t="str">
        <x:v>発射物_色</x:v>
      </x:c>
      <x:c r="B231" s="1" t="str">
        <x:v>SpriteRenderer.color</x:v>
      </x:c>
      <x:c r="C231" s="74" t="str">
        <x:v>#FFFFFFFF</x:v>
      </x:c>
      <x:c r="D231" s="54" t="str">
        <x:v>#RRGGBB / #RRGGBBAA</x:v>
      </x:c>
    </x:row>
    <x:row r="232" ht="32" customHeight="1">
      <x:c r="A232" s="1" t="str">
        <x:v>発射物_描画順</x:v>
      </x:c>
      <x:c r="B232" s="1" t="str">
        <x:v>SpriteRenderer.sortingOrder</x:v>
      </x:c>
      <x:c r="C232" s="74" t="n">
        <x:v>60</x:v>
      </x:c>
      <x:c r="D232" s="54" t="str">
        <x:v>-32768～32767の整数</x:v>
      </x:c>
    </x:row>
    <x:row r="233" ht="32" customHeight="1">
      <x:c r="A233" s="1" t="str">
        <x:v>発射物_画像角度</x:v>
      </x:c>
      <x:c r="B233" s="1" t="str">
        <x:v>画像のローカルZ角度</x:v>
      </x:c>
      <x:c r="C233" s="74" t="n">
        <x:v>0</x:v>
      </x:c>
      <x:c r="D233" s="54" t="str">
        <x:v>度。画像自体の向きを調整</x:v>
      </x:c>
    </x:row>
    <x:row r="235" ht="30" customHeight="1">
      <x:c r="A235" s="87" t="str">
        <x:v>追加仕様</x:v>
      </x:c>
      <x:c r="B235" s="87" t="str">
        <x:v>設定項目</x:v>
      </x:c>
      <x:c r="C235" s="87" t="str">
        <x:v>入力方法・初期値</x:v>
      </x:c>
      <x:c r="D235" s="87" t="str">
        <x:v>動作</x:v>
      </x:c>
    </x:row>
    <x:row r="236" ht="58" customHeight="1">
      <x:c r="A236" s="89" t="str">
        <x:v>共通</x:v>
      </x:c>
      <x:c r="B236" s="89" t="str">
        <x:v>スキル種別</x:v>
      </x:c>
      <x:c r="C236" s="89" t="str">
        <x:v>アクティブ／パッシブ。空欄はアクティブ</x:v>
      </x:c>
      <x:c r="D236" s="89" t="str">
        <x:v>既存の5枠を共有。パッシブはセット中のみ有効</x:v>
      </x:c>
    </x:row>
    <x:row r="237" ht="58" customHeight="1">
      <x:c r="A237" s="89" t="str">
        <x:v>表示</x:v>
      </x:c>
      <x:c r="B237" s="89" t="str">
        <x:v>生成位置</x:v>
      </x:c>
      <x:c r="C237" s="89" t="str">
        <x:v>使用者／対象。空欄は使用者</x:v>
      </x:c>
      <x:c r="D237" s="89" t="str">
        <x:v>対象の位置でヒール等を表示可能</x:v>
      </x:c>
    </x:row>
    <x:row r="238" ht="58" customHeight="1">
      <x:c r="A238" s="89" t="str">
        <x:v>表示</x:v>
      </x:c>
      <x:c r="B238" s="89" t="str">
        <x:v>追従先</x:v>
      </x:c>
      <x:c r="C238" s="89" t="str">
        <x:v>追従なし／使用者／対象</x:v>
      </x:c>
      <x:c r="D238" s="89" t="str">
        <x:v>新設定を優先。旧「使用者に追従」は空欄時に利用</x:v>
      </x:c>
    </x:row>
    <x:row r="239" ht="58" customHeight="1">
      <x:c r="A239" s="89" t="str">
        <x:v>表示</x:v>
      </x:c>
      <x:c r="B239" s="89" t="str">
        <x:v>効果発生タイミング</x:v>
      </x:c>
      <x:c r="C239" s="89" t="str">
        <x:v>命中時／生成時／一定間隔</x:v>
      </x:c>
      <x:c r="D239" s="89" t="str">
        <x:v>生成時は一度だけ。一定間隔は効果間隔秒の後から反復</x:v>
      </x:c>
    </x:row>
    <x:row r="240" ht="58" customHeight="1">
      <x:c r="A240" s="89" t="str">
        <x:v>表示</x:v>
      </x:c>
      <x:c r="B240" s="89" t="str">
        <x:v>効果間隔秒</x:v>
      </x:c>
      <x:c r="C240" s="89" t="str">
        <x:v>0.02秒以上。空欄は1秒</x:v>
      </x:c>
      <x:c r="D240" s="89" t="str">
        <x:v>表示寿命と追加効果の持続秒は独立</x:v>
      </x:c>
    </x:row>
    <x:row r="241" ht="58" customHeight="1">
      <x:c r="A241" s="89" t="str">
        <x:v>表示例</x:v>
      </x:c>
      <x:c r="B241" s="89" t="str">
        <x:v>ヒール・バフ</x:v>
      </x:c>
      <x:c r="C241" s="89" t="str">
        <x:v>発射物／その場／対象生成／対象追従／生成時</x:v>
      </x:c>
      <x:c r="D241" s="89" t="str">
        <x:v>番号画像を素材/Projectileへ配置。寿命0.8秒、速度入力1</x:v>
      </x:c>
    </x:row>
    <x:row r="242" ht="58" customHeight="1">
      <x:c r="A242" s="89" t="str">
        <x:v>表示例</x:v>
      </x:c>
      <x:c r="B242" s="89" t="str">
        <x:v>衝撃波</x:v>
      </x:c>
      <x:c r="C242" s="89" t="str">
        <x:v>発射物／その場／使用者生成／命中時</x:v>
      </x:c>
      <x:c r="D242" s="89" t="str">
        <x:v>貫通有効、再命中無効。拡大は既存の設定で調整</x:v>
      </x:c>
    </x:row>
    <x:row r="243" ht="58" customHeight="1">
      <x:c r="A243" s="89" t="str">
        <x:v>表示例</x:v>
      </x:c>
      <x:c r="B243" s="89" t="str">
        <x:v>回復陣</x:v>
      </x:c>
      <x:c r="C243" s="89" t="str">
        <x:v>発射物／その場／対象生成／追従なし／一定間隔</x:v>
      </x:c>
      <x:c r="D243" s="89" t="str">
        <x:v>適用先「範囲内の味方」、範囲半径と寿命を設定</x:v>
      </x:c>
    </x:row>
    <x:row r="244" ht="58" customHeight="1">
      <x:c r="A244" s="89" t="str">
        <x:v>パッシブ</x:v>
      </x:c>
      <x:c r="B244" s="89" t="str">
        <x:v>パッシブ1～3_効果・効果量</x:v>
      </x:c>
      <x:c r="C244" s="89" t="str">
        <x:v>1行に最大3効果。10＝＋10％、数は1＝＋1</x:v>
      </x:c>
      <x:c r="D244" s="89" t="str">
        <x:v>アクティブ欄・発射物設定・追加効果は使用しない</x:v>
      </x:c>
    </x:row>
    <x:row r="245" ht="58" customHeight="1">
      <x:c r="A245" s="89" t="str">
        <x:v>パッシブ</x:v>
      </x:c>
      <x:c r="B245" s="89" t="str">
        <x:v>ステータス・会心倍率</x:v>
      </x:c>
      <x:c r="C245" s="89" t="str">
        <x:v>元の値×（1＋合計効果量÷100）</x:v>
      </x:c>
      <x:c r="D245" s="89" t="str">
        <x:v>本人に適用。最大HP・MP、攻撃、防御、速度、範囲など</x:v>
      </x:c>
    </x:row>
    <x:row r="246" ht="58" customHeight="1">
      <x:c r="A246" s="89" t="str">
        <x:v>パッシブ</x:v>
      </x:c>
      <x:c r="B246" s="89" t="str">
        <x:v>会心率・素材ドロップ率・属性耐性</x:v>
      </x:c>
      <x:c r="C246" s="89" t="str">
        <x:v>10＝＋10ポイント</x:v>
      </x:c>
      <x:c r="D246" s="89" t="str">
        <x:v>耐性上限80％、会心率上限100％。本体入手率には影響なし</x:v>
      </x:c>
    </x:row>
    <x:row r="247" ht="58" customHeight="1">
      <x:c r="A247" s="89" t="str">
        <x:v>パッシブ</x:v>
      </x:c>
      <x:c r="B247" s="89" t="str">
        <x:v>装備ドロップ率</x:v>
      </x:c>
      <x:c r="C247" s="89" t="str">
        <x:v>10＝＋10ポイント</x:v>
      </x:c>
      <x:c r="D247" s="89" t="str">
        <x:v>ダンジョン通常敵の装備抽選に加算。上限100％</x:v>
      </x:c>
    </x:row>
    <x:row r="248" ht="58" customHeight="1">
      <x:c r="A248" s="89" t="str">
        <x:v>パッシブ</x:v>
      </x:c>
      <x:c r="B248" s="89" t="str">
        <x:v>近接攻撃タイプ／遠距離攻撃タイプ</x:v>
      </x:c>
      <x:c r="C248" s="89" t="str">
        <x:v>効果量は0で可</x:v>
      </x:c>
      <x:c r="D248" s="89" t="str">
        <x:v>本人の通常攻撃変更。競合時は後ろの枠・後ろの効果を優先</x:v>
      </x:c>
    </x:row>
    <x:row r="249" ht="58" customHeight="1">
      <x:c r="A249" s="89" t="str">
        <x:v>パッシブ</x:v>
      </x:c>
      <x:c r="B249" s="89" t="str">
        <x:v>配合確率</x:v>
      </x:c>
      <x:c r="C249" s="89" t="str">
        <x:v>10＝＋10ポイント、成功上限100％</x:v>
      </x:c>
      <x:c r="D249" s="89" t="str">
        <x:v>主人公＋編成中仲間分を合算。親を失う仕様は既存どおり</x:v>
      </x:c>
    </x:row>
    <x:row r="250" ht="58" customHeight="1">
      <x:c r="A250" s="89" t="str">
        <x:v>パッシブ</x:v>
      </x:c>
      <x:c r="B250" s="89" t="str">
        <x:v>武器取得数</x:v>
      </x:c>
      <x:c r="C250" s="89" t="str">
        <x:v>0～1000の整数</x:v>
      </x:c>
      <x:c r="D250" s="89" t="str">
        <x:v>ダンジョン最終ボスの保証装備取得数へ加算</x:v>
      </x:c>
    </x:row>
    <x:row r="251" ht="58" customHeight="1">
      <x:c r="A251" s="89" t="str">
        <x:v>パッシブ</x:v>
      </x:c>
      <x:c r="B251" s="89" t="str">
        <x:v>称号抽選回数</x:v>
      </x:c>
      <x:c r="C251" s="89" t="str">
        <x:v>0～1000の整数</x:v>
      </x:c>
      <x:c r="D251" s="89" t="str">
        <x:v>本体入手時に追加抽選。称号が付いたら終了、上限追加1000回</x:v>
      </x:c>
    </x:row>
    <x:row r="252" ht="58" customHeight="1">
      <x:c r="A252" s="89" t="str">
        <x:v>パッシブ</x:v>
      </x:c>
      <x:c r="B252" s="89" t="str">
        <x:v>敵リスポーン速度</x:v>
      </x:c>
      <x:c r="C252" s="89" t="str">
        <x:v>100＝速度2倍、待機時間を半分</x:v>
      </x:c>
      <x:c r="D252" s="89" t="str">
        <x:v>祭壇補正後の待機時間÷（1＋合計効果量÷100）</x:v>
      </x:c>
    </x:row>
    <x:row r="253" ht="58" customHeight="1">
      <x:c r="A253" s="89" t="str">
        <x:v>共通効果</x:v>
      </x:c>
      <x:c r="B253" s="89" t="str">
        <x:v>集計対象</x:v>
      </x:c>
      <x:c r="C253" s="89" t="str">
        <x:v>主人公＋編成中仲間。控えは除外</x:v>
      </x:c>
      <x:c r="D253" s="89" t="str">
        <x:v>配合確率・装備ドロップ・武器数・称号回数・リスポーン</x:v>
      </x:c>
    </x:row>
    <x:row r="254" ht="58" customHeight="1">
      <x:c r="A254" s="89" t="str">
        <x:v>配合継承</x:v>
      </x:c>
      <x:c r="B254" s="89" t="str">
        <x:v>継承対象</x:v>
      </x:c>
      <x:c r="C254" s="89" t="str">
        <x:v>両親のセット中スキルから重複なしランダム最大3つ</x:v>
      </x:c>
      <x:c r="D254" s="89" t="str">
        <x:v>アクティブ・パッシブ両方。習得済みとして継承、枠には自動装着しない</x:v>
      </x:c>
    </x:row>
    <x:row r="255" ht="58" customHeight="1">
      <x:c r="A255" s="89" t="str">
        <x:v>配合継承</x:v>
      </x:c>
      <x:c r="B255" s="89" t="str">
        <x:v>候補不足</x:v>
      </x:c>
      <x:c r="C255" s="89" t="str">
        <x:v>候補が3未満なら全て継承</x:v>
      </x:c>
      <x:c r="D255" s="89" t="str">
        <x:v>子の種族が通常習得できないスキルも表示・登録可能</x:v>
      </x:c>
    </x:row>
    <x:row r="256" ht="58" customHeight="1">
      <x:c r="A256" s="89" t="str">
        <x:v>仲間設定</x:v>
      </x:c>
      <x:c r="B256" s="89" t="str">
        <x:v>第1自動発動条件</x:v>
      </x:c>
      <x:c r="C256" s="89" t="str">
        <x:v>手動のみを候補から除外</x:v>
      </x:c>
      <x:c r="D256" s="89" t="str">
        <x:v>AND側の「追加条件なし」は維持。パッシブは条件設定不要</x:v>
      </x:c>
    </x:row>
    <x:row r="257" ht="58" customHeight="1">
      <x:c r="A257" s="89" t="str">
        <x:v>導入</x:v>
      </x:c>
      <x:c r="B257" s="89" t="str">
        <x:v>人間の習得可能一覧</x:v>
      </x:c>
      <x:c r="C257" s="89" t="str">
        <x:v>既存カタログの人間用一覧は維持</x:v>
      </x:c>
      <x:c r="D257" s="89" t="str">
        <x:v>新しいパッシブを主人公で覚えるには人間一覧または転生種族へ追加</x:v>
      </x:c>
    </x:row>
  </x:sheetData>
  <x:pageMargins left="0.7" right="0.7" top="0.75" bottom="0.75" header="0.3" footer="0.3"/>
</x:worksheet>
</file>